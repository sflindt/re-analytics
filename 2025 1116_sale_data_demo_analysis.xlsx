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:\My Drive\SDF Home\18 Python\02 Project 2 - what to buy\01 what to buy (zillow scraper)\"/>
    </mc:Choice>
  </mc:AlternateContent>
  <xr:revisionPtr revIDLastSave="0" documentId="13_ncr:1_{C844464B-1DC8-457E-853B-61B7CE1D623A}" xr6:coauthVersionLast="47" xr6:coauthVersionMax="47" xr10:uidLastSave="{00000000-0000-0000-0000-000000000000}"/>
  <bookViews>
    <workbookView xWindow="-110" yWindow="-110" windowWidth="19420" windowHeight="10300" firstSheet="2" activeTab="3" xr2:uid="{A07A79D3-5108-4DC7-BEC4-2E3572A186D8}"/>
  </bookViews>
  <sheets>
    <sheet name="NPV" sheetId="3" r:id="rId1"/>
    <sheet name="FP3 Amort" sheetId="4" r:id="rId2"/>
    <sheet name="Amort" sheetId="7" r:id="rId3"/>
    <sheet name="Pivot" sheetId="2" r:id="rId4"/>
    <sheet name="DATA&gt;&gt;" sheetId="8" r:id="rId5"/>
    <sheet name="Inputs" sheetId="5" r:id="rId6"/>
    <sheet name="Financials" sheetId="6" r:id="rId7"/>
    <sheet name="sale_data" sheetId="1" r:id="rId8"/>
    <sheet name="Rate_Data" sheetId="9" r:id="rId9"/>
  </sheets>
  <definedNames>
    <definedName name="_xlnm._FilterDatabase" localSheetId="7" hidden="1">sale_data!$A$1:$W$123</definedName>
    <definedName name="Inflation">Inputs!$B$23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2" i="2" l="1"/>
  <c r="U6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N2" i="2"/>
  <c r="U5" i="2"/>
  <c r="O10" i="2"/>
  <c r="U9" i="2"/>
  <c r="U3" i="2"/>
  <c r="R10" i="2"/>
  <c r="U10" i="2"/>
  <c r="P13" i="2"/>
  <c r="U13" i="2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  <c r="E81" i="5"/>
  <c r="E80" i="5"/>
  <c r="E79" i="5"/>
  <c r="E78" i="5"/>
  <c r="E40" i="5"/>
  <c r="E33" i="5"/>
  <c r="E10" i="5"/>
  <c r="O49" i="5"/>
  <c r="N49" i="5"/>
  <c r="M49" i="5"/>
  <c r="G49" i="5"/>
  <c r="C79" i="5"/>
  <c r="C80" i="5" s="1"/>
  <c r="B80" i="5" s="1"/>
  <c r="B11" i="5" l="1"/>
  <c r="C81" i="5"/>
  <c r="B81" i="5"/>
  <c r="B78" i="5" l="1"/>
  <c r="D80" i="5"/>
  <c r="B79" i="5"/>
  <c r="D77" i="5"/>
  <c r="D78" i="5" l="1"/>
  <c r="C82" i="5" l="1"/>
  <c r="D79" i="5"/>
  <c r="C38" i="5" l="1"/>
  <c r="U2" i="2" l="1"/>
  <c r="U12" i="2"/>
  <c r="P16" i="2"/>
  <c r="U11" i="2"/>
  <c r="P58" i="2" l="1"/>
  <c r="Q58" i="2" s="1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P133" i="2"/>
  <c r="P132" i="2"/>
  <c r="P131" i="2"/>
  <c r="Q131" i="2" s="1"/>
  <c r="P130" i="2"/>
  <c r="Q130" i="2" s="1"/>
  <c r="P129" i="2"/>
  <c r="Q129" i="2" s="1"/>
  <c r="P128" i="2"/>
  <c r="Q128" i="2" s="1"/>
  <c r="P127" i="2"/>
  <c r="Q127" i="2" s="1"/>
  <c r="P126" i="2"/>
  <c r="Q126" i="2" s="1"/>
  <c r="P125" i="2"/>
  <c r="Q125" i="2" s="1"/>
  <c r="P124" i="2"/>
  <c r="Q124" i="2" s="1"/>
  <c r="P123" i="2"/>
  <c r="Q123" i="2" s="1"/>
  <c r="P122" i="2"/>
  <c r="Q122" i="2" s="1"/>
  <c r="P121" i="2"/>
  <c r="Q121" i="2" s="1"/>
  <c r="P120" i="2"/>
  <c r="Q120" i="2" s="1"/>
  <c r="P119" i="2"/>
  <c r="Q119" i="2" s="1"/>
  <c r="P118" i="2"/>
  <c r="Q118" i="2" s="1"/>
  <c r="P117" i="2"/>
  <c r="Q117" i="2" s="1"/>
  <c r="P116" i="2"/>
  <c r="Q116" i="2" s="1"/>
  <c r="P115" i="2"/>
  <c r="Q115" i="2" s="1"/>
  <c r="P114" i="2"/>
  <c r="Q114" i="2" s="1"/>
  <c r="P113" i="2"/>
  <c r="Q113" i="2" s="1"/>
  <c r="P112" i="2"/>
  <c r="Q112" i="2" s="1"/>
  <c r="P111" i="2"/>
  <c r="Q111" i="2" s="1"/>
  <c r="P110" i="2"/>
  <c r="Q110" i="2" s="1"/>
  <c r="P109" i="2"/>
  <c r="Q109" i="2" s="1"/>
  <c r="P108" i="2"/>
  <c r="Q108" i="2" s="1"/>
  <c r="P107" i="2"/>
  <c r="Q107" i="2" s="1"/>
  <c r="P106" i="2"/>
  <c r="Q106" i="2" s="1"/>
  <c r="P105" i="2"/>
  <c r="Q105" i="2" s="1"/>
  <c r="P104" i="2"/>
  <c r="Q104" i="2" s="1"/>
  <c r="P103" i="2"/>
  <c r="Q103" i="2" s="1"/>
  <c r="P102" i="2"/>
  <c r="Q102" i="2" s="1"/>
  <c r="P101" i="2"/>
  <c r="Q101" i="2" s="1"/>
  <c r="P100" i="2"/>
  <c r="Q100" i="2" s="1"/>
  <c r="P99" i="2"/>
  <c r="Q99" i="2" s="1"/>
  <c r="P98" i="2"/>
  <c r="Q98" i="2" s="1"/>
  <c r="P97" i="2"/>
  <c r="Q97" i="2" s="1"/>
  <c r="P96" i="2"/>
  <c r="Q96" i="2" s="1"/>
  <c r="P95" i="2"/>
  <c r="Q95" i="2" s="1"/>
  <c r="P94" i="2"/>
  <c r="Q94" i="2" s="1"/>
  <c r="P93" i="2"/>
  <c r="Q93" i="2" s="1"/>
  <c r="P92" i="2"/>
  <c r="Q92" i="2" s="1"/>
  <c r="P91" i="2"/>
  <c r="Q91" i="2" s="1"/>
  <c r="P90" i="2"/>
  <c r="Q90" i="2" s="1"/>
  <c r="P89" i="2"/>
  <c r="Q89" i="2" s="1"/>
  <c r="P88" i="2"/>
  <c r="Q88" i="2" s="1"/>
  <c r="P87" i="2"/>
  <c r="Q87" i="2" s="1"/>
  <c r="P86" i="2"/>
  <c r="Q86" i="2" s="1"/>
  <c r="P85" i="2"/>
  <c r="Q85" i="2" s="1"/>
  <c r="P84" i="2"/>
  <c r="Q84" i="2" s="1"/>
  <c r="P83" i="2"/>
  <c r="Q83" i="2" s="1"/>
  <c r="P82" i="2"/>
  <c r="Q82" i="2" s="1"/>
  <c r="P81" i="2"/>
  <c r="Q81" i="2" s="1"/>
  <c r="P80" i="2"/>
  <c r="Q80" i="2" s="1"/>
  <c r="P79" i="2"/>
  <c r="Q79" i="2" s="1"/>
  <c r="P78" i="2"/>
  <c r="Q78" i="2" s="1"/>
  <c r="P77" i="2"/>
  <c r="Q77" i="2" s="1"/>
  <c r="P76" i="2"/>
  <c r="Q76" i="2" s="1"/>
  <c r="P75" i="2"/>
  <c r="Q75" i="2" s="1"/>
  <c r="P74" i="2"/>
  <c r="Q74" i="2" s="1"/>
  <c r="P73" i="2"/>
  <c r="Q73" i="2" s="1"/>
  <c r="P72" i="2"/>
  <c r="Q72" i="2" s="1"/>
  <c r="P71" i="2"/>
  <c r="Q71" i="2" s="1"/>
  <c r="P70" i="2"/>
  <c r="Q70" i="2" s="1"/>
  <c r="P69" i="2"/>
  <c r="Q69" i="2" s="1"/>
  <c r="P68" i="2"/>
  <c r="Q68" i="2" s="1"/>
  <c r="P67" i="2"/>
  <c r="Q67" i="2" s="1"/>
  <c r="P66" i="2"/>
  <c r="Q66" i="2" s="1"/>
  <c r="P65" i="2"/>
  <c r="Q65" i="2" s="1"/>
  <c r="P64" i="2"/>
  <c r="Q64" i="2" s="1"/>
  <c r="P63" i="2"/>
  <c r="Q63" i="2" s="1"/>
  <c r="P62" i="2"/>
  <c r="Q62" i="2" s="1"/>
  <c r="P61" i="2"/>
  <c r="Q61" i="2" s="1"/>
  <c r="P60" i="2"/>
  <c r="Q60" i="2" s="1"/>
  <c r="P59" i="2"/>
  <c r="Q59" i="2" s="1"/>
  <c r="P57" i="2"/>
  <c r="Q57" i="2" s="1"/>
  <c r="P56" i="2"/>
  <c r="Q56" i="2" s="1"/>
  <c r="P55" i="2"/>
  <c r="Q55" i="2" s="1"/>
  <c r="P54" i="2"/>
  <c r="Q54" i="2" s="1"/>
  <c r="P53" i="2"/>
  <c r="Q53" i="2" s="1"/>
  <c r="P52" i="2"/>
  <c r="Q52" i="2" s="1"/>
  <c r="P51" i="2"/>
  <c r="Q51" i="2" s="1"/>
  <c r="P50" i="2"/>
  <c r="Q50" i="2" s="1"/>
  <c r="P49" i="2"/>
  <c r="Q49" i="2" s="1"/>
  <c r="P48" i="2"/>
  <c r="Q48" i="2" s="1"/>
  <c r="P47" i="2"/>
  <c r="Q47" i="2" s="1"/>
  <c r="P46" i="2"/>
  <c r="Q46" i="2" s="1"/>
  <c r="P45" i="2"/>
  <c r="Q45" i="2" s="1"/>
  <c r="P44" i="2"/>
  <c r="Q44" i="2" s="1"/>
  <c r="P43" i="2"/>
  <c r="Q43" i="2" s="1"/>
  <c r="P42" i="2"/>
  <c r="Q42" i="2" s="1"/>
  <c r="P41" i="2"/>
  <c r="Q41" i="2" s="1"/>
  <c r="P40" i="2"/>
  <c r="Q40" i="2" s="1"/>
  <c r="P39" i="2"/>
  <c r="Q39" i="2" s="1"/>
  <c r="P38" i="2"/>
  <c r="Q38" i="2" s="1"/>
  <c r="P37" i="2"/>
  <c r="Q37" i="2" s="1"/>
  <c r="P36" i="2"/>
  <c r="Q36" i="2" s="1"/>
  <c r="P35" i="2"/>
  <c r="Q35" i="2" s="1"/>
  <c r="P34" i="2"/>
  <c r="Q34" i="2" s="1"/>
  <c r="P33" i="2"/>
  <c r="Q33" i="2" s="1"/>
  <c r="P32" i="2"/>
  <c r="Q32" i="2" s="1"/>
  <c r="P31" i="2"/>
  <c r="Q31" i="2" s="1"/>
  <c r="P30" i="2"/>
  <c r="Q30" i="2" s="1"/>
  <c r="P29" i="2"/>
  <c r="Q29" i="2" s="1"/>
  <c r="P28" i="2"/>
  <c r="Q28" i="2" s="1"/>
  <c r="P27" i="2"/>
  <c r="Q27" i="2" s="1"/>
  <c r="P26" i="2"/>
  <c r="Q26" i="2" s="1"/>
  <c r="P25" i="2"/>
  <c r="Q25" i="2" s="1"/>
  <c r="P24" i="2"/>
  <c r="Q24" i="2" s="1"/>
  <c r="P23" i="2"/>
  <c r="Q23" i="2" s="1"/>
  <c r="P22" i="2"/>
  <c r="Q22" i="2" s="1"/>
  <c r="P21" i="2"/>
  <c r="Q21" i="2" s="1"/>
  <c r="P20" i="2"/>
  <c r="Q20" i="2" s="1"/>
  <c r="P19" i="2"/>
  <c r="Q19" i="2" s="1"/>
  <c r="P18" i="2"/>
  <c r="Q18" i="2" s="1"/>
  <c r="P17" i="2"/>
  <c r="Q17" i="2" s="1"/>
  <c r="Q16" i="2"/>
  <c r="P15" i="2"/>
  <c r="Q15" i="2" s="1"/>
  <c r="P14" i="2"/>
  <c r="Q14" i="2" s="1"/>
  <c r="Q13" i="2"/>
  <c r="P12" i="2"/>
  <c r="Q12" i="2" s="1"/>
  <c r="P11" i="2"/>
  <c r="Q11" i="2" s="1"/>
  <c r="P10" i="2"/>
  <c r="Q10" i="2" s="1"/>
  <c r="K5" i="2"/>
  <c r="L5" i="2" s="1"/>
  <c r="K4" i="2"/>
  <c r="L4" i="2" s="1"/>
  <c r="F15" i="3"/>
  <c r="F16" i="3" s="1"/>
  <c r="F17" i="3" s="1"/>
  <c r="F18" i="3" s="1"/>
  <c r="F19" i="3" s="1"/>
  <c r="F20" i="3" s="1"/>
  <c r="F21" i="3" s="1"/>
  <c r="F22" i="3" s="1"/>
  <c r="F23" i="3" s="1"/>
  <c r="F24" i="3" s="1"/>
  <c r="F14" i="3"/>
  <c r="B38" i="5" l="1"/>
  <c r="B39" i="5"/>
  <c r="C41" i="5" s="1"/>
  <c r="B5" i="5"/>
  <c r="C4" i="5" s="1"/>
  <c r="C11" i="5"/>
  <c r="E11" i="5"/>
  <c r="E5" i="5"/>
  <c r="E6" i="5" s="1"/>
  <c r="C39" i="5"/>
  <c r="E36" i="5" l="1"/>
  <c r="E46" i="5"/>
  <c r="E37" i="5"/>
  <c r="E48" i="5"/>
  <c r="E74" i="5"/>
  <c r="E71" i="5" s="1"/>
  <c r="E13" i="5"/>
  <c r="E12" i="5" s="1"/>
  <c r="E72" i="5" s="1"/>
  <c r="Q7" i="2"/>
  <c r="Q4" i="2" s="1"/>
  <c r="B37" i="5"/>
  <c r="B13" i="5"/>
  <c r="B12" i="5" s="1"/>
  <c r="B72" i="5" s="1"/>
  <c r="B74" i="5"/>
  <c r="B36" i="5"/>
  <c r="B6" i="5"/>
  <c r="H5" i="3"/>
  <c r="K13" i="3"/>
  <c r="A3" i="7"/>
  <c r="F30" i="3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B267" i="9"/>
  <c r="B268" i="9" s="1"/>
  <c r="B269" i="9" s="1"/>
  <c r="B270" i="9" s="1"/>
  <c r="B271" i="9" s="1"/>
  <c r="B272" i="9" s="1"/>
  <c r="B273" i="9" s="1"/>
  <c r="B274" i="9" s="1"/>
  <c r="B275" i="9" s="1"/>
  <c r="B276" i="9" s="1"/>
  <c r="B277" i="9" s="1"/>
  <c r="B266" i="9"/>
  <c r="O48" i="9"/>
  <c r="O49" i="9" s="1"/>
  <c r="O50" i="9" s="1"/>
  <c r="O51" i="9" s="1"/>
  <c r="O52" i="9" s="1"/>
  <c r="O53" i="9" s="1"/>
  <c r="O54" i="9" s="1"/>
  <c r="O55" i="9" s="1"/>
  <c r="O56" i="9" s="1"/>
  <c r="O57" i="9" s="1"/>
  <c r="O58" i="9" s="1"/>
  <c r="O59" i="9" s="1"/>
  <c r="O45" i="9"/>
  <c r="O46" i="9" s="1"/>
  <c r="O47" i="9" s="1"/>
  <c r="A38" i="9"/>
  <c r="B37" i="9"/>
  <c r="O36" i="9"/>
  <c r="O35" i="9"/>
  <c r="O34" i="9" s="1"/>
  <c r="O33" i="9" s="1"/>
  <c r="O32" i="9" s="1"/>
  <c r="B33" i="9"/>
  <c r="B34" i="9" s="1"/>
  <c r="B35" i="9" s="1"/>
  <c r="B36" i="9" s="1"/>
  <c r="B32" i="9"/>
  <c r="B30" i="9"/>
  <c r="B31" i="9" s="1"/>
  <c r="B29" i="9"/>
  <c r="B27" i="9"/>
  <c r="B28" i="9" s="1"/>
  <c r="B26" i="9"/>
  <c r="B15" i="9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14" i="9"/>
  <c r="B5" i="9"/>
  <c r="B6" i="9" s="1"/>
  <c r="B7" i="9" s="1"/>
  <c r="B8" i="9" s="1"/>
  <c r="B9" i="9" s="1"/>
  <c r="B10" i="9" s="1"/>
  <c r="B11" i="9" s="1"/>
  <c r="B12" i="9" s="1"/>
  <c r="B13" i="9" s="1"/>
  <c r="B4" i="9"/>
  <c r="B2" i="9"/>
  <c r="B3" i="9" s="1"/>
  <c r="B4" i="7"/>
  <c r="H3" i="7"/>
  <c r="H4" i="7" s="1"/>
  <c r="B3" i="7"/>
  <c r="B59" i="6" s="1"/>
  <c r="M77" i="6"/>
  <c r="L77" i="6"/>
  <c r="K77" i="6"/>
  <c r="J77" i="6"/>
  <c r="I77" i="6"/>
  <c r="H77" i="6"/>
  <c r="G77" i="6"/>
  <c r="F77" i="6"/>
  <c r="E77" i="6"/>
  <c r="D77" i="6"/>
  <c r="C77" i="6"/>
  <c r="B77" i="6"/>
  <c r="B55" i="6"/>
  <c r="C55" i="6" s="1"/>
  <c r="C10" i="6" s="1"/>
  <c r="M51" i="6"/>
  <c r="L51" i="6"/>
  <c r="K51" i="6"/>
  <c r="J51" i="6"/>
  <c r="I51" i="6"/>
  <c r="H51" i="6"/>
  <c r="G51" i="6"/>
  <c r="F51" i="6"/>
  <c r="E51" i="6"/>
  <c r="D51" i="6"/>
  <c r="C51" i="6"/>
  <c r="B51" i="6"/>
  <c r="RN50" i="6"/>
  <c r="RA50" i="6"/>
  <c r="QN50" i="6"/>
  <c r="QA50" i="6"/>
  <c r="PN50" i="6"/>
  <c r="PA50" i="6"/>
  <c r="ON50" i="6"/>
  <c r="OA50" i="6"/>
  <c r="NN50" i="6"/>
  <c r="NA50" i="6"/>
  <c r="MN50" i="6"/>
  <c r="MA50" i="6"/>
  <c r="LN50" i="6"/>
  <c r="LA50" i="6"/>
  <c r="KN50" i="6"/>
  <c r="KA50" i="6"/>
  <c r="JN50" i="6"/>
  <c r="JA50" i="6"/>
  <c r="IN50" i="6"/>
  <c r="IA50" i="6"/>
  <c r="HN50" i="6"/>
  <c r="HA50" i="6"/>
  <c r="GN50" i="6"/>
  <c r="GA50" i="6"/>
  <c r="FN50" i="6"/>
  <c r="FA50" i="6"/>
  <c r="EN50" i="6"/>
  <c r="EA50" i="6"/>
  <c r="DN50" i="6"/>
  <c r="DA50" i="6"/>
  <c r="CN50" i="6"/>
  <c r="CA50" i="6"/>
  <c r="BN50" i="6"/>
  <c r="BA50" i="6"/>
  <c r="AN50" i="6"/>
  <c r="AA50" i="6"/>
  <c r="N50" i="6"/>
  <c r="B30" i="6"/>
  <c r="C30" i="6" s="1"/>
  <c r="N22" i="6"/>
  <c r="C1" i="6"/>
  <c r="D1" i="6" s="1"/>
  <c r="O46" i="5"/>
  <c r="N46" i="5"/>
  <c r="M46" i="5"/>
  <c r="K46" i="5"/>
  <c r="J46" i="5"/>
  <c r="I46" i="5"/>
  <c r="G46" i="5"/>
  <c r="B46" i="5"/>
  <c r="O40" i="5"/>
  <c r="N40" i="5"/>
  <c r="M40" i="5"/>
  <c r="L40" i="5"/>
  <c r="K40" i="5"/>
  <c r="J40" i="5"/>
  <c r="I40" i="5"/>
  <c r="H40" i="5"/>
  <c r="G40" i="5"/>
  <c r="F40" i="5"/>
  <c r="B40" i="5"/>
  <c r="O39" i="5"/>
  <c r="N39" i="5"/>
  <c r="M39" i="5"/>
  <c r="K39" i="5"/>
  <c r="J39" i="5"/>
  <c r="I39" i="5"/>
  <c r="G39" i="5"/>
  <c r="O38" i="5"/>
  <c r="N38" i="5"/>
  <c r="M38" i="5"/>
  <c r="L38" i="5"/>
  <c r="K38" i="5"/>
  <c r="J38" i="5"/>
  <c r="I38" i="5"/>
  <c r="G38" i="5"/>
  <c r="L36" i="5"/>
  <c r="I36" i="5"/>
  <c r="J36" i="5" s="1"/>
  <c r="G36" i="5"/>
  <c r="K35" i="5"/>
  <c r="J35" i="5"/>
  <c r="I35" i="5"/>
  <c r="O33" i="5"/>
  <c r="K33" i="5"/>
  <c r="F33" i="5"/>
  <c r="B33" i="5"/>
  <c r="B76" i="6" s="1"/>
  <c r="O13" i="5"/>
  <c r="O24" i="5" s="1"/>
  <c r="N13" i="5"/>
  <c r="N24" i="5" s="1"/>
  <c r="M13" i="5"/>
  <c r="M24" i="5" s="1"/>
  <c r="L13" i="5"/>
  <c r="L24" i="5" s="1"/>
  <c r="K13" i="5"/>
  <c r="J13" i="5"/>
  <c r="J24" i="5" s="1"/>
  <c r="I13" i="5"/>
  <c r="H13" i="5"/>
  <c r="H24" i="5" s="1"/>
  <c r="G13" i="5"/>
  <c r="G24" i="5" s="1"/>
  <c r="F13" i="5"/>
  <c r="L11" i="5"/>
  <c r="H11" i="5"/>
  <c r="F11" i="5"/>
  <c r="O10" i="5"/>
  <c r="N10" i="5"/>
  <c r="M10" i="5"/>
  <c r="L10" i="5"/>
  <c r="K10" i="5"/>
  <c r="J10" i="5"/>
  <c r="I10" i="5"/>
  <c r="H10" i="5"/>
  <c r="G10" i="5"/>
  <c r="F10" i="5"/>
  <c r="B10" i="5"/>
  <c r="O22" i="6" s="1"/>
  <c r="O7" i="5"/>
  <c r="N7" i="5"/>
  <c r="M7" i="5"/>
  <c r="L7" i="5"/>
  <c r="K7" i="5"/>
  <c r="J7" i="5"/>
  <c r="I7" i="5"/>
  <c r="O6" i="5"/>
  <c r="N5" i="5"/>
  <c r="N6" i="5" s="1"/>
  <c r="M5" i="5"/>
  <c r="M33" i="5" s="1"/>
  <c r="L5" i="5"/>
  <c r="L33" i="5" s="1"/>
  <c r="K5" i="5"/>
  <c r="K6" i="5" s="1"/>
  <c r="J5" i="5"/>
  <c r="I5" i="5"/>
  <c r="I33" i="5" s="1"/>
  <c r="H5" i="5"/>
  <c r="H33" i="5" s="1"/>
  <c r="G5" i="5"/>
  <c r="G33" i="5" s="1"/>
  <c r="F5" i="5"/>
  <c r="F6" i="5" s="1"/>
  <c r="D31" i="3"/>
  <c r="L13" i="3"/>
  <c r="L23" i="3"/>
  <c r="L22" i="3"/>
  <c r="L21" i="3"/>
  <c r="L20" i="3"/>
  <c r="L19" i="3"/>
  <c r="L18" i="3"/>
  <c r="L17" i="3"/>
  <c r="L16" i="3"/>
  <c r="L15" i="3"/>
  <c r="L14" i="3"/>
  <c r="G13" i="3"/>
  <c r="H13" i="3" s="1"/>
  <c r="L12" i="3" s="1"/>
  <c r="J384" i="4"/>
  <c r="J378" i="4"/>
  <c r="J377" i="4"/>
  <c r="J376" i="4"/>
  <c r="J370" i="4"/>
  <c r="J369" i="4"/>
  <c r="J356" i="4"/>
  <c r="J353" i="4"/>
  <c r="J352" i="4"/>
  <c r="J343" i="4"/>
  <c r="J339" i="4"/>
  <c r="J330" i="4"/>
  <c r="J326" i="4"/>
  <c r="J314" i="4"/>
  <c r="J311" i="4"/>
  <c r="J302" i="4"/>
  <c r="J292" i="4"/>
  <c r="J290" i="4"/>
  <c r="J288" i="4"/>
  <c r="J285" i="4"/>
  <c r="J281" i="4"/>
  <c r="J269" i="4"/>
  <c r="J267" i="4"/>
  <c r="J263" i="4"/>
  <c r="J261" i="4"/>
  <c r="J260" i="4"/>
  <c r="J258" i="4"/>
  <c r="J255" i="4"/>
  <c r="J252" i="4"/>
  <c r="J251" i="4"/>
  <c r="J249" i="4"/>
  <c r="J248" i="4"/>
  <c r="J242" i="4"/>
  <c r="J236" i="4"/>
  <c r="J234" i="4"/>
  <c r="J229" i="4"/>
  <c r="J228" i="4"/>
  <c r="J227" i="4"/>
  <c r="J224" i="4"/>
  <c r="J223" i="4"/>
  <c r="J221" i="4"/>
  <c r="J218" i="4"/>
  <c r="J217" i="4"/>
  <c r="J215" i="4"/>
  <c r="J211" i="4"/>
  <c r="J205" i="4"/>
  <c r="J203" i="4"/>
  <c r="J199" i="4"/>
  <c r="J195" i="4"/>
  <c r="J193" i="4"/>
  <c r="J192" i="4"/>
  <c r="J190" i="4"/>
  <c r="J189" i="4"/>
  <c r="J187" i="4"/>
  <c r="J186" i="4"/>
  <c r="J181" i="4"/>
  <c r="J178" i="4"/>
  <c r="J174" i="4"/>
  <c r="J167" i="4"/>
  <c r="J165" i="4"/>
  <c r="J164" i="4"/>
  <c r="J162" i="4"/>
  <c r="J159" i="4"/>
  <c r="J158" i="4"/>
  <c r="J155" i="4"/>
  <c r="J152" i="4"/>
  <c r="J150" i="4"/>
  <c r="J149" i="4"/>
  <c r="J146" i="4"/>
  <c r="J145" i="4"/>
  <c r="J141" i="4"/>
  <c r="J137" i="4"/>
  <c r="J135" i="4"/>
  <c r="J134" i="4"/>
  <c r="J133" i="4"/>
  <c r="J131" i="4"/>
  <c r="J130" i="4"/>
  <c r="J128" i="4"/>
  <c r="J127" i="4"/>
  <c r="J123" i="4"/>
  <c r="J122" i="4"/>
  <c r="J120" i="4"/>
  <c r="J119" i="4"/>
  <c r="J117" i="4"/>
  <c r="J116" i="4"/>
  <c r="J113" i="4"/>
  <c r="J111" i="4"/>
  <c r="J109" i="4"/>
  <c r="J108" i="4"/>
  <c r="J107" i="4"/>
  <c r="J105" i="4"/>
  <c r="J104" i="4"/>
  <c r="J102" i="4"/>
  <c r="J101" i="4"/>
  <c r="J100" i="4"/>
  <c r="J96" i="4"/>
  <c r="J94" i="4"/>
  <c r="J92" i="4"/>
  <c r="J91" i="4"/>
  <c r="J87" i="4"/>
  <c r="J86" i="4"/>
  <c r="J82" i="4"/>
  <c r="J81" i="4"/>
  <c r="J80" i="4"/>
  <c r="J76" i="4"/>
  <c r="J74" i="4"/>
  <c r="J72" i="4"/>
  <c r="J68" i="4"/>
  <c r="J67" i="4"/>
  <c r="J64" i="4"/>
  <c r="J63" i="4"/>
  <c r="J60" i="4"/>
  <c r="J58" i="4"/>
  <c r="J55" i="4"/>
  <c r="J53" i="4"/>
  <c r="J50" i="4"/>
  <c r="J48" i="4"/>
  <c r="J46" i="4"/>
  <c r="J45" i="4"/>
  <c r="J44" i="4"/>
  <c r="J43" i="4"/>
  <c r="J39" i="4"/>
  <c r="J38" i="4"/>
  <c r="J37" i="4"/>
  <c r="J34" i="4"/>
  <c r="J32" i="4"/>
  <c r="J31" i="4"/>
  <c r="J30" i="4"/>
  <c r="J27" i="4"/>
  <c r="J26" i="4"/>
  <c r="J24" i="4"/>
  <c r="J23" i="4"/>
  <c r="J22" i="4"/>
  <c r="J21" i="4"/>
  <c r="J20" i="4"/>
  <c r="J19" i="4"/>
  <c r="J18" i="4"/>
  <c r="J17" i="4"/>
  <c r="J15" i="4"/>
  <c r="K14" i="4"/>
  <c r="I14" i="4"/>
  <c r="K13" i="4"/>
  <c r="I13" i="4"/>
  <c r="K12" i="4"/>
  <c r="J12" i="4"/>
  <c r="I12" i="4"/>
  <c r="K11" i="4"/>
  <c r="I11" i="4"/>
  <c r="K10" i="4"/>
  <c r="J10" i="4"/>
  <c r="I10" i="4"/>
  <c r="K9" i="4"/>
  <c r="J9" i="4"/>
  <c r="I9" i="4"/>
  <c r="K8" i="4"/>
  <c r="I8" i="4"/>
  <c r="Q7" i="4"/>
  <c r="K7" i="4"/>
  <c r="J7" i="4"/>
  <c r="L7" i="4" s="1"/>
  <c r="I7" i="4"/>
  <c r="D7" i="4"/>
  <c r="P6" i="4"/>
  <c r="J364" i="4" s="1"/>
  <c r="L6" i="4"/>
  <c r="K6" i="4"/>
  <c r="I6" i="4"/>
  <c r="G6" i="4"/>
  <c r="C6" i="4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Q5" i="4"/>
  <c r="G5" i="4"/>
  <c r="C5" i="4"/>
  <c r="B4" i="4"/>
  <c r="A3" i="4"/>
  <c r="D14" i="3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G24" i="3" s="1"/>
  <c r="E51" i="5" l="1"/>
  <c r="E73" i="5"/>
  <c r="E47" i="5"/>
  <c r="E49" i="5"/>
  <c r="E24" i="5"/>
  <c r="E42" i="5"/>
  <c r="E9" i="5" s="1"/>
  <c r="N48" i="5"/>
  <c r="N51" i="5"/>
  <c r="N50" i="5"/>
  <c r="M6" i="5"/>
  <c r="L6" i="5"/>
  <c r="O51" i="5"/>
  <c r="O50" i="5"/>
  <c r="F39" i="5"/>
  <c r="F49" i="5"/>
  <c r="F50" i="5" s="1"/>
  <c r="H39" i="5"/>
  <c r="H49" i="5"/>
  <c r="H50" i="5" s="1"/>
  <c r="L49" i="5"/>
  <c r="L50" i="5" s="1"/>
  <c r="F51" i="5"/>
  <c r="K48" i="5"/>
  <c r="K51" i="5"/>
  <c r="J12" i="5"/>
  <c r="J49" i="5" s="1"/>
  <c r="B49" i="5"/>
  <c r="F38" i="5"/>
  <c r="F46" i="5"/>
  <c r="H38" i="5"/>
  <c r="B16" i="6"/>
  <c r="B17" i="6" s="1"/>
  <c r="B18" i="6" s="1"/>
  <c r="I6" i="5"/>
  <c r="I51" i="5" s="1"/>
  <c r="N33" i="5"/>
  <c r="N42" i="5" s="1"/>
  <c r="N9" i="5" s="1"/>
  <c r="B51" i="5"/>
  <c r="M74" i="6"/>
  <c r="O74" i="6" s="1"/>
  <c r="P74" i="6" s="1"/>
  <c r="Q74" i="6" s="1"/>
  <c r="R74" i="6" s="1"/>
  <c r="S74" i="6" s="1"/>
  <c r="T74" i="6" s="1"/>
  <c r="U74" i="6" s="1"/>
  <c r="V74" i="6" s="1"/>
  <c r="W74" i="6" s="1"/>
  <c r="X74" i="6" s="1"/>
  <c r="Y74" i="6" s="1"/>
  <c r="Z74" i="6" s="1"/>
  <c r="AB74" i="6" s="1"/>
  <c r="B47" i="5"/>
  <c r="N47" i="5"/>
  <c r="G6" i="5"/>
  <c r="G42" i="5"/>
  <c r="G9" i="5" s="1"/>
  <c r="C76" i="6"/>
  <c r="B71" i="5"/>
  <c r="B73" i="5" s="1"/>
  <c r="H6" i="5"/>
  <c r="H48" i="5" s="1"/>
  <c r="B10" i="6"/>
  <c r="H7" i="3"/>
  <c r="H6" i="3"/>
  <c r="K15" i="3"/>
  <c r="K16" i="3"/>
  <c r="K17" i="3"/>
  <c r="K19" i="3"/>
  <c r="K20" i="3"/>
  <c r="K14" i="3"/>
  <c r="K23" i="3"/>
  <c r="K18" i="3"/>
  <c r="K21" i="3"/>
  <c r="K22" i="3"/>
  <c r="D32" i="3"/>
  <c r="B5" i="7"/>
  <c r="A4" i="7"/>
  <c r="I3" i="7"/>
  <c r="B38" i="6" s="1"/>
  <c r="K3" i="7"/>
  <c r="L12" i="5"/>
  <c r="L35" i="5"/>
  <c r="F48" i="5"/>
  <c r="I48" i="5"/>
  <c r="E76" i="6"/>
  <c r="G76" i="6"/>
  <c r="M76" i="6"/>
  <c r="O76" i="6" s="1"/>
  <c r="J76" i="6"/>
  <c r="I76" i="6"/>
  <c r="B31" i="6"/>
  <c r="B32" i="6" s="1"/>
  <c r="F76" i="6"/>
  <c r="L76" i="6"/>
  <c r="H76" i="6"/>
  <c r="K76" i="6"/>
  <c r="D76" i="6"/>
  <c r="D30" i="6"/>
  <c r="K24" i="5"/>
  <c r="K12" i="5"/>
  <c r="K49" i="5" s="1"/>
  <c r="E1" i="6"/>
  <c r="C2" i="6"/>
  <c r="I12" i="5"/>
  <c r="I49" i="5" s="1"/>
  <c r="I24" i="5"/>
  <c r="B68" i="6"/>
  <c r="G68" i="6"/>
  <c r="E68" i="6"/>
  <c r="D68" i="6"/>
  <c r="L68" i="6"/>
  <c r="J68" i="6"/>
  <c r="H68" i="6"/>
  <c r="F68" i="6"/>
  <c r="C68" i="6"/>
  <c r="I68" i="6"/>
  <c r="M47" i="5"/>
  <c r="O42" i="5"/>
  <c r="O9" i="5" s="1"/>
  <c r="K47" i="5"/>
  <c r="K68" i="6"/>
  <c r="B48" i="5"/>
  <c r="Q6" i="2" s="1"/>
  <c r="M68" i="6"/>
  <c r="L47" i="5"/>
  <c r="L48" i="5"/>
  <c r="D74" i="6"/>
  <c r="J74" i="6"/>
  <c r="I74" i="6"/>
  <c r="H74" i="6"/>
  <c r="E74" i="6"/>
  <c r="B74" i="6"/>
  <c r="G74" i="6"/>
  <c r="F74" i="6"/>
  <c r="C74" i="6"/>
  <c r="K74" i="6"/>
  <c r="B20" i="6"/>
  <c r="L74" i="6"/>
  <c r="D55" i="6"/>
  <c r="B64" i="6"/>
  <c r="C3" i="7"/>
  <c r="G30" i="3" s="1"/>
  <c r="B65" i="6"/>
  <c r="B24" i="6"/>
  <c r="B24" i="5"/>
  <c r="C24" i="5" s="1"/>
  <c r="K42" i="5"/>
  <c r="K9" i="5" s="1"/>
  <c r="I42" i="5"/>
  <c r="I9" i="5" s="1"/>
  <c r="O47" i="5"/>
  <c r="B23" i="6"/>
  <c r="J6" i="5"/>
  <c r="J51" i="5" s="1"/>
  <c r="J33" i="5"/>
  <c r="J42" i="5" s="1"/>
  <c r="J9" i="5" s="1"/>
  <c r="M42" i="5"/>
  <c r="M9" i="5" s="1"/>
  <c r="N77" i="6"/>
  <c r="O48" i="5"/>
  <c r="O51" i="6"/>
  <c r="P22" i="6"/>
  <c r="A50" i="9"/>
  <c r="B38" i="9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F24" i="5"/>
  <c r="F36" i="5"/>
  <c r="L46" i="5"/>
  <c r="L39" i="5"/>
  <c r="H36" i="5"/>
  <c r="H46" i="5"/>
  <c r="H5" i="7"/>
  <c r="D59" i="6" s="1"/>
  <c r="K4" i="7"/>
  <c r="I4" i="7"/>
  <c r="C38" i="6" s="1"/>
  <c r="N51" i="6"/>
  <c r="C59" i="6"/>
  <c r="O77" i="6"/>
  <c r="G14" i="3"/>
  <c r="H14" i="3" s="1"/>
  <c r="G15" i="3"/>
  <c r="H15" i="3" s="1"/>
  <c r="G16" i="3"/>
  <c r="G17" i="3"/>
  <c r="G18" i="3"/>
  <c r="G19" i="3"/>
  <c r="G20" i="3"/>
  <c r="G21" i="3"/>
  <c r="G22" i="3"/>
  <c r="G23" i="3"/>
  <c r="E7" i="4"/>
  <c r="F7" i="4" s="1"/>
  <c r="G7" i="4"/>
  <c r="B5" i="4"/>
  <c r="A4" i="4"/>
  <c r="J272" i="4"/>
  <c r="J287" i="4"/>
  <c r="J321" i="4"/>
  <c r="J379" i="4"/>
  <c r="J365" i="4"/>
  <c r="J351" i="4"/>
  <c r="J337" i="4"/>
  <c r="J323" i="4"/>
  <c r="J309" i="4"/>
  <c r="J295" i="4"/>
  <c r="J389" i="4"/>
  <c r="J375" i="4"/>
  <c r="J361" i="4"/>
  <c r="J347" i="4"/>
  <c r="J333" i="4"/>
  <c r="J319" i="4"/>
  <c r="J305" i="4"/>
  <c r="J386" i="4"/>
  <c r="J380" i="4"/>
  <c r="J346" i="4"/>
  <c r="J340" i="4"/>
  <c r="J334" i="4"/>
  <c r="J289" i="4"/>
  <c r="J277" i="4"/>
  <c r="J381" i="4"/>
  <c r="J357" i="4"/>
  <c r="J325" i="4"/>
  <c r="J301" i="4"/>
  <c r="J373" i="4"/>
  <c r="J349" i="4"/>
  <c r="J341" i="4"/>
  <c r="J317" i="4"/>
  <c r="J298" i="4"/>
  <c r="J279" i="4"/>
  <c r="J268" i="4"/>
  <c r="J254" i="4"/>
  <c r="J240" i="4"/>
  <c r="J226" i="4"/>
  <c r="J212" i="4"/>
  <c r="J198" i="4"/>
  <c r="J184" i="4"/>
  <c r="J170" i="4"/>
  <c r="J156" i="4"/>
  <c r="J387" i="4"/>
  <c r="J374" i="4"/>
  <c r="J344" i="4"/>
  <c r="J331" i="4"/>
  <c r="J385" i="4"/>
  <c r="J372" i="4"/>
  <c r="J359" i="4"/>
  <c r="J329" i="4"/>
  <c r="J318" i="4"/>
  <c r="J316" i="4"/>
  <c r="J271" i="4"/>
  <c r="J257" i="4"/>
  <c r="J246" i="4"/>
  <c r="J220" i="4"/>
  <c r="J209" i="4"/>
  <c r="J183" i="4"/>
  <c r="J172" i="4"/>
  <c r="J161" i="4"/>
  <c r="J140" i="4"/>
  <c r="J126" i="4"/>
  <c r="J112" i="4"/>
  <c r="J98" i="4"/>
  <c r="J84" i="4"/>
  <c r="J70" i="4"/>
  <c r="J56" i="4"/>
  <c r="J42" i="4"/>
  <c r="J28" i="4"/>
  <c r="J14" i="4"/>
  <c r="J368" i="4"/>
  <c r="J342" i="4"/>
  <c r="J303" i="4"/>
  <c r="J327" i="4"/>
  <c r="J315" i="4"/>
  <c r="J310" i="4"/>
  <c r="J306" i="4"/>
  <c r="J284" i="4"/>
  <c r="J265" i="4"/>
  <c r="J256" i="4"/>
  <c r="J250" i="4"/>
  <c r="J225" i="4"/>
  <c r="J222" i="4"/>
  <c r="J197" i="4"/>
  <c r="J194" i="4"/>
  <c r="J191" i="4"/>
  <c r="J163" i="4"/>
  <c r="J143" i="4"/>
  <c r="J132" i="4"/>
  <c r="J106" i="4"/>
  <c r="J360" i="4"/>
  <c r="J308" i="4"/>
  <c r="J282" i="4"/>
  <c r="J270" i="4"/>
  <c r="J253" i="4"/>
  <c r="J247" i="4"/>
  <c r="J219" i="4"/>
  <c r="J213" i="4"/>
  <c r="J188" i="4"/>
  <c r="J185" i="4"/>
  <c r="J160" i="4"/>
  <c r="J157" i="4"/>
  <c r="J154" i="4"/>
  <c r="J147" i="4"/>
  <c r="J136" i="4"/>
  <c r="J121" i="4"/>
  <c r="J110" i="4"/>
  <c r="J99" i="4"/>
  <c r="J73" i="4"/>
  <c r="J62" i="4"/>
  <c r="J36" i="4"/>
  <c r="J25" i="4"/>
  <c r="J355" i="4"/>
  <c r="J336" i="4"/>
  <c r="J275" i="4"/>
  <c r="J244" i="4"/>
  <c r="J241" i="4"/>
  <c r="J216" i="4"/>
  <c r="J210" i="4"/>
  <c r="J182" i="4"/>
  <c r="J176" i="4"/>
  <c r="J151" i="4"/>
  <c r="J125" i="4"/>
  <c r="J114" i="4"/>
  <c r="J103" i="4"/>
  <c r="J88" i="4"/>
  <c r="J77" i="4"/>
  <c r="J66" i="4"/>
  <c r="J51" i="4"/>
  <c r="J40" i="4"/>
  <c r="J29" i="4"/>
  <c r="J367" i="4"/>
  <c r="J362" i="4"/>
  <c r="J348" i="4"/>
  <c r="J322" i="4"/>
  <c r="J312" i="4"/>
  <c r="J299" i="4"/>
  <c r="J297" i="4"/>
  <c r="J293" i="4"/>
  <c r="J238" i="4"/>
  <c r="J235" i="4"/>
  <c r="J232" i="4"/>
  <c r="J207" i="4"/>
  <c r="J204" i="4"/>
  <c r="J179" i="4"/>
  <c r="J173" i="4"/>
  <c r="J129" i="4"/>
  <c r="J118" i="4"/>
  <c r="J382" i="4"/>
  <c r="J345" i="4"/>
  <c r="J338" i="4"/>
  <c r="J294" i="4"/>
  <c r="J291" i="4"/>
  <c r="J276" i="4"/>
  <c r="J233" i="4"/>
  <c r="J202" i="4"/>
  <c r="J388" i="4"/>
  <c r="J371" i="4"/>
  <c r="J332" i="4"/>
  <c r="J328" i="4"/>
  <c r="J286" i="4"/>
  <c r="J278" i="4"/>
  <c r="J262" i="4"/>
  <c r="J239" i="4"/>
  <c r="J231" i="4"/>
  <c r="J208" i="4"/>
  <c r="J200" i="4"/>
  <c r="J177" i="4"/>
  <c r="J169" i="4"/>
  <c r="J139" i="4"/>
  <c r="J97" i="4"/>
  <c r="J57" i="4"/>
  <c r="J49" i="4"/>
  <c r="J41" i="4"/>
  <c r="J335" i="4"/>
  <c r="J283" i="4"/>
  <c r="J273" i="4"/>
  <c r="J266" i="4"/>
  <c r="J264" i="4"/>
  <c r="J245" i="4"/>
  <c r="J237" i="4"/>
  <c r="J214" i="4"/>
  <c r="J206" i="4"/>
  <c r="J175" i="4"/>
  <c r="J363" i="4"/>
  <c r="J324" i="4"/>
  <c r="J304" i="4"/>
  <c r="J274" i="4"/>
  <c r="J201" i="4"/>
  <c r="J180" i="4"/>
  <c r="J166" i="4"/>
  <c r="J144" i="4"/>
  <c r="J138" i="4"/>
  <c r="J90" i="4"/>
  <c r="J78" i="4"/>
  <c r="J71" i="4"/>
  <c r="J59" i="4"/>
  <c r="J54" i="4"/>
  <c r="J52" i="4"/>
  <c r="J47" i="4"/>
  <c r="J35" i="4"/>
  <c r="J16" i="4"/>
  <c r="J13" i="4"/>
  <c r="J8" i="4"/>
  <c r="J383" i="4"/>
  <c r="J366" i="4"/>
  <c r="J358" i="4"/>
  <c r="J354" i="4"/>
  <c r="J259" i="4"/>
  <c r="J243" i="4"/>
  <c r="J230" i="4"/>
  <c r="J196" i="4"/>
  <c r="J168" i="4"/>
  <c r="J148" i="4"/>
  <c r="J142" i="4"/>
  <c r="J115" i="4"/>
  <c r="J33" i="4"/>
  <c r="J11" i="4"/>
  <c r="J320" i="4"/>
  <c r="J307" i="4"/>
  <c r="J300" i="4"/>
  <c r="J296" i="4"/>
  <c r="J61" i="4"/>
  <c r="J65" i="4"/>
  <c r="J69" i="4"/>
  <c r="J75" i="4"/>
  <c r="J79" i="4"/>
  <c r="J83" i="4"/>
  <c r="J85" i="4"/>
  <c r="J89" i="4"/>
  <c r="J93" i="4"/>
  <c r="J95" i="4"/>
  <c r="J124" i="4"/>
  <c r="J153" i="4"/>
  <c r="J171" i="4"/>
  <c r="J280" i="4"/>
  <c r="J313" i="4"/>
  <c r="J350" i="4"/>
  <c r="C16" i="6" l="1"/>
  <c r="C17" i="6" s="1"/>
  <c r="E50" i="5"/>
  <c r="I50" i="5"/>
  <c r="L51" i="5"/>
  <c r="M51" i="5"/>
  <c r="M50" i="5"/>
  <c r="J50" i="5"/>
  <c r="G47" i="5"/>
  <c r="G51" i="5"/>
  <c r="G50" i="5"/>
  <c r="H47" i="5"/>
  <c r="H51" i="5"/>
  <c r="F42" i="5"/>
  <c r="F9" i="5" s="1"/>
  <c r="M48" i="5"/>
  <c r="K50" i="5"/>
  <c r="I47" i="5"/>
  <c r="B50" i="5"/>
  <c r="H42" i="5"/>
  <c r="H9" i="5" s="1"/>
  <c r="L42" i="5"/>
  <c r="L9" i="5" s="1"/>
  <c r="G48" i="5"/>
  <c r="J3" i="7"/>
  <c r="B49" i="6" s="1"/>
  <c r="N76" i="6"/>
  <c r="P6" i="2"/>
  <c r="H8" i="3"/>
  <c r="L29" i="3" s="1"/>
  <c r="D33" i="3"/>
  <c r="B6" i="7"/>
  <c r="A5" i="7"/>
  <c r="B73" i="6"/>
  <c r="I69" i="6"/>
  <c r="I70" i="6" s="1"/>
  <c r="E30" i="6"/>
  <c r="C23" i="6"/>
  <c r="D23" i="6" s="1"/>
  <c r="E23" i="6" s="1"/>
  <c r="F23" i="6" s="1"/>
  <c r="G23" i="6" s="1"/>
  <c r="H23" i="6" s="1"/>
  <c r="I23" i="6" s="1"/>
  <c r="J23" i="6" s="1"/>
  <c r="K23" i="6" s="1"/>
  <c r="L23" i="6" s="1"/>
  <c r="M23" i="6" s="1"/>
  <c r="O23" i="6" s="1"/>
  <c r="P51" i="6"/>
  <c r="Q22" i="6"/>
  <c r="H69" i="6"/>
  <c r="H70" i="6" s="1"/>
  <c r="F47" i="5"/>
  <c r="J75" i="6"/>
  <c r="E75" i="6"/>
  <c r="G75" i="6"/>
  <c r="I75" i="6"/>
  <c r="H75" i="6"/>
  <c r="F75" i="6"/>
  <c r="M75" i="6"/>
  <c r="O75" i="6" s="1"/>
  <c r="K75" i="6"/>
  <c r="D75" i="6"/>
  <c r="L75" i="6"/>
  <c r="C75" i="6"/>
  <c r="B75" i="6"/>
  <c r="B21" i="6"/>
  <c r="L69" i="6"/>
  <c r="L70" i="6" s="1"/>
  <c r="D69" i="6"/>
  <c r="D70" i="6" s="1"/>
  <c r="K5" i="7"/>
  <c r="I5" i="7"/>
  <c r="D38" i="6" s="1"/>
  <c r="H6" i="7"/>
  <c r="E59" i="6" s="1"/>
  <c r="C31" i="6"/>
  <c r="G69" i="6"/>
  <c r="G70" i="6" s="1"/>
  <c r="N68" i="6"/>
  <c r="B69" i="6"/>
  <c r="P77" i="6"/>
  <c r="Q77" i="6" s="1"/>
  <c r="R77" i="6" s="1"/>
  <c r="S77" i="6" s="1"/>
  <c r="T77" i="6" s="1"/>
  <c r="U77" i="6" s="1"/>
  <c r="V77" i="6" s="1"/>
  <c r="W77" i="6" s="1"/>
  <c r="X77" i="6" s="1"/>
  <c r="Y77" i="6" s="1"/>
  <c r="Z77" i="6" s="1"/>
  <c r="AB77" i="6" s="1"/>
  <c r="B42" i="5"/>
  <c r="B9" i="5" s="1"/>
  <c r="F1" i="6"/>
  <c r="C20" i="6"/>
  <c r="K69" i="6"/>
  <c r="K70" i="6" s="1"/>
  <c r="P76" i="6"/>
  <c r="Q76" i="6" s="1"/>
  <c r="R76" i="6" s="1"/>
  <c r="S76" i="6" s="1"/>
  <c r="T76" i="6" s="1"/>
  <c r="U76" i="6" s="1"/>
  <c r="V76" i="6" s="1"/>
  <c r="W76" i="6" s="1"/>
  <c r="X76" i="6" s="1"/>
  <c r="Y76" i="6" s="1"/>
  <c r="Z76" i="6" s="1"/>
  <c r="AB76" i="6" s="1"/>
  <c r="AC74" i="6"/>
  <c r="AD74" i="6" s="1"/>
  <c r="AE74" i="6" s="1"/>
  <c r="AF74" i="6" s="1"/>
  <c r="AG74" i="6" s="1"/>
  <c r="AH74" i="6" s="1"/>
  <c r="AI74" i="6" s="1"/>
  <c r="AJ74" i="6" s="1"/>
  <c r="AK74" i="6" s="1"/>
  <c r="AL74" i="6" s="1"/>
  <c r="AM74" i="6" s="1"/>
  <c r="AO74" i="6" s="1"/>
  <c r="J48" i="5"/>
  <c r="J47" i="5"/>
  <c r="C24" i="6"/>
  <c r="D24" i="6" s="1"/>
  <c r="E24" i="6" s="1"/>
  <c r="F24" i="6" s="1"/>
  <c r="G24" i="6" s="1"/>
  <c r="H24" i="6" s="1"/>
  <c r="I24" i="6" s="1"/>
  <c r="J24" i="6" s="1"/>
  <c r="K24" i="6" s="1"/>
  <c r="L24" i="6" s="1"/>
  <c r="M24" i="6" s="1"/>
  <c r="O24" i="6" s="1"/>
  <c r="C69" i="6"/>
  <c r="C70" i="6" s="1"/>
  <c r="A62" i="9"/>
  <c r="B50" i="9"/>
  <c r="B51" i="9" s="1"/>
  <c r="B52" i="9" s="1"/>
  <c r="B53" i="9" s="1"/>
  <c r="B54" i="9" s="1"/>
  <c r="B55" i="9" s="1"/>
  <c r="B56" i="9" s="1"/>
  <c r="B57" i="9" s="1"/>
  <c r="B58" i="9" s="1"/>
  <c r="B59" i="9" s="1"/>
  <c r="B60" i="9" s="1"/>
  <c r="B61" i="9" s="1"/>
  <c r="E55" i="6"/>
  <c r="D10" i="6"/>
  <c r="F69" i="6"/>
  <c r="F70" i="6" s="1"/>
  <c r="J69" i="6"/>
  <c r="J70" i="6" s="1"/>
  <c r="M69" i="6"/>
  <c r="M70" i="6" s="1"/>
  <c r="O68" i="6"/>
  <c r="J4" i="7"/>
  <c r="C49" i="6" s="1"/>
  <c r="C73" i="6"/>
  <c r="F3" i="7"/>
  <c r="D3" i="7"/>
  <c r="B37" i="6" s="1"/>
  <c r="B58" i="6"/>
  <c r="E69" i="6"/>
  <c r="E70" i="6" s="1"/>
  <c r="C64" i="6"/>
  <c r="N74" i="6"/>
  <c r="AA74" i="6"/>
  <c r="H16" i="3"/>
  <c r="A5" i="4"/>
  <c r="B6" i="4"/>
  <c r="E8" i="4"/>
  <c r="D8" i="4"/>
  <c r="F8" i="4" s="1"/>
  <c r="G8" i="4" s="1"/>
  <c r="D16" i="6" l="1"/>
  <c r="D17" i="6" s="1"/>
  <c r="AA77" i="6"/>
  <c r="Q5" i="2"/>
  <c r="P5" i="2"/>
  <c r="R6" i="2" s="1"/>
  <c r="V13" i="2" s="1"/>
  <c r="R32" i="2" s="1"/>
  <c r="N23" i="6"/>
  <c r="AN74" i="6"/>
  <c r="N24" i="6"/>
  <c r="D34" i="3"/>
  <c r="B7" i="7"/>
  <c r="A6" i="7"/>
  <c r="G1" i="6"/>
  <c r="N75" i="6"/>
  <c r="AP74" i="6"/>
  <c r="AQ74" i="6" s="1"/>
  <c r="AR74" i="6" s="1"/>
  <c r="AS74" i="6" s="1"/>
  <c r="AT74" i="6" s="1"/>
  <c r="AU74" i="6" s="1"/>
  <c r="AV74" i="6" s="1"/>
  <c r="AW74" i="6" s="1"/>
  <c r="AX74" i="6" s="1"/>
  <c r="AY74" i="6" s="1"/>
  <c r="AZ74" i="6" s="1"/>
  <c r="BB74" i="6" s="1"/>
  <c r="AA76" i="6"/>
  <c r="F30" i="6"/>
  <c r="C18" i="6"/>
  <c r="AC77" i="6"/>
  <c r="AD77" i="6" s="1"/>
  <c r="AE77" i="6" s="1"/>
  <c r="AF77" i="6" s="1"/>
  <c r="AG77" i="6" s="1"/>
  <c r="AH77" i="6" s="1"/>
  <c r="AI77" i="6" s="1"/>
  <c r="AJ77" i="6" s="1"/>
  <c r="AK77" i="6" s="1"/>
  <c r="AL77" i="6" s="1"/>
  <c r="AM77" i="6" s="1"/>
  <c r="AO77" i="6" s="1"/>
  <c r="AN77" i="6"/>
  <c r="N69" i="6"/>
  <c r="C21" i="6"/>
  <c r="D21" i="6" s="1"/>
  <c r="E21" i="6" s="1"/>
  <c r="F21" i="6" s="1"/>
  <c r="G21" i="6" s="1"/>
  <c r="H21" i="6" s="1"/>
  <c r="I21" i="6" s="1"/>
  <c r="J21" i="6" s="1"/>
  <c r="K21" i="6" s="1"/>
  <c r="L21" i="6" s="1"/>
  <c r="M21" i="6" s="1"/>
  <c r="O21" i="6" s="1"/>
  <c r="B72" i="6"/>
  <c r="B60" i="6"/>
  <c r="B70" i="6"/>
  <c r="AC76" i="6"/>
  <c r="AD76" i="6" s="1"/>
  <c r="AE76" i="6" s="1"/>
  <c r="AF76" i="6" s="1"/>
  <c r="AG76" i="6" s="1"/>
  <c r="AH76" i="6" s="1"/>
  <c r="AI76" i="6" s="1"/>
  <c r="AJ76" i="6" s="1"/>
  <c r="AK76" i="6" s="1"/>
  <c r="AL76" i="6" s="1"/>
  <c r="AM76" i="6" s="1"/>
  <c r="AO76" i="6" s="1"/>
  <c r="AN76" i="6"/>
  <c r="Q51" i="6"/>
  <c r="R22" i="6"/>
  <c r="E3" i="7"/>
  <c r="F55" i="6"/>
  <c r="E10" i="6"/>
  <c r="D31" i="6"/>
  <c r="C32" i="6"/>
  <c r="P75" i="6"/>
  <c r="Q75" i="6" s="1"/>
  <c r="R75" i="6" s="1"/>
  <c r="S75" i="6" s="1"/>
  <c r="T75" i="6" s="1"/>
  <c r="U75" i="6" s="1"/>
  <c r="V75" i="6" s="1"/>
  <c r="W75" i="6" s="1"/>
  <c r="X75" i="6" s="1"/>
  <c r="Y75" i="6" s="1"/>
  <c r="Z75" i="6" s="1"/>
  <c r="AB75" i="6" s="1"/>
  <c r="P23" i="6"/>
  <c r="Q23" i="6" s="1"/>
  <c r="R23" i="6" s="1"/>
  <c r="S23" i="6" s="1"/>
  <c r="T23" i="6" s="1"/>
  <c r="U23" i="6" s="1"/>
  <c r="V23" i="6" s="1"/>
  <c r="W23" i="6" s="1"/>
  <c r="X23" i="6" s="1"/>
  <c r="Y23" i="6" s="1"/>
  <c r="Z23" i="6" s="1"/>
  <c r="AB23" i="6" s="1"/>
  <c r="H7" i="7"/>
  <c r="K6" i="7"/>
  <c r="I6" i="7"/>
  <c r="E38" i="6" s="1"/>
  <c r="C65" i="6"/>
  <c r="D64" i="6" s="1"/>
  <c r="P68" i="6"/>
  <c r="O69" i="6"/>
  <c r="B62" i="9"/>
  <c r="B63" i="9" s="1"/>
  <c r="B64" i="9" s="1"/>
  <c r="B65" i="9" s="1"/>
  <c r="B66" i="9" s="1"/>
  <c r="B67" i="9" s="1"/>
  <c r="B68" i="9" s="1"/>
  <c r="B69" i="9" s="1"/>
  <c r="B70" i="9" s="1"/>
  <c r="B71" i="9" s="1"/>
  <c r="B72" i="9" s="1"/>
  <c r="B73" i="9" s="1"/>
  <c r="A74" i="9"/>
  <c r="J5" i="7"/>
  <c r="D49" i="6" s="1"/>
  <c r="D73" i="6"/>
  <c r="B25" i="6"/>
  <c r="P24" i="6"/>
  <c r="Q24" i="6" s="1"/>
  <c r="R24" i="6" s="1"/>
  <c r="S24" i="6" s="1"/>
  <c r="T24" i="6" s="1"/>
  <c r="U24" i="6" s="1"/>
  <c r="V24" i="6" s="1"/>
  <c r="W24" i="6" s="1"/>
  <c r="X24" i="6" s="1"/>
  <c r="Y24" i="6" s="1"/>
  <c r="Z24" i="6" s="1"/>
  <c r="AB24" i="6" s="1"/>
  <c r="D20" i="6"/>
  <c r="H17" i="3"/>
  <c r="E9" i="4"/>
  <c r="D9" i="4"/>
  <c r="L8" i="4"/>
  <c r="B7" i="4"/>
  <c r="A6" i="4"/>
  <c r="E16" i="6" l="1"/>
  <c r="E17" i="6" s="1"/>
  <c r="E18" i="6" s="1"/>
  <c r="BA74" i="6"/>
  <c r="AA23" i="6"/>
  <c r="C25" i="6"/>
  <c r="C27" i="6" s="1"/>
  <c r="C28" i="6" s="1"/>
  <c r="N21" i="6"/>
  <c r="D35" i="3"/>
  <c r="B8" i="7"/>
  <c r="A7" i="7"/>
  <c r="D65" i="6"/>
  <c r="E64" i="6" s="1"/>
  <c r="D18" i="6"/>
  <c r="B48" i="6"/>
  <c r="C4" i="7"/>
  <c r="R51" i="6"/>
  <c r="S22" i="6"/>
  <c r="AP77" i="6"/>
  <c r="AQ77" i="6" s="1"/>
  <c r="AR77" i="6" s="1"/>
  <c r="AS77" i="6" s="1"/>
  <c r="AT77" i="6" s="1"/>
  <c r="AU77" i="6" s="1"/>
  <c r="AV77" i="6" s="1"/>
  <c r="AW77" i="6" s="1"/>
  <c r="AX77" i="6" s="1"/>
  <c r="AY77" i="6" s="1"/>
  <c r="AZ77" i="6" s="1"/>
  <c r="BB77" i="6" s="1"/>
  <c r="B34" i="6"/>
  <c r="B27" i="6"/>
  <c r="J6" i="7"/>
  <c r="E49" i="6" s="1"/>
  <c r="E73" i="6"/>
  <c r="K7" i="7"/>
  <c r="I7" i="7"/>
  <c r="F38" i="6" s="1"/>
  <c r="H8" i="7"/>
  <c r="G59" i="6" s="1"/>
  <c r="G30" i="6"/>
  <c r="F59" i="6"/>
  <c r="AC23" i="6"/>
  <c r="AD23" i="6" s="1"/>
  <c r="AE23" i="6" s="1"/>
  <c r="AF23" i="6" s="1"/>
  <c r="AG23" i="6" s="1"/>
  <c r="AH23" i="6" s="1"/>
  <c r="AI23" i="6" s="1"/>
  <c r="AJ23" i="6" s="1"/>
  <c r="AK23" i="6" s="1"/>
  <c r="AL23" i="6" s="1"/>
  <c r="AM23" i="6" s="1"/>
  <c r="AO23" i="6" s="1"/>
  <c r="AP76" i="6"/>
  <c r="AQ76" i="6" s="1"/>
  <c r="AR76" i="6" s="1"/>
  <c r="AS76" i="6" s="1"/>
  <c r="AT76" i="6" s="1"/>
  <c r="AU76" i="6" s="1"/>
  <c r="AV76" i="6" s="1"/>
  <c r="AW76" i="6" s="1"/>
  <c r="AX76" i="6" s="1"/>
  <c r="AY76" i="6" s="1"/>
  <c r="AZ76" i="6" s="1"/>
  <c r="BB76" i="6" s="1"/>
  <c r="AC75" i="6"/>
  <c r="AD75" i="6" s="1"/>
  <c r="AE75" i="6" s="1"/>
  <c r="AF75" i="6" s="1"/>
  <c r="AG75" i="6" s="1"/>
  <c r="AH75" i="6" s="1"/>
  <c r="AI75" i="6" s="1"/>
  <c r="AJ75" i="6" s="1"/>
  <c r="AK75" i="6" s="1"/>
  <c r="AL75" i="6" s="1"/>
  <c r="AM75" i="6" s="1"/>
  <c r="AO75" i="6" s="1"/>
  <c r="N70" i="6"/>
  <c r="E20" i="6"/>
  <c r="D25" i="6"/>
  <c r="E31" i="6"/>
  <c r="D32" i="6"/>
  <c r="BC74" i="6"/>
  <c r="BD74" i="6" s="1"/>
  <c r="BE74" i="6" s="1"/>
  <c r="BF74" i="6" s="1"/>
  <c r="BG74" i="6" s="1"/>
  <c r="BH74" i="6" s="1"/>
  <c r="BI74" i="6" s="1"/>
  <c r="BJ74" i="6" s="1"/>
  <c r="BK74" i="6" s="1"/>
  <c r="BL74" i="6" s="1"/>
  <c r="BM74" i="6" s="1"/>
  <c r="BO74" i="6" s="1"/>
  <c r="AC24" i="6"/>
  <c r="AD24" i="6" s="1"/>
  <c r="AE24" i="6" s="1"/>
  <c r="AF24" i="6" s="1"/>
  <c r="AG24" i="6" s="1"/>
  <c r="AH24" i="6" s="1"/>
  <c r="AI24" i="6" s="1"/>
  <c r="AJ24" i="6" s="1"/>
  <c r="AK24" i="6" s="1"/>
  <c r="AL24" i="6" s="1"/>
  <c r="AM24" i="6" s="1"/>
  <c r="AO24" i="6" s="1"/>
  <c r="AA24" i="6"/>
  <c r="O70" i="6"/>
  <c r="P21" i="6"/>
  <c r="Q21" i="6" s="1"/>
  <c r="R21" i="6" s="1"/>
  <c r="S21" i="6" s="1"/>
  <c r="T21" i="6" s="1"/>
  <c r="U21" i="6" s="1"/>
  <c r="V21" i="6" s="1"/>
  <c r="W21" i="6" s="1"/>
  <c r="X21" i="6" s="1"/>
  <c r="Y21" i="6" s="1"/>
  <c r="Z21" i="6" s="1"/>
  <c r="AB21" i="6" s="1"/>
  <c r="B74" i="9"/>
  <c r="B75" i="9" s="1"/>
  <c r="B76" i="9" s="1"/>
  <c r="B77" i="9" s="1"/>
  <c r="B78" i="9" s="1"/>
  <c r="B79" i="9" s="1"/>
  <c r="B80" i="9" s="1"/>
  <c r="B81" i="9" s="1"/>
  <c r="B82" i="9" s="1"/>
  <c r="B83" i="9" s="1"/>
  <c r="B84" i="9" s="1"/>
  <c r="B85" i="9" s="1"/>
  <c r="A86" i="9"/>
  <c r="AA75" i="6"/>
  <c r="B78" i="6"/>
  <c r="B80" i="6" s="1"/>
  <c r="Q68" i="6"/>
  <c r="P69" i="6"/>
  <c r="P70" i="6" s="1"/>
  <c r="G55" i="6"/>
  <c r="F10" i="6"/>
  <c r="H1" i="6"/>
  <c r="H18" i="3"/>
  <c r="A7" i="4"/>
  <c r="B8" i="4"/>
  <c r="F9" i="4"/>
  <c r="G9" i="4" s="1"/>
  <c r="L9" i="4"/>
  <c r="F16" i="6" l="1"/>
  <c r="F17" i="6" s="1"/>
  <c r="F18" i="6" s="1"/>
  <c r="BA77" i="6"/>
  <c r="C34" i="6"/>
  <c r="C35" i="6" s="1"/>
  <c r="AA21" i="6"/>
  <c r="D36" i="3"/>
  <c r="B9" i="7"/>
  <c r="A8" i="7"/>
  <c r="BC77" i="6"/>
  <c r="BD77" i="6" s="1"/>
  <c r="BE77" i="6" s="1"/>
  <c r="BF77" i="6" s="1"/>
  <c r="BG77" i="6" s="1"/>
  <c r="BH77" i="6" s="1"/>
  <c r="BI77" i="6" s="1"/>
  <c r="BJ77" i="6" s="1"/>
  <c r="BK77" i="6" s="1"/>
  <c r="BL77" i="6" s="1"/>
  <c r="BM77" i="6" s="1"/>
  <c r="BO77" i="6" s="1"/>
  <c r="A98" i="9"/>
  <c r="B86" i="9"/>
  <c r="B87" i="9" s="1"/>
  <c r="B88" i="9" s="1"/>
  <c r="B89" i="9" s="1"/>
  <c r="B90" i="9" s="1"/>
  <c r="B91" i="9" s="1"/>
  <c r="B92" i="9" s="1"/>
  <c r="B93" i="9" s="1"/>
  <c r="B94" i="9" s="1"/>
  <c r="B95" i="9" s="1"/>
  <c r="B96" i="9" s="1"/>
  <c r="B97" i="9" s="1"/>
  <c r="I1" i="6"/>
  <c r="AN24" i="6"/>
  <c r="AP23" i="6"/>
  <c r="AQ23" i="6" s="1"/>
  <c r="AR23" i="6" s="1"/>
  <c r="AS23" i="6" s="1"/>
  <c r="AT23" i="6" s="1"/>
  <c r="AU23" i="6" s="1"/>
  <c r="AV23" i="6" s="1"/>
  <c r="AW23" i="6" s="1"/>
  <c r="AX23" i="6" s="1"/>
  <c r="AY23" i="6" s="1"/>
  <c r="AZ23" i="6" s="1"/>
  <c r="BB23" i="6" s="1"/>
  <c r="B42" i="6"/>
  <c r="B39" i="6"/>
  <c r="B35" i="6"/>
  <c r="H30" i="6"/>
  <c r="E25" i="6"/>
  <c r="F20" i="6"/>
  <c r="K8" i="7"/>
  <c r="H9" i="7"/>
  <c r="H59" i="6" s="1"/>
  <c r="I8" i="7"/>
  <c r="G38" i="6" s="1"/>
  <c r="S51" i="6"/>
  <c r="T22" i="6"/>
  <c r="G10" i="6"/>
  <c r="H55" i="6"/>
  <c r="AC21" i="6"/>
  <c r="AD21" i="6" s="1"/>
  <c r="AE21" i="6" s="1"/>
  <c r="AF21" i="6" s="1"/>
  <c r="AG21" i="6" s="1"/>
  <c r="AH21" i="6" s="1"/>
  <c r="AI21" i="6" s="1"/>
  <c r="AJ21" i="6" s="1"/>
  <c r="AK21" i="6" s="1"/>
  <c r="AL21" i="6" s="1"/>
  <c r="AM21" i="6" s="1"/>
  <c r="AO21" i="6" s="1"/>
  <c r="J7" i="7"/>
  <c r="F49" i="6" s="1"/>
  <c r="F73" i="6"/>
  <c r="Q69" i="6"/>
  <c r="Q70" i="6" s="1"/>
  <c r="R68" i="6"/>
  <c r="B82" i="6"/>
  <c r="D4" i="7"/>
  <c r="C37" i="6" s="1"/>
  <c r="F4" i="7"/>
  <c r="C58" i="6"/>
  <c r="AP24" i="6"/>
  <c r="AQ24" i="6" s="1"/>
  <c r="AR24" i="6" s="1"/>
  <c r="AS24" i="6" s="1"/>
  <c r="AT24" i="6" s="1"/>
  <c r="AU24" i="6" s="1"/>
  <c r="AV24" i="6" s="1"/>
  <c r="AW24" i="6" s="1"/>
  <c r="AX24" i="6" s="1"/>
  <c r="AY24" i="6" s="1"/>
  <c r="AZ24" i="6" s="1"/>
  <c r="BB24" i="6" s="1"/>
  <c r="AP75" i="6"/>
  <c r="AQ75" i="6" s="1"/>
  <c r="AR75" i="6" s="1"/>
  <c r="AS75" i="6" s="1"/>
  <c r="AT75" i="6" s="1"/>
  <c r="AU75" i="6" s="1"/>
  <c r="AV75" i="6" s="1"/>
  <c r="AW75" i="6" s="1"/>
  <c r="AX75" i="6" s="1"/>
  <c r="AY75" i="6" s="1"/>
  <c r="AZ75" i="6" s="1"/>
  <c r="BB75" i="6" s="1"/>
  <c r="D34" i="6"/>
  <c r="D27" i="6"/>
  <c r="D28" i="6" s="1"/>
  <c r="BP74" i="6"/>
  <c r="BQ74" i="6" s="1"/>
  <c r="BR74" i="6" s="1"/>
  <c r="BS74" i="6" s="1"/>
  <c r="BT74" i="6" s="1"/>
  <c r="BU74" i="6" s="1"/>
  <c r="BV74" i="6" s="1"/>
  <c r="BW74" i="6" s="1"/>
  <c r="BX74" i="6" s="1"/>
  <c r="BY74" i="6" s="1"/>
  <c r="BZ74" i="6" s="1"/>
  <c r="CB74" i="6" s="1"/>
  <c r="AN75" i="6"/>
  <c r="E65" i="6"/>
  <c r="F64" i="6" s="1"/>
  <c r="BN74" i="6"/>
  <c r="BC76" i="6"/>
  <c r="BD76" i="6" s="1"/>
  <c r="BE76" i="6" s="1"/>
  <c r="BF76" i="6" s="1"/>
  <c r="BG76" i="6" s="1"/>
  <c r="BH76" i="6" s="1"/>
  <c r="BI76" i="6" s="1"/>
  <c r="BJ76" i="6" s="1"/>
  <c r="BK76" i="6" s="1"/>
  <c r="BL76" i="6" s="1"/>
  <c r="BM76" i="6" s="1"/>
  <c r="BO76" i="6" s="1"/>
  <c r="BA76" i="6"/>
  <c r="B28" i="6"/>
  <c r="F31" i="6"/>
  <c r="E32" i="6"/>
  <c r="AN23" i="6"/>
  <c r="H19" i="3"/>
  <c r="D10" i="4"/>
  <c r="E10" i="4"/>
  <c r="A8" i="4"/>
  <c r="B9" i="4"/>
  <c r="G16" i="6" l="1"/>
  <c r="G17" i="6" s="1"/>
  <c r="G18" i="6" s="1"/>
  <c r="BN76" i="6"/>
  <c r="E34" i="6"/>
  <c r="E35" i="6" s="1"/>
  <c r="E27" i="6"/>
  <c r="E28" i="6" s="1"/>
  <c r="C39" i="6"/>
  <c r="C40" i="6" s="1"/>
  <c r="E4" i="7"/>
  <c r="C48" i="6" s="1"/>
  <c r="CA74" i="6"/>
  <c r="D37" i="3"/>
  <c r="B10" i="7"/>
  <c r="A9" i="7"/>
  <c r="F65" i="6"/>
  <c r="G64" i="6" s="1"/>
  <c r="BC24" i="6"/>
  <c r="BD24" i="6" s="1"/>
  <c r="BE24" i="6" s="1"/>
  <c r="BF24" i="6" s="1"/>
  <c r="BG24" i="6" s="1"/>
  <c r="BH24" i="6" s="1"/>
  <c r="BI24" i="6" s="1"/>
  <c r="BJ24" i="6" s="1"/>
  <c r="BK24" i="6" s="1"/>
  <c r="BL24" i="6" s="1"/>
  <c r="BM24" i="6" s="1"/>
  <c r="BO24" i="6" s="1"/>
  <c r="C60" i="6"/>
  <c r="C72" i="6"/>
  <c r="I30" i="6"/>
  <c r="BA75" i="6"/>
  <c r="B40" i="6"/>
  <c r="B43" i="6"/>
  <c r="B98" i="9"/>
  <c r="B99" i="9" s="1"/>
  <c r="B100" i="9" s="1"/>
  <c r="B101" i="9" s="1"/>
  <c r="B102" i="9" s="1"/>
  <c r="B103" i="9" s="1"/>
  <c r="B104" i="9" s="1"/>
  <c r="B105" i="9" s="1"/>
  <c r="B106" i="9" s="1"/>
  <c r="B107" i="9" s="1"/>
  <c r="B108" i="9" s="1"/>
  <c r="B109" i="9" s="1"/>
  <c r="A110" i="9"/>
  <c r="U22" i="6"/>
  <c r="T51" i="6"/>
  <c r="S68" i="6"/>
  <c r="R69" i="6"/>
  <c r="R70" i="6" s="1"/>
  <c r="C42" i="6"/>
  <c r="H10" i="7"/>
  <c r="I59" i="6" s="1"/>
  <c r="I9" i="7"/>
  <c r="H38" i="6" s="1"/>
  <c r="K9" i="7"/>
  <c r="G31" i="6"/>
  <c r="F32" i="6"/>
  <c r="D35" i="6"/>
  <c r="BC23" i="6"/>
  <c r="BD23" i="6" s="1"/>
  <c r="BE23" i="6" s="1"/>
  <c r="BF23" i="6" s="1"/>
  <c r="BG23" i="6" s="1"/>
  <c r="BH23" i="6" s="1"/>
  <c r="BI23" i="6" s="1"/>
  <c r="BJ23" i="6" s="1"/>
  <c r="BK23" i="6" s="1"/>
  <c r="BL23" i="6" s="1"/>
  <c r="BM23" i="6" s="1"/>
  <c r="BO23" i="6" s="1"/>
  <c r="BA23" i="6"/>
  <c r="BN77" i="6"/>
  <c r="J1" i="6"/>
  <c r="J8" i="7"/>
  <c r="G49" i="6" s="1"/>
  <c r="G73" i="6"/>
  <c r="AP21" i="6"/>
  <c r="AQ21" i="6" s="1"/>
  <c r="AR21" i="6" s="1"/>
  <c r="AS21" i="6" s="1"/>
  <c r="AT21" i="6" s="1"/>
  <c r="AU21" i="6" s="1"/>
  <c r="AV21" i="6" s="1"/>
  <c r="AW21" i="6" s="1"/>
  <c r="AX21" i="6" s="1"/>
  <c r="AY21" i="6" s="1"/>
  <c r="AZ21" i="6" s="1"/>
  <c r="BB21" i="6" s="1"/>
  <c r="BC75" i="6"/>
  <c r="BD75" i="6" s="1"/>
  <c r="BE75" i="6" s="1"/>
  <c r="BF75" i="6" s="1"/>
  <c r="BG75" i="6" s="1"/>
  <c r="BH75" i="6" s="1"/>
  <c r="BI75" i="6" s="1"/>
  <c r="BJ75" i="6" s="1"/>
  <c r="BK75" i="6" s="1"/>
  <c r="BL75" i="6" s="1"/>
  <c r="BM75" i="6" s="1"/>
  <c r="BO75" i="6" s="1"/>
  <c r="AN21" i="6"/>
  <c r="I55" i="6"/>
  <c r="H10" i="6"/>
  <c r="BP77" i="6"/>
  <c r="BQ77" i="6" s="1"/>
  <c r="BR77" i="6" s="1"/>
  <c r="BS77" i="6" s="1"/>
  <c r="BT77" i="6" s="1"/>
  <c r="BU77" i="6" s="1"/>
  <c r="BV77" i="6" s="1"/>
  <c r="BW77" i="6" s="1"/>
  <c r="BX77" i="6" s="1"/>
  <c r="BY77" i="6" s="1"/>
  <c r="BZ77" i="6" s="1"/>
  <c r="CB77" i="6" s="1"/>
  <c r="BP76" i="6"/>
  <c r="BQ76" i="6" s="1"/>
  <c r="BR76" i="6" s="1"/>
  <c r="BS76" i="6" s="1"/>
  <c r="BT76" i="6" s="1"/>
  <c r="BU76" i="6" s="1"/>
  <c r="BV76" i="6" s="1"/>
  <c r="BW76" i="6" s="1"/>
  <c r="BX76" i="6" s="1"/>
  <c r="BY76" i="6" s="1"/>
  <c r="BZ76" i="6" s="1"/>
  <c r="CB76" i="6" s="1"/>
  <c r="G20" i="6"/>
  <c r="F25" i="6"/>
  <c r="CC74" i="6"/>
  <c r="CD74" i="6" s="1"/>
  <c r="CE74" i="6" s="1"/>
  <c r="CF74" i="6" s="1"/>
  <c r="CG74" i="6" s="1"/>
  <c r="CH74" i="6" s="1"/>
  <c r="CI74" i="6" s="1"/>
  <c r="CJ74" i="6" s="1"/>
  <c r="CK74" i="6" s="1"/>
  <c r="CL74" i="6" s="1"/>
  <c r="CM74" i="6" s="1"/>
  <c r="CO74" i="6" s="1"/>
  <c r="BA24" i="6"/>
  <c r="H20" i="3"/>
  <c r="B10" i="4"/>
  <c r="A9" i="4"/>
  <c r="F10" i="4"/>
  <c r="G10" i="4" s="1"/>
  <c r="L10" i="4"/>
  <c r="H16" i="6" l="1"/>
  <c r="F34" i="6"/>
  <c r="F35" i="6" s="1"/>
  <c r="BN24" i="6"/>
  <c r="C43" i="6"/>
  <c r="C44" i="6" s="1"/>
  <c r="C5" i="7"/>
  <c r="F5" i="7" s="1"/>
  <c r="CN74" i="6"/>
  <c r="BN23" i="6"/>
  <c r="BA21" i="6"/>
  <c r="D38" i="3"/>
  <c r="B11" i="7"/>
  <c r="A10" i="7"/>
  <c r="G65" i="6"/>
  <c r="H64" i="6" s="1"/>
  <c r="BP24" i="6"/>
  <c r="BQ24" i="6" s="1"/>
  <c r="BR24" i="6" s="1"/>
  <c r="BS24" i="6" s="1"/>
  <c r="BT24" i="6" s="1"/>
  <c r="BU24" i="6" s="1"/>
  <c r="BV24" i="6" s="1"/>
  <c r="BW24" i="6" s="1"/>
  <c r="BX24" i="6" s="1"/>
  <c r="BY24" i="6" s="1"/>
  <c r="BZ24" i="6" s="1"/>
  <c r="CB24" i="6" s="1"/>
  <c r="I10" i="6"/>
  <c r="J55" i="6"/>
  <c r="U51" i="6"/>
  <c r="V22" i="6"/>
  <c r="CC76" i="6"/>
  <c r="CD76" i="6" s="1"/>
  <c r="CE76" i="6" s="1"/>
  <c r="CF76" i="6" s="1"/>
  <c r="CG76" i="6" s="1"/>
  <c r="CH76" i="6" s="1"/>
  <c r="CI76" i="6" s="1"/>
  <c r="CJ76" i="6" s="1"/>
  <c r="CK76" i="6" s="1"/>
  <c r="CL76" i="6" s="1"/>
  <c r="CM76" i="6" s="1"/>
  <c r="CO76" i="6" s="1"/>
  <c r="K10" i="7"/>
  <c r="I10" i="7"/>
  <c r="I38" i="6" s="1"/>
  <c r="H11" i="7"/>
  <c r="J59" i="6" s="1"/>
  <c r="T68" i="6"/>
  <c r="S69" i="6"/>
  <c r="S70" i="6" s="1"/>
  <c r="J9" i="7"/>
  <c r="H49" i="6" s="1"/>
  <c r="H73" i="6"/>
  <c r="CA76" i="6"/>
  <c r="CC77" i="6"/>
  <c r="CD77" i="6" s="1"/>
  <c r="CE77" i="6" s="1"/>
  <c r="CF77" i="6" s="1"/>
  <c r="CG77" i="6" s="1"/>
  <c r="CH77" i="6" s="1"/>
  <c r="CI77" i="6" s="1"/>
  <c r="CJ77" i="6" s="1"/>
  <c r="CK77" i="6" s="1"/>
  <c r="CL77" i="6" s="1"/>
  <c r="CM77" i="6" s="1"/>
  <c r="CO77" i="6" s="1"/>
  <c r="BC21" i="6"/>
  <c r="BD21" i="6" s="1"/>
  <c r="BE21" i="6" s="1"/>
  <c r="BF21" i="6" s="1"/>
  <c r="BG21" i="6" s="1"/>
  <c r="BH21" i="6" s="1"/>
  <c r="BI21" i="6" s="1"/>
  <c r="BJ21" i="6" s="1"/>
  <c r="BK21" i="6" s="1"/>
  <c r="BL21" i="6" s="1"/>
  <c r="BM21" i="6" s="1"/>
  <c r="BO21" i="6" s="1"/>
  <c r="K1" i="6"/>
  <c r="B44" i="6"/>
  <c r="B47" i="6"/>
  <c r="B8" i="6"/>
  <c r="BP75" i="6"/>
  <c r="BQ75" i="6" s="1"/>
  <c r="BR75" i="6" s="1"/>
  <c r="BS75" i="6" s="1"/>
  <c r="BT75" i="6" s="1"/>
  <c r="BU75" i="6" s="1"/>
  <c r="BV75" i="6" s="1"/>
  <c r="BW75" i="6" s="1"/>
  <c r="BX75" i="6" s="1"/>
  <c r="BY75" i="6" s="1"/>
  <c r="BZ75" i="6" s="1"/>
  <c r="CB75" i="6" s="1"/>
  <c r="F27" i="6"/>
  <c r="BN75" i="6"/>
  <c r="CA77" i="6"/>
  <c r="CP74" i="6"/>
  <c r="CQ74" i="6" s="1"/>
  <c r="CR74" i="6" s="1"/>
  <c r="CS74" i="6" s="1"/>
  <c r="CT74" i="6" s="1"/>
  <c r="CU74" i="6" s="1"/>
  <c r="CV74" i="6" s="1"/>
  <c r="CW74" i="6" s="1"/>
  <c r="CX74" i="6" s="1"/>
  <c r="CY74" i="6" s="1"/>
  <c r="CZ74" i="6" s="1"/>
  <c r="DB74" i="6" s="1"/>
  <c r="A122" i="9"/>
  <c r="B110" i="9"/>
  <c r="B111" i="9" s="1"/>
  <c r="B112" i="9" s="1"/>
  <c r="B113" i="9" s="1"/>
  <c r="B114" i="9" s="1"/>
  <c r="B115" i="9" s="1"/>
  <c r="B116" i="9" s="1"/>
  <c r="B117" i="9" s="1"/>
  <c r="B118" i="9" s="1"/>
  <c r="B119" i="9" s="1"/>
  <c r="B120" i="9" s="1"/>
  <c r="B121" i="9" s="1"/>
  <c r="G25" i="6"/>
  <c r="G27" i="6" s="1"/>
  <c r="G28" i="6" s="1"/>
  <c r="H20" i="6"/>
  <c r="H31" i="6"/>
  <c r="G32" i="6"/>
  <c r="J30" i="6"/>
  <c r="C78" i="6"/>
  <c r="H17" i="6"/>
  <c r="H18" i="6" s="1"/>
  <c r="I16" i="6"/>
  <c r="BP23" i="6"/>
  <c r="BQ23" i="6" s="1"/>
  <c r="BR23" i="6" s="1"/>
  <c r="BS23" i="6" s="1"/>
  <c r="BT23" i="6" s="1"/>
  <c r="BU23" i="6" s="1"/>
  <c r="BV23" i="6" s="1"/>
  <c r="BW23" i="6" s="1"/>
  <c r="BX23" i="6" s="1"/>
  <c r="BY23" i="6" s="1"/>
  <c r="BZ23" i="6" s="1"/>
  <c r="CB23" i="6" s="1"/>
  <c r="H21" i="3"/>
  <c r="A10" i="4"/>
  <c r="B11" i="4"/>
  <c r="D11" i="4"/>
  <c r="E11" i="4"/>
  <c r="D5" i="7" l="1"/>
  <c r="D37" i="6" s="1"/>
  <c r="D42" i="6" s="1"/>
  <c r="D58" i="6"/>
  <c r="D60" i="6" s="1"/>
  <c r="C47" i="6"/>
  <c r="C52" i="6" s="1"/>
  <c r="C4" i="6" s="1"/>
  <c r="C8" i="6"/>
  <c r="C9" i="6" s="1"/>
  <c r="G34" i="6"/>
  <c r="G35" i="6" s="1"/>
  <c r="CA75" i="6"/>
  <c r="DA74" i="6"/>
  <c r="BN21" i="6"/>
  <c r="D39" i="3"/>
  <c r="B12" i="7"/>
  <c r="A11" i="7"/>
  <c r="CP77" i="6"/>
  <c r="CQ77" i="6" s="1"/>
  <c r="CR77" i="6" s="1"/>
  <c r="CS77" i="6" s="1"/>
  <c r="CT77" i="6" s="1"/>
  <c r="CU77" i="6" s="1"/>
  <c r="CV77" i="6" s="1"/>
  <c r="CW77" i="6" s="1"/>
  <c r="CX77" i="6" s="1"/>
  <c r="CY77" i="6" s="1"/>
  <c r="CZ77" i="6" s="1"/>
  <c r="DB77" i="6" s="1"/>
  <c r="K55" i="6"/>
  <c r="J10" i="6"/>
  <c r="L1" i="6"/>
  <c r="H12" i="7"/>
  <c r="K11" i="7"/>
  <c r="I11" i="7"/>
  <c r="J38" i="6" s="1"/>
  <c r="B52" i="6"/>
  <c r="J10" i="7"/>
  <c r="I49" i="6" s="1"/>
  <c r="I73" i="6"/>
  <c r="A134" i="9"/>
  <c r="B122" i="9"/>
  <c r="B123" i="9" s="1"/>
  <c r="B124" i="9" s="1"/>
  <c r="B125" i="9" s="1"/>
  <c r="B126" i="9" s="1"/>
  <c r="B127" i="9" s="1"/>
  <c r="B128" i="9" s="1"/>
  <c r="B129" i="9" s="1"/>
  <c r="B130" i="9" s="1"/>
  <c r="B131" i="9" s="1"/>
  <c r="B132" i="9" s="1"/>
  <c r="B133" i="9" s="1"/>
  <c r="BP21" i="6"/>
  <c r="BQ21" i="6" s="1"/>
  <c r="BR21" i="6" s="1"/>
  <c r="BS21" i="6" s="1"/>
  <c r="BT21" i="6" s="1"/>
  <c r="BU21" i="6" s="1"/>
  <c r="BV21" i="6" s="1"/>
  <c r="BW21" i="6" s="1"/>
  <c r="BX21" i="6" s="1"/>
  <c r="BY21" i="6" s="1"/>
  <c r="BZ21" i="6" s="1"/>
  <c r="CB21" i="6" s="1"/>
  <c r="CN76" i="6"/>
  <c r="C80" i="6"/>
  <c r="K30" i="6"/>
  <c r="I31" i="6"/>
  <c r="H32" i="6"/>
  <c r="F28" i="6"/>
  <c r="CC24" i="6"/>
  <c r="CD24" i="6" s="1"/>
  <c r="CE24" i="6" s="1"/>
  <c r="CF24" i="6" s="1"/>
  <c r="CG24" i="6" s="1"/>
  <c r="CH24" i="6" s="1"/>
  <c r="CI24" i="6" s="1"/>
  <c r="CJ24" i="6" s="1"/>
  <c r="CK24" i="6" s="1"/>
  <c r="CL24" i="6" s="1"/>
  <c r="CM24" i="6" s="1"/>
  <c r="CO24" i="6" s="1"/>
  <c r="H25" i="6"/>
  <c r="H27" i="6" s="1"/>
  <c r="I20" i="6"/>
  <c r="CA24" i="6"/>
  <c r="CC75" i="6"/>
  <c r="CD75" i="6" s="1"/>
  <c r="CE75" i="6" s="1"/>
  <c r="CF75" i="6" s="1"/>
  <c r="CG75" i="6" s="1"/>
  <c r="CH75" i="6" s="1"/>
  <c r="CI75" i="6" s="1"/>
  <c r="CJ75" i="6" s="1"/>
  <c r="CK75" i="6" s="1"/>
  <c r="CL75" i="6" s="1"/>
  <c r="CM75" i="6" s="1"/>
  <c r="CO75" i="6" s="1"/>
  <c r="U68" i="6"/>
  <c r="T69" i="6"/>
  <c r="T70" i="6" s="1"/>
  <c r="H65" i="6"/>
  <c r="I64" i="6" s="1"/>
  <c r="B9" i="6"/>
  <c r="CC23" i="6"/>
  <c r="CD23" i="6" s="1"/>
  <c r="CE23" i="6" s="1"/>
  <c r="CF23" i="6" s="1"/>
  <c r="CG23" i="6" s="1"/>
  <c r="CH23" i="6" s="1"/>
  <c r="CI23" i="6" s="1"/>
  <c r="CJ23" i="6" s="1"/>
  <c r="CK23" i="6" s="1"/>
  <c r="CL23" i="6" s="1"/>
  <c r="CM23" i="6" s="1"/>
  <c r="CO23" i="6" s="1"/>
  <c r="CA23" i="6"/>
  <c r="I17" i="6"/>
  <c r="I18" i="6" s="1"/>
  <c r="J16" i="6"/>
  <c r="CP76" i="6"/>
  <c r="CQ76" i="6" s="1"/>
  <c r="CR76" i="6" s="1"/>
  <c r="CS76" i="6" s="1"/>
  <c r="CT76" i="6" s="1"/>
  <c r="CU76" i="6" s="1"/>
  <c r="CV76" i="6" s="1"/>
  <c r="CW76" i="6" s="1"/>
  <c r="CX76" i="6" s="1"/>
  <c r="CY76" i="6" s="1"/>
  <c r="CZ76" i="6" s="1"/>
  <c r="DB76" i="6" s="1"/>
  <c r="DC74" i="6"/>
  <c r="DD74" i="6" s="1"/>
  <c r="DE74" i="6" s="1"/>
  <c r="DF74" i="6" s="1"/>
  <c r="DG74" i="6" s="1"/>
  <c r="DH74" i="6" s="1"/>
  <c r="DI74" i="6" s="1"/>
  <c r="DJ74" i="6" s="1"/>
  <c r="DK74" i="6" s="1"/>
  <c r="DL74" i="6" s="1"/>
  <c r="DM74" i="6" s="1"/>
  <c r="DO74" i="6" s="1"/>
  <c r="CN77" i="6"/>
  <c r="W22" i="6"/>
  <c r="V51" i="6"/>
  <c r="H22" i="3"/>
  <c r="B12" i="4"/>
  <c r="A11" i="4"/>
  <c r="F11" i="4"/>
  <c r="G11" i="4" s="1"/>
  <c r="L11" i="4"/>
  <c r="DA76" i="6" l="1"/>
  <c r="D72" i="6"/>
  <c r="D78" i="6" s="1"/>
  <c r="E5" i="7"/>
  <c r="D48" i="6" s="1"/>
  <c r="D39" i="6"/>
  <c r="D40" i="6" s="1"/>
  <c r="C5" i="6"/>
  <c r="CN75" i="6"/>
  <c r="CN23" i="6"/>
  <c r="D40" i="3"/>
  <c r="B13" i="7"/>
  <c r="A12" i="7"/>
  <c r="I65" i="6"/>
  <c r="J64" i="6" s="1"/>
  <c r="H28" i="6"/>
  <c r="CN24" i="6"/>
  <c r="J11" i="7"/>
  <c r="J49" i="6" s="1"/>
  <c r="J73" i="6"/>
  <c r="CC21" i="6"/>
  <c r="CD21" i="6" s="1"/>
  <c r="CE21" i="6" s="1"/>
  <c r="CF21" i="6" s="1"/>
  <c r="CG21" i="6" s="1"/>
  <c r="CH21" i="6" s="1"/>
  <c r="CI21" i="6" s="1"/>
  <c r="CJ21" i="6" s="1"/>
  <c r="CK21" i="6" s="1"/>
  <c r="CL21" i="6" s="1"/>
  <c r="CM21" i="6" s="1"/>
  <c r="CO21" i="6" s="1"/>
  <c r="H13" i="7"/>
  <c r="L59" i="6" s="1"/>
  <c r="I12" i="7"/>
  <c r="K38" i="6" s="1"/>
  <c r="K12" i="7"/>
  <c r="A146" i="9"/>
  <c r="B134" i="9"/>
  <c r="B135" i="9" s="1"/>
  <c r="B136" i="9" s="1"/>
  <c r="B137" i="9" s="1"/>
  <c r="B138" i="9" s="1"/>
  <c r="B139" i="9" s="1"/>
  <c r="B140" i="9" s="1"/>
  <c r="B141" i="9" s="1"/>
  <c r="B142" i="9" s="1"/>
  <c r="B143" i="9" s="1"/>
  <c r="B144" i="9" s="1"/>
  <c r="B145" i="9" s="1"/>
  <c r="M1" i="6"/>
  <c r="DN74" i="6"/>
  <c r="U69" i="6"/>
  <c r="U70" i="6" s="1"/>
  <c r="V68" i="6"/>
  <c r="K59" i="6"/>
  <c r="DC76" i="6"/>
  <c r="DD76" i="6" s="1"/>
  <c r="DE76" i="6" s="1"/>
  <c r="DF76" i="6" s="1"/>
  <c r="DG76" i="6" s="1"/>
  <c r="DH76" i="6" s="1"/>
  <c r="DI76" i="6" s="1"/>
  <c r="DJ76" i="6" s="1"/>
  <c r="DK76" i="6" s="1"/>
  <c r="DL76" i="6" s="1"/>
  <c r="DM76" i="6" s="1"/>
  <c r="DO76" i="6" s="1"/>
  <c r="L30" i="6"/>
  <c r="W51" i="6"/>
  <c r="X22" i="6"/>
  <c r="CP24" i="6"/>
  <c r="CQ24" i="6" s="1"/>
  <c r="CR24" i="6" s="1"/>
  <c r="CS24" i="6" s="1"/>
  <c r="CT24" i="6" s="1"/>
  <c r="CU24" i="6" s="1"/>
  <c r="CV24" i="6" s="1"/>
  <c r="CW24" i="6" s="1"/>
  <c r="CX24" i="6" s="1"/>
  <c r="CY24" i="6" s="1"/>
  <c r="CZ24" i="6" s="1"/>
  <c r="DB24" i="6" s="1"/>
  <c r="DC77" i="6"/>
  <c r="DD77" i="6" s="1"/>
  <c r="DE77" i="6" s="1"/>
  <c r="DF77" i="6" s="1"/>
  <c r="DG77" i="6" s="1"/>
  <c r="DH77" i="6" s="1"/>
  <c r="DI77" i="6" s="1"/>
  <c r="DJ77" i="6" s="1"/>
  <c r="DK77" i="6" s="1"/>
  <c r="DL77" i="6" s="1"/>
  <c r="DM77" i="6" s="1"/>
  <c r="DO77" i="6" s="1"/>
  <c r="DN77" i="6"/>
  <c r="DA77" i="6"/>
  <c r="DP74" i="6"/>
  <c r="DQ74" i="6" s="1"/>
  <c r="DR74" i="6" s="1"/>
  <c r="DS74" i="6" s="1"/>
  <c r="DT74" i="6" s="1"/>
  <c r="DU74" i="6" s="1"/>
  <c r="DV74" i="6" s="1"/>
  <c r="DW74" i="6" s="1"/>
  <c r="DX74" i="6" s="1"/>
  <c r="DY74" i="6" s="1"/>
  <c r="DZ74" i="6" s="1"/>
  <c r="EB74" i="6" s="1"/>
  <c r="J31" i="6"/>
  <c r="I32" i="6"/>
  <c r="H34" i="6"/>
  <c r="CP75" i="6"/>
  <c r="CQ75" i="6" s="1"/>
  <c r="CR75" i="6" s="1"/>
  <c r="CS75" i="6" s="1"/>
  <c r="CT75" i="6" s="1"/>
  <c r="CU75" i="6" s="1"/>
  <c r="CV75" i="6" s="1"/>
  <c r="CW75" i="6" s="1"/>
  <c r="CX75" i="6" s="1"/>
  <c r="CY75" i="6" s="1"/>
  <c r="CZ75" i="6" s="1"/>
  <c r="DB75" i="6" s="1"/>
  <c r="K16" i="6"/>
  <c r="J17" i="6"/>
  <c r="J18" i="6" s="1"/>
  <c r="B4" i="6"/>
  <c r="B56" i="6"/>
  <c r="B5" i="6"/>
  <c r="C82" i="6"/>
  <c r="CP23" i="6"/>
  <c r="CQ23" i="6" s="1"/>
  <c r="CR23" i="6" s="1"/>
  <c r="CS23" i="6" s="1"/>
  <c r="CT23" i="6" s="1"/>
  <c r="CU23" i="6" s="1"/>
  <c r="CV23" i="6" s="1"/>
  <c r="CW23" i="6" s="1"/>
  <c r="CX23" i="6" s="1"/>
  <c r="CY23" i="6" s="1"/>
  <c r="CZ23" i="6" s="1"/>
  <c r="DB23" i="6" s="1"/>
  <c r="J20" i="6"/>
  <c r="I25" i="6"/>
  <c r="I27" i="6" s="1"/>
  <c r="CA21" i="6"/>
  <c r="K10" i="6"/>
  <c r="L55" i="6"/>
  <c r="H23" i="3"/>
  <c r="E12" i="4"/>
  <c r="D12" i="4"/>
  <c r="A12" i="4"/>
  <c r="B13" i="4"/>
  <c r="D43" i="6" l="1"/>
  <c r="D47" i="6" s="1"/>
  <c r="C6" i="7"/>
  <c r="D6" i="7" s="1"/>
  <c r="E37" i="6" s="1"/>
  <c r="DA75" i="6"/>
  <c r="EA74" i="6"/>
  <c r="H24" i="3"/>
  <c r="L24" i="3"/>
  <c r="L11" i="3" s="1"/>
  <c r="K24" i="3"/>
  <c r="K11" i="3" s="1"/>
  <c r="D41" i="3"/>
  <c r="B14" i="7"/>
  <c r="A13" i="7"/>
  <c r="I28" i="6"/>
  <c r="M30" i="6"/>
  <c r="DP76" i="6"/>
  <c r="DQ76" i="6" s="1"/>
  <c r="DR76" i="6" s="1"/>
  <c r="DS76" i="6" s="1"/>
  <c r="DT76" i="6" s="1"/>
  <c r="DU76" i="6" s="1"/>
  <c r="DV76" i="6" s="1"/>
  <c r="DW76" i="6" s="1"/>
  <c r="DX76" i="6" s="1"/>
  <c r="DY76" i="6" s="1"/>
  <c r="DZ76" i="6" s="1"/>
  <c r="EB76" i="6" s="1"/>
  <c r="K31" i="6"/>
  <c r="J32" i="6"/>
  <c r="EC74" i="6"/>
  <c r="ED74" i="6" s="1"/>
  <c r="EE74" i="6" s="1"/>
  <c r="EF74" i="6" s="1"/>
  <c r="EG74" i="6" s="1"/>
  <c r="EH74" i="6" s="1"/>
  <c r="EI74" i="6" s="1"/>
  <c r="EJ74" i="6" s="1"/>
  <c r="EK74" i="6" s="1"/>
  <c r="EL74" i="6" s="1"/>
  <c r="EM74" i="6" s="1"/>
  <c r="EO74" i="6" s="1"/>
  <c r="CN21" i="6"/>
  <c r="DN76" i="6"/>
  <c r="DC75" i="6"/>
  <c r="DD75" i="6" s="1"/>
  <c r="DE75" i="6" s="1"/>
  <c r="DF75" i="6" s="1"/>
  <c r="DG75" i="6" s="1"/>
  <c r="DH75" i="6" s="1"/>
  <c r="DI75" i="6" s="1"/>
  <c r="DJ75" i="6" s="1"/>
  <c r="DK75" i="6" s="1"/>
  <c r="DL75" i="6" s="1"/>
  <c r="DM75" i="6" s="1"/>
  <c r="DO75" i="6" s="1"/>
  <c r="I34" i="6"/>
  <c r="DP77" i="6"/>
  <c r="DQ77" i="6" s="1"/>
  <c r="DR77" i="6" s="1"/>
  <c r="DS77" i="6" s="1"/>
  <c r="DT77" i="6" s="1"/>
  <c r="DU77" i="6" s="1"/>
  <c r="DV77" i="6" s="1"/>
  <c r="DW77" i="6" s="1"/>
  <c r="DX77" i="6" s="1"/>
  <c r="DY77" i="6" s="1"/>
  <c r="DZ77" i="6" s="1"/>
  <c r="EB77" i="6" s="1"/>
  <c r="EA77" i="6"/>
  <c r="B146" i="9"/>
  <c r="B147" i="9" s="1"/>
  <c r="B148" i="9" s="1"/>
  <c r="B149" i="9" s="1"/>
  <c r="B150" i="9" s="1"/>
  <c r="B151" i="9" s="1"/>
  <c r="B152" i="9" s="1"/>
  <c r="B153" i="9" s="1"/>
  <c r="B154" i="9" s="1"/>
  <c r="B155" i="9" s="1"/>
  <c r="B156" i="9" s="1"/>
  <c r="B157" i="9" s="1"/>
  <c r="A158" i="9"/>
  <c r="M55" i="6"/>
  <c r="L10" i="6"/>
  <c r="L16" i="6"/>
  <c r="K17" i="6"/>
  <c r="K18" i="6" s="1"/>
  <c r="D80" i="6"/>
  <c r="W68" i="6"/>
  <c r="V69" i="6"/>
  <c r="V70" i="6" s="1"/>
  <c r="J25" i="6"/>
  <c r="J27" i="6" s="1"/>
  <c r="K20" i="6"/>
  <c r="DA23" i="6"/>
  <c r="H35" i="6"/>
  <c r="J65" i="6"/>
  <c r="K64" i="6" s="1"/>
  <c r="C56" i="6"/>
  <c r="B7" i="6"/>
  <c r="C7" i="6" s="1"/>
  <c r="B57" i="6"/>
  <c r="B61" i="6" s="1"/>
  <c r="B11" i="6" s="1"/>
  <c r="B6" i="6"/>
  <c r="CP21" i="6"/>
  <c r="CQ21" i="6" s="1"/>
  <c r="CR21" i="6" s="1"/>
  <c r="CS21" i="6" s="1"/>
  <c r="CT21" i="6" s="1"/>
  <c r="CU21" i="6" s="1"/>
  <c r="CV21" i="6" s="1"/>
  <c r="CW21" i="6" s="1"/>
  <c r="CX21" i="6" s="1"/>
  <c r="CY21" i="6" s="1"/>
  <c r="CZ21" i="6" s="1"/>
  <c r="DB21" i="6" s="1"/>
  <c r="N1" i="6"/>
  <c r="O1" i="6"/>
  <c r="DC23" i="6"/>
  <c r="DD23" i="6" s="1"/>
  <c r="DE23" i="6" s="1"/>
  <c r="DF23" i="6" s="1"/>
  <c r="DG23" i="6" s="1"/>
  <c r="DH23" i="6" s="1"/>
  <c r="DI23" i="6" s="1"/>
  <c r="DJ23" i="6" s="1"/>
  <c r="DK23" i="6" s="1"/>
  <c r="DL23" i="6" s="1"/>
  <c r="DM23" i="6" s="1"/>
  <c r="DO23" i="6" s="1"/>
  <c r="DC24" i="6"/>
  <c r="DD24" i="6" s="1"/>
  <c r="DE24" i="6" s="1"/>
  <c r="DF24" i="6" s="1"/>
  <c r="DG24" i="6" s="1"/>
  <c r="DH24" i="6" s="1"/>
  <c r="DI24" i="6" s="1"/>
  <c r="DJ24" i="6" s="1"/>
  <c r="DK24" i="6" s="1"/>
  <c r="DL24" i="6" s="1"/>
  <c r="DM24" i="6" s="1"/>
  <c r="DO24" i="6" s="1"/>
  <c r="J12" i="7"/>
  <c r="K49" i="6" s="1"/>
  <c r="K73" i="6"/>
  <c r="DA24" i="6"/>
  <c r="Y22" i="6"/>
  <c r="X51" i="6"/>
  <c r="K13" i="7"/>
  <c r="H14" i="7"/>
  <c r="M59" i="6" s="1"/>
  <c r="N59" i="6" s="1"/>
  <c r="I13" i="7"/>
  <c r="L38" i="6" s="1"/>
  <c r="A13" i="4"/>
  <c r="B14" i="4"/>
  <c r="F12" i="4"/>
  <c r="G12" i="4" s="1"/>
  <c r="L12" i="4"/>
  <c r="E58" i="6" l="1"/>
  <c r="E60" i="6" s="1"/>
  <c r="F6" i="7"/>
  <c r="E6" i="7" s="1"/>
  <c r="D8" i="6"/>
  <c r="D9" i="6" s="1"/>
  <c r="D44" i="6"/>
  <c r="DN75" i="6"/>
  <c r="DN24" i="6"/>
  <c r="EN74" i="6"/>
  <c r="J34" i="6"/>
  <c r="J35" i="6" s="1"/>
  <c r="B15" i="7"/>
  <c r="A14" i="7"/>
  <c r="E42" i="6"/>
  <c r="E39" i="6"/>
  <c r="K65" i="6"/>
  <c r="L64" i="6" s="1"/>
  <c r="J28" i="6"/>
  <c r="Z22" i="6"/>
  <c r="Y51" i="6"/>
  <c r="DC21" i="6"/>
  <c r="DD21" i="6" s="1"/>
  <c r="DE21" i="6" s="1"/>
  <c r="DF21" i="6" s="1"/>
  <c r="DG21" i="6" s="1"/>
  <c r="DH21" i="6" s="1"/>
  <c r="DI21" i="6" s="1"/>
  <c r="DJ21" i="6" s="1"/>
  <c r="DK21" i="6" s="1"/>
  <c r="DL21" i="6" s="1"/>
  <c r="DM21" i="6" s="1"/>
  <c r="DO21" i="6" s="1"/>
  <c r="L20" i="6"/>
  <c r="K25" i="6"/>
  <c r="D52" i="6"/>
  <c r="D56" i="6" s="1"/>
  <c r="DP24" i="6"/>
  <c r="DQ24" i="6" s="1"/>
  <c r="DR24" i="6" s="1"/>
  <c r="DS24" i="6" s="1"/>
  <c r="DT24" i="6" s="1"/>
  <c r="DU24" i="6" s="1"/>
  <c r="DV24" i="6" s="1"/>
  <c r="DW24" i="6" s="1"/>
  <c r="DX24" i="6" s="1"/>
  <c r="DY24" i="6" s="1"/>
  <c r="DZ24" i="6" s="1"/>
  <c r="EB24" i="6" s="1"/>
  <c r="DA21" i="6"/>
  <c r="N55" i="6"/>
  <c r="O55" i="6"/>
  <c r="M10" i="6"/>
  <c r="N10" i="6" s="1"/>
  <c r="L31" i="6"/>
  <c r="K32" i="6"/>
  <c r="EC76" i="6"/>
  <c r="ED76" i="6" s="1"/>
  <c r="EE76" i="6" s="1"/>
  <c r="EF76" i="6" s="1"/>
  <c r="EG76" i="6" s="1"/>
  <c r="EH76" i="6" s="1"/>
  <c r="EI76" i="6" s="1"/>
  <c r="EJ76" i="6" s="1"/>
  <c r="EK76" i="6" s="1"/>
  <c r="EL76" i="6" s="1"/>
  <c r="EM76" i="6" s="1"/>
  <c r="EO76" i="6" s="1"/>
  <c r="EA76" i="6"/>
  <c r="O30" i="6"/>
  <c r="N30" i="6"/>
  <c r="DN23" i="6"/>
  <c r="EC77" i="6"/>
  <c r="ED77" i="6" s="1"/>
  <c r="EE77" i="6" s="1"/>
  <c r="EF77" i="6" s="1"/>
  <c r="EG77" i="6" s="1"/>
  <c r="EH77" i="6" s="1"/>
  <c r="EI77" i="6" s="1"/>
  <c r="EJ77" i="6" s="1"/>
  <c r="EK77" i="6" s="1"/>
  <c r="EL77" i="6" s="1"/>
  <c r="EM77" i="6" s="1"/>
  <c r="EO77" i="6" s="1"/>
  <c r="I35" i="6"/>
  <c r="H15" i="7"/>
  <c r="O59" i="6" s="1"/>
  <c r="I14" i="7"/>
  <c r="M38" i="6" s="1"/>
  <c r="N38" i="6" s="1"/>
  <c r="K14" i="7"/>
  <c r="W69" i="6"/>
  <c r="W70" i="6" s="1"/>
  <c r="X68" i="6"/>
  <c r="J13" i="7"/>
  <c r="L49" i="6" s="1"/>
  <c r="L73" i="6"/>
  <c r="P1" i="6"/>
  <c r="B158" i="9"/>
  <c r="B159" i="9" s="1"/>
  <c r="B160" i="9" s="1"/>
  <c r="B161" i="9" s="1"/>
  <c r="B162" i="9" s="1"/>
  <c r="B163" i="9" s="1"/>
  <c r="B164" i="9" s="1"/>
  <c r="B165" i="9" s="1"/>
  <c r="B166" i="9" s="1"/>
  <c r="B167" i="9" s="1"/>
  <c r="B168" i="9" s="1"/>
  <c r="B169" i="9" s="1"/>
  <c r="A170" i="9"/>
  <c r="D82" i="6"/>
  <c r="DP75" i="6"/>
  <c r="DQ75" i="6" s="1"/>
  <c r="DR75" i="6" s="1"/>
  <c r="DS75" i="6" s="1"/>
  <c r="DT75" i="6" s="1"/>
  <c r="DU75" i="6" s="1"/>
  <c r="DV75" i="6" s="1"/>
  <c r="DW75" i="6" s="1"/>
  <c r="DX75" i="6" s="1"/>
  <c r="DY75" i="6" s="1"/>
  <c r="DZ75" i="6" s="1"/>
  <c r="EB75" i="6" s="1"/>
  <c r="L17" i="6"/>
  <c r="L18" i="6" s="1"/>
  <c r="M16" i="6"/>
  <c r="DP23" i="6"/>
  <c r="DQ23" i="6" s="1"/>
  <c r="DR23" i="6" s="1"/>
  <c r="DS23" i="6" s="1"/>
  <c r="DT23" i="6" s="1"/>
  <c r="DU23" i="6" s="1"/>
  <c r="DV23" i="6" s="1"/>
  <c r="DW23" i="6" s="1"/>
  <c r="DX23" i="6" s="1"/>
  <c r="DY23" i="6" s="1"/>
  <c r="DZ23" i="6" s="1"/>
  <c r="EB23" i="6" s="1"/>
  <c r="C6" i="6"/>
  <c r="C57" i="6"/>
  <c r="C61" i="6" s="1"/>
  <c r="C11" i="6" s="1"/>
  <c r="EP74" i="6"/>
  <c r="EQ74" i="6" s="1"/>
  <c r="ER74" i="6" s="1"/>
  <c r="ES74" i="6" s="1"/>
  <c r="ET74" i="6" s="1"/>
  <c r="EU74" i="6" s="1"/>
  <c r="EV74" i="6" s="1"/>
  <c r="EW74" i="6" s="1"/>
  <c r="EX74" i="6" s="1"/>
  <c r="EY74" i="6" s="1"/>
  <c r="EZ74" i="6" s="1"/>
  <c r="FB74" i="6" s="1"/>
  <c r="E13" i="4"/>
  <c r="D13" i="4"/>
  <c r="B15" i="4"/>
  <c r="A14" i="4"/>
  <c r="K34" i="6" l="1"/>
  <c r="K35" i="6" s="1"/>
  <c r="EN76" i="6"/>
  <c r="E72" i="6"/>
  <c r="E78" i="6" s="1"/>
  <c r="E80" i="6" s="1"/>
  <c r="E82" i="6" s="1"/>
  <c r="EA75" i="6"/>
  <c r="FA74" i="6"/>
  <c r="B16" i="7"/>
  <c r="A15" i="7"/>
  <c r="E40" i="6"/>
  <c r="E43" i="6"/>
  <c r="E48" i="6"/>
  <c r="C7" i="7"/>
  <c r="DP21" i="6"/>
  <c r="DQ21" i="6" s="1"/>
  <c r="DR21" i="6" s="1"/>
  <c r="DS21" i="6" s="1"/>
  <c r="DT21" i="6" s="1"/>
  <c r="DU21" i="6" s="1"/>
  <c r="DV21" i="6" s="1"/>
  <c r="DW21" i="6" s="1"/>
  <c r="DX21" i="6" s="1"/>
  <c r="DY21" i="6" s="1"/>
  <c r="DZ21" i="6" s="1"/>
  <c r="EB21" i="6" s="1"/>
  <c r="M31" i="6"/>
  <c r="L32" i="6"/>
  <c r="EN77" i="6"/>
  <c r="B170" i="9"/>
  <c r="B171" i="9" s="1"/>
  <c r="B172" i="9" s="1"/>
  <c r="B173" i="9" s="1"/>
  <c r="B174" i="9" s="1"/>
  <c r="B175" i="9" s="1"/>
  <c r="B176" i="9" s="1"/>
  <c r="B177" i="9" s="1"/>
  <c r="B178" i="9" s="1"/>
  <c r="B179" i="9" s="1"/>
  <c r="B180" i="9" s="1"/>
  <c r="B181" i="9" s="1"/>
  <c r="A182" i="9"/>
  <c r="O10" i="6"/>
  <c r="P55" i="6"/>
  <c r="EA23" i="6"/>
  <c r="P30" i="6"/>
  <c r="D4" i="6"/>
  <c r="D5" i="6"/>
  <c r="EP77" i="6"/>
  <c r="EQ77" i="6" s="1"/>
  <c r="ER77" i="6" s="1"/>
  <c r="ES77" i="6" s="1"/>
  <c r="ET77" i="6" s="1"/>
  <c r="EU77" i="6" s="1"/>
  <c r="EV77" i="6" s="1"/>
  <c r="EW77" i="6" s="1"/>
  <c r="EX77" i="6" s="1"/>
  <c r="EY77" i="6" s="1"/>
  <c r="EZ77" i="6" s="1"/>
  <c r="FB77" i="6" s="1"/>
  <c r="FA77" i="6"/>
  <c r="D6" i="6"/>
  <c r="D57" i="6"/>
  <c r="D61" i="6" s="1"/>
  <c r="D11" i="6" s="1"/>
  <c r="EC23" i="6"/>
  <c r="ED23" i="6" s="1"/>
  <c r="EE23" i="6" s="1"/>
  <c r="EF23" i="6" s="1"/>
  <c r="EG23" i="6" s="1"/>
  <c r="EH23" i="6" s="1"/>
  <c r="EI23" i="6" s="1"/>
  <c r="EJ23" i="6" s="1"/>
  <c r="EK23" i="6" s="1"/>
  <c r="EL23" i="6" s="1"/>
  <c r="EM23" i="6" s="1"/>
  <c r="EO23" i="6" s="1"/>
  <c r="AB22" i="6"/>
  <c r="Z51" i="6"/>
  <c r="AA51" i="6" s="1"/>
  <c r="AA22" i="6"/>
  <c r="EC24" i="6"/>
  <c r="ED24" i="6" s="1"/>
  <c r="EE24" i="6" s="1"/>
  <c r="EF24" i="6" s="1"/>
  <c r="EG24" i="6" s="1"/>
  <c r="EH24" i="6" s="1"/>
  <c r="EI24" i="6" s="1"/>
  <c r="EJ24" i="6" s="1"/>
  <c r="EK24" i="6" s="1"/>
  <c r="EL24" i="6" s="1"/>
  <c r="EM24" i="6" s="1"/>
  <c r="EO24" i="6" s="1"/>
  <c r="O16" i="6"/>
  <c r="M17" i="6"/>
  <c r="N17" i="6" s="1"/>
  <c r="N16" i="6"/>
  <c r="EA24" i="6"/>
  <c r="J14" i="7"/>
  <c r="M49" i="6" s="1"/>
  <c r="N49" i="6" s="1"/>
  <c r="M73" i="6"/>
  <c r="N73" i="6" s="1"/>
  <c r="K27" i="6"/>
  <c r="K28" i="6" s="1"/>
  <c r="X69" i="6"/>
  <c r="X70" i="6" s="1"/>
  <c r="Y68" i="6"/>
  <c r="Q1" i="6"/>
  <c r="I15" i="7"/>
  <c r="O38" i="6" s="1"/>
  <c r="K15" i="7"/>
  <c r="H16" i="7"/>
  <c r="L65" i="6"/>
  <c r="M64" i="6" s="1"/>
  <c r="M20" i="6"/>
  <c r="L25" i="6"/>
  <c r="FC74" i="6"/>
  <c r="FD74" i="6" s="1"/>
  <c r="FE74" i="6" s="1"/>
  <c r="FF74" i="6" s="1"/>
  <c r="FG74" i="6" s="1"/>
  <c r="FH74" i="6" s="1"/>
  <c r="FI74" i="6" s="1"/>
  <c r="FJ74" i="6" s="1"/>
  <c r="FK74" i="6" s="1"/>
  <c r="FL74" i="6" s="1"/>
  <c r="FM74" i="6" s="1"/>
  <c r="FO74" i="6" s="1"/>
  <c r="EC75" i="6"/>
  <c r="ED75" i="6" s="1"/>
  <c r="EE75" i="6" s="1"/>
  <c r="EF75" i="6" s="1"/>
  <c r="EG75" i="6" s="1"/>
  <c r="EH75" i="6" s="1"/>
  <c r="EI75" i="6" s="1"/>
  <c r="EJ75" i="6" s="1"/>
  <c r="EK75" i="6" s="1"/>
  <c r="EL75" i="6" s="1"/>
  <c r="EM75" i="6" s="1"/>
  <c r="EO75" i="6" s="1"/>
  <c r="EP76" i="6"/>
  <c r="EQ76" i="6" s="1"/>
  <c r="ER76" i="6" s="1"/>
  <c r="ES76" i="6" s="1"/>
  <c r="ET76" i="6" s="1"/>
  <c r="EU76" i="6" s="1"/>
  <c r="EV76" i="6" s="1"/>
  <c r="EW76" i="6" s="1"/>
  <c r="EX76" i="6" s="1"/>
  <c r="EY76" i="6" s="1"/>
  <c r="EZ76" i="6" s="1"/>
  <c r="FB76" i="6" s="1"/>
  <c r="DN21" i="6"/>
  <c r="B16" i="4"/>
  <c r="A15" i="4"/>
  <c r="I15" i="4"/>
  <c r="K15" i="4"/>
  <c r="K16" i="4" s="1"/>
  <c r="F13" i="4"/>
  <c r="G13" i="4" s="1"/>
  <c r="L13" i="4"/>
  <c r="L34" i="6" l="1"/>
  <c r="L35" i="6" s="1"/>
  <c r="P59" i="6"/>
  <c r="EN24" i="6"/>
  <c r="B17" i="7"/>
  <c r="A16" i="7"/>
  <c r="F7" i="7"/>
  <c r="D7" i="7"/>
  <c r="F37" i="6" s="1"/>
  <c r="F58" i="6"/>
  <c r="F60" i="6" s="1"/>
  <c r="E47" i="6"/>
  <c r="E52" i="6" s="1"/>
  <c r="E8" i="6"/>
  <c r="E9" i="6" s="1"/>
  <c r="E44" i="6"/>
  <c r="N64" i="6"/>
  <c r="M65" i="6"/>
  <c r="N65" i="6" s="1"/>
  <c r="B182" i="9"/>
  <c r="B183" i="9" s="1"/>
  <c r="B184" i="9" s="1"/>
  <c r="B185" i="9" s="1"/>
  <c r="B186" i="9" s="1"/>
  <c r="B187" i="9" s="1"/>
  <c r="B188" i="9" s="1"/>
  <c r="B189" i="9" s="1"/>
  <c r="B190" i="9" s="1"/>
  <c r="B191" i="9" s="1"/>
  <c r="B192" i="9" s="1"/>
  <c r="B193" i="9" s="1"/>
  <c r="A194" i="9"/>
  <c r="EP23" i="6"/>
  <c r="EQ23" i="6" s="1"/>
  <c r="ER23" i="6" s="1"/>
  <c r="ES23" i="6" s="1"/>
  <c r="ET23" i="6" s="1"/>
  <c r="EU23" i="6" s="1"/>
  <c r="EV23" i="6" s="1"/>
  <c r="EW23" i="6" s="1"/>
  <c r="EX23" i="6" s="1"/>
  <c r="EY23" i="6" s="1"/>
  <c r="EZ23" i="6" s="1"/>
  <c r="FB23" i="6" s="1"/>
  <c r="Q30" i="6"/>
  <c r="L27" i="6"/>
  <c r="L28" i="6" s="1"/>
  <c r="D7" i="6"/>
  <c r="FA76" i="6"/>
  <c r="EC21" i="6"/>
  <c r="ED21" i="6" s="1"/>
  <c r="EE21" i="6" s="1"/>
  <c r="EF21" i="6" s="1"/>
  <c r="EG21" i="6" s="1"/>
  <c r="EH21" i="6" s="1"/>
  <c r="EI21" i="6" s="1"/>
  <c r="EJ21" i="6" s="1"/>
  <c r="EK21" i="6" s="1"/>
  <c r="EL21" i="6" s="1"/>
  <c r="EM21" i="6" s="1"/>
  <c r="EO21" i="6" s="1"/>
  <c r="FN74" i="6"/>
  <c r="M25" i="6"/>
  <c r="N25" i="6" s="1"/>
  <c r="O20" i="6"/>
  <c r="N20" i="6"/>
  <c r="FC77" i="6"/>
  <c r="FD77" i="6" s="1"/>
  <c r="FE77" i="6" s="1"/>
  <c r="FF77" i="6" s="1"/>
  <c r="FG77" i="6" s="1"/>
  <c r="FH77" i="6" s="1"/>
  <c r="FI77" i="6" s="1"/>
  <c r="FJ77" i="6" s="1"/>
  <c r="FK77" i="6" s="1"/>
  <c r="FL77" i="6" s="1"/>
  <c r="FM77" i="6" s="1"/>
  <c r="FO77" i="6" s="1"/>
  <c r="J15" i="7"/>
  <c r="O49" i="6" s="1"/>
  <c r="O73" i="6"/>
  <c r="FC76" i="6"/>
  <c r="FD76" i="6" s="1"/>
  <c r="FE76" i="6" s="1"/>
  <c r="FF76" i="6" s="1"/>
  <c r="FG76" i="6" s="1"/>
  <c r="FH76" i="6" s="1"/>
  <c r="FI76" i="6" s="1"/>
  <c r="FJ76" i="6" s="1"/>
  <c r="FK76" i="6" s="1"/>
  <c r="FL76" i="6" s="1"/>
  <c r="FM76" i="6" s="1"/>
  <c r="FO76" i="6" s="1"/>
  <c r="R1" i="6"/>
  <c r="EP75" i="6"/>
  <c r="EQ75" i="6" s="1"/>
  <c r="ER75" i="6" s="1"/>
  <c r="ES75" i="6" s="1"/>
  <c r="ET75" i="6" s="1"/>
  <c r="EU75" i="6" s="1"/>
  <c r="EV75" i="6" s="1"/>
  <c r="EW75" i="6" s="1"/>
  <c r="EX75" i="6" s="1"/>
  <c r="EY75" i="6" s="1"/>
  <c r="EZ75" i="6" s="1"/>
  <c r="FB75" i="6" s="1"/>
  <c r="AB51" i="6"/>
  <c r="AC22" i="6"/>
  <c r="EN75" i="6"/>
  <c r="O31" i="6"/>
  <c r="N31" i="6"/>
  <c r="M32" i="6"/>
  <c r="N32" i="6" s="1"/>
  <c r="FP74" i="6"/>
  <c r="FQ74" i="6" s="1"/>
  <c r="FR74" i="6" s="1"/>
  <c r="FS74" i="6" s="1"/>
  <c r="FT74" i="6" s="1"/>
  <c r="FU74" i="6" s="1"/>
  <c r="FV74" i="6" s="1"/>
  <c r="FW74" i="6" s="1"/>
  <c r="FX74" i="6" s="1"/>
  <c r="FY74" i="6" s="1"/>
  <c r="FZ74" i="6" s="1"/>
  <c r="GB74" i="6" s="1"/>
  <c r="EN23" i="6"/>
  <c r="EA21" i="6"/>
  <c r="O17" i="6"/>
  <c r="O18" i="6" s="1"/>
  <c r="P16" i="6"/>
  <c r="Q55" i="6"/>
  <c r="P10" i="6"/>
  <c r="Y69" i="6"/>
  <c r="Y70" i="6" s="1"/>
  <c r="Z68" i="6"/>
  <c r="M18" i="6"/>
  <c r="I16" i="7"/>
  <c r="P38" i="6" s="1"/>
  <c r="K16" i="7"/>
  <c r="H17" i="7"/>
  <c r="EP24" i="6"/>
  <c r="EQ24" i="6" s="1"/>
  <c r="ER24" i="6" s="1"/>
  <c r="ES24" i="6" s="1"/>
  <c r="ET24" i="6" s="1"/>
  <c r="EU24" i="6" s="1"/>
  <c r="EV24" i="6" s="1"/>
  <c r="EW24" i="6" s="1"/>
  <c r="EX24" i="6" s="1"/>
  <c r="EY24" i="6" s="1"/>
  <c r="EZ24" i="6" s="1"/>
  <c r="FB24" i="6" s="1"/>
  <c r="E14" i="4"/>
  <c r="D14" i="4"/>
  <c r="I16" i="4"/>
  <c r="A16" i="4"/>
  <c r="B17" i="4"/>
  <c r="FN77" i="6" l="1"/>
  <c r="O64" i="6"/>
  <c r="O65" i="6" s="1"/>
  <c r="FA24" i="6"/>
  <c r="FA75" i="6"/>
  <c r="FA23" i="6"/>
  <c r="B18" i="7"/>
  <c r="A17" i="7"/>
  <c r="E5" i="6"/>
  <c r="E7" i="6" s="1"/>
  <c r="E4" i="6"/>
  <c r="E56" i="6"/>
  <c r="F42" i="6"/>
  <c r="F39" i="6"/>
  <c r="E7" i="7"/>
  <c r="F72" i="6"/>
  <c r="F78" i="6" s="1"/>
  <c r="F80" i="6" s="1"/>
  <c r="F82" i="6" s="1"/>
  <c r="FP76" i="6"/>
  <c r="FQ76" i="6" s="1"/>
  <c r="FR76" i="6" s="1"/>
  <c r="FS76" i="6" s="1"/>
  <c r="FT76" i="6" s="1"/>
  <c r="FU76" i="6" s="1"/>
  <c r="FV76" i="6" s="1"/>
  <c r="FW76" i="6" s="1"/>
  <c r="FX76" i="6" s="1"/>
  <c r="FY76" i="6" s="1"/>
  <c r="FZ76" i="6" s="1"/>
  <c r="GB76" i="6" s="1"/>
  <c r="EP21" i="6"/>
  <c r="EQ21" i="6" s="1"/>
  <c r="ER21" i="6" s="1"/>
  <c r="ES21" i="6" s="1"/>
  <c r="ET21" i="6" s="1"/>
  <c r="EU21" i="6" s="1"/>
  <c r="EV21" i="6" s="1"/>
  <c r="EW21" i="6" s="1"/>
  <c r="EX21" i="6" s="1"/>
  <c r="EY21" i="6" s="1"/>
  <c r="EZ21" i="6" s="1"/>
  <c r="FB21" i="6" s="1"/>
  <c r="Q16" i="6"/>
  <c r="P17" i="6"/>
  <c r="FC75" i="6"/>
  <c r="FD75" i="6" s="1"/>
  <c r="FE75" i="6" s="1"/>
  <c r="FF75" i="6" s="1"/>
  <c r="FG75" i="6" s="1"/>
  <c r="FH75" i="6" s="1"/>
  <c r="FI75" i="6" s="1"/>
  <c r="FJ75" i="6" s="1"/>
  <c r="FK75" i="6" s="1"/>
  <c r="FL75" i="6" s="1"/>
  <c r="FM75" i="6" s="1"/>
  <c r="FO75" i="6" s="1"/>
  <c r="FC24" i="6"/>
  <c r="FD24" i="6" s="1"/>
  <c r="FE24" i="6" s="1"/>
  <c r="FF24" i="6" s="1"/>
  <c r="FG24" i="6" s="1"/>
  <c r="FH24" i="6" s="1"/>
  <c r="FI24" i="6" s="1"/>
  <c r="FJ24" i="6" s="1"/>
  <c r="FK24" i="6" s="1"/>
  <c r="FL24" i="6" s="1"/>
  <c r="FM24" i="6" s="1"/>
  <c r="FO24" i="6" s="1"/>
  <c r="I17" i="7"/>
  <c r="Q38" i="6" s="1"/>
  <c r="H18" i="7"/>
  <c r="R59" i="6" s="1"/>
  <c r="K17" i="7"/>
  <c r="J16" i="7"/>
  <c r="P49" i="6" s="1"/>
  <c r="P73" i="6"/>
  <c r="A206" i="9"/>
  <c r="B194" i="9"/>
  <c r="B195" i="9" s="1"/>
  <c r="B196" i="9" s="1"/>
  <c r="B197" i="9" s="1"/>
  <c r="B198" i="9" s="1"/>
  <c r="B199" i="9" s="1"/>
  <c r="B200" i="9" s="1"/>
  <c r="B201" i="9" s="1"/>
  <c r="B202" i="9" s="1"/>
  <c r="B203" i="9" s="1"/>
  <c r="B204" i="9" s="1"/>
  <c r="B205" i="9" s="1"/>
  <c r="GC74" i="6"/>
  <c r="GD74" i="6" s="1"/>
  <c r="GE74" i="6" s="1"/>
  <c r="GF74" i="6" s="1"/>
  <c r="GG74" i="6" s="1"/>
  <c r="GH74" i="6" s="1"/>
  <c r="GI74" i="6" s="1"/>
  <c r="GJ74" i="6" s="1"/>
  <c r="GK74" i="6" s="1"/>
  <c r="GL74" i="6" s="1"/>
  <c r="GM74" i="6" s="1"/>
  <c r="GO74" i="6" s="1"/>
  <c r="S1" i="6"/>
  <c r="Z69" i="6"/>
  <c r="AA69" i="6" s="1"/>
  <c r="AB68" i="6"/>
  <c r="AA68" i="6"/>
  <c r="FP77" i="6"/>
  <c r="FQ77" i="6" s="1"/>
  <c r="FR77" i="6" s="1"/>
  <c r="FS77" i="6" s="1"/>
  <c r="FT77" i="6" s="1"/>
  <c r="FU77" i="6" s="1"/>
  <c r="FV77" i="6" s="1"/>
  <c r="FW77" i="6" s="1"/>
  <c r="FX77" i="6" s="1"/>
  <c r="FY77" i="6" s="1"/>
  <c r="FZ77" i="6" s="1"/>
  <c r="GB77" i="6" s="1"/>
  <c r="GA77" i="6"/>
  <c r="P31" i="6"/>
  <c r="O32" i="6"/>
  <c r="O25" i="6"/>
  <c r="P20" i="6"/>
  <c r="AC51" i="6"/>
  <c r="AD22" i="6"/>
  <c r="M27" i="6"/>
  <c r="M34" i="6"/>
  <c r="N18" i="6"/>
  <c r="GA74" i="6"/>
  <c r="Q59" i="6"/>
  <c r="R30" i="6"/>
  <c r="Q10" i="6"/>
  <c r="R55" i="6"/>
  <c r="FN76" i="6"/>
  <c r="EN21" i="6"/>
  <c r="FC23" i="6"/>
  <c r="FD23" i="6" s="1"/>
  <c r="FE23" i="6" s="1"/>
  <c r="FF23" i="6" s="1"/>
  <c r="FG23" i="6" s="1"/>
  <c r="FH23" i="6" s="1"/>
  <c r="FI23" i="6" s="1"/>
  <c r="FJ23" i="6" s="1"/>
  <c r="FK23" i="6" s="1"/>
  <c r="FL23" i="6" s="1"/>
  <c r="FM23" i="6" s="1"/>
  <c r="FO23" i="6" s="1"/>
  <c r="A17" i="4"/>
  <c r="B18" i="4"/>
  <c r="I17" i="4"/>
  <c r="K17" i="4"/>
  <c r="K18" i="4" s="1"/>
  <c r="F14" i="4"/>
  <c r="G14" i="4" s="1"/>
  <c r="L14" i="4"/>
  <c r="GA76" i="6" l="1"/>
  <c r="Z70" i="6"/>
  <c r="AA70" i="6" s="1"/>
  <c r="FN75" i="6"/>
  <c r="FN23" i="6"/>
  <c r="GN74" i="6"/>
  <c r="FA21" i="6"/>
  <c r="B19" i="7"/>
  <c r="A18" i="7"/>
  <c r="F48" i="6"/>
  <c r="C8" i="7"/>
  <c r="F40" i="6"/>
  <c r="F43" i="6"/>
  <c r="E57" i="6"/>
  <c r="E61" i="6" s="1"/>
  <c r="E11" i="6" s="1"/>
  <c r="E6" i="6"/>
  <c r="P64" i="6"/>
  <c r="K18" i="7"/>
  <c r="I18" i="7"/>
  <c r="R38" i="6" s="1"/>
  <c r="H19" i="7"/>
  <c r="FP23" i="6"/>
  <c r="FQ23" i="6" s="1"/>
  <c r="FR23" i="6" s="1"/>
  <c r="FS23" i="6" s="1"/>
  <c r="FT23" i="6" s="1"/>
  <c r="FU23" i="6" s="1"/>
  <c r="FV23" i="6" s="1"/>
  <c r="FW23" i="6" s="1"/>
  <c r="FX23" i="6" s="1"/>
  <c r="FY23" i="6" s="1"/>
  <c r="FZ23" i="6" s="1"/>
  <c r="GB23" i="6" s="1"/>
  <c r="Q31" i="6"/>
  <c r="P32" i="6"/>
  <c r="FP24" i="6"/>
  <c r="FQ24" i="6" s="1"/>
  <c r="FR24" i="6" s="1"/>
  <c r="FS24" i="6" s="1"/>
  <c r="FT24" i="6" s="1"/>
  <c r="FU24" i="6" s="1"/>
  <c r="FV24" i="6" s="1"/>
  <c r="FW24" i="6" s="1"/>
  <c r="FX24" i="6" s="1"/>
  <c r="FY24" i="6" s="1"/>
  <c r="FZ24" i="6" s="1"/>
  <c r="GB24" i="6" s="1"/>
  <c r="R16" i="6"/>
  <c r="Q17" i="6"/>
  <c r="M28" i="6"/>
  <c r="N27" i="6"/>
  <c r="N28" i="6" s="1"/>
  <c r="GC77" i="6"/>
  <c r="GD77" i="6" s="1"/>
  <c r="GE77" i="6" s="1"/>
  <c r="GF77" i="6" s="1"/>
  <c r="GG77" i="6" s="1"/>
  <c r="GH77" i="6" s="1"/>
  <c r="GI77" i="6" s="1"/>
  <c r="GJ77" i="6" s="1"/>
  <c r="GK77" i="6" s="1"/>
  <c r="GL77" i="6" s="1"/>
  <c r="GM77" i="6" s="1"/>
  <c r="GO77" i="6" s="1"/>
  <c r="S55" i="6"/>
  <c r="R10" i="6"/>
  <c r="O27" i="6"/>
  <c r="GP74" i="6"/>
  <c r="GQ74" i="6" s="1"/>
  <c r="GR74" i="6" s="1"/>
  <c r="GS74" i="6" s="1"/>
  <c r="GT74" i="6" s="1"/>
  <c r="GU74" i="6" s="1"/>
  <c r="GV74" i="6" s="1"/>
  <c r="GW74" i="6" s="1"/>
  <c r="GX74" i="6" s="1"/>
  <c r="GY74" i="6" s="1"/>
  <c r="GZ74" i="6" s="1"/>
  <c r="HB74" i="6" s="1"/>
  <c r="AB69" i="6"/>
  <c r="AB70" i="6" s="1"/>
  <c r="AC68" i="6"/>
  <c r="J17" i="7"/>
  <c r="Q49" i="6" s="1"/>
  <c r="Q73" i="6"/>
  <c r="FP75" i="6"/>
  <c r="FQ75" i="6" s="1"/>
  <c r="FR75" i="6" s="1"/>
  <c r="FS75" i="6" s="1"/>
  <c r="FT75" i="6" s="1"/>
  <c r="FU75" i="6" s="1"/>
  <c r="FV75" i="6" s="1"/>
  <c r="FW75" i="6" s="1"/>
  <c r="FX75" i="6" s="1"/>
  <c r="FY75" i="6" s="1"/>
  <c r="FZ75" i="6" s="1"/>
  <c r="GB75" i="6" s="1"/>
  <c r="S59" i="6"/>
  <c r="T1" i="6"/>
  <c r="P18" i="6"/>
  <c r="M35" i="6"/>
  <c r="N34" i="6"/>
  <c r="N35" i="6" s="1"/>
  <c r="FN24" i="6"/>
  <c r="O34" i="6"/>
  <c r="FC21" i="6"/>
  <c r="FD21" i="6" s="1"/>
  <c r="FE21" i="6" s="1"/>
  <c r="FF21" i="6" s="1"/>
  <c r="FG21" i="6" s="1"/>
  <c r="FH21" i="6" s="1"/>
  <c r="FI21" i="6" s="1"/>
  <c r="FJ21" i="6" s="1"/>
  <c r="FK21" i="6" s="1"/>
  <c r="FL21" i="6" s="1"/>
  <c r="FM21" i="6" s="1"/>
  <c r="FO21" i="6" s="1"/>
  <c r="GC76" i="6"/>
  <c r="GD76" i="6" s="1"/>
  <c r="GE76" i="6" s="1"/>
  <c r="GF76" i="6" s="1"/>
  <c r="GG76" i="6" s="1"/>
  <c r="GH76" i="6" s="1"/>
  <c r="GI76" i="6" s="1"/>
  <c r="GJ76" i="6" s="1"/>
  <c r="GK76" i="6" s="1"/>
  <c r="GL76" i="6" s="1"/>
  <c r="GM76" i="6" s="1"/>
  <c r="GO76" i="6" s="1"/>
  <c r="AD51" i="6"/>
  <c r="AE22" i="6"/>
  <c r="B206" i="9"/>
  <c r="B207" i="9" s="1"/>
  <c r="B208" i="9" s="1"/>
  <c r="B209" i="9" s="1"/>
  <c r="B210" i="9" s="1"/>
  <c r="B211" i="9" s="1"/>
  <c r="B212" i="9" s="1"/>
  <c r="B213" i="9" s="1"/>
  <c r="B214" i="9" s="1"/>
  <c r="B215" i="9" s="1"/>
  <c r="B216" i="9" s="1"/>
  <c r="B217" i="9" s="1"/>
  <c r="A218" i="9"/>
  <c r="S30" i="6"/>
  <c r="Q20" i="6"/>
  <c r="P25" i="6"/>
  <c r="E15" i="4"/>
  <c r="D15" i="4"/>
  <c r="I18" i="4"/>
  <c r="B19" i="4"/>
  <c r="A18" i="4"/>
  <c r="GA24" i="6" l="1"/>
  <c r="GA23" i="6"/>
  <c r="HA74" i="6"/>
  <c r="FN21" i="6"/>
  <c r="B20" i="7"/>
  <c r="A19" i="7"/>
  <c r="F44" i="6"/>
  <c r="F47" i="6"/>
  <c r="F52" i="6" s="1"/>
  <c r="F8" i="6"/>
  <c r="F9" i="6" s="1"/>
  <c r="F8" i="7"/>
  <c r="G58" i="6"/>
  <c r="G60" i="6" s="1"/>
  <c r="D8" i="7"/>
  <c r="G37" i="6" s="1"/>
  <c r="U1" i="6"/>
  <c r="GP76" i="6"/>
  <c r="GQ76" i="6" s="1"/>
  <c r="GR76" i="6" s="1"/>
  <c r="GS76" i="6" s="1"/>
  <c r="GT76" i="6" s="1"/>
  <c r="GU76" i="6" s="1"/>
  <c r="GV76" i="6" s="1"/>
  <c r="GW76" i="6" s="1"/>
  <c r="GX76" i="6" s="1"/>
  <c r="GY76" i="6" s="1"/>
  <c r="GZ76" i="6" s="1"/>
  <c r="HB76" i="6" s="1"/>
  <c r="P27" i="6"/>
  <c r="P28" i="6" s="1"/>
  <c r="P34" i="6"/>
  <c r="AD68" i="6"/>
  <c r="AC69" i="6"/>
  <c r="P65" i="6"/>
  <c r="Q64" i="6" s="1"/>
  <c r="R20" i="6"/>
  <c r="Q25" i="6"/>
  <c r="T30" i="6"/>
  <c r="GC24" i="6"/>
  <c r="GD24" i="6" s="1"/>
  <c r="GE24" i="6" s="1"/>
  <c r="GF24" i="6" s="1"/>
  <c r="GG24" i="6" s="1"/>
  <c r="GH24" i="6" s="1"/>
  <c r="GI24" i="6" s="1"/>
  <c r="GJ24" i="6" s="1"/>
  <c r="GK24" i="6" s="1"/>
  <c r="GL24" i="6" s="1"/>
  <c r="GM24" i="6" s="1"/>
  <c r="GO24" i="6" s="1"/>
  <c r="FP21" i="6"/>
  <c r="FQ21" i="6" s="1"/>
  <c r="FR21" i="6" s="1"/>
  <c r="FS21" i="6" s="1"/>
  <c r="FT21" i="6" s="1"/>
  <c r="FU21" i="6" s="1"/>
  <c r="FV21" i="6" s="1"/>
  <c r="FW21" i="6" s="1"/>
  <c r="FX21" i="6" s="1"/>
  <c r="FY21" i="6" s="1"/>
  <c r="FZ21" i="6" s="1"/>
  <c r="GB21" i="6" s="1"/>
  <c r="O28" i="6"/>
  <c r="GA75" i="6"/>
  <c r="T55" i="6"/>
  <c r="S10" i="6"/>
  <c r="GC23" i="6"/>
  <c r="GD23" i="6" s="1"/>
  <c r="GE23" i="6" s="1"/>
  <c r="GF23" i="6" s="1"/>
  <c r="GG23" i="6" s="1"/>
  <c r="GH23" i="6" s="1"/>
  <c r="GI23" i="6" s="1"/>
  <c r="GJ23" i="6" s="1"/>
  <c r="GK23" i="6" s="1"/>
  <c r="GL23" i="6" s="1"/>
  <c r="GM23" i="6" s="1"/>
  <c r="GO23" i="6" s="1"/>
  <c r="R17" i="6"/>
  <c r="R18" i="6" s="1"/>
  <c r="S16" i="6"/>
  <c r="HC74" i="6"/>
  <c r="HD74" i="6" s="1"/>
  <c r="HE74" i="6" s="1"/>
  <c r="HF74" i="6" s="1"/>
  <c r="HG74" i="6" s="1"/>
  <c r="HH74" i="6" s="1"/>
  <c r="HI74" i="6" s="1"/>
  <c r="HJ74" i="6" s="1"/>
  <c r="HK74" i="6" s="1"/>
  <c r="HL74" i="6" s="1"/>
  <c r="HM74" i="6" s="1"/>
  <c r="HO74" i="6" s="1"/>
  <c r="A230" i="9"/>
  <c r="B218" i="9"/>
  <c r="B219" i="9" s="1"/>
  <c r="B220" i="9" s="1"/>
  <c r="B221" i="9" s="1"/>
  <c r="B222" i="9" s="1"/>
  <c r="B223" i="9" s="1"/>
  <c r="B224" i="9" s="1"/>
  <c r="B225" i="9" s="1"/>
  <c r="B226" i="9" s="1"/>
  <c r="B227" i="9" s="1"/>
  <c r="B228" i="9" s="1"/>
  <c r="B229" i="9" s="1"/>
  <c r="O35" i="6"/>
  <c r="R31" i="6"/>
  <c r="Q32" i="6"/>
  <c r="GC75" i="6"/>
  <c r="GD75" i="6" s="1"/>
  <c r="GE75" i="6" s="1"/>
  <c r="GF75" i="6" s="1"/>
  <c r="GG75" i="6" s="1"/>
  <c r="GH75" i="6" s="1"/>
  <c r="GI75" i="6" s="1"/>
  <c r="GJ75" i="6" s="1"/>
  <c r="GK75" i="6" s="1"/>
  <c r="GL75" i="6" s="1"/>
  <c r="GM75" i="6" s="1"/>
  <c r="GO75" i="6" s="1"/>
  <c r="H20" i="7"/>
  <c r="T59" i="6" s="1"/>
  <c r="K19" i="7"/>
  <c r="I19" i="7"/>
  <c r="S38" i="6" s="1"/>
  <c r="Q18" i="6"/>
  <c r="AE51" i="6"/>
  <c r="AF22" i="6"/>
  <c r="GP77" i="6"/>
  <c r="GQ77" i="6" s="1"/>
  <c r="GR77" i="6" s="1"/>
  <c r="GS77" i="6" s="1"/>
  <c r="GT77" i="6" s="1"/>
  <c r="GU77" i="6" s="1"/>
  <c r="GV77" i="6" s="1"/>
  <c r="GW77" i="6" s="1"/>
  <c r="GX77" i="6" s="1"/>
  <c r="GY77" i="6" s="1"/>
  <c r="GZ77" i="6" s="1"/>
  <c r="HB77" i="6" s="1"/>
  <c r="HA77" i="6"/>
  <c r="GN77" i="6"/>
  <c r="GN76" i="6"/>
  <c r="J18" i="7"/>
  <c r="R49" i="6" s="1"/>
  <c r="R73" i="6"/>
  <c r="B20" i="4"/>
  <c r="A19" i="4"/>
  <c r="I19" i="4"/>
  <c r="F15" i="4"/>
  <c r="G15" i="4" s="1"/>
  <c r="L15" i="4"/>
  <c r="K19" i="4"/>
  <c r="K20" i="4" s="1"/>
  <c r="HA76" i="6" l="1"/>
  <c r="HN74" i="6"/>
  <c r="GN75" i="6"/>
  <c r="B21" i="7"/>
  <c r="A20" i="7"/>
  <c r="G42" i="6"/>
  <c r="G39" i="6"/>
  <c r="E8" i="7"/>
  <c r="G72" i="6"/>
  <c r="G78" i="6" s="1"/>
  <c r="G80" i="6" s="1"/>
  <c r="G82" i="6" s="1"/>
  <c r="F56" i="6"/>
  <c r="F5" i="6"/>
  <c r="F7" i="6" s="1"/>
  <c r="F4" i="6"/>
  <c r="U30" i="6"/>
  <c r="AD69" i="6"/>
  <c r="AE68" i="6"/>
  <c r="GP23" i="6"/>
  <c r="GQ23" i="6" s="1"/>
  <c r="GR23" i="6" s="1"/>
  <c r="GS23" i="6" s="1"/>
  <c r="GT23" i="6" s="1"/>
  <c r="GU23" i="6" s="1"/>
  <c r="GV23" i="6" s="1"/>
  <c r="GW23" i="6" s="1"/>
  <c r="GX23" i="6" s="1"/>
  <c r="GY23" i="6" s="1"/>
  <c r="GZ23" i="6" s="1"/>
  <c r="HB23" i="6" s="1"/>
  <c r="Q65" i="6"/>
  <c r="R64" i="6" s="1"/>
  <c r="AC70" i="6"/>
  <c r="HC77" i="6"/>
  <c r="HD77" i="6" s="1"/>
  <c r="HE77" i="6" s="1"/>
  <c r="HF77" i="6" s="1"/>
  <c r="HG77" i="6" s="1"/>
  <c r="HH77" i="6" s="1"/>
  <c r="HI77" i="6" s="1"/>
  <c r="HJ77" i="6" s="1"/>
  <c r="HK77" i="6" s="1"/>
  <c r="HL77" i="6" s="1"/>
  <c r="HM77" i="6" s="1"/>
  <c r="HO77" i="6" s="1"/>
  <c r="HN77" i="6"/>
  <c r="R25" i="6"/>
  <c r="S20" i="6"/>
  <c r="AF51" i="6"/>
  <c r="AG22" i="6"/>
  <c r="V1" i="6"/>
  <c r="GA21" i="6"/>
  <c r="GP24" i="6"/>
  <c r="GQ24" i="6" s="1"/>
  <c r="GR24" i="6" s="1"/>
  <c r="GS24" i="6" s="1"/>
  <c r="GT24" i="6" s="1"/>
  <c r="GU24" i="6" s="1"/>
  <c r="GV24" i="6" s="1"/>
  <c r="GW24" i="6" s="1"/>
  <c r="GX24" i="6" s="1"/>
  <c r="GY24" i="6" s="1"/>
  <c r="GZ24" i="6" s="1"/>
  <c r="HB24" i="6" s="1"/>
  <c r="GN23" i="6"/>
  <c r="J19" i="7"/>
  <c r="S49" i="6" s="1"/>
  <c r="S73" i="6"/>
  <c r="H21" i="7"/>
  <c r="K20" i="7"/>
  <c r="I20" i="7"/>
  <c r="T38" i="6" s="1"/>
  <c r="HC76" i="6"/>
  <c r="HD76" i="6" s="1"/>
  <c r="HE76" i="6" s="1"/>
  <c r="HF76" i="6" s="1"/>
  <c r="HG76" i="6" s="1"/>
  <c r="HH76" i="6" s="1"/>
  <c r="HI76" i="6" s="1"/>
  <c r="HJ76" i="6" s="1"/>
  <c r="HK76" i="6" s="1"/>
  <c r="HL76" i="6" s="1"/>
  <c r="HM76" i="6" s="1"/>
  <c r="HO76" i="6" s="1"/>
  <c r="S31" i="6"/>
  <c r="R32" i="6"/>
  <c r="GC21" i="6"/>
  <c r="GD21" i="6" s="1"/>
  <c r="GE21" i="6" s="1"/>
  <c r="GF21" i="6" s="1"/>
  <c r="GG21" i="6" s="1"/>
  <c r="GH21" i="6" s="1"/>
  <c r="GI21" i="6" s="1"/>
  <c r="GJ21" i="6" s="1"/>
  <c r="GK21" i="6" s="1"/>
  <c r="GL21" i="6" s="1"/>
  <c r="GM21" i="6" s="1"/>
  <c r="GO21" i="6" s="1"/>
  <c r="Q27" i="6"/>
  <c r="Q34" i="6"/>
  <c r="GN24" i="6"/>
  <c r="A242" i="9"/>
  <c r="B230" i="9"/>
  <c r="B231" i="9" s="1"/>
  <c r="B232" i="9" s="1"/>
  <c r="B233" i="9" s="1"/>
  <c r="B234" i="9" s="1"/>
  <c r="B235" i="9" s="1"/>
  <c r="B236" i="9" s="1"/>
  <c r="B237" i="9" s="1"/>
  <c r="B238" i="9" s="1"/>
  <c r="B239" i="9" s="1"/>
  <c r="B240" i="9" s="1"/>
  <c r="B241" i="9" s="1"/>
  <c r="T10" i="6"/>
  <c r="U55" i="6"/>
  <c r="HP74" i="6"/>
  <c r="HQ74" i="6" s="1"/>
  <c r="HR74" i="6" s="1"/>
  <c r="HS74" i="6" s="1"/>
  <c r="HT74" i="6" s="1"/>
  <c r="HU74" i="6" s="1"/>
  <c r="HV74" i="6" s="1"/>
  <c r="HW74" i="6" s="1"/>
  <c r="HX74" i="6" s="1"/>
  <c r="HY74" i="6" s="1"/>
  <c r="HZ74" i="6" s="1"/>
  <c r="IB74" i="6" s="1"/>
  <c r="P35" i="6"/>
  <c r="GP75" i="6"/>
  <c r="GQ75" i="6" s="1"/>
  <c r="GR75" i="6" s="1"/>
  <c r="GS75" i="6" s="1"/>
  <c r="GT75" i="6" s="1"/>
  <c r="GU75" i="6" s="1"/>
  <c r="GV75" i="6" s="1"/>
  <c r="GW75" i="6" s="1"/>
  <c r="GX75" i="6" s="1"/>
  <c r="GY75" i="6" s="1"/>
  <c r="GZ75" i="6" s="1"/>
  <c r="HB75" i="6" s="1"/>
  <c r="S17" i="6"/>
  <c r="S18" i="6" s="1"/>
  <c r="T16" i="6"/>
  <c r="D16" i="4"/>
  <c r="E16" i="4"/>
  <c r="I20" i="4"/>
  <c r="B21" i="4"/>
  <c r="A20" i="4"/>
  <c r="U59" i="6" l="1"/>
  <c r="R34" i="6"/>
  <c r="R35" i="6" s="1"/>
  <c r="GN21" i="6"/>
  <c r="IA74" i="6"/>
  <c r="HA23" i="6"/>
  <c r="B22" i="7"/>
  <c r="A21" i="7"/>
  <c r="F6" i="6"/>
  <c r="F57" i="6"/>
  <c r="F61" i="6" s="1"/>
  <c r="F11" i="6" s="1"/>
  <c r="G48" i="6"/>
  <c r="C9" i="7"/>
  <c r="G43" i="6"/>
  <c r="G40" i="6"/>
  <c r="R65" i="6"/>
  <c r="S64" i="6" s="1"/>
  <c r="AH22" i="6"/>
  <c r="AG51" i="6"/>
  <c r="GP21" i="6"/>
  <c r="GQ21" i="6" s="1"/>
  <c r="GR21" i="6" s="1"/>
  <c r="GS21" i="6" s="1"/>
  <c r="GT21" i="6" s="1"/>
  <c r="GU21" i="6" s="1"/>
  <c r="GV21" i="6" s="1"/>
  <c r="GW21" i="6" s="1"/>
  <c r="GX21" i="6" s="1"/>
  <c r="GY21" i="6" s="1"/>
  <c r="GZ21" i="6" s="1"/>
  <c r="HB21" i="6" s="1"/>
  <c r="IC74" i="6"/>
  <c r="ID74" i="6" s="1"/>
  <c r="IE74" i="6" s="1"/>
  <c r="IF74" i="6" s="1"/>
  <c r="IG74" i="6" s="1"/>
  <c r="IH74" i="6" s="1"/>
  <c r="II74" i="6" s="1"/>
  <c r="IJ74" i="6" s="1"/>
  <c r="IK74" i="6" s="1"/>
  <c r="IL74" i="6" s="1"/>
  <c r="IM74" i="6" s="1"/>
  <c r="IO74" i="6" s="1"/>
  <c r="T31" i="6"/>
  <c r="S32" i="6"/>
  <c r="AD70" i="6"/>
  <c r="T17" i="6"/>
  <c r="T18" i="6" s="1"/>
  <c r="U16" i="6"/>
  <c r="T20" i="6"/>
  <c r="S25" i="6"/>
  <c r="S34" i="6" s="1"/>
  <c r="V30" i="6"/>
  <c r="R27" i="6"/>
  <c r="R28" i="6" s="1"/>
  <c r="HC75" i="6"/>
  <c r="HD75" i="6" s="1"/>
  <c r="HE75" i="6" s="1"/>
  <c r="HF75" i="6" s="1"/>
  <c r="HG75" i="6" s="1"/>
  <c r="HH75" i="6" s="1"/>
  <c r="HI75" i="6" s="1"/>
  <c r="HJ75" i="6" s="1"/>
  <c r="HK75" i="6" s="1"/>
  <c r="HL75" i="6" s="1"/>
  <c r="HM75" i="6" s="1"/>
  <c r="HO75" i="6" s="1"/>
  <c r="HC24" i="6"/>
  <c r="HD24" i="6" s="1"/>
  <c r="HE24" i="6" s="1"/>
  <c r="HF24" i="6" s="1"/>
  <c r="HG24" i="6" s="1"/>
  <c r="HH24" i="6" s="1"/>
  <c r="HI24" i="6" s="1"/>
  <c r="HJ24" i="6" s="1"/>
  <c r="HK24" i="6" s="1"/>
  <c r="HL24" i="6" s="1"/>
  <c r="HM24" i="6" s="1"/>
  <c r="HO24" i="6" s="1"/>
  <c r="HA24" i="6"/>
  <c r="U10" i="6"/>
  <c r="V55" i="6"/>
  <c r="HP76" i="6"/>
  <c r="HQ76" i="6" s="1"/>
  <c r="HR76" i="6" s="1"/>
  <c r="HS76" i="6" s="1"/>
  <c r="HT76" i="6" s="1"/>
  <c r="HU76" i="6" s="1"/>
  <c r="HV76" i="6" s="1"/>
  <c r="HW76" i="6" s="1"/>
  <c r="HX76" i="6" s="1"/>
  <c r="HY76" i="6" s="1"/>
  <c r="HZ76" i="6" s="1"/>
  <c r="IB76" i="6" s="1"/>
  <c r="HP77" i="6"/>
  <c r="HQ77" i="6" s="1"/>
  <c r="HR77" i="6" s="1"/>
  <c r="HS77" i="6" s="1"/>
  <c r="HT77" i="6" s="1"/>
  <c r="HU77" i="6" s="1"/>
  <c r="HV77" i="6" s="1"/>
  <c r="HW77" i="6" s="1"/>
  <c r="HX77" i="6" s="1"/>
  <c r="HY77" i="6" s="1"/>
  <c r="HZ77" i="6" s="1"/>
  <c r="IB77" i="6" s="1"/>
  <c r="AE69" i="6"/>
  <c r="AE70" i="6" s="1"/>
  <c r="AF68" i="6"/>
  <c r="HN76" i="6"/>
  <c r="W1" i="6"/>
  <c r="A254" i="9"/>
  <c r="B254" i="9" s="1"/>
  <c r="B255" i="9" s="1"/>
  <c r="B256" i="9" s="1"/>
  <c r="B257" i="9" s="1"/>
  <c r="B258" i="9" s="1"/>
  <c r="B259" i="9" s="1"/>
  <c r="B260" i="9" s="1"/>
  <c r="B261" i="9" s="1"/>
  <c r="B262" i="9" s="1"/>
  <c r="B263" i="9" s="1"/>
  <c r="B264" i="9" s="1"/>
  <c r="B265" i="9" s="1"/>
  <c r="B242" i="9"/>
  <c r="B243" i="9" s="1"/>
  <c r="B244" i="9" s="1"/>
  <c r="B245" i="9" s="1"/>
  <c r="B246" i="9" s="1"/>
  <c r="B247" i="9" s="1"/>
  <c r="B248" i="9" s="1"/>
  <c r="B249" i="9" s="1"/>
  <c r="B250" i="9" s="1"/>
  <c r="B251" i="9" s="1"/>
  <c r="B252" i="9" s="1"/>
  <c r="B253" i="9" s="1"/>
  <c r="HA75" i="6"/>
  <c r="J20" i="7"/>
  <c r="T49" i="6" s="1"/>
  <c r="T73" i="6"/>
  <c r="Q35" i="6"/>
  <c r="I21" i="7"/>
  <c r="U38" i="6" s="1"/>
  <c r="K21" i="7"/>
  <c r="H22" i="7"/>
  <c r="V59" i="6" s="1"/>
  <c r="Q28" i="6"/>
  <c r="HC23" i="6"/>
  <c r="HD23" i="6" s="1"/>
  <c r="HE23" i="6" s="1"/>
  <c r="HF23" i="6" s="1"/>
  <c r="HG23" i="6" s="1"/>
  <c r="HH23" i="6" s="1"/>
  <c r="HI23" i="6" s="1"/>
  <c r="HJ23" i="6" s="1"/>
  <c r="HK23" i="6" s="1"/>
  <c r="HL23" i="6" s="1"/>
  <c r="HM23" i="6" s="1"/>
  <c r="HO23" i="6" s="1"/>
  <c r="A21" i="4"/>
  <c r="B22" i="4"/>
  <c r="I21" i="4"/>
  <c r="F16" i="4"/>
  <c r="G16" i="4" s="1"/>
  <c r="L16" i="4"/>
  <c r="K21" i="4"/>
  <c r="K22" i="4" s="1"/>
  <c r="IA76" i="6" l="1"/>
  <c r="S27" i="6"/>
  <c r="S28" i="6" s="1"/>
  <c r="HN75" i="6"/>
  <c r="B23" i="7"/>
  <c r="A22" i="7"/>
  <c r="G47" i="6"/>
  <c r="G52" i="6" s="1"/>
  <c r="G44" i="6"/>
  <c r="G8" i="6"/>
  <c r="G9" i="6" s="1"/>
  <c r="F9" i="7"/>
  <c r="D9" i="7"/>
  <c r="H37" i="6" s="1"/>
  <c r="H58" i="6"/>
  <c r="H60" i="6" s="1"/>
  <c r="S65" i="6"/>
  <c r="T64" i="6" s="1"/>
  <c r="U17" i="6"/>
  <c r="U18" i="6" s="1"/>
  <c r="V16" i="6"/>
  <c r="IP74" i="6"/>
  <c r="IQ74" i="6" s="1"/>
  <c r="IR74" i="6" s="1"/>
  <c r="IS74" i="6" s="1"/>
  <c r="IT74" i="6" s="1"/>
  <c r="IU74" i="6" s="1"/>
  <c r="IV74" i="6" s="1"/>
  <c r="IW74" i="6" s="1"/>
  <c r="IX74" i="6" s="1"/>
  <c r="IY74" i="6" s="1"/>
  <c r="IZ74" i="6" s="1"/>
  <c r="JB74" i="6" s="1"/>
  <c r="IA77" i="6"/>
  <c r="HP75" i="6"/>
  <c r="HQ75" i="6" s="1"/>
  <c r="HR75" i="6" s="1"/>
  <c r="HS75" i="6" s="1"/>
  <c r="HT75" i="6" s="1"/>
  <c r="HU75" i="6" s="1"/>
  <c r="HV75" i="6" s="1"/>
  <c r="HW75" i="6" s="1"/>
  <c r="HX75" i="6" s="1"/>
  <c r="HY75" i="6" s="1"/>
  <c r="HZ75" i="6" s="1"/>
  <c r="IB75" i="6" s="1"/>
  <c r="AH51" i="6"/>
  <c r="AI22" i="6"/>
  <c r="U20" i="6"/>
  <c r="T25" i="6"/>
  <c r="K22" i="7"/>
  <c r="H23" i="7"/>
  <c r="I22" i="7"/>
  <c r="V38" i="6" s="1"/>
  <c r="IC77" i="6"/>
  <c r="ID77" i="6" s="1"/>
  <c r="IE77" i="6" s="1"/>
  <c r="IF77" i="6" s="1"/>
  <c r="IG77" i="6" s="1"/>
  <c r="IH77" i="6" s="1"/>
  <c r="II77" i="6" s="1"/>
  <c r="IJ77" i="6" s="1"/>
  <c r="IK77" i="6" s="1"/>
  <c r="IL77" i="6" s="1"/>
  <c r="IM77" i="6" s="1"/>
  <c r="IO77" i="6" s="1"/>
  <c r="IN77" i="6"/>
  <c r="W30" i="6"/>
  <c r="S35" i="6"/>
  <c r="HP23" i="6"/>
  <c r="HQ23" i="6" s="1"/>
  <c r="HR23" i="6" s="1"/>
  <c r="HS23" i="6" s="1"/>
  <c r="HT23" i="6" s="1"/>
  <c r="HU23" i="6" s="1"/>
  <c r="HV23" i="6" s="1"/>
  <c r="HW23" i="6" s="1"/>
  <c r="HX23" i="6" s="1"/>
  <c r="HY23" i="6" s="1"/>
  <c r="HZ23" i="6" s="1"/>
  <c r="IB23" i="6" s="1"/>
  <c r="HN23" i="6"/>
  <c r="AG68" i="6"/>
  <c r="AF69" i="6"/>
  <c r="AF70" i="6" s="1"/>
  <c r="HP24" i="6"/>
  <c r="HQ24" i="6" s="1"/>
  <c r="HR24" i="6" s="1"/>
  <c r="HS24" i="6" s="1"/>
  <c r="HT24" i="6" s="1"/>
  <c r="HU24" i="6" s="1"/>
  <c r="HV24" i="6" s="1"/>
  <c r="HW24" i="6" s="1"/>
  <c r="HX24" i="6" s="1"/>
  <c r="HY24" i="6" s="1"/>
  <c r="HZ24" i="6" s="1"/>
  <c r="IB24" i="6" s="1"/>
  <c r="U31" i="6"/>
  <c r="T32" i="6"/>
  <c r="X1" i="6"/>
  <c r="HC21" i="6"/>
  <c r="HD21" i="6" s="1"/>
  <c r="HE21" i="6" s="1"/>
  <c r="HF21" i="6" s="1"/>
  <c r="HG21" i="6" s="1"/>
  <c r="HH21" i="6" s="1"/>
  <c r="HI21" i="6" s="1"/>
  <c r="HJ21" i="6" s="1"/>
  <c r="HK21" i="6" s="1"/>
  <c r="HL21" i="6" s="1"/>
  <c r="HM21" i="6" s="1"/>
  <c r="HO21" i="6" s="1"/>
  <c r="J21" i="7"/>
  <c r="U49" i="6" s="1"/>
  <c r="U73" i="6"/>
  <c r="HA21" i="6"/>
  <c r="IC76" i="6"/>
  <c r="ID76" i="6" s="1"/>
  <c r="IE76" i="6" s="1"/>
  <c r="IF76" i="6" s="1"/>
  <c r="IG76" i="6" s="1"/>
  <c r="IH76" i="6" s="1"/>
  <c r="II76" i="6" s="1"/>
  <c r="IJ76" i="6" s="1"/>
  <c r="IK76" i="6" s="1"/>
  <c r="IL76" i="6" s="1"/>
  <c r="IM76" i="6" s="1"/>
  <c r="IO76" i="6" s="1"/>
  <c r="V10" i="6"/>
  <c r="W55" i="6"/>
  <c r="HN24" i="6"/>
  <c r="IN74" i="6"/>
  <c r="D17" i="4"/>
  <c r="E17" i="4"/>
  <c r="I22" i="4"/>
  <c r="B23" i="4"/>
  <c r="A22" i="4"/>
  <c r="T34" i="6" l="1"/>
  <c r="T35" i="6" s="1"/>
  <c r="IA24" i="6"/>
  <c r="B24" i="7"/>
  <c r="A23" i="7"/>
  <c r="H72" i="6"/>
  <c r="H78" i="6" s="1"/>
  <c r="H80" i="6" s="1"/>
  <c r="H82" i="6" s="1"/>
  <c r="E9" i="7"/>
  <c r="H42" i="6"/>
  <c r="H39" i="6"/>
  <c r="G5" i="6"/>
  <c r="G7" i="6" s="1"/>
  <c r="G4" i="6"/>
  <c r="G56" i="6"/>
  <c r="IC75" i="6"/>
  <c r="ID75" i="6" s="1"/>
  <c r="IE75" i="6" s="1"/>
  <c r="IF75" i="6" s="1"/>
  <c r="IG75" i="6" s="1"/>
  <c r="IH75" i="6" s="1"/>
  <c r="II75" i="6" s="1"/>
  <c r="IJ75" i="6" s="1"/>
  <c r="IK75" i="6" s="1"/>
  <c r="IL75" i="6" s="1"/>
  <c r="IM75" i="6" s="1"/>
  <c r="IO75" i="6" s="1"/>
  <c r="JA74" i="6"/>
  <c r="IA23" i="6"/>
  <c r="HP21" i="6"/>
  <c r="HQ21" i="6" s="1"/>
  <c r="HR21" i="6" s="1"/>
  <c r="HS21" i="6" s="1"/>
  <c r="HT21" i="6" s="1"/>
  <c r="HU21" i="6" s="1"/>
  <c r="HV21" i="6" s="1"/>
  <c r="HW21" i="6" s="1"/>
  <c r="HX21" i="6" s="1"/>
  <c r="HY21" i="6" s="1"/>
  <c r="HZ21" i="6" s="1"/>
  <c r="IB21" i="6" s="1"/>
  <c r="Y1" i="6"/>
  <c r="X30" i="6"/>
  <c r="AH68" i="6"/>
  <c r="AG69" i="6"/>
  <c r="AG70" i="6" s="1"/>
  <c r="V17" i="6"/>
  <c r="V18" i="6" s="1"/>
  <c r="W16" i="6"/>
  <c r="IP76" i="6"/>
  <c r="IQ76" i="6" s="1"/>
  <c r="IR76" i="6" s="1"/>
  <c r="IS76" i="6" s="1"/>
  <c r="IT76" i="6" s="1"/>
  <c r="IU76" i="6" s="1"/>
  <c r="IV76" i="6" s="1"/>
  <c r="IW76" i="6" s="1"/>
  <c r="IX76" i="6" s="1"/>
  <c r="IY76" i="6" s="1"/>
  <c r="IZ76" i="6" s="1"/>
  <c r="JB76" i="6" s="1"/>
  <c r="IN76" i="6"/>
  <c r="IC23" i="6"/>
  <c r="ID23" i="6" s="1"/>
  <c r="IE23" i="6" s="1"/>
  <c r="IF23" i="6" s="1"/>
  <c r="IG23" i="6" s="1"/>
  <c r="IH23" i="6" s="1"/>
  <c r="II23" i="6" s="1"/>
  <c r="IJ23" i="6" s="1"/>
  <c r="IK23" i="6" s="1"/>
  <c r="IL23" i="6" s="1"/>
  <c r="IM23" i="6" s="1"/>
  <c r="IO23" i="6" s="1"/>
  <c r="V31" i="6"/>
  <c r="U32" i="6"/>
  <c r="V20" i="6"/>
  <c r="U25" i="6"/>
  <c r="U27" i="6" s="1"/>
  <c r="U28" i="6" s="1"/>
  <c r="T27" i="6"/>
  <c r="IA75" i="6"/>
  <c r="JC74" i="6"/>
  <c r="JD74" i="6" s="1"/>
  <c r="JE74" i="6" s="1"/>
  <c r="JF74" i="6" s="1"/>
  <c r="JG74" i="6" s="1"/>
  <c r="JH74" i="6" s="1"/>
  <c r="JI74" i="6" s="1"/>
  <c r="JJ74" i="6" s="1"/>
  <c r="JK74" i="6" s="1"/>
  <c r="JL74" i="6" s="1"/>
  <c r="JM74" i="6" s="1"/>
  <c r="JO74" i="6" s="1"/>
  <c r="X55" i="6"/>
  <c r="W10" i="6"/>
  <c r="IP77" i="6"/>
  <c r="IQ77" i="6" s="1"/>
  <c r="IR77" i="6" s="1"/>
  <c r="IS77" i="6" s="1"/>
  <c r="IT77" i="6" s="1"/>
  <c r="IU77" i="6" s="1"/>
  <c r="IV77" i="6" s="1"/>
  <c r="IW77" i="6" s="1"/>
  <c r="IX77" i="6" s="1"/>
  <c r="IY77" i="6" s="1"/>
  <c r="IZ77" i="6" s="1"/>
  <c r="JB77" i="6" s="1"/>
  <c r="K23" i="7"/>
  <c r="I23" i="7"/>
  <c r="W38" i="6" s="1"/>
  <c r="H24" i="7"/>
  <c r="J22" i="7"/>
  <c r="V49" i="6" s="1"/>
  <c r="V73" i="6"/>
  <c r="W59" i="6"/>
  <c r="T65" i="6"/>
  <c r="U64" i="6" s="1"/>
  <c r="HN21" i="6"/>
  <c r="IC24" i="6"/>
  <c r="ID24" i="6" s="1"/>
  <c r="IE24" i="6" s="1"/>
  <c r="IF24" i="6" s="1"/>
  <c r="IG24" i="6" s="1"/>
  <c r="IH24" i="6" s="1"/>
  <c r="II24" i="6" s="1"/>
  <c r="IJ24" i="6" s="1"/>
  <c r="IK24" i="6" s="1"/>
  <c r="IL24" i="6" s="1"/>
  <c r="IM24" i="6" s="1"/>
  <c r="IO24" i="6" s="1"/>
  <c r="AJ22" i="6"/>
  <c r="AI51" i="6"/>
  <c r="A23" i="4"/>
  <c r="B24" i="4"/>
  <c r="I23" i="4"/>
  <c r="F17" i="4"/>
  <c r="G17" i="4" s="1"/>
  <c r="L17" i="4"/>
  <c r="K23" i="4"/>
  <c r="K24" i="4" s="1"/>
  <c r="JA77" i="6" l="1"/>
  <c r="JN74" i="6"/>
  <c r="IN23" i="6"/>
  <c r="IN24" i="6"/>
  <c r="IA21" i="6"/>
  <c r="U34" i="6"/>
  <c r="U35" i="6" s="1"/>
  <c r="B25" i="7"/>
  <c r="A24" i="7"/>
  <c r="H48" i="6"/>
  <c r="C10" i="7"/>
  <c r="G57" i="6"/>
  <c r="G61" i="6" s="1"/>
  <c r="G11" i="6" s="1"/>
  <c r="G6" i="6"/>
  <c r="H43" i="6"/>
  <c r="H40" i="6"/>
  <c r="U65" i="6"/>
  <c r="V64" i="6" s="1"/>
  <c r="Y30" i="6"/>
  <c r="Z1" i="6"/>
  <c r="H25" i="7"/>
  <c r="K24" i="7"/>
  <c r="I24" i="7"/>
  <c r="X38" i="6" s="1"/>
  <c r="J23" i="7"/>
  <c r="W49" i="6" s="1"/>
  <c r="W73" i="6"/>
  <c r="X16" i="6"/>
  <c r="W17" i="6"/>
  <c r="W18" i="6" s="1"/>
  <c r="JC77" i="6"/>
  <c r="JD77" i="6" s="1"/>
  <c r="JE77" i="6" s="1"/>
  <c r="JF77" i="6" s="1"/>
  <c r="JG77" i="6" s="1"/>
  <c r="JH77" i="6" s="1"/>
  <c r="JI77" i="6" s="1"/>
  <c r="JJ77" i="6" s="1"/>
  <c r="JK77" i="6" s="1"/>
  <c r="JL77" i="6" s="1"/>
  <c r="JM77" i="6" s="1"/>
  <c r="JO77" i="6" s="1"/>
  <c r="W20" i="6"/>
  <c r="V25" i="6"/>
  <c r="V27" i="6" s="1"/>
  <c r="AI68" i="6"/>
  <c r="AH69" i="6"/>
  <c r="AH70" i="6" s="1"/>
  <c r="W31" i="6"/>
  <c r="V32" i="6"/>
  <c r="IN75" i="6"/>
  <c r="T28" i="6"/>
  <c r="JC76" i="6"/>
  <c r="JD76" i="6" s="1"/>
  <c r="JE76" i="6" s="1"/>
  <c r="JF76" i="6" s="1"/>
  <c r="JG76" i="6" s="1"/>
  <c r="JH76" i="6" s="1"/>
  <c r="JI76" i="6" s="1"/>
  <c r="JJ76" i="6" s="1"/>
  <c r="JK76" i="6" s="1"/>
  <c r="JL76" i="6" s="1"/>
  <c r="JM76" i="6" s="1"/>
  <c r="JO76" i="6" s="1"/>
  <c r="JN76" i="6"/>
  <c r="X59" i="6"/>
  <c r="JP74" i="6"/>
  <c r="JQ74" i="6" s="1"/>
  <c r="JR74" i="6" s="1"/>
  <c r="JS74" i="6" s="1"/>
  <c r="JT74" i="6" s="1"/>
  <c r="JU74" i="6" s="1"/>
  <c r="JV74" i="6" s="1"/>
  <c r="JW74" i="6" s="1"/>
  <c r="JX74" i="6" s="1"/>
  <c r="JY74" i="6" s="1"/>
  <c r="JZ74" i="6" s="1"/>
  <c r="KB74" i="6" s="1"/>
  <c r="IP75" i="6"/>
  <c r="IQ75" i="6" s="1"/>
  <c r="IR75" i="6" s="1"/>
  <c r="IS75" i="6" s="1"/>
  <c r="IT75" i="6" s="1"/>
  <c r="IU75" i="6" s="1"/>
  <c r="IV75" i="6" s="1"/>
  <c r="IW75" i="6" s="1"/>
  <c r="IX75" i="6" s="1"/>
  <c r="IY75" i="6" s="1"/>
  <c r="IZ75" i="6" s="1"/>
  <c r="JB75" i="6" s="1"/>
  <c r="IP23" i="6"/>
  <c r="IQ23" i="6" s="1"/>
  <c r="IR23" i="6" s="1"/>
  <c r="IS23" i="6" s="1"/>
  <c r="IT23" i="6" s="1"/>
  <c r="IU23" i="6" s="1"/>
  <c r="IV23" i="6" s="1"/>
  <c r="IW23" i="6" s="1"/>
  <c r="IX23" i="6" s="1"/>
  <c r="IY23" i="6" s="1"/>
  <c r="IZ23" i="6" s="1"/>
  <c r="JB23" i="6" s="1"/>
  <c r="JA76" i="6"/>
  <c r="AJ51" i="6"/>
  <c r="AK22" i="6"/>
  <c r="IP24" i="6"/>
  <c r="IQ24" i="6" s="1"/>
  <c r="IR24" i="6" s="1"/>
  <c r="IS24" i="6" s="1"/>
  <c r="IT24" i="6" s="1"/>
  <c r="IU24" i="6" s="1"/>
  <c r="IV24" i="6" s="1"/>
  <c r="IW24" i="6" s="1"/>
  <c r="IX24" i="6" s="1"/>
  <c r="IY24" i="6" s="1"/>
  <c r="IZ24" i="6" s="1"/>
  <c r="JB24" i="6" s="1"/>
  <c r="Y55" i="6"/>
  <c r="X10" i="6"/>
  <c r="IC21" i="6"/>
  <c r="ID21" i="6" s="1"/>
  <c r="IE21" i="6" s="1"/>
  <c r="IF21" i="6" s="1"/>
  <c r="IG21" i="6" s="1"/>
  <c r="IH21" i="6" s="1"/>
  <c r="II21" i="6" s="1"/>
  <c r="IJ21" i="6" s="1"/>
  <c r="IK21" i="6" s="1"/>
  <c r="IL21" i="6" s="1"/>
  <c r="IM21" i="6" s="1"/>
  <c r="IO21" i="6" s="1"/>
  <c r="E18" i="4"/>
  <c r="D18" i="4"/>
  <c r="B25" i="4"/>
  <c r="K25" i="4" s="1"/>
  <c r="A24" i="4"/>
  <c r="I24" i="4"/>
  <c r="IN21" i="6" l="1"/>
  <c r="JA24" i="6"/>
  <c r="KA74" i="6"/>
  <c r="Y59" i="6"/>
  <c r="B26" i="7"/>
  <c r="A25" i="7"/>
  <c r="H8" i="6"/>
  <c r="H9" i="6" s="1"/>
  <c r="H47" i="6"/>
  <c r="H52" i="6" s="1"/>
  <c r="H44" i="6"/>
  <c r="D10" i="7"/>
  <c r="I37" i="6" s="1"/>
  <c r="I58" i="6"/>
  <c r="I60" i="6" s="1"/>
  <c r="F10" i="7"/>
  <c r="V28" i="6"/>
  <c r="Y10" i="6"/>
  <c r="Z55" i="6"/>
  <c r="JP77" i="6"/>
  <c r="JQ77" i="6" s="1"/>
  <c r="JR77" i="6" s="1"/>
  <c r="JS77" i="6" s="1"/>
  <c r="JT77" i="6" s="1"/>
  <c r="JU77" i="6" s="1"/>
  <c r="JV77" i="6" s="1"/>
  <c r="JW77" i="6" s="1"/>
  <c r="JX77" i="6" s="1"/>
  <c r="JY77" i="6" s="1"/>
  <c r="JZ77" i="6" s="1"/>
  <c r="KB77" i="6" s="1"/>
  <c r="JP76" i="6"/>
  <c r="JQ76" i="6" s="1"/>
  <c r="JR76" i="6" s="1"/>
  <c r="JS76" i="6" s="1"/>
  <c r="JT76" i="6" s="1"/>
  <c r="JU76" i="6" s="1"/>
  <c r="JV76" i="6" s="1"/>
  <c r="JW76" i="6" s="1"/>
  <c r="JX76" i="6" s="1"/>
  <c r="JY76" i="6" s="1"/>
  <c r="JZ76" i="6" s="1"/>
  <c r="KB76" i="6" s="1"/>
  <c r="V65" i="6"/>
  <c r="W64" i="6" s="1"/>
  <c r="IP21" i="6"/>
  <c r="IQ21" i="6" s="1"/>
  <c r="IR21" i="6" s="1"/>
  <c r="IS21" i="6" s="1"/>
  <c r="IT21" i="6" s="1"/>
  <c r="IU21" i="6" s="1"/>
  <c r="IV21" i="6" s="1"/>
  <c r="IW21" i="6" s="1"/>
  <c r="IX21" i="6" s="1"/>
  <c r="IY21" i="6" s="1"/>
  <c r="IZ21" i="6" s="1"/>
  <c r="JB21" i="6" s="1"/>
  <c r="K25" i="7"/>
  <c r="H26" i="7"/>
  <c r="Z59" i="6" s="1"/>
  <c r="AA59" i="6" s="1"/>
  <c r="I25" i="7"/>
  <c r="Y38" i="6" s="1"/>
  <c r="X20" i="6"/>
  <c r="W25" i="6"/>
  <c r="W27" i="6" s="1"/>
  <c r="W28" i="6" s="1"/>
  <c r="JN77" i="6"/>
  <c r="Y16" i="6"/>
  <c r="X17" i="6"/>
  <c r="X18" i="6" s="1"/>
  <c r="V34" i="6"/>
  <c r="JC75" i="6"/>
  <c r="JD75" i="6" s="1"/>
  <c r="JE75" i="6" s="1"/>
  <c r="JF75" i="6" s="1"/>
  <c r="JG75" i="6" s="1"/>
  <c r="JH75" i="6" s="1"/>
  <c r="JI75" i="6" s="1"/>
  <c r="JJ75" i="6" s="1"/>
  <c r="JK75" i="6" s="1"/>
  <c r="JL75" i="6" s="1"/>
  <c r="JM75" i="6" s="1"/>
  <c r="JO75" i="6" s="1"/>
  <c r="Z30" i="6"/>
  <c r="JA75" i="6"/>
  <c r="X31" i="6"/>
  <c r="W32" i="6"/>
  <c r="J24" i="7"/>
  <c r="X49" i="6" s="1"/>
  <c r="X73" i="6"/>
  <c r="KC74" i="6"/>
  <c r="KD74" i="6" s="1"/>
  <c r="KE74" i="6" s="1"/>
  <c r="KF74" i="6" s="1"/>
  <c r="KG74" i="6" s="1"/>
  <c r="KH74" i="6" s="1"/>
  <c r="KI74" i="6" s="1"/>
  <c r="KJ74" i="6" s="1"/>
  <c r="KK74" i="6" s="1"/>
  <c r="KL74" i="6" s="1"/>
  <c r="KM74" i="6" s="1"/>
  <c r="KO74" i="6" s="1"/>
  <c r="AB1" i="6"/>
  <c r="AA1" i="6"/>
  <c r="AI69" i="6"/>
  <c r="AI70" i="6" s="1"/>
  <c r="AJ68" i="6"/>
  <c r="JC24" i="6"/>
  <c r="JD24" i="6" s="1"/>
  <c r="JE24" i="6" s="1"/>
  <c r="JF24" i="6" s="1"/>
  <c r="JG24" i="6" s="1"/>
  <c r="JH24" i="6" s="1"/>
  <c r="JI24" i="6" s="1"/>
  <c r="JJ24" i="6" s="1"/>
  <c r="JK24" i="6" s="1"/>
  <c r="JL24" i="6" s="1"/>
  <c r="JM24" i="6" s="1"/>
  <c r="JO24" i="6" s="1"/>
  <c r="AK51" i="6"/>
  <c r="AL22" i="6"/>
  <c r="JC23" i="6"/>
  <c r="JD23" i="6" s="1"/>
  <c r="JE23" i="6" s="1"/>
  <c r="JF23" i="6" s="1"/>
  <c r="JG23" i="6" s="1"/>
  <c r="JH23" i="6" s="1"/>
  <c r="JI23" i="6" s="1"/>
  <c r="JJ23" i="6" s="1"/>
  <c r="JK23" i="6" s="1"/>
  <c r="JL23" i="6" s="1"/>
  <c r="JM23" i="6" s="1"/>
  <c r="JO23" i="6" s="1"/>
  <c r="JA23" i="6"/>
  <c r="I25" i="4"/>
  <c r="A25" i="4"/>
  <c r="B26" i="4"/>
  <c r="F18" i="4"/>
  <c r="G18" i="4" s="1"/>
  <c r="L18" i="4"/>
  <c r="KA76" i="6" l="1"/>
  <c r="W34" i="6"/>
  <c r="W35" i="6" s="1"/>
  <c r="JN24" i="6"/>
  <c r="JN75" i="6"/>
  <c r="KN74" i="6"/>
  <c r="B27" i="7"/>
  <c r="A26" i="7"/>
  <c r="E10" i="7"/>
  <c r="I72" i="6"/>
  <c r="I78" i="6" s="1"/>
  <c r="I80" i="6" s="1"/>
  <c r="I82" i="6" s="1"/>
  <c r="I39" i="6"/>
  <c r="I42" i="6"/>
  <c r="H5" i="6"/>
  <c r="H7" i="6" s="1"/>
  <c r="H4" i="6"/>
  <c r="H56" i="6"/>
  <c r="W65" i="6"/>
  <c r="X64" i="6" s="1"/>
  <c r="X25" i="6"/>
  <c r="X27" i="6" s="1"/>
  <c r="X28" i="6" s="1"/>
  <c r="Y20" i="6"/>
  <c r="KC77" i="6"/>
  <c r="KD77" i="6" s="1"/>
  <c r="KE77" i="6" s="1"/>
  <c r="KF77" i="6" s="1"/>
  <c r="KG77" i="6" s="1"/>
  <c r="KH77" i="6" s="1"/>
  <c r="KI77" i="6" s="1"/>
  <c r="KJ77" i="6" s="1"/>
  <c r="KK77" i="6" s="1"/>
  <c r="KL77" i="6" s="1"/>
  <c r="KM77" i="6" s="1"/>
  <c r="KO77" i="6" s="1"/>
  <c r="J25" i="7"/>
  <c r="Y49" i="6" s="1"/>
  <c r="Y73" i="6"/>
  <c r="KP74" i="6"/>
  <c r="KQ74" i="6" s="1"/>
  <c r="KR74" i="6" s="1"/>
  <c r="KS74" i="6" s="1"/>
  <c r="KT74" i="6" s="1"/>
  <c r="KU74" i="6" s="1"/>
  <c r="KV74" i="6" s="1"/>
  <c r="KW74" i="6" s="1"/>
  <c r="KX74" i="6" s="1"/>
  <c r="KY74" i="6" s="1"/>
  <c r="KZ74" i="6" s="1"/>
  <c r="LB74" i="6" s="1"/>
  <c r="Y17" i="6"/>
  <c r="Y18" i="6" s="1"/>
  <c r="Z16" i="6"/>
  <c r="JA21" i="6"/>
  <c r="Y31" i="6"/>
  <c r="X32" i="6"/>
  <c r="AC1" i="6"/>
  <c r="JP23" i="6"/>
  <c r="JQ23" i="6" s="1"/>
  <c r="JR23" i="6" s="1"/>
  <c r="JS23" i="6" s="1"/>
  <c r="JT23" i="6" s="1"/>
  <c r="JU23" i="6" s="1"/>
  <c r="JV23" i="6" s="1"/>
  <c r="JW23" i="6" s="1"/>
  <c r="JX23" i="6" s="1"/>
  <c r="JY23" i="6" s="1"/>
  <c r="JZ23" i="6" s="1"/>
  <c r="KB23" i="6" s="1"/>
  <c r="KA77" i="6"/>
  <c r="JN23" i="6"/>
  <c r="AB55" i="6"/>
  <c r="AA55" i="6"/>
  <c r="Z10" i="6"/>
  <c r="AA10" i="6" s="1"/>
  <c r="JP75" i="6"/>
  <c r="JQ75" i="6" s="1"/>
  <c r="JR75" i="6" s="1"/>
  <c r="JS75" i="6" s="1"/>
  <c r="JT75" i="6" s="1"/>
  <c r="JU75" i="6" s="1"/>
  <c r="JV75" i="6" s="1"/>
  <c r="JW75" i="6" s="1"/>
  <c r="JX75" i="6" s="1"/>
  <c r="JY75" i="6" s="1"/>
  <c r="JZ75" i="6" s="1"/>
  <c r="KB75" i="6" s="1"/>
  <c r="V35" i="6"/>
  <c r="JP24" i="6"/>
  <c r="JQ24" i="6" s="1"/>
  <c r="JR24" i="6" s="1"/>
  <c r="JS24" i="6" s="1"/>
  <c r="JT24" i="6" s="1"/>
  <c r="JU24" i="6" s="1"/>
  <c r="JV24" i="6" s="1"/>
  <c r="JW24" i="6" s="1"/>
  <c r="JX24" i="6" s="1"/>
  <c r="JY24" i="6" s="1"/>
  <c r="JZ24" i="6" s="1"/>
  <c r="KB24" i="6" s="1"/>
  <c r="H27" i="7"/>
  <c r="AB59" i="6" s="1"/>
  <c r="K26" i="7"/>
  <c r="I26" i="7"/>
  <c r="Z38" i="6" s="1"/>
  <c r="AA38" i="6" s="1"/>
  <c r="KC76" i="6"/>
  <c r="KD76" i="6" s="1"/>
  <c r="KE76" i="6" s="1"/>
  <c r="KF76" i="6" s="1"/>
  <c r="KG76" i="6" s="1"/>
  <c r="KH76" i="6" s="1"/>
  <c r="KI76" i="6" s="1"/>
  <c r="KJ76" i="6" s="1"/>
  <c r="KK76" i="6" s="1"/>
  <c r="KL76" i="6" s="1"/>
  <c r="KM76" i="6" s="1"/>
  <c r="KO76" i="6" s="1"/>
  <c r="KN76" i="6"/>
  <c r="AB30" i="6"/>
  <c r="AA30" i="6"/>
  <c r="AL51" i="6"/>
  <c r="AM22" i="6"/>
  <c r="AK68" i="6"/>
  <c r="AJ69" i="6"/>
  <c r="AJ70" i="6" s="1"/>
  <c r="JC21" i="6"/>
  <c r="JD21" i="6" s="1"/>
  <c r="JE21" i="6" s="1"/>
  <c r="JF21" i="6" s="1"/>
  <c r="JG21" i="6" s="1"/>
  <c r="JH21" i="6" s="1"/>
  <c r="JI21" i="6" s="1"/>
  <c r="JJ21" i="6" s="1"/>
  <c r="JK21" i="6" s="1"/>
  <c r="JL21" i="6" s="1"/>
  <c r="JM21" i="6" s="1"/>
  <c r="JO21" i="6" s="1"/>
  <c r="E19" i="4"/>
  <c r="D19" i="4"/>
  <c r="I26" i="4"/>
  <c r="B27" i="4"/>
  <c r="A26" i="4"/>
  <c r="K26" i="4"/>
  <c r="K27" i="4" s="1"/>
  <c r="KN77" i="6" l="1"/>
  <c r="KA23" i="6"/>
  <c r="X34" i="6"/>
  <c r="X35" i="6" s="1"/>
  <c r="B28" i="7"/>
  <c r="A27" i="7"/>
  <c r="I48" i="6"/>
  <c r="C11" i="7"/>
  <c r="I43" i="6"/>
  <c r="I40" i="6"/>
  <c r="H6" i="6"/>
  <c r="H57" i="6"/>
  <c r="H61" i="6" s="1"/>
  <c r="H11" i="6" s="1"/>
  <c r="X65" i="6"/>
  <c r="Y64" i="6" s="1"/>
  <c r="AC55" i="6"/>
  <c r="AB10" i="6"/>
  <c r="KC23" i="6"/>
  <c r="KD23" i="6" s="1"/>
  <c r="KE23" i="6" s="1"/>
  <c r="KF23" i="6" s="1"/>
  <c r="KG23" i="6" s="1"/>
  <c r="KH23" i="6" s="1"/>
  <c r="KI23" i="6" s="1"/>
  <c r="KJ23" i="6" s="1"/>
  <c r="KK23" i="6" s="1"/>
  <c r="KL23" i="6" s="1"/>
  <c r="KM23" i="6" s="1"/>
  <c r="KO23" i="6" s="1"/>
  <c r="AO22" i="6"/>
  <c r="AM51" i="6"/>
  <c r="AN51" i="6" s="1"/>
  <c r="AN22" i="6"/>
  <c r="Z20" i="6"/>
  <c r="Y25" i="6"/>
  <c r="KA75" i="6"/>
  <c r="LA74" i="6"/>
  <c r="J26" i="7"/>
  <c r="Z49" i="6" s="1"/>
  <c r="AA49" i="6" s="1"/>
  <c r="Z73" i="6"/>
  <c r="AA73" i="6" s="1"/>
  <c r="K27" i="7"/>
  <c r="I27" i="7"/>
  <c r="AB38" i="6" s="1"/>
  <c r="H28" i="7"/>
  <c r="KC24" i="6"/>
  <c r="KD24" i="6" s="1"/>
  <c r="KE24" i="6" s="1"/>
  <c r="KF24" i="6" s="1"/>
  <c r="KG24" i="6" s="1"/>
  <c r="KH24" i="6" s="1"/>
  <c r="KI24" i="6" s="1"/>
  <c r="KJ24" i="6" s="1"/>
  <c r="KK24" i="6" s="1"/>
  <c r="KL24" i="6" s="1"/>
  <c r="KM24" i="6" s="1"/>
  <c r="KO24" i="6" s="1"/>
  <c r="KA24" i="6"/>
  <c r="KP77" i="6"/>
  <c r="KQ77" i="6" s="1"/>
  <c r="KR77" i="6" s="1"/>
  <c r="KS77" i="6" s="1"/>
  <c r="KT77" i="6" s="1"/>
  <c r="KU77" i="6" s="1"/>
  <c r="KV77" i="6" s="1"/>
  <c r="KW77" i="6" s="1"/>
  <c r="KX77" i="6" s="1"/>
  <c r="KY77" i="6" s="1"/>
  <c r="KZ77" i="6" s="1"/>
  <c r="LB77" i="6" s="1"/>
  <c r="AC30" i="6"/>
  <c r="LC74" i="6"/>
  <c r="LD74" i="6" s="1"/>
  <c r="LE74" i="6" s="1"/>
  <c r="LF74" i="6" s="1"/>
  <c r="LG74" i="6" s="1"/>
  <c r="LH74" i="6" s="1"/>
  <c r="LI74" i="6" s="1"/>
  <c r="LJ74" i="6" s="1"/>
  <c r="LK74" i="6" s="1"/>
  <c r="LL74" i="6" s="1"/>
  <c r="LM74" i="6" s="1"/>
  <c r="LO74" i="6" s="1"/>
  <c r="JP21" i="6"/>
  <c r="JQ21" i="6" s="1"/>
  <c r="JR21" i="6" s="1"/>
  <c r="JS21" i="6" s="1"/>
  <c r="JT21" i="6" s="1"/>
  <c r="JU21" i="6" s="1"/>
  <c r="JV21" i="6" s="1"/>
  <c r="JW21" i="6" s="1"/>
  <c r="JX21" i="6" s="1"/>
  <c r="JY21" i="6" s="1"/>
  <c r="JZ21" i="6" s="1"/>
  <c r="KB21" i="6" s="1"/>
  <c r="Z31" i="6"/>
  <c r="Y32" i="6"/>
  <c r="AL68" i="6"/>
  <c r="AK69" i="6"/>
  <c r="AK70" i="6" s="1"/>
  <c r="AD1" i="6"/>
  <c r="Z17" i="6"/>
  <c r="AA17" i="6" s="1"/>
  <c r="AB16" i="6"/>
  <c r="AA16" i="6"/>
  <c r="KC75" i="6"/>
  <c r="KD75" i="6" s="1"/>
  <c r="KE75" i="6" s="1"/>
  <c r="KF75" i="6" s="1"/>
  <c r="KG75" i="6" s="1"/>
  <c r="KH75" i="6" s="1"/>
  <c r="KI75" i="6" s="1"/>
  <c r="KJ75" i="6" s="1"/>
  <c r="KK75" i="6" s="1"/>
  <c r="KL75" i="6" s="1"/>
  <c r="KM75" i="6" s="1"/>
  <c r="KO75" i="6" s="1"/>
  <c r="JN21" i="6"/>
  <c r="KP76" i="6"/>
  <c r="KQ76" i="6" s="1"/>
  <c r="KR76" i="6" s="1"/>
  <c r="KS76" i="6" s="1"/>
  <c r="KT76" i="6" s="1"/>
  <c r="KU76" i="6" s="1"/>
  <c r="KV76" i="6" s="1"/>
  <c r="KW76" i="6" s="1"/>
  <c r="KX76" i="6" s="1"/>
  <c r="KY76" i="6" s="1"/>
  <c r="KZ76" i="6" s="1"/>
  <c r="LB76" i="6" s="1"/>
  <c r="K28" i="4"/>
  <c r="A27" i="4"/>
  <c r="B28" i="4"/>
  <c r="I27" i="4"/>
  <c r="F19" i="4"/>
  <c r="G19" i="4" s="1"/>
  <c r="L19" i="4"/>
  <c r="Y34" i="6" l="1"/>
  <c r="Y35" i="6" s="1"/>
  <c r="KN23" i="6"/>
  <c r="B29" i="7"/>
  <c r="A28" i="7"/>
  <c r="I44" i="6"/>
  <c r="I8" i="6"/>
  <c r="I9" i="6" s="1"/>
  <c r="I47" i="6"/>
  <c r="I52" i="6" s="1"/>
  <c r="D11" i="7"/>
  <c r="J37" i="6" s="1"/>
  <c r="J58" i="6"/>
  <c r="J60" i="6" s="1"/>
  <c r="F11" i="7"/>
  <c r="Y65" i="6"/>
  <c r="Z64" i="6" s="1"/>
  <c r="LC77" i="6"/>
  <c r="LD77" i="6" s="1"/>
  <c r="LE77" i="6" s="1"/>
  <c r="LF77" i="6" s="1"/>
  <c r="LG77" i="6" s="1"/>
  <c r="LH77" i="6" s="1"/>
  <c r="LI77" i="6" s="1"/>
  <c r="LJ77" i="6" s="1"/>
  <c r="LK77" i="6" s="1"/>
  <c r="LL77" i="6" s="1"/>
  <c r="LM77" i="6" s="1"/>
  <c r="LO77" i="6" s="1"/>
  <c r="LN77" i="6"/>
  <c r="LA77" i="6"/>
  <c r="KP24" i="6"/>
  <c r="KQ24" i="6" s="1"/>
  <c r="KR24" i="6" s="1"/>
  <c r="KS24" i="6" s="1"/>
  <c r="KT24" i="6" s="1"/>
  <c r="KU24" i="6" s="1"/>
  <c r="KV24" i="6" s="1"/>
  <c r="KW24" i="6" s="1"/>
  <c r="KX24" i="6" s="1"/>
  <c r="KY24" i="6" s="1"/>
  <c r="KZ24" i="6" s="1"/>
  <c r="LB24" i="6" s="1"/>
  <c r="LA76" i="6"/>
  <c r="KC21" i="6"/>
  <c r="KD21" i="6" s="1"/>
  <c r="KE21" i="6" s="1"/>
  <c r="KF21" i="6" s="1"/>
  <c r="KG21" i="6" s="1"/>
  <c r="KH21" i="6" s="1"/>
  <c r="KI21" i="6" s="1"/>
  <c r="KJ21" i="6" s="1"/>
  <c r="KK21" i="6" s="1"/>
  <c r="KL21" i="6" s="1"/>
  <c r="KM21" i="6" s="1"/>
  <c r="KO21" i="6" s="1"/>
  <c r="KP75" i="6"/>
  <c r="KQ75" i="6" s="1"/>
  <c r="KR75" i="6" s="1"/>
  <c r="KS75" i="6" s="1"/>
  <c r="KT75" i="6" s="1"/>
  <c r="KU75" i="6" s="1"/>
  <c r="KV75" i="6" s="1"/>
  <c r="KW75" i="6" s="1"/>
  <c r="KX75" i="6" s="1"/>
  <c r="KY75" i="6" s="1"/>
  <c r="KZ75" i="6" s="1"/>
  <c r="LB75" i="6" s="1"/>
  <c r="KN75" i="6"/>
  <c r="AD55" i="6"/>
  <c r="AC10" i="6"/>
  <c r="Z25" i="6"/>
  <c r="AA25" i="6" s="1"/>
  <c r="AB20" i="6"/>
  <c r="AA20" i="6"/>
  <c r="AB31" i="6"/>
  <c r="AA31" i="6"/>
  <c r="Z32" i="6"/>
  <c r="AA32" i="6" s="1"/>
  <c r="K28" i="7"/>
  <c r="H29" i="7"/>
  <c r="AD59" i="6" s="1"/>
  <c r="I28" i="7"/>
  <c r="AC38" i="6" s="1"/>
  <c r="LP74" i="6"/>
  <c r="LQ74" i="6" s="1"/>
  <c r="LR74" i="6" s="1"/>
  <c r="LS74" i="6" s="1"/>
  <c r="LT74" i="6" s="1"/>
  <c r="LU74" i="6" s="1"/>
  <c r="LV74" i="6" s="1"/>
  <c r="LW74" i="6" s="1"/>
  <c r="LX74" i="6" s="1"/>
  <c r="LY74" i="6" s="1"/>
  <c r="LZ74" i="6" s="1"/>
  <c r="MB74" i="6" s="1"/>
  <c r="J27" i="7"/>
  <c r="AB49" i="6" s="1"/>
  <c r="AB73" i="6"/>
  <c r="LN74" i="6"/>
  <c r="AC16" i="6"/>
  <c r="AB17" i="6"/>
  <c r="AB18" i="6" s="1"/>
  <c r="Y27" i="6"/>
  <c r="Y28" i="6" s="1"/>
  <c r="AM68" i="6"/>
  <c r="AL69" i="6"/>
  <c r="AL70" i="6" s="1"/>
  <c r="LC76" i="6"/>
  <c r="LD76" i="6" s="1"/>
  <c r="LE76" i="6" s="1"/>
  <c r="LF76" i="6" s="1"/>
  <c r="LG76" i="6" s="1"/>
  <c r="LH76" i="6" s="1"/>
  <c r="LI76" i="6" s="1"/>
  <c r="LJ76" i="6" s="1"/>
  <c r="LK76" i="6" s="1"/>
  <c r="LL76" i="6" s="1"/>
  <c r="LM76" i="6" s="1"/>
  <c r="LO76" i="6" s="1"/>
  <c r="LN76" i="6"/>
  <c r="AE1" i="6"/>
  <c r="KN24" i="6"/>
  <c r="AP22" i="6"/>
  <c r="AO51" i="6"/>
  <c r="AC59" i="6"/>
  <c r="KA21" i="6"/>
  <c r="KP23" i="6"/>
  <c r="KQ23" i="6" s="1"/>
  <c r="KR23" i="6" s="1"/>
  <c r="KS23" i="6" s="1"/>
  <c r="KT23" i="6" s="1"/>
  <c r="KU23" i="6" s="1"/>
  <c r="KV23" i="6" s="1"/>
  <c r="KW23" i="6" s="1"/>
  <c r="KX23" i="6" s="1"/>
  <c r="KY23" i="6" s="1"/>
  <c r="KZ23" i="6" s="1"/>
  <c r="LB23" i="6" s="1"/>
  <c r="AD30" i="6"/>
  <c r="Z18" i="6"/>
  <c r="D20" i="4"/>
  <c r="E20" i="4"/>
  <c r="I28" i="4"/>
  <c r="B29" i="4"/>
  <c r="A28" i="4"/>
  <c r="K29" i="4"/>
  <c r="LA23" i="6" l="1"/>
  <c r="KN21" i="6"/>
  <c r="MA74" i="6"/>
  <c r="B30" i="7"/>
  <c r="A29" i="7"/>
  <c r="J72" i="6"/>
  <c r="J78" i="6" s="1"/>
  <c r="J80" i="6" s="1"/>
  <c r="J82" i="6" s="1"/>
  <c r="E11" i="7"/>
  <c r="J42" i="6"/>
  <c r="J39" i="6"/>
  <c r="I5" i="6"/>
  <c r="I7" i="6" s="1"/>
  <c r="I4" i="6"/>
  <c r="I56" i="6"/>
  <c r="AA64" i="6"/>
  <c r="Z65" i="6"/>
  <c r="AA65" i="6" s="1"/>
  <c r="AE30" i="6"/>
  <c r="LA24" i="6"/>
  <c r="AE55" i="6"/>
  <c r="AD10" i="6"/>
  <c r="AF1" i="6"/>
  <c r="J28" i="7"/>
  <c r="AC49" i="6" s="1"/>
  <c r="AC73" i="6"/>
  <c r="AD16" i="6"/>
  <c r="AC17" i="6"/>
  <c r="AB25" i="6"/>
  <c r="AB34" i="6" s="1"/>
  <c r="AC20" i="6"/>
  <c r="LC23" i="6"/>
  <c r="LD23" i="6" s="1"/>
  <c r="LE23" i="6" s="1"/>
  <c r="LF23" i="6" s="1"/>
  <c r="LG23" i="6" s="1"/>
  <c r="LH23" i="6" s="1"/>
  <c r="LI23" i="6" s="1"/>
  <c r="LJ23" i="6" s="1"/>
  <c r="LK23" i="6" s="1"/>
  <c r="LL23" i="6" s="1"/>
  <c r="LM23" i="6" s="1"/>
  <c r="LO23" i="6" s="1"/>
  <c r="LC75" i="6"/>
  <c r="LD75" i="6" s="1"/>
  <c r="LE75" i="6" s="1"/>
  <c r="LF75" i="6" s="1"/>
  <c r="LG75" i="6" s="1"/>
  <c r="LH75" i="6" s="1"/>
  <c r="LI75" i="6" s="1"/>
  <c r="LJ75" i="6" s="1"/>
  <c r="LK75" i="6" s="1"/>
  <c r="LL75" i="6" s="1"/>
  <c r="LM75" i="6" s="1"/>
  <c r="LO75" i="6" s="1"/>
  <c r="KP21" i="6"/>
  <c r="KQ21" i="6" s="1"/>
  <c r="KR21" i="6" s="1"/>
  <c r="KS21" i="6" s="1"/>
  <c r="KT21" i="6" s="1"/>
  <c r="KU21" i="6" s="1"/>
  <c r="KV21" i="6" s="1"/>
  <c r="KW21" i="6" s="1"/>
  <c r="KX21" i="6" s="1"/>
  <c r="KY21" i="6" s="1"/>
  <c r="KZ21" i="6" s="1"/>
  <c r="LB21" i="6" s="1"/>
  <c r="LC24" i="6"/>
  <c r="LD24" i="6" s="1"/>
  <c r="LE24" i="6" s="1"/>
  <c r="LF24" i="6" s="1"/>
  <c r="LG24" i="6" s="1"/>
  <c r="LH24" i="6" s="1"/>
  <c r="LI24" i="6" s="1"/>
  <c r="LJ24" i="6" s="1"/>
  <c r="LK24" i="6" s="1"/>
  <c r="LL24" i="6" s="1"/>
  <c r="LM24" i="6" s="1"/>
  <c r="LO24" i="6" s="1"/>
  <c r="LP76" i="6"/>
  <c r="LQ76" i="6" s="1"/>
  <c r="LR76" i="6" s="1"/>
  <c r="LS76" i="6" s="1"/>
  <c r="LT76" i="6" s="1"/>
  <c r="LU76" i="6" s="1"/>
  <c r="LV76" i="6" s="1"/>
  <c r="LW76" i="6" s="1"/>
  <c r="LX76" i="6" s="1"/>
  <c r="LY76" i="6" s="1"/>
  <c r="LZ76" i="6" s="1"/>
  <c r="MB76" i="6" s="1"/>
  <c r="MC74" i="6"/>
  <c r="MD74" i="6" s="1"/>
  <c r="ME74" i="6" s="1"/>
  <c r="MF74" i="6" s="1"/>
  <c r="MG74" i="6" s="1"/>
  <c r="MH74" i="6" s="1"/>
  <c r="MI74" i="6" s="1"/>
  <c r="MJ74" i="6" s="1"/>
  <c r="MK74" i="6" s="1"/>
  <c r="ML74" i="6" s="1"/>
  <c r="MM74" i="6" s="1"/>
  <c r="MO74" i="6" s="1"/>
  <c r="LP77" i="6"/>
  <c r="LQ77" i="6" s="1"/>
  <c r="LR77" i="6" s="1"/>
  <c r="LS77" i="6" s="1"/>
  <c r="LT77" i="6" s="1"/>
  <c r="LU77" i="6" s="1"/>
  <c r="LV77" i="6" s="1"/>
  <c r="LW77" i="6" s="1"/>
  <c r="LX77" i="6" s="1"/>
  <c r="LY77" i="6" s="1"/>
  <c r="LZ77" i="6" s="1"/>
  <c r="MB77" i="6" s="1"/>
  <c r="MA77" i="6"/>
  <c r="AP51" i="6"/>
  <c r="AQ22" i="6"/>
  <c r="AO68" i="6"/>
  <c r="AM69" i="6"/>
  <c r="AN69" i="6" s="1"/>
  <c r="AN68" i="6"/>
  <c r="H30" i="7"/>
  <c r="I29" i="7"/>
  <c r="AD38" i="6" s="1"/>
  <c r="K29" i="7"/>
  <c r="Z34" i="6"/>
  <c r="Z27" i="6"/>
  <c r="AA18" i="6"/>
  <c r="AC31" i="6"/>
  <c r="AB32" i="6"/>
  <c r="LA75" i="6"/>
  <c r="K30" i="4"/>
  <c r="A29" i="4"/>
  <c r="B30" i="4"/>
  <c r="I29" i="4"/>
  <c r="F20" i="4"/>
  <c r="G20" i="4" s="1"/>
  <c r="L20" i="4"/>
  <c r="MA76" i="6" l="1"/>
  <c r="MN74" i="6"/>
  <c r="LN24" i="6"/>
  <c r="LN75" i="6"/>
  <c r="LN23" i="6"/>
  <c r="AM70" i="6"/>
  <c r="AN70" i="6" s="1"/>
  <c r="B31" i="7"/>
  <c r="A30" i="7"/>
  <c r="I6" i="6"/>
  <c r="I57" i="6"/>
  <c r="I61" i="6" s="1"/>
  <c r="I11" i="6" s="1"/>
  <c r="J43" i="6"/>
  <c r="J40" i="6"/>
  <c r="J48" i="6"/>
  <c r="C12" i="7"/>
  <c r="AB35" i="6"/>
  <c r="LC21" i="6"/>
  <c r="LD21" i="6" s="1"/>
  <c r="LE21" i="6" s="1"/>
  <c r="LF21" i="6" s="1"/>
  <c r="LG21" i="6" s="1"/>
  <c r="LH21" i="6" s="1"/>
  <c r="LI21" i="6" s="1"/>
  <c r="LJ21" i="6" s="1"/>
  <c r="LK21" i="6" s="1"/>
  <c r="LL21" i="6" s="1"/>
  <c r="LM21" i="6" s="1"/>
  <c r="LO21" i="6" s="1"/>
  <c r="Z35" i="6"/>
  <c r="AA34" i="6"/>
  <c r="AA35" i="6" s="1"/>
  <c r="AF55" i="6"/>
  <c r="AE10" i="6"/>
  <c r="MP74" i="6"/>
  <c r="MQ74" i="6" s="1"/>
  <c r="MR74" i="6" s="1"/>
  <c r="MS74" i="6" s="1"/>
  <c r="MT74" i="6" s="1"/>
  <c r="MU74" i="6" s="1"/>
  <c r="MV74" i="6" s="1"/>
  <c r="MW74" i="6" s="1"/>
  <c r="MX74" i="6" s="1"/>
  <c r="MY74" i="6" s="1"/>
  <c r="MZ74" i="6" s="1"/>
  <c r="NB74" i="6" s="1"/>
  <c r="AG1" i="6"/>
  <c r="LP24" i="6"/>
  <c r="LQ24" i="6" s="1"/>
  <c r="LR24" i="6" s="1"/>
  <c r="LS24" i="6" s="1"/>
  <c r="LT24" i="6" s="1"/>
  <c r="LU24" i="6" s="1"/>
  <c r="LV24" i="6" s="1"/>
  <c r="LW24" i="6" s="1"/>
  <c r="LX24" i="6" s="1"/>
  <c r="LY24" i="6" s="1"/>
  <c r="LZ24" i="6" s="1"/>
  <c r="MB24" i="6" s="1"/>
  <c r="AB64" i="6"/>
  <c r="AO69" i="6"/>
  <c r="AO70" i="6" s="1"/>
  <c r="AP68" i="6"/>
  <c r="MC77" i="6"/>
  <c r="MD77" i="6" s="1"/>
  <c r="ME77" i="6" s="1"/>
  <c r="MF77" i="6" s="1"/>
  <c r="MG77" i="6" s="1"/>
  <c r="MH77" i="6" s="1"/>
  <c r="MI77" i="6" s="1"/>
  <c r="MJ77" i="6" s="1"/>
  <c r="MK77" i="6" s="1"/>
  <c r="ML77" i="6" s="1"/>
  <c r="MM77" i="6" s="1"/>
  <c r="MO77" i="6" s="1"/>
  <c r="I30" i="7"/>
  <c r="AE38" i="6" s="1"/>
  <c r="K30" i="7"/>
  <c r="H31" i="7"/>
  <c r="AF59" i="6" s="1"/>
  <c r="MC76" i="6"/>
  <c r="MD76" i="6" s="1"/>
  <c r="ME76" i="6" s="1"/>
  <c r="MF76" i="6" s="1"/>
  <c r="MG76" i="6" s="1"/>
  <c r="MH76" i="6" s="1"/>
  <c r="MI76" i="6" s="1"/>
  <c r="MJ76" i="6" s="1"/>
  <c r="MK76" i="6" s="1"/>
  <c r="ML76" i="6" s="1"/>
  <c r="MM76" i="6" s="1"/>
  <c r="MO76" i="6" s="1"/>
  <c r="LP23" i="6"/>
  <c r="LQ23" i="6" s="1"/>
  <c r="LR23" i="6" s="1"/>
  <c r="LS23" i="6" s="1"/>
  <c r="LT23" i="6" s="1"/>
  <c r="LU23" i="6" s="1"/>
  <c r="LV23" i="6" s="1"/>
  <c r="LW23" i="6" s="1"/>
  <c r="LX23" i="6" s="1"/>
  <c r="LY23" i="6" s="1"/>
  <c r="LZ23" i="6" s="1"/>
  <c r="MB23" i="6" s="1"/>
  <c r="AE59" i="6"/>
  <c r="Z28" i="6"/>
  <c r="AA27" i="6"/>
  <c r="AA28" i="6" s="1"/>
  <c r="AQ51" i="6"/>
  <c r="AR22" i="6"/>
  <c r="AB27" i="6"/>
  <c r="AC18" i="6"/>
  <c r="AD17" i="6"/>
  <c r="AD18" i="6" s="1"/>
  <c r="AE16" i="6"/>
  <c r="LP75" i="6"/>
  <c r="LQ75" i="6" s="1"/>
  <c r="LR75" i="6" s="1"/>
  <c r="LS75" i="6" s="1"/>
  <c r="LT75" i="6" s="1"/>
  <c r="LU75" i="6" s="1"/>
  <c r="LV75" i="6" s="1"/>
  <c r="LW75" i="6" s="1"/>
  <c r="LX75" i="6" s="1"/>
  <c r="LY75" i="6" s="1"/>
  <c r="LZ75" i="6" s="1"/>
  <c r="MB75" i="6" s="1"/>
  <c r="J29" i="7"/>
  <c r="AD49" i="6" s="1"/>
  <c r="AD73" i="6"/>
  <c r="AF30" i="6"/>
  <c r="AD31" i="6"/>
  <c r="AC32" i="6"/>
  <c r="LA21" i="6"/>
  <c r="AC25" i="6"/>
  <c r="AD20" i="6"/>
  <c r="E21" i="4"/>
  <c r="D21" i="4"/>
  <c r="I30" i="4"/>
  <c r="A30" i="4"/>
  <c r="B31" i="4"/>
  <c r="MN76" i="6" l="1"/>
  <c r="MA24" i="6"/>
  <c r="LN21" i="6"/>
  <c r="B32" i="7"/>
  <c r="A31" i="7"/>
  <c r="D12" i="7"/>
  <c r="K37" i="6" s="1"/>
  <c r="K58" i="6"/>
  <c r="K60" i="6" s="1"/>
  <c r="F12" i="7"/>
  <c r="J47" i="6"/>
  <c r="J52" i="6" s="1"/>
  <c r="J44" i="6"/>
  <c r="J8" i="6"/>
  <c r="J9" i="6" s="1"/>
  <c r="AC27" i="6"/>
  <c r="AC28" i="6" s="1"/>
  <c r="AC34" i="6"/>
  <c r="MC23" i="6"/>
  <c r="MD23" i="6" s="1"/>
  <c r="ME23" i="6" s="1"/>
  <c r="MF23" i="6" s="1"/>
  <c r="MG23" i="6" s="1"/>
  <c r="MH23" i="6" s="1"/>
  <c r="MI23" i="6" s="1"/>
  <c r="MJ23" i="6" s="1"/>
  <c r="MK23" i="6" s="1"/>
  <c r="ML23" i="6" s="1"/>
  <c r="MM23" i="6" s="1"/>
  <c r="MO23" i="6" s="1"/>
  <c r="MP76" i="6"/>
  <c r="MQ76" i="6" s="1"/>
  <c r="MR76" i="6" s="1"/>
  <c r="MS76" i="6" s="1"/>
  <c r="MT76" i="6" s="1"/>
  <c r="MU76" i="6" s="1"/>
  <c r="MV76" i="6" s="1"/>
  <c r="MW76" i="6" s="1"/>
  <c r="MX76" i="6" s="1"/>
  <c r="MY76" i="6" s="1"/>
  <c r="MZ76" i="6" s="1"/>
  <c r="NB76" i="6" s="1"/>
  <c r="NA74" i="6"/>
  <c r="AG30" i="6"/>
  <c r="AG55" i="6"/>
  <c r="AF10" i="6"/>
  <c r="J30" i="7"/>
  <c r="AE49" i="6" s="1"/>
  <c r="AE73" i="6"/>
  <c r="AB28" i="6"/>
  <c r="LP21" i="6"/>
  <c r="LQ21" i="6" s="1"/>
  <c r="LR21" i="6" s="1"/>
  <c r="LS21" i="6" s="1"/>
  <c r="LT21" i="6" s="1"/>
  <c r="LU21" i="6" s="1"/>
  <c r="LV21" i="6" s="1"/>
  <c r="LW21" i="6" s="1"/>
  <c r="LX21" i="6" s="1"/>
  <c r="LY21" i="6" s="1"/>
  <c r="LZ21" i="6" s="1"/>
  <c r="MB21" i="6" s="1"/>
  <c r="MA23" i="6"/>
  <c r="AQ68" i="6"/>
  <c r="AP69" i="6"/>
  <c r="AP70" i="6" s="1"/>
  <c r="AE31" i="6"/>
  <c r="AD32" i="6"/>
  <c r="AB65" i="6"/>
  <c r="AS22" i="6"/>
  <c r="AR51" i="6"/>
  <c r="MC24" i="6"/>
  <c r="MD24" i="6" s="1"/>
  <c r="ME24" i="6" s="1"/>
  <c r="MF24" i="6" s="1"/>
  <c r="MG24" i="6" s="1"/>
  <c r="MH24" i="6" s="1"/>
  <c r="MI24" i="6" s="1"/>
  <c r="MJ24" i="6" s="1"/>
  <c r="MK24" i="6" s="1"/>
  <c r="ML24" i="6" s="1"/>
  <c r="MM24" i="6" s="1"/>
  <c r="MO24" i="6" s="1"/>
  <c r="MC75" i="6"/>
  <c r="MD75" i="6" s="1"/>
  <c r="ME75" i="6" s="1"/>
  <c r="MF75" i="6" s="1"/>
  <c r="MG75" i="6" s="1"/>
  <c r="MH75" i="6" s="1"/>
  <c r="MI75" i="6" s="1"/>
  <c r="MJ75" i="6" s="1"/>
  <c r="MK75" i="6" s="1"/>
  <c r="ML75" i="6" s="1"/>
  <c r="MM75" i="6" s="1"/>
  <c r="MO75" i="6" s="1"/>
  <c r="MA75" i="6"/>
  <c r="AH1" i="6"/>
  <c r="NC74" i="6"/>
  <c r="ND74" i="6" s="1"/>
  <c r="NE74" i="6" s="1"/>
  <c r="NF74" i="6" s="1"/>
  <c r="NG74" i="6" s="1"/>
  <c r="NH74" i="6" s="1"/>
  <c r="NI74" i="6" s="1"/>
  <c r="NJ74" i="6" s="1"/>
  <c r="NK74" i="6" s="1"/>
  <c r="NL74" i="6" s="1"/>
  <c r="NM74" i="6" s="1"/>
  <c r="NO74" i="6" s="1"/>
  <c r="H32" i="7"/>
  <c r="AG59" i="6" s="1"/>
  <c r="K31" i="7"/>
  <c r="I31" i="7"/>
  <c r="AF38" i="6" s="1"/>
  <c r="AE17" i="6"/>
  <c r="AE18" i="6" s="1"/>
  <c r="AF16" i="6"/>
  <c r="MP77" i="6"/>
  <c r="MQ77" i="6" s="1"/>
  <c r="MR77" i="6" s="1"/>
  <c r="MS77" i="6" s="1"/>
  <c r="MT77" i="6" s="1"/>
  <c r="MU77" i="6" s="1"/>
  <c r="MV77" i="6" s="1"/>
  <c r="MW77" i="6" s="1"/>
  <c r="MX77" i="6" s="1"/>
  <c r="MY77" i="6" s="1"/>
  <c r="MZ77" i="6" s="1"/>
  <c r="NB77" i="6" s="1"/>
  <c r="AE20" i="6"/>
  <c r="AD25" i="6"/>
  <c r="AD27" i="6" s="1"/>
  <c r="MN77" i="6"/>
  <c r="B32" i="4"/>
  <c r="A31" i="4"/>
  <c r="I31" i="4"/>
  <c r="F21" i="4"/>
  <c r="G21" i="4" s="1"/>
  <c r="L21" i="4"/>
  <c r="K31" i="4"/>
  <c r="K32" i="4" s="1"/>
  <c r="NA77" i="6" l="1"/>
  <c r="NA76" i="6"/>
  <c r="MN23" i="6"/>
  <c r="NN74" i="6"/>
  <c r="B33" i="7"/>
  <c r="A32" i="7"/>
  <c r="E12" i="7"/>
  <c r="K72" i="6"/>
  <c r="K78" i="6" s="1"/>
  <c r="K80" i="6" s="1"/>
  <c r="K82" i="6" s="1"/>
  <c r="J4" i="6"/>
  <c r="J5" i="6"/>
  <c r="J7" i="6" s="1"/>
  <c r="J56" i="6"/>
  <c r="K39" i="6"/>
  <c r="K42" i="6"/>
  <c r="AD28" i="6"/>
  <c r="AC64" i="6"/>
  <c r="MP23" i="6"/>
  <c r="MQ23" i="6" s="1"/>
  <c r="MR23" i="6" s="1"/>
  <c r="MS23" i="6" s="1"/>
  <c r="MT23" i="6" s="1"/>
  <c r="MU23" i="6" s="1"/>
  <c r="MV23" i="6" s="1"/>
  <c r="MW23" i="6" s="1"/>
  <c r="MX23" i="6" s="1"/>
  <c r="MY23" i="6" s="1"/>
  <c r="MZ23" i="6" s="1"/>
  <c r="NB23" i="6" s="1"/>
  <c r="AC35" i="6"/>
  <c r="NC77" i="6"/>
  <c r="ND77" i="6" s="1"/>
  <c r="NE77" i="6" s="1"/>
  <c r="NF77" i="6" s="1"/>
  <c r="NG77" i="6" s="1"/>
  <c r="NH77" i="6" s="1"/>
  <c r="NI77" i="6" s="1"/>
  <c r="NJ77" i="6" s="1"/>
  <c r="NK77" i="6" s="1"/>
  <c r="NL77" i="6" s="1"/>
  <c r="NM77" i="6" s="1"/>
  <c r="NO77" i="6" s="1"/>
  <c r="MN75" i="6"/>
  <c r="AG16" i="6"/>
  <c r="AF17" i="6"/>
  <c r="AF18" i="6" s="1"/>
  <c r="NP74" i="6"/>
  <c r="NQ74" i="6" s="1"/>
  <c r="NR74" i="6" s="1"/>
  <c r="NS74" i="6" s="1"/>
  <c r="NT74" i="6" s="1"/>
  <c r="NU74" i="6" s="1"/>
  <c r="NV74" i="6" s="1"/>
  <c r="NW74" i="6" s="1"/>
  <c r="NX74" i="6" s="1"/>
  <c r="NY74" i="6" s="1"/>
  <c r="NZ74" i="6" s="1"/>
  <c r="OB74" i="6" s="1"/>
  <c r="MN24" i="6"/>
  <c r="AH55" i="6"/>
  <c r="AG10" i="6"/>
  <c r="AD34" i="6"/>
  <c r="AI1" i="6"/>
  <c r="NN76" i="6"/>
  <c r="NC76" i="6"/>
  <c r="ND76" i="6" s="1"/>
  <c r="NE76" i="6" s="1"/>
  <c r="NF76" i="6" s="1"/>
  <c r="NG76" i="6" s="1"/>
  <c r="NH76" i="6" s="1"/>
  <c r="NI76" i="6" s="1"/>
  <c r="NJ76" i="6" s="1"/>
  <c r="NK76" i="6" s="1"/>
  <c r="NL76" i="6" s="1"/>
  <c r="NM76" i="6" s="1"/>
  <c r="NO76" i="6" s="1"/>
  <c r="J31" i="7"/>
  <c r="AF49" i="6" s="1"/>
  <c r="AF73" i="6"/>
  <c r="MA21" i="6"/>
  <c r="AF31" i="6"/>
  <c r="AE32" i="6"/>
  <c r="MC21" i="6"/>
  <c r="MD21" i="6" s="1"/>
  <c r="ME21" i="6" s="1"/>
  <c r="MF21" i="6" s="1"/>
  <c r="MG21" i="6" s="1"/>
  <c r="MH21" i="6" s="1"/>
  <c r="MI21" i="6" s="1"/>
  <c r="MJ21" i="6" s="1"/>
  <c r="MK21" i="6" s="1"/>
  <c r="ML21" i="6" s="1"/>
  <c r="MM21" i="6" s="1"/>
  <c r="MO21" i="6" s="1"/>
  <c r="I32" i="7"/>
  <c r="AG38" i="6" s="1"/>
  <c r="K32" i="7"/>
  <c r="H33" i="7"/>
  <c r="AE25" i="6"/>
  <c r="AE27" i="6" s="1"/>
  <c r="AF20" i="6"/>
  <c r="MP75" i="6"/>
  <c r="MQ75" i="6" s="1"/>
  <c r="MR75" i="6" s="1"/>
  <c r="MS75" i="6" s="1"/>
  <c r="MT75" i="6" s="1"/>
  <c r="MU75" i="6" s="1"/>
  <c r="MV75" i="6" s="1"/>
  <c r="MW75" i="6" s="1"/>
  <c r="MX75" i="6" s="1"/>
  <c r="MY75" i="6" s="1"/>
  <c r="MZ75" i="6" s="1"/>
  <c r="NB75" i="6" s="1"/>
  <c r="MP24" i="6"/>
  <c r="MQ24" i="6" s="1"/>
  <c r="MR24" i="6" s="1"/>
  <c r="MS24" i="6" s="1"/>
  <c r="MT24" i="6" s="1"/>
  <c r="MU24" i="6" s="1"/>
  <c r="MV24" i="6" s="1"/>
  <c r="MW24" i="6" s="1"/>
  <c r="MX24" i="6" s="1"/>
  <c r="MY24" i="6" s="1"/>
  <c r="MZ24" i="6" s="1"/>
  <c r="NB24" i="6" s="1"/>
  <c r="AQ69" i="6"/>
  <c r="AQ70" i="6" s="1"/>
  <c r="AR68" i="6"/>
  <c r="AH30" i="6"/>
  <c r="AS51" i="6"/>
  <c r="AT22" i="6"/>
  <c r="E22" i="4"/>
  <c r="D22" i="4"/>
  <c r="I32" i="4"/>
  <c r="A32" i="4"/>
  <c r="B33" i="4"/>
  <c r="MN21" i="6" l="1"/>
  <c r="NA75" i="6"/>
  <c r="NA24" i="6"/>
  <c r="NA23" i="6"/>
  <c r="B34" i="7"/>
  <c r="A33" i="7"/>
  <c r="AH59" i="6"/>
  <c r="K43" i="6"/>
  <c r="K40" i="6"/>
  <c r="J57" i="6"/>
  <c r="J61" i="6" s="1"/>
  <c r="J11" i="6" s="1"/>
  <c r="J6" i="6"/>
  <c r="K48" i="6"/>
  <c r="C13" i="7"/>
  <c r="AE28" i="6"/>
  <c r="AF25" i="6"/>
  <c r="AG20" i="6"/>
  <c r="AT51" i="6"/>
  <c r="AU22" i="6"/>
  <c r="AC65" i="6"/>
  <c r="AD64" i="6" s="1"/>
  <c r="AI30" i="6"/>
  <c r="AG31" i="6"/>
  <c r="AF32" i="6"/>
  <c r="H34" i="7"/>
  <c r="AI59" i="6" s="1"/>
  <c r="I33" i="7"/>
  <c r="AH38" i="6" s="1"/>
  <c r="K33" i="7"/>
  <c r="NP76" i="6"/>
  <c r="NQ76" i="6" s="1"/>
  <c r="NR76" i="6" s="1"/>
  <c r="NS76" i="6" s="1"/>
  <c r="NT76" i="6" s="1"/>
  <c r="NU76" i="6" s="1"/>
  <c r="NV76" i="6" s="1"/>
  <c r="NW76" i="6" s="1"/>
  <c r="NX76" i="6" s="1"/>
  <c r="NY76" i="6" s="1"/>
  <c r="NZ76" i="6" s="1"/>
  <c r="OB76" i="6" s="1"/>
  <c r="OA76" i="6"/>
  <c r="AI55" i="6"/>
  <c r="AH10" i="6"/>
  <c r="NN77" i="6"/>
  <c r="AE34" i="6"/>
  <c r="AJ1" i="6"/>
  <c r="OC74" i="6"/>
  <c r="OD74" i="6" s="1"/>
  <c r="OE74" i="6" s="1"/>
  <c r="OF74" i="6" s="1"/>
  <c r="OG74" i="6" s="1"/>
  <c r="OH74" i="6" s="1"/>
  <c r="OI74" i="6" s="1"/>
  <c r="OJ74" i="6" s="1"/>
  <c r="OK74" i="6" s="1"/>
  <c r="OL74" i="6" s="1"/>
  <c r="OM74" i="6" s="1"/>
  <c r="OO74" i="6" s="1"/>
  <c r="AH16" i="6"/>
  <c r="AG17" i="6"/>
  <c r="AG18" i="6" s="1"/>
  <c r="NP77" i="6"/>
  <c r="NQ77" i="6" s="1"/>
  <c r="NR77" i="6" s="1"/>
  <c r="NS77" i="6" s="1"/>
  <c r="NT77" i="6" s="1"/>
  <c r="NU77" i="6" s="1"/>
  <c r="NV77" i="6" s="1"/>
  <c r="NW77" i="6" s="1"/>
  <c r="NX77" i="6" s="1"/>
  <c r="NY77" i="6" s="1"/>
  <c r="NZ77" i="6" s="1"/>
  <c r="OB77" i="6" s="1"/>
  <c r="AD35" i="6"/>
  <c r="AR69" i="6"/>
  <c r="AR70" i="6" s="1"/>
  <c r="AS68" i="6"/>
  <c r="J32" i="7"/>
  <c r="AG49" i="6" s="1"/>
  <c r="AG73" i="6"/>
  <c r="NC24" i="6"/>
  <c r="ND24" i="6" s="1"/>
  <c r="NE24" i="6" s="1"/>
  <c r="NF24" i="6" s="1"/>
  <c r="NG24" i="6" s="1"/>
  <c r="NH24" i="6" s="1"/>
  <c r="NI24" i="6" s="1"/>
  <c r="NJ24" i="6" s="1"/>
  <c r="NK24" i="6" s="1"/>
  <c r="NL24" i="6" s="1"/>
  <c r="NM24" i="6" s="1"/>
  <c r="NO24" i="6" s="1"/>
  <c r="MP21" i="6"/>
  <c r="MQ21" i="6" s="1"/>
  <c r="MR21" i="6" s="1"/>
  <c r="MS21" i="6" s="1"/>
  <c r="MT21" i="6" s="1"/>
  <c r="MU21" i="6" s="1"/>
  <c r="MV21" i="6" s="1"/>
  <c r="MW21" i="6" s="1"/>
  <c r="MX21" i="6" s="1"/>
  <c r="MY21" i="6" s="1"/>
  <c r="MZ21" i="6" s="1"/>
  <c r="NB21" i="6" s="1"/>
  <c r="NC75" i="6"/>
  <c r="ND75" i="6" s="1"/>
  <c r="NE75" i="6" s="1"/>
  <c r="NF75" i="6" s="1"/>
  <c r="NG75" i="6" s="1"/>
  <c r="NH75" i="6" s="1"/>
  <c r="NI75" i="6" s="1"/>
  <c r="NJ75" i="6" s="1"/>
  <c r="NK75" i="6" s="1"/>
  <c r="NL75" i="6" s="1"/>
  <c r="NM75" i="6" s="1"/>
  <c r="NO75" i="6" s="1"/>
  <c r="OA74" i="6"/>
  <c r="NC23" i="6"/>
  <c r="ND23" i="6" s="1"/>
  <c r="NE23" i="6" s="1"/>
  <c r="NF23" i="6" s="1"/>
  <c r="NG23" i="6" s="1"/>
  <c r="NH23" i="6" s="1"/>
  <c r="NI23" i="6" s="1"/>
  <c r="NJ23" i="6" s="1"/>
  <c r="NK23" i="6" s="1"/>
  <c r="NL23" i="6" s="1"/>
  <c r="NM23" i="6" s="1"/>
  <c r="NO23" i="6" s="1"/>
  <c r="B34" i="4"/>
  <c r="A33" i="4"/>
  <c r="I33" i="4"/>
  <c r="F22" i="4"/>
  <c r="G22" i="4" s="1"/>
  <c r="L22" i="4"/>
  <c r="K33" i="4"/>
  <c r="K34" i="4" s="1"/>
  <c r="AF34" i="6" l="1"/>
  <c r="AF35" i="6" s="1"/>
  <c r="NN23" i="6"/>
  <c r="NN24" i="6"/>
  <c r="NN75" i="6"/>
  <c r="B35" i="7"/>
  <c r="A34" i="7"/>
  <c r="F13" i="7"/>
  <c r="D13" i="7"/>
  <c r="L37" i="6" s="1"/>
  <c r="L58" i="6"/>
  <c r="L60" i="6" s="1"/>
  <c r="K47" i="6"/>
  <c r="K52" i="6" s="1"/>
  <c r="K8" i="6"/>
  <c r="K9" i="6" s="1"/>
  <c r="K44" i="6"/>
  <c r="NP75" i="6"/>
  <c r="NQ75" i="6" s="1"/>
  <c r="NR75" i="6" s="1"/>
  <c r="NS75" i="6" s="1"/>
  <c r="NT75" i="6" s="1"/>
  <c r="NU75" i="6" s="1"/>
  <c r="NV75" i="6" s="1"/>
  <c r="NW75" i="6" s="1"/>
  <c r="NX75" i="6" s="1"/>
  <c r="NY75" i="6" s="1"/>
  <c r="NZ75" i="6" s="1"/>
  <c r="OB75" i="6" s="1"/>
  <c r="OA77" i="6"/>
  <c r="AH31" i="6"/>
  <c r="AG32" i="6"/>
  <c r="NA21" i="6"/>
  <c r="AH17" i="6"/>
  <c r="AH18" i="6" s="1"/>
  <c r="AI16" i="6"/>
  <c r="NP24" i="6"/>
  <c r="NQ24" i="6" s="1"/>
  <c r="NR24" i="6" s="1"/>
  <c r="NS24" i="6" s="1"/>
  <c r="NT24" i="6" s="1"/>
  <c r="NU24" i="6" s="1"/>
  <c r="NV24" i="6" s="1"/>
  <c r="NW24" i="6" s="1"/>
  <c r="NX24" i="6" s="1"/>
  <c r="NY24" i="6" s="1"/>
  <c r="NZ24" i="6" s="1"/>
  <c r="OB24" i="6" s="1"/>
  <c r="AE35" i="6"/>
  <c r="AF27" i="6"/>
  <c r="AS69" i="6"/>
  <c r="AS70" i="6" s="1"/>
  <c r="AT68" i="6"/>
  <c r="OC77" i="6"/>
  <c r="OD77" i="6" s="1"/>
  <c r="OE77" i="6" s="1"/>
  <c r="OF77" i="6" s="1"/>
  <c r="OG77" i="6" s="1"/>
  <c r="OH77" i="6" s="1"/>
  <c r="OI77" i="6" s="1"/>
  <c r="OJ77" i="6" s="1"/>
  <c r="OK77" i="6" s="1"/>
  <c r="OL77" i="6" s="1"/>
  <c r="OM77" i="6" s="1"/>
  <c r="OO77" i="6" s="1"/>
  <c r="NC21" i="6"/>
  <c r="ND21" i="6" s="1"/>
  <c r="NE21" i="6" s="1"/>
  <c r="NF21" i="6" s="1"/>
  <c r="NG21" i="6" s="1"/>
  <c r="NH21" i="6" s="1"/>
  <c r="NI21" i="6" s="1"/>
  <c r="NJ21" i="6" s="1"/>
  <c r="NK21" i="6" s="1"/>
  <c r="NL21" i="6" s="1"/>
  <c r="NM21" i="6" s="1"/>
  <c r="NO21" i="6" s="1"/>
  <c r="AJ55" i="6"/>
  <c r="AI10" i="6"/>
  <c r="AJ30" i="6"/>
  <c r="AD65" i="6"/>
  <c r="AE64" i="6" s="1"/>
  <c r="OP74" i="6"/>
  <c r="OQ74" i="6" s="1"/>
  <c r="OR74" i="6" s="1"/>
  <c r="OS74" i="6" s="1"/>
  <c r="OT74" i="6" s="1"/>
  <c r="OU74" i="6" s="1"/>
  <c r="OV74" i="6" s="1"/>
  <c r="OW74" i="6" s="1"/>
  <c r="OX74" i="6" s="1"/>
  <c r="OY74" i="6" s="1"/>
  <c r="OZ74" i="6" s="1"/>
  <c r="PB74" i="6" s="1"/>
  <c r="AK1" i="6"/>
  <c r="NP23" i="6"/>
  <c r="NQ23" i="6" s="1"/>
  <c r="NR23" i="6" s="1"/>
  <c r="NS23" i="6" s="1"/>
  <c r="NT23" i="6" s="1"/>
  <c r="NU23" i="6" s="1"/>
  <c r="NV23" i="6" s="1"/>
  <c r="NW23" i="6" s="1"/>
  <c r="NX23" i="6" s="1"/>
  <c r="NY23" i="6" s="1"/>
  <c r="NZ23" i="6" s="1"/>
  <c r="OB23" i="6" s="1"/>
  <c r="AG25" i="6"/>
  <c r="AH20" i="6"/>
  <c r="OC76" i="6"/>
  <c r="OD76" i="6" s="1"/>
  <c r="OE76" i="6" s="1"/>
  <c r="OF76" i="6" s="1"/>
  <c r="OG76" i="6" s="1"/>
  <c r="OH76" i="6" s="1"/>
  <c r="OI76" i="6" s="1"/>
  <c r="OJ76" i="6" s="1"/>
  <c r="OK76" i="6" s="1"/>
  <c r="OL76" i="6" s="1"/>
  <c r="OM76" i="6" s="1"/>
  <c r="OO76" i="6" s="1"/>
  <c r="ON76" i="6"/>
  <c r="J33" i="7"/>
  <c r="AH49" i="6" s="1"/>
  <c r="AH73" i="6"/>
  <c r="ON74" i="6"/>
  <c r="K34" i="7"/>
  <c r="I34" i="7"/>
  <c r="AI38" i="6" s="1"/>
  <c r="H35" i="7"/>
  <c r="AU51" i="6"/>
  <c r="AV22" i="6"/>
  <c r="K35" i="4"/>
  <c r="E23" i="4"/>
  <c r="D23" i="4"/>
  <c r="I34" i="4"/>
  <c r="B35" i="4"/>
  <c r="A34" i="4"/>
  <c r="ON77" i="6" l="1"/>
  <c r="AG34" i="6"/>
  <c r="AG35" i="6" s="1"/>
  <c r="PA74" i="6"/>
  <c r="NN21" i="6"/>
  <c r="OA75" i="6"/>
  <c r="B36" i="7"/>
  <c r="A35" i="7"/>
  <c r="K4" i="6"/>
  <c r="K5" i="6"/>
  <c r="K7" i="6" s="1"/>
  <c r="K56" i="6"/>
  <c r="L42" i="6"/>
  <c r="L39" i="6"/>
  <c r="E13" i="7"/>
  <c r="L72" i="6"/>
  <c r="AF28" i="6"/>
  <c r="AV51" i="6"/>
  <c r="AW22" i="6"/>
  <c r="OC24" i="6"/>
  <c r="OD24" i="6" s="1"/>
  <c r="OE24" i="6" s="1"/>
  <c r="OF24" i="6" s="1"/>
  <c r="OG24" i="6" s="1"/>
  <c r="OH24" i="6" s="1"/>
  <c r="OI24" i="6" s="1"/>
  <c r="OJ24" i="6" s="1"/>
  <c r="OK24" i="6" s="1"/>
  <c r="OL24" i="6" s="1"/>
  <c r="OM24" i="6" s="1"/>
  <c r="OO24" i="6" s="1"/>
  <c r="AG27" i="6"/>
  <c r="AG28" i="6" s="1"/>
  <c r="OA24" i="6"/>
  <c r="AE65" i="6"/>
  <c r="AF64" i="6" s="1"/>
  <c r="AJ16" i="6"/>
  <c r="AI17" i="6"/>
  <c r="AI18" i="6" s="1"/>
  <c r="AI31" i="6"/>
  <c r="AH32" i="6"/>
  <c r="OP76" i="6"/>
  <c r="OQ76" i="6" s="1"/>
  <c r="OR76" i="6" s="1"/>
  <c r="OS76" i="6" s="1"/>
  <c r="OT76" i="6" s="1"/>
  <c r="OU76" i="6" s="1"/>
  <c r="OV76" i="6" s="1"/>
  <c r="OW76" i="6" s="1"/>
  <c r="OX76" i="6" s="1"/>
  <c r="OY76" i="6" s="1"/>
  <c r="OZ76" i="6" s="1"/>
  <c r="PB76" i="6" s="1"/>
  <c r="AJ10" i="6"/>
  <c r="AK55" i="6"/>
  <c r="NP21" i="6"/>
  <c r="NQ21" i="6" s="1"/>
  <c r="NR21" i="6" s="1"/>
  <c r="NS21" i="6" s="1"/>
  <c r="NT21" i="6" s="1"/>
  <c r="NU21" i="6" s="1"/>
  <c r="NV21" i="6" s="1"/>
  <c r="NW21" i="6" s="1"/>
  <c r="NX21" i="6" s="1"/>
  <c r="NY21" i="6" s="1"/>
  <c r="NZ21" i="6" s="1"/>
  <c r="OB21" i="6" s="1"/>
  <c r="OC23" i="6"/>
  <c r="OD23" i="6" s="1"/>
  <c r="OE23" i="6" s="1"/>
  <c r="OF23" i="6" s="1"/>
  <c r="OG23" i="6" s="1"/>
  <c r="OH23" i="6" s="1"/>
  <c r="OI23" i="6" s="1"/>
  <c r="OJ23" i="6" s="1"/>
  <c r="OK23" i="6" s="1"/>
  <c r="OL23" i="6" s="1"/>
  <c r="OM23" i="6" s="1"/>
  <c r="OO23" i="6" s="1"/>
  <c r="J34" i="7"/>
  <c r="AI49" i="6" s="1"/>
  <c r="AI73" i="6"/>
  <c r="AK30" i="6"/>
  <c r="AH25" i="6"/>
  <c r="AI20" i="6"/>
  <c r="I35" i="7"/>
  <c r="AJ38" i="6" s="1"/>
  <c r="H36" i="7"/>
  <c r="K35" i="7"/>
  <c r="OC75" i="6"/>
  <c r="OD75" i="6" s="1"/>
  <c r="OE75" i="6" s="1"/>
  <c r="OF75" i="6" s="1"/>
  <c r="OG75" i="6" s="1"/>
  <c r="OH75" i="6" s="1"/>
  <c r="OI75" i="6" s="1"/>
  <c r="OJ75" i="6" s="1"/>
  <c r="OK75" i="6" s="1"/>
  <c r="OL75" i="6" s="1"/>
  <c r="OM75" i="6" s="1"/>
  <c r="OO75" i="6" s="1"/>
  <c r="PC74" i="6"/>
  <c r="PD74" i="6" s="1"/>
  <c r="PE74" i="6" s="1"/>
  <c r="PF74" i="6" s="1"/>
  <c r="PG74" i="6" s="1"/>
  <c r="PH74" i="6" s="1"/>
  <c r="PI74" i="6" s="1"/>
  <c r="PJ74" i="6" s="1"/>
  <c r="PK74" i="6" s="1"/>
  <c r="PL74" i="6" s="1"/>
  <c r="PM74" i="6" s="1"/>
  <c r="PO74" i="6" s="1"/>
  <c r="OA23" i="6"/>
  <c r="OP77" i="6"/>
  <c r="OQ77" i="6" s="1"/>
  <c r="OR77" i="6" s="1"/>
  <c r="OS77" i="6" s="1"/>
  <c r="OT77" i="6" s="1"/>
  <c r="OU77" i="6" s="1"/>
  <c r="OV77" i="6" s="1"/>
  <c r="OW77" i="6" s="1"/>
  <c r="OX77" i="6" s="1"/>
  <c r="OY77" i="6" s="1"/>
  <c r="OZ77" i="6" s="1"/>
  <c r="PB77" i="6" s="1"/>
  <c r="AL1" i="6"/>
  <c r="AT69" i="6"/>
  <c r="AT70" i="6" s="1"/>
  <c r="AU68" i="6"/>
  <c r="AJ59" i="6"/>
  <c r="K36" i="4"/>
  <c r="B36" i="4"/>
  <c r="A35" i="4"/>
  <c r="I35" i="4"/>
  <c r="F23" i="4"/>
  <c r="G23" i="4" s="1"/>
  <c r="L23" i="4"/>
  <c r="PA77" i="6" l="1"/>
  <c r="AH34" i="6"/>
  <c r="AH35" i="6" s="1"/>
  <c r="ON24" i="6"/>
  <c r="B37" i="7"/>
  <c r="A36" i="7"/>
  <c r="L78" i="6"/>
  <c r="L43" i="6"/>
  <c r="L40" i="6"/>
  <c r="L48" i="6"/>
  <c r="C14" i="7"/>
  <c r="K6" i="6"/>
  <c r="K57" i="6"/>
  <c r="K61" i="6" s="1"/>
  <c r="K11" i="6" s="1"/>
  <c r="AJ17" i="6"/>
  <c r="AJ18" i="6" s="1"/>
  <c r="AK16" i="6"/>
  <c r="K36" i="7"/>
  <c r="I36" i="7"/>
  <c r="AK38" i="6" s="1"/>
  <c r="H37" i="7"/>
  <c r="ON23" i="6"/>
  <c r="AI25" i="6"/>
  <c r="AJ20" i="6"/>
  <c r="AK10" i="6"/>
  <c r="AL55" i="6"/>
  <c r="AH27" i="6"/>
  <c r="AL30" i="6"/>
  <c r="AK59" i="6"/>
  <c r="PC77" i="6"/>
  <c r="PD77" i="6" s="1"/>
  <c r="PE77" i="6" s="1"/>
  <c r="PF77" i="6" s="1"/>
  <c r="PG77" i="6" s="1"/>
  <c r="PH77" i="6" s="1"/>
  <c r="PI77" i="6" s="1"/>
  <c r="PJ77" i="6" s="1"/>
  <c r="PK77" i="6" s="1"/>
  <c r="PL77" i="6" s="1"/>
  <c r="PM77" i="6" s="1"/>
  <c r="PO77" i="6" s="1"/>
  <c r="PA76" i="6"/>
  <c r="OP75" i="6"/>
  <c r="OQ75" i="6" s="1"/>
  <c r="OR75" i="6" s="1"/>
  <c r="OS75" i="6" s="1"/>
  <c r="OT75" i="6" s="1"/>
  <c r="OU75" i="6" s="1"/>
  <c r="OV75" i="6" s="1"/>
  <c r="OW75" i="6" s="1"/>
  <c r="OX75" i="6" s="1"/>
  <c r="OY75" i="6" s="1"/>
  <c r="OZ75" i="6" s="1"/>
  <c r="PB75" i="6" s="1"/>
  <c r="AU69" i="6"/>
  <c r="AU70" i="6" s="1"/>
  <c r="AV68" i="6"/>
  <c r="OP24" i="6"/>
  <c r="OQ24" i="6" s="1"/>
  <c r="OR24" i="6" s="1"/>
  <c r="OS24" i="6" s="1"/>
  <c r="OT24" i="6" s="1"/>
  <c r="OU24" i="6" s="1"/>
  <c r="OV24" i="6" s="1"/>
  <c r="OW24" i="6" s="1"/>
  <c r="OX24" i="6" s="1"/>
  <c r="OY24" i="6" s="1"/>
  <c r="OZ24" i="6" s="1"/>
  <c r="PB24" i="6" s="1"/>
  <c r="PP74" i="6"/>
  <c r="PQ74" i="6" s="1"/>
  <c r="PR74" i="6" s="1"/>
  <c r="PS74" i="6" s="1"/>
  <c r="PT74" i="6" s="1"/>
  <c r="PU74" i="6" s="1"/>
  <c r="PV74" i="6" s="1"/>
  <c r="PW74" i="6" s="1"/>
  <c r="PX74" i="6" s="1"/>
  <c r="PY74" i="6" s="1"/>
  <c r="PZ74" i="6" s="1"/>
  <c r="QB74" i="6" s="1"/>
  <c r="ON75" i="6"/>
  <c r="AW51" i="6"/>
  <c r="AX22" i="6"/>
  <c r="J35" i="7"/>
  <c r="AJ49" i="6" s="1"/>
  <c r="AJ73" i="6"/>
  <c r="OP23" i="6"/>
  <c r="OQ23" i="6" s="1"/>
  <c r="OR23" i="6" s="1"/>
  <c r="OS23" i="6" s="1"/>
  <c r="OT23" i="6" s="1"/>
  <c r="OU23" i="6" s="1"/>
  <c r="OV23" i="6" s="1"/>
  <c r="OW23" i="6" s="1"/>
  <c r="OX23" i="6" s="1"/>
  <c r="OY23" i="6" s="1"/>
  <c r="OZ23" i="6" s="1"/>
  <c r="PB23" i="6" s="1"/>
  <c r="AF65" i="6"/>
  <c r="AG64" i="6" s="1"/>
  <c r="OC21" i="6"/>
  <c r="OD21" i="6" s="1"/>
  <c r="OE21" i="6" s="1"/>
  <c r="OF21" i="6" s="1"/>
  <c r="OG21" i="6" s="1"/>
  <c r="OH21" i="6" s="1"/>
  <c r="OI21" i="6" s="1"/>
  <c r="OJ21" i="6" s="1"/>
  <c r="OK21" i="6" s="1"/>
  <c r="OL21" i="6" s="1"/>
  <c r="OM21" i="6" s="1"/>
  <c r="OO21" i="6" s="1"/>
  <c r="OA21" i="6"/>
  <c r="AM1" i="6"/>
  <c r="PC76" i="6"/>
  <c r="PD76" i="6" s="1"/>
  <c r="PE76" i="6" s="1"/>
  <c r="PF76" i="6" s="1"/>
  <c r="PG76" i="6" s="1"/>
  <c r="PH76" i="6" s="1"/>
  <c r="PI76" i="6" s="1"/>
  <c r="PJ76" i="6" s="1"/>
  <c r="PK76" i="6" s="1"/>
  <c r="PL76" i="6" s="1"/>
  <c r="PM76" i="6" s="1"/>
  <c r="PO76" i="6" s="1"/>
  <c r="PN74" i="6"/>
  <c r="AJ31" i="6"/>
  <c r="AI32" i="6"/>
  <c r="E24" i="4"/>
  <c r="D24" i="4"/>
  <c r="I36" i="4"/>
  <c r="A36" i="4"/>
  <c r="B37" i="4"/>
  <c r="PN76" i="6" l="1"/>
  <c r="AI34" i="6"/>
  <c r="AI35" i="6" s="1"/>
  <c r="QA74" i="6"/>
  <c r="PA75" i="6"/>
  <c r="ON21" i="6"/>
  <c r="B38" i="7"/>
  <c r="A37" i="7"/>
  <c r="D14" i="7"/>
  <c r="M37" i="6" s="1"/>
  <c r="F14" i="7"/>
  <c r="M58" i="6"/>
  <c r="L47" i="6"/>
  <c r="L44" i="6"/>
  <c r="L8" i="6"/>
  <c r="L80" i="6"/>
  <c r="AG65" i="6"/>
  <c r="AH64" i="6" s="1"/>
  <c r="AK31" i="6"/>
  <c r="AJ32" i="6"/>
  <c r="AX51" i="6"/>
  <c r="AY22" i="6"/>
  <c r="PA24" i="6"/>
  <c r="PN77" i="6"/>
  <c r="AM30" i="6"/>
  <c r="PC75" i="6"/>
  <c r="PD75" i="6" s="1"/>
  <c r="PE75" i="6" s="1"/>
  <c r="PF75" i="6" s="1"/>
  <c r="PG75" i="6" s="1"/>
  <c r="PH75" i="6" s="1"/>
  <c r="PI75" i="6" s="1"/>
  <c r="PJ75" i="6" s="1"/>
  <c r="PK75" i="6" s="1"/>
  <c r="PL75" i="6" s="1"/>
  <c r="PM75" i="6" s="1"/>
  <c r="PO75" i="6" s="1"/>
  <c r="H38" i="7"/>
  <c r="K37" i="7"/>
  <c r="I37" i="7"/>
  <c r="AL38" i="6" s="1"/>
  <c r="PP77" i="6"/>
  <c r="PQ77" i="6" s="1"/>
  <c r="PR77" i="6" s="1"/>
  <c r="PS77" i="6" s="1"/>
  <c r="PT77" i="6" s="1"/>
  <c r="PU77" i="6" s="1"/>
  <c r="PV77" i="6" s="1"/>
  <c r="PW77" i="6" s="1"/>
  <c r="PX77" i="6" s="1"/>
  <c r="PY77" i="6" s="1"/>
  <c r="PZ77" i="6" s="1"/>
  <c r="QB77" i="6" s="1"/>
  <c r="OP21" i="6"/>
  <c r="OQ21" i="6" s="1"/>
  <c r="OR21" i="6" s="1"/>
  <c r="OS21" i="6" s="1"/>
  <c r="OT21" i="6" s="1"/>
  <c r="OU21" i="6" s="1"/>
  <c r="OV21" i="6" s="1"/>
  <c r="OW21" i="6" s="1"/>
  <c r="OX21" i="6" s="1"/>
  <c r="OY21" i="6" s="1"/>
  <c r="OZ21" i="6" s="1"/>
  <c r="PB21" i="6" s="1"/>
  <c r="AH28" i="6"/>
  <c r="AI27" i="6"/>
  <c r="AI28" i="6" s="1"/>
  <c r="PC23" i="6"/>
  <c r="PD23" i="6" s="1"/>
  <c r="PE23" i="6" s="1"/>
  <c r="PF23" i="6" s="1"/>
  <c r="PG23" i="6" s="1"/>
  <c r="PH23" i="6" s="1"/>
  <c r="PI23" i="6" s="1"/>
  <c r="PJ23" i="6" s="1"/>
  <c r="PK23" i="6" s="1"/>
  <c r="PL23" i="6" s="1"/>
  <c r="PM23" i="6" s="1"/>
  <c r="PO23" i="6" s="1"/>
  <c r="AL59" i="6"/>
  <c r="PC24" i="6"/>
  <c r="PD24" i="6" s="1"/>
  <c r="PE24" i="6" s="1"/>
  <c r="PF24" i="6" s="1"/>
  <c r="PG24" i="6" s="1"/>
  <c r="PH24" i="6" s="1"/>
  <c r="PI24" i="6" s="1"/>
  <c r="PJ24" i="6" s="1"/>
  <c r="PK24" i="6" s="1"/>
  <c r="PL24" i="6" s="1"/>
  <c r="PM24" i="6" s="1"/>
  <c r="PO24" i="6" s="1"/>
  <c r="J36" i="7"/>
  <c r="AK49" i="6" s="1"/>
  <c r="AK73" i="6"/>
  <c r="AL16" i="6"/>
  <c r="AK17" i="6"/>
  <c r="AK18" i="6" s="1"/>
  <c r="AV69" i="6"/>
  <c r="AV70" i="6" s="1"/>
  <c r="AW68" i="6"/>
  <c r="PP76" i="6"/>
  <c r="PQ76" i="6" s="1"/>
  <c r="PR76" i="6" s="1"/>
  <c r="PS76" i="6" s="1"/>
  <c r="PT76" i="6" s="1"/>
  <c r="PU76" i="6" s="1"/>
  <c r="PV76" i="6" s="1"/>
  <c r="PW76" i="6" s="1"/>
  <c r="PX76" i="6" s="1"/>
  <c r="PY76" i="6" s="1"/>
  <c r="PZ76" i="6" s="1"/>
  <c r="QB76" i="6" s="1"/>
  <c r="AO1" i="6"/>
  <c r="AN1" i="6"/>
  <c r="AM55" i="6"/>
  <c r="AL10" i="6"/>
  <c r="QC74" i="6"/>
  <c r="QD74" i="6" s="1"/>
  <c r="QE74" i="6" s="1"/>
  <c r="QF74" i="6" s="1"/>
  <c r="QG74" i="6" s="1"/>
  <c r="QH74" i="6" s="1"/>
  <c r="QI74" i="6" s="1"/>
  <c r="QJ74" i="6" s="1"/>
  <c r="QK74" i="6" s="1"/>
  <c r="QL74" i="6" s="1"/>
  <c r="QM74" i="6" s="1"/>
  <c r="QO74" i="6" s="1"/>
  <c r="PA23" i="6"/>
  <c r="AK20" i="6"/>
  <c r="AJ25" i="6"/>
  <c r="AJ27" i="6" s="1"/>
  <c r="AJ28" i="6" s="1"/>
  <c r="B38" i="4"/>
  <c r="A37" i="4"/>
  <c r="I37" i="4"/>
  <c r="F24" i="4"/>
  <c r="G24" i="4" s="1"/>
  <c r="L24" i="4"/>
  <c r="K37" i="4"/>
  <c r="QA77" i="6" l="1"/>
  <c r="QA76" i="6"/>
  <c r="PN24" i="6"/>
  <c r="AJ34" i="6"/>
  <c r="AJ35" i="6" s="1"/>
  <c r="PN75" i="6"/>
  <c r="B39" i="7"/>
  <c r="A38" i="7"/>
  <c r="AM59" i="6"/>
  <c r="AN59" i="6" s="1"/>
  <c r="L9" i="6"/>
  <c r="L52" i="6"/>
  <c r="M60" i="6"/>
  <c r="N60" i="6" s="1"/>
  <c r="N58" i="6"/>
  <c r="E14" i="7"/>
  <c r="M72" i="6"/>
  <c r="L82" i="6"/>
  <c r="M39" i="6"/>
  <c r="M42" i="6"/>
  <c r="N42" i="6" s="1"/>
  <c r="N37" i="6"/>
  <c r="AH65" i="6"/>
  <c r="AI64" i="6" s="1"/>
  <c r="PP23" i="6"/>
  <c r="PQ23" i="6" s="1"/>
  <c r="PR23" i="6" s="1"/>
  <c r="PS23" i="6" s="1"/>
  <c r="PT23" i="6" s="1"/>
  <c r="PU23" i="6" s="1"/>
  <c r="PV23" i="6" s="1"/>
  <c r="PW23" i="6" s="1"/>
  <c r="PX23" i="6" s="1"/>
  <c r="PY23" i="6" s="1"/>
  <c r="PZ23" i="6" s="1"/>
  <c r="QB23" i="6" s="1"/>
  <c r="J37" i="7"/>
  <c r="AL49" i="6" s="1"/>
  <c r="AL73" i="6"/>
  <c r="AM10" i="6"/>
  <c r="AN10" i="6" s="1"/>
  <c r="AN55" i="6"/>
  <c r="AO55" i="6"/>
  <c r="QC76" i="6"/>
  <c r="QD76" i="6" s="1"/>
  <c r="QE76" i="6" s="1"/>
  <c r="QF76" i="6" s="1"/>
  <c r="QG76" i="6" s="1"/>
  <c r="QH76" i="6" s="1"/>
  <c r="QI76" i="6" s="1"/>
  <c r="QJ76" i="6" s="1"/>
  <c r="QK76" i="6" s="1"/>
  <c r="QL76" i="6" s="1"/>
  <c r="QM76" i="6" s="1"/>
  <c r="QO76" i="6" s="1"/>
  <c r="PP75" i="6"/>
  <c r="PQ75" i="6" s="1"/>
  <c r="PR75" i="6" s="1"/>
  <c r="PS75" i="6" s="1"/>
  <c r="PT75" i="6" s="1"/>
  <c r="PU75" i="6" s="1"/>
  <c r="PV75" i="6" s="1"/>
  <c r="PW75" i="6" s="1"/>
  <c r="PX75" i="6" s="1"/>
  <c r="PY75" i="6" s="1"/>
  <c r="PZ75" i="6" s="1"/>
  <c r="QB75" i="6" s="1"/>
  <c r="I38" i="7"/>
  <c r="AM38" i="6" s="1"/>
  <c r="AN38" i="6" s="1"/>
  <c r="H39" i="7"/>
  <c r="AO59" i="6" s="1"/>
  <c r="K38" i="7"/>
  <c r="QP74" i="6"/>
  <c r="QQ74" i="6" s="1"/>
  <c r="QR74" i="6" s="1"/>
  <c r="QS74" i="6" s="1"/>
  <c r="QT74" i="6" s="1"/>
  <c r="QU74" i="6" s="1"/>
  <c r="QV74" i="6" s="1"/>
  <c r="QW74" i="6" s="1"/>
  <c r="QX74" i="6" s="1"/>
  <c r="QY74" i="6" s="1"/>
  <c r="QZ74" i="6" s="1"/>
  <c r="RB74" i="6" s="1"/>
  <c r="AM16" i="6"/>
  <c r="AL17" i="6"/>
  <c r="AL18" i="6" s="1"/>
  <c r="PC21" i="6"/>
  <c r="PD21" i="6" s="1"/>
  <c r="PE21" i="6" s="1"/>
  <c r="PF21" i="6" s="1"/>
  <c r="PG21" i="6" s="1"/>
  <c r="PH21" i="6" s="1"/>
  <c r="PI21" i="6" s="1"/>
  <c r="PJ21" i="6" s="1"/>
  <c r="PK21" i="6" s="1"/>
  <c r="PL21" i="6" s="1"/>
  <c r="PM21" i="6" s="1"/>
  <c r="PO21" i="6" s="1"/>
  <c r="PP24" i="6"/>
  <c r="PQ24" i="6" s="1"/>
  <c r="PR24" i="6" s="1"/>
  <c r="PS24" i="6" s="1"/>
  <c r="PT24" i="6" s="1"/>
  <c r="PU24" i="6" s="1"/>
  <c r="PV24" i="6" s="1"/>
  <c r="PW24" i="6" s="1"/>
  <c r="PX24" i="6" s="1"/>
  <c r="PY24" i="6" s="1"/>
  <c r="PZ24" i="6" s="1"/>
  <c r="QB24" i="6" s="1"/>
  <c r="AW69" i="6"/>
  <c r="AW70" i="6" s="1"/>
  <c r="AX68" i="6"/>
  <c r="AO30" i="6"/>
  <c r="AN30" i="6"/>
  <c r="AK25" i="6"/>
  <c r="AK27" i="6" s="1"/>
  <c r="AK28" i="6" s="1"/>
  <c r="AL20" i="6"/>
  <c r="AP1" i="6"/>
  <c r="PN23" i="6"/>
  <c r="AY51" i="6"/>
  <c r="AZ22" i="6"/>
  <c r="QN74" i="6"/>
  <c r="AL31" i="6"/>
  <c r="AK32" i="6"/>
  <c r="PA21" i="6"/>
  <c r="QC77" i="6"/>
  <c r="QD77" i="6" s="1"/>
  <c r="QE77" i="6" s="1"/>
  <c r="QF77" i="6" s="1"/>
  <c r="QG77" i="6" s="1"/>
  <c r="QH77" i="6" s="1"/>
  <c r="QI77" i="6" s="1"/>
  <c r="QJ77" i="6" s="1"/>
  <c r="QK77" i="6" s="1"/>
  <c r="QL77" i="6" s="1"/>
  <c r="QM77" i="6" s="1"/>
  <c r="QO77" i="6" s="1"/>
  <c r="QN77" i="6"/>
  <c r="A38" i="4"/>
  <c r="B39" i="4"/>
  <c r="K38" i="4"/>
  <c r="K39" i="4" s="1"/>
  <c r="D25" i="4"/>
  <c r="E25" i="4"/>
  <c r="I38" i="4"/>
  <c r="QN76" i="6" l="1"/>
  <c r="QA24" i="6"/>
  <c r="RA74" i="6"/>
  <c r="B40" i="7"/>
  <c r="A39" i="7"/>
  <c r="M43" i="6"/>
  <c r="M40" i="6"/>
  <c r="N39" i="6"/>
  <c r="N40" i="6" s="1"/>
  <c r="M78" i="6"/>
  <c r="N72" i="6"/>
  <c r="M48" i="6"/>
  <c r="N48" i="6" s="1"/>
  <c r="C15" i="7"/>
  <c r="G31" i="3" s="1"/>
  <c r="H31" i="3" s="1"/>
  <c r="L56" i="6"/>
  <c r="L5" i="6"/>
  <c r="L4" i="6"/>
  <c r="AY68" i="6"/>
  <c r="AX69" i="6"/>
  <c r="AX70" i="6" s="1"/>
  <c r="QP77" i="6"/>
  <c r="QQ77" i="6" s="1"/>
  <c r="QR77" i="6" s="1"/>
  <c r="QS77" i="6" s="1"/>
  <c r="QT77" i="6" s="1"/>
  <c r="QU77" i="6" s="1"/>
  <c r="QV77" i="6" s="1"/>
  <c r="QW77" i="6" s="1"/>
  <c r="QX77" i="6" s="1"/>
  <c r="QY77" i="6" s="1"/>
  <c r="QZ77" i="6" s="1"/>
  <c r="RB77" i="6" s="1"/>
  <c r="AM20" i="6"/>
  <c r="AL25" i="6"/>
  <c r="AL27" i="6" s="1"/>
  <c r="AL28" i="6" s="1"/>
  <c r="QA75" i="6"/>
  <c r="QA23" i="6"/>
  <c r="RC74" i="6"/>
  <c r="RD74" i="6" s="1"/>
  <c r="RE74" i="6" s="1"/>
  <c r="RF74" i="6" s="1"/>
  <c r="RG74" i="6" s="1"/>
  <c r="RH74" i="6" s="1"/>
  <c r="RI74" i="6" s="1"/>
  <c r="RJ74" i="6" s="1"/>
  <c r="RK74" i="6" s="1"/>
  <c r="RL74" i="6" s="1"/>
  <c r="RM74" i="6" s="1"/>
  <c r="QP76" i="6"/>
  <c r="QQ76" i="6" s="1"/>
  <c r="QR76" i="6" s="1"/>
  <c r="QS76" i="6" s="1"/>
  <c r="QT76" i="6" s="1"/>
  <c r="QU76" i="6" s="1"/>
  <c r="QV76" i="6" s="1"/>
  <c r="QW76" i="6" s="1"/>
  <c r="QX76" i="6" s="1"/>
  <c r="QY76" i="6" s="1"/>
  <c r="QZ76" i="6" s="1"/>
  <c r="RB76" i="6" s="1"/>
  <c r="RA76" i="6"/>
  <c r="BB22" i="6"/>
  <c r="AZ51" i="6"/>
  <c r="BA51" i="6" s="1"/>
  <c r="BA22" i="6"/>
  <c r="QC24" i="6"/>
  <c r="QD24" i="6" s="1"/>
  <c r="QE24" i="6" s="1"/>
  <c r="QF24" i="6" s="1"/>
  <c r="QG24" i="6" s="1"/>
  <c r="QH24" i="6" s="1"/>
  <c r="QI24" i="6" s="1"/>
  <c r="QJ24" i="6" s="1"/>
  <c r="QK24" i="6" s="1"/>
  <c r="QL24" i="6" s="1"/>
  <c r="QM24" i="6" s="1"/>
  <c r="QO24" i="6" s="1"/>
  <c r="PP21" i="6"/>
  <c r="PQ21" i="6" s="1"/>
  <c r="PR21" i="6" s="1"/>
  <c r="PS21" i="6" s="1"/>
  <c r="PT21" i="6" s="1"/>
  <c r="PU21" i="6" s="1"/>
  <c r="PV21" i="6" s="1"/>
  <c r="PW21" i="6" s="1"/>
  <c r="PX21" i="6" s="1"/>
  <c r="PY21" i="6" s="1"/>
  <c r="PZ21" i="6" s="1"/>
  <c r="QB21" i="6" s="1"/>
  <c r="QC23" i="6"/>
  <c r="QD23" i="6" s="1"/>
  <c r="QE23" i="6" s="1"/>
  <c r="QF23" i="6" s="1"/>
  <c r="QG23" i="6" s="1"/>
  <c r="QH23" i="6" s="1"/>
  <c r="QI23" i="6" s="1"/>
  <c r="QJ23" i="6" s="1"/>
  <c r="QK23" i="6" s="1"/>
  <c r="QL23" i="6" s="1"/>
  <c r="QM23" i="6" s="1"/>
  <c r="QO23" i="6" s="1"/>
  <c r="J38" i="7"/>
  <c r="AM49" i="6" s="1"/>
  <c r="AN49" i="6" s="1"/>
  <c r="AM73" i="6"/>
  <c r="AN73" i="6" s="1"/>
  <c r="AK34" i="6"/>
  <c r="AP55" i="6"/>
  <c r="AO10" i="6"/>
  <c r="PN21" i="6"/>
  <c r="QC75" i="6"/>
  <c r="QD75" i="6" s="1"/>
  <c r="QE75" i="6" s="1"/>
  <c r="QF75" i="6" s="1"/>
  <c r="QG75" i="6" s="1"/>
  <c r="QH75" i="6" s="1"/>
  <c r="QI75" i="6" s="1"/>
  <c r="QJ75" i="6" s="1"/>
  <c r="QK75" i="6" s="1"/>
  <c r="QL75" i="6" s="1"/>
  <c r="QM75" i="6" s="1"/>
  <c r="QO75" i="6" s="1"/>
  <c r="AP30" i="6"/>
  <c r="AO16" i="6"/>
  <c r="AM17" i="6"/>
  <c r="AN17" i="6" s="1"/>
  <c r="AN16" i="6"/>
  <c r="AQ1" i="6"/>
  <c r="AI65" i="6"/>
  <c r="AJ64" i="6" s="1"/>
  <c r="AM31" i="6"/>
  <c r="AL32" i="6"/>
  <c r="H40" i="7"/>
  <c r="AP59" i="6" s="1"/>
  <c r="I39" i="7"/>
  <c r="AO38" i="6" s="1"/>
  <c r="K39" i="7"/>
  <c r="I39" i="4"/>
  <c r="F25" i="4"/>
  <c r="G25" i="4" s="1"/>
  <c r="L25" i="4"/>
  <c r="B40" i="4"/>
  <c r="A39" i="4"/>
  <c r="RA77" i="6" l="1"/>
  <c r="QA21" i="6"/>
  <c r="QN23" i="6"/>
  <c r="B41" i="7"/>
  <c r="A40" i="7"/>
  <c r="L7" i="6"/>
  <c r="L6" i="6"/>
  <c r="L57" i="6"/>
  <c r="L61" i="6" s="1"/>
  <c r="L11" i="6" s="1"/>
  <c r="M47" i="6"/>
  <c r="M44" i="6"/>
  <c r="M8" i="6"/>
  <c r="N43" i="6"/>
  <c r="N44" i="6" s="1"/>
  <c r="D15" i="7"/>
  <c r="O37" i="6" s="1"/>
  <c r="F15" i="7"/>
  <c r="O58" i="6"/>
  <c r="O60" i="6" s="1"/>
  <c r="M80" i="6"/>
  <c r="N78" i="6"/>
  <c r="AO31" i="6"/>
  <c r="AN31" i="6"/>
  <c r="AM32" i="6"/>
  <c r="AN32" i="6" s="1"/>
  <c r="RN74" i="6"/>
  <c r="AJ65" i="6"/>
  <c r="AK64" i="6" s="1"/>
  <c r="AQ30" i="6"/>
  <c r="J39" i="7"/>
  <c r="AO49" i="6" s="1"/>
  <c r="AO73" i="6"/>
  <c r="QN75" i="6"/>
  <c r="QP23" i="6"/>
  <c r="QQ23" i="6" s="1"/>
  <c r="QR23" i="6" s="1"/>
  <c r="QS23" i="6" s="1"/>
  <c r="QT23" i="6" s="1"/>
  <c r="QU23" i="6" s="1"/>
  <c r="QV23" i="6" s="1"/>
  <c r="QW23" i="6" s="1"/>
  <c r="QX23" i="6" s="1"/>
  <c r="QY23" i="6" s="1"/>
  <c r="QZ23" i="6" s="1"/>
  <c r="RB23" i="6" s="1"/>
  <c r="AR1" i="6"/>
  <c r="QP24" i="6"/>
  <c r="QQ24" i="6" s="1"/>
  <c r="QR24" i="6" s="1"/>
  <c r="QS24" i="6" s="1"/>
  <c r="QT24" i="6" s="1"/>
  <c r="QU24" i="6" s="1"/>
  <c r="QV24" i="6" s="1"/>
  <c r="QW24" i="6" s="1"/>
  <c r="QX24" i="6" s="1"/>
  <c r="QY24" i="6" s="1"/>
  <c r="QZ24" i="6" s="1"/>
  <c r="RB24" i="6" s="1"/>
  <c r="AL34" i="6"/>
  <c r="AM18" i="6"/>
  <c r="AO17" i="6"/>
  <c r="AO18" i="6" s="1"/>
  <c r="AP16" i="6"/>
  <c r="BB51" i="6"/>
  <c r="BC22" i="6"/>
  <c r="AQ55" i="6"/>
  <c r="AP10" i="6"/>
  <c r="AK35" i="6"/>
  <c r="AO20" i="6"/>
  <c r="AM25" i="6"/>
  <c r="AN25" i="6" s="1"/>
  <c r="AN20" i="6"/>
  <c r="QP75" i="6"/>
  <c r="QQ75" i="6" s="1"/>
  <c r="QR75" i="6" s="1"/>
  <c r="QS75" i="6" s="1"/>
  <c r="QT75" i="6" s="1"/>
  <c r="QU75" i="6" s="1"/>
  <c r="QV75" i="6" s="1"/>
  <c r="QW75" i="6" s="1"/>
  <c r="QX75" i="6" s="1"/>
  <c r="QY75" i="6" s="1"/>
  <c r="QZ75" i="6" s="1"/>
  <c r="RB75" i="6" s="1"/>
  <c r="RC77" i="6"/>
  <c r="RD77" i="6" s="1"/>
  <c r="RE77" i="6" s="1"/>
  <c r="RF77" i="6" s="1"/>
  <c r="RG77" i="6" s="1"/>
  <c r="RH77" i="6" s="1"/>
  <c r="RI77" i="6" s="1"/>
  <c r="RJ77" i="6" s="1"/>
  <c r="RK77" i="6" s="1"/>
  <c r="RL77" i="6" s="1"/>
  <c r="RM77" i="6" s="1"/>
  <c r="H41" i="7"/>
  <c r="AQ59" i="6" s="1"/>
  <c r="I40" i="7"/>
  <c r="AP38" i="6" s="1"/>
  <c r="K40" i="7"/>
  <c r="RC76" i="6"/>
  <c r="RD76" i="6" s="1"/>
  <c r="RE76" i="6" s="1"/>
  <c r="RF76" i="6" s="1"/>
  <c r="RG76" i="6" s="1"/>
  <c r="RH76" i="6" s="1"/>
  <c r="RI76" i="6" s="1"/>
  <c r="RJ76" i="6" s="1"/>
  <c r="RK76" i="6" s="1"/>
  <c r="RL76" i="6" s="1"/>
  <c r="RM76" i="6" s="1"/>
  <c r="QC21" i="6"/>
  <c r="QD21" i="6" s="1"/>
  <c r="QE21" i="6" s="1"/>
  <c r="QF21" i="6" s="1"/>
  <c r="QG21" i="6" s="1"/>
  <c r="QH21" i="6" s="1"/>
  <c r="QI21" i="6" s="1"/>
  <c r="QJ21" i="6" s="1"/>
  <c r="QK21" i="6" s="1"/>
  <c r="QL21" i="6" s="1"/>
  <c r="QM21" i="6" s="1"/>
  <c r="QO21" i="6" s="1"/>
  <c r="AZ68" i="6"/>
  <c r="AY69" i="6"/>
  <c r="AY70" i="6" s="1"/>
  <c r="QN24" i="6"/>
  <c r="B41" i="4"/>
  <c r="A40" i="4"/>
  <c r="K40" i="4"/>
  <c r="K41" i="4" s="1"/>
  <c r="E26" i="4"/>
  <c r="D26" i="4"/>
  <c r="I40" i="4"/>
  <c r="RA23" i="6" l="1"/>
  <c r="B42" i="7"/>
  <c r="A41" i="7"/>
  <c r="M82" i="6"/>
  <c r="N82" i="6" s="1"/>
  <c r="N80" i="6"/>
  <c r="E30" i="3" s="1"/>
  <c r="E15" i="7"/>
  <c r="O72" i="6"/>
  <c r="O78" i="6" s="1"/>
  <c r="O80" i="6" s="1"/>
  <c r="O39" i="6"/>
  <c r="O42" i="6"/>
  <c r="M9" i="6"/>
  <c r="N9" i="6" s="1"/>
  <c r="N8" i="6"/>
  <c r="M52" i="6"/>
  <c r="N47" i="6"/>
  <c r="QP21" i="6"/>
  <c r="QQ21" i="6" s="1"/>
  <c r="QR21" i="6" s="1"/>
  <c r="QS21" i="6" s="1"/>
  <c r="QT21" i="6" s="1"/>
  <c r="QU21" i="6" s="1"/>
  <c r="QV21" i="6" s="1"/>
  <c r="QW21" i="6" s="1"/>
  <c r="QX21" i="6" s="1"/>
  <c r="QY21" i="6" s="1"/>
  <c r="QZ21" i="6" s="1"/>
  <c r="RB21" i="6" s="1"/>
  <c r="AM34" i="6"/>
  <c r="AM27" i="6"/>
  <c r="AN18" i="6"/>
  <c r="RN76" i="6"/>
  <c r="AL35" i="6"/>
  <c r="RC24" i="6"/>
  <c r="RD24" i="6" s="1"/>
  <c r="RE24" i="6" s="1"/>
  <c r="RF24" i="6" s="1"/>
  <c r="RG24" i="6" s="1"/>
  <c r="RH24" i="6" s="1"/>
  <c r="RI24" i="6" s="1"/>
  <c r="RJ24" i="6" s="1"/>
  <c r="RK24" i="6" s="1"/>
  <c r="RL24" i="6" s="1"/>
  <c r="RM24" i="6" s="1"/>
  <c r="BD22" i="6"/>
  <c r="BC51" i="6"/>
  <c r="RA24" i="6"/>
  <c r="RC23" i="6"/>
  <c r="RD23" i="6" s="1"/>
  <c r="RE23" i="6" s="1"/>
  <c r="RF23" i="6" s="1"/>
  <c r="RG23" i="6" s="1"/>
  <c r="RH23" i="6" s="1"/>
  <c r="RI23" i="6" s="1"/>
  <c r="RJ23" i="6" s="1"/>
  <c r="RK23" i="6" s="1"/>
  <c r="RL23" i="6" s="1"/>
  <c r="RM23" i="6" s="1"/>
  <c r="AS1" i="6"/>
  <c r="BB68" i="6"/>
  <c r="AZ69" i="6"/>
  <c r="BA69" i="6" s="1"/>
  <c r="BA68" i="6"/>
  <c r="AR30" i="6"/>
  <c r="AO25" i="6"/>
  <c r="AO27" i="6" s="1"/>
  <c r="AP20" i="6"/>
  <c r="AK65" i="6"/>
  <c r="AL64" i="6" s="1"/>
  <c r="QN21" i="6"/>
  <c r="AQ10" i="6"/>
  <c r="AR55" i="6"/>
  <c r="RN77" i="6"/>
  <c r="RC75" i="6"/>
  <c r="RD75" i="6" s="1"/>
  <c r="RE75" i="6" s="1"/>
  <c r="RF75" i="6" s="1"/>
  <c r="RG75" i="6" s="1"/>
  <c r="RH75" i="6" s="1"/>
  <c r="RI75" i="6" s="1"/>
  <c r="RJ75" i="6" s="1"/>
  <c r="RK75" i="6" s="1"/>
  <c r="RL75" i="6" s="1"/>
  <c r="RM75" i="6" s="1"/>
  <c r="J40" i="7"/>
  <c r="AP49" i="6" s="1"/>
  <c r="AP73" i="6"/>
  <c r="H42" i="7"/>
  <c r="AR59" i="6" s="1"/>
  <c r="K41" i="7"/>
  <c r="I41" i="7"/>
  <c r="AQ38" i="6" s="1"/>
  <c r="RA75" i="6"/>
  <c r="AP17" i="6"/>
  <c r="AP18" i="6" s="1"/>
  <c r="AQ16" i="6"/>
  <c r="AP31" i="6"/>
  <c r="AO32" i="6"/>
  <c r="I41" i="4"/>
  <c r="F26" i="4"/>
  <c r="G26" i="4" s="1"/>
  <c r="L26" i="4"/>
  <c r="B42" i="4"/>
  <c r="A41" i="4"/>
  <c r="AO34" i="6" l="1"/>
  <c r="AO35" i="6" s="1"/>
  <c r="RN23" i="6"/>
  <c r="RN75" i="6"/>
  <c r="K30" i="3"/>
  <c r="L30" i="3"/>
  <c r="B43" i="7"/>
  <c r="A42" i="7"/>
  <c r="O43" i="6"/>
  <c r="O40" i="6"/>
  <c r="M4" i="6"/>
  <c r="N4" i="6" s="1"/>
  <c r="M5" i="6"/>
  <c r="N52" i="6"/>
  <c r="M56" i="6"/>
  <c r="O48" i="6"/>
  <c r="C16" i="7"/>
  <c r="O82" i="6"/>
  <c r="AQ31" i="6"/>
  <c r="AP32" i="6"/>
  <c r="AZ70" i="6"/>
  <c r="BC68" i="6"/>
  <c r="BB69" i="6"/>
  <c r="AM28" i="6"/>
  <c r="AN27" i="6"/>
  <c r="AN28" i="6" s="1"/>
  <c r="AM35" i="6"/>
  <c r="AN34" i="6"/>
  <c r="AN35" i="6" s="1"/>
  <c r="AL65" i="6"/>
  <c r="AM64" i="6" s="1"/>
  <c r="RC21" i="6"/>
  <c r="RD21" i="6" s="1"/>
  <c r="RE21" i="6" s="1"/>
  <c r="RF21" i="6" s="1"/>
  <c r="RG21" i="6" s="1"/>
  <c r="RH21" i="6" s="1"/>
  <c r="RI21" i="6" s="1"/>
  <c r="RJ21" i="6" s="1"/>
  <c r="RK21" i="6" s="1"/>
  <c r="RL21" i="6" s="1"/>
  <c r="RM21" i="6" s="1"/>
  <c r="AO28" i="6"/>
  <c r="AP25" i="6"/>
  <c r="AP27" i="6" s="1"/>
  <c r="AQ20" i="6"/>
  <c r="I42" i="7"/>
  <c r="AR38" i="6" s="1"/>
  <c r="H43" i="7"/>
  <c r="K42" i="7"/>
  <c r="AR16" i="6"/>
  <c r="AQ17" i="6"/>
  <c r="AQ18" i="6" s="1"/>
  <c r="BD51" i="6"/>
  <c r="BE22" i="6"/>
  <c r="AT1" i="6"/>
  <c r="RA21" i="6"/>
  <c r="RN24" i="6"/>
  <c r="J41" i="7"/>
  <c r="AQ49" i="6" s="1"/>
  <c r="AQ73" i="6"/>
  <c r="AR10" i="6"/>
  <c r="AS55" i="6"/>
  <c r="AS30" i="6"/>
  <c r="B43" i="4"/>
  <c r="A42" i="4"/>
  <c r="K42" i="4"/>
  <c r="K43" i="4" s="1"/>
  <c r="E27" i="4"/>
  <c r="D27" i="4"/>
  <c r="I42" i="4"/>
  <c r="RN21" i="6" l="1"/>
  <c r="B44" i="7"/>
  <c r="A43" i="7"/>
  <c r="P58" i="6"/>
  <c r="P60" i="6" s="1"/>
  <c r="D16" i="7"/>
  <c r="P37" i="6" s="1"/>
  <c r="F16" i="7"/>
  <c r="N56" i="6"/>
  <c r="M6" i="6"/>
  <c r="M57" i="6"/>
  <c r="M61" i="6" s="1"/>
  <c r="N5" i="6"/>
  <c r="M7" i="6"/>
  <c r="O47" i="6"/>
  <c r="O52" i="6" s="1"/>
  <c r="O44" i="6"/>
  <c r="O8" i="6"/>
  <c r="O9" i="6" s="1"/>
  <c r="AP28" i="6"/>
  <c r="AR17" i="6"/>
  <c r="AR18" i="6" s="1"/>
  <c r="AS16" i="6"/>
  <c r="AT55" i="6"/>
  <c r="AS10" i="6"/>
  <c r="BD68" i="6"/>
  <c r="BC69" i="6"/>
  <c r="BE51" i="6"/>
  <c r="BF22" i="6"/>
  <c r="BB70" i="6"/>
  <c r="AU1" i="6"/>
  <c r="AN64" i="6"/>
  <c r="AM65" i="6"/>
  <c r="AN65" i="6" s="1"/>
  <c r="J42" i="7"/>
  <c r="AR49" i="6" s="1"/>
  <c r="AR73" i="6"/>
  <c r="K43" i="7"/>
  <c r="H44" i="7"/>
  <c r="I43" i="7"/>
  <c r="AS38" i="6" s="1"/>
  <c r="BA70" i="6"/>
  <c r="AS59" i="6"/>
  <c r="AR20" i="6"/>
  <c r="AQ25" i="6"/>
  <c r="AR31" i="6"/>
  <c r="AQ32" i="6"/>
  <c r="AP34" i="6"/>
  <c r="AT30" i="6"/>
  <c r="I43" i="4"/>
  <c r="F27" i="4"/>
  <c r="G27" i="4" s="1"/>
  <c r="L27" i="4"/>
  <c r="A43" i="4"/>
  <c r="B44" i="4"/>
  <c r="K44" i="4" s="1"/>
  <c r="B45" i="7" l="1"/>
  <c r="A44" i="7"/>
  <c r="E16" i="7"/>
  <c r="P72" i="6"/>
  <c r="P78" i="6" s="1"/>
  <c r="P80" i="6" s="1"/>
  <c r="P82" i="6" s="1"/>
  <c r="O5" i="6"/>
  <c r="O7" i="6" s="1"/>
  <c r="O4" i="6"/>
  <c r="N6" i="6"/>
  <c r="O56" i="6"/>
  <c r="N57" i="6"/>
  <c r="N7" i="6"/>
  <c r="N13" i="6" s="1"/>
  <c r="P42" i="6"/>
  <c r="P39" i="6"/>
  <c r="M11" i="6"/>
  <c r="N61" i="6"/>
  <c r="N11" i="6" s="1"/>
  <c r="N12" i="6" s="1"/>
  <c r="I44" i="7"/>
  <c r="AT38" i="6" s="1"/>
  <c r="K44" i="7"/>
  <c r="H45" i="7"/>
  <c r="AU55" i="6"/>
  <c r="AT10" i="6"/>
  <c r="AR25" i="6"/>
  <c r="AS20" i="6"/>
  <c r="BF51" i="6"/>
  <c r="BG22" i="6"/>
  <c r="AS31" i="6"/>
  <c r="AR32" i="6"/>
  <c r="AV1" i="6"/>
  <c r="J43" i="7"/>
  <c r="AS49" i="6" s="1"/>
  <c r="AS73" i="6"/>
  <c r="AO64" i="6"/>
  <c r="BC70" i="6"/>
  <c r="AS17" i="6"/>
  <c r="AS18" i="6" s="1"/>
  <c r="AT16" i="6"/>
  <c r="AU30" i="6"/>
  <c r="AT59" i="6"/>
  <c r="BD69" i="6"/>
  <c r="BD70" i="6" s="1"/>
  <c r="BE68" i="6"/>
  <c r="AP35" i="6"/>
  <c r="AQ34" i="6"/>
  <c r="AQ27" i="6"/>
  <c r="A44" i="4"/>
  <c r="B45" i="4"/>
  <c r="E28" i="4"/>
  <c r="D28" i="4"/>
  <c r="I44" i="4"/>
  <c r="AR34" i="6" l="1"/>
  <c r="AR35" i="6" s="1"/>
  <c r="B46" i="7"/>
  <c r="A45" i="7"/>
  <c r="O6" i="6"/>
  <c r="O57" i="6"/>
  <c r="O61" i="6" s="1"/>
  <c r="O11" i="6" s="1"/>
  <c r="P43" i="6"/>
  <c r="P40" i="6"/>
  <c r="P48" i="6"/>
  <c r="C17" i="7"/>
  <c r="AO65" i="6"/>
  <c r="AQ28" i="6"/>
  <c r="BH22" i="6"/>
  <c r="BG51" i="6"/>
  <c r="AT17" i="6"/>
  <c r="AT18" i="6" s="1"/>
  <c r="AU16" i="6"/>
  <c r="AT31" i="6"/>
  <c r="AS32" i="6"/>
  <c r="J44" i="7"/>
  <c r="AT49" i="6" s="1"/>
  <c r="AT73" i="6"/>
  <c r="AQ35" i="6"/>
  <c r="AV55" i="6"/>
  <c r="AU10" i="6"/>
  <c r="I45" i="7"/>
  <c r="AU38" i="6" s="1"/>
  <c r="H46" i="7"/>
  <c r="K45" i="7"/>
  <c r="BF68" i="6"/>
  <c r="BE69" i="6"/>
  <c r="BE70" i="6" s="1"/>
  <c r="AR27" i="6"/>
  <c r="AR28" i="6" s="1"/>
  <c r="AW1" i="6"/>
  <c r="AV30" i="6"/>
  <c r="AS25" i="6"/>
  <c r="AS34" i="6" s="1"/>
  <c r="AT20" i="6"/>
  <c r="AU59" i="6"/>
  <c r="I45" i="4"/>
  <c r="F28" i="4"/>
  <c r="G28" i="4" s="1"/>
  <c r="L28" i="4"/>
  <c r="A45" i="4"/>
  <c r="B46" i="4"/>
  <c r="K45" i="4"/>
  <c r="K46" i="4" s="1"/>
  <c r="B47" i="7" l="1"/>
  <c r="A46" i="7"/>
  <c r="D17" i="7"/>
  <c r="Q37" i="6" s="1"/>
  <c r="F17" i="7"/>
  <c r="Q58" i="6"/>
  <c r="Q60" i="6" s="1"/>
  <c r="P44" i="6"/>
  <c r="P47" i="6"/>
  <c r="P52" i="6" s="1"/>
  <c r="P8" i="6"/>
  <c r="P9" i="6" s="1"/>
  <c r="AS35" i="6"/>
  <c r="H47" i="7"/>
  <c r="I46" i="7"/>
  <c r="AV38" i="6" s="1"/>
  <c r="K46" i="7"/>
  <c r="AV59" i="6"/>
  <c r="AX1" i="6"/>
  <c r="AU20" i="6"/>
  <c r="AT25" i="6"/>
  <c r="AU17" i="6"/>
  <c r="AU18" i="6" s="1"/>
  <c r="AV16" i="6"/>
  <c r="AS27" i="6"/>
  <c r="J45" i="7"/>
  <c r="AU49" i="6" s="1"/>
  <c r="AU73" i="6"/>
  <c r="AW55" i="6"/>
  <c r="AV10" i="6"/>
  <c r="AP64" i="6"/>
  <c r="AU31" i="6"/>
  <c r="AT32" i="6"/>
  <c r="AW30" i="6"/>
  <c r="BF69" i="6"/>
  <c r="BF70" i="6" s="1"/>
  <c r="BG68" i="6"/>
  <c r="BI22" i="6"/>
  <c r="BH51" i="6"/>
  <c r="B47" i="4"/>
  <c r="A46" i="4"/>
  <c r="E29" i="4"/>
  <c r="D29" i="4"/>
  <c r="I46" i="4"/>
  <c r="AT34" i="6" l="1"/>
  <c r="AT35" i="6" s="1"/>
  <c r="AT27" i="6"/>
  <c r="AT28" i="6" s="1"/>
  <c r="B48" i="7"/>
  <c r="A47" i="7"/>
  <c r="P4" i="6"/>
  <c r="P5" i="6"/>
  <c r="P7" i="6" s="1"/>
  <c r="P56" i="6"/>
  <c r="E17" i="7"/>
  <c r="Q72" i="6"/>
  <c r="Q78" i="6" s="1"/>
  <c r="Q80" i="6" s="1"/>
  <c r="Q82" i="6" s="1"/>
  <c r="Q39" i="6"/>
  <c r="Q42" i="6"/>
  <c r="AV17" i="6"/>
  <c r="AV18" i="6" s="1"/>
  <c r="AW16" i="6"/>
  <c r="BJ22" i="6"/>
  <c r="BI51" i="6"/>
  <c r="AX30" i="6"/>
  <c r="BG69" i="6"/>
  <c r="BG70" i="6" s="1"/>
  <c r="BH68" i="6"/>
  <c r="J46" i="7"/>
  <c r="AV49" i="6" s="1"/>
  <c r="AV73" i="6"/>
  <c r="AX55" i="6"/>
  <c r="AW10" i="6"/>
  <c r="I47" i="7"/>
  <c r="AW38" i="6" s="1"/>
  <c r="K47" i="7"/>
  <c r="H48" i="7"/>
  <c r="AX59" i="6" s="1"/>
  <c r="AV20" i="6"/>
  <c r="AU25" i="6"/>
  <c r="AY1" i="6"/>
  <c r="AV31" i="6"/>
  <c r="AU32" i="6"/>
  <c r="AS28" i="6"/>
  <c r="AW59" i="6"/>
  <c r="AP65" i="6"/>
  <c r="AQ64" i="6" s="1"/>
  <c r="I47" i="4"/>
  <c r="F29" i="4"/>
  <c r="G29" i="4" s="1"/>
  <c r="L29" i="4"/>
  <c r="A47" i="4"/>
  <c r="B48" i="4"/>
  <c r="K47" i="4"/>
  <c r="K48" i="4" s="1"/>
  <c r="AU34" i="6" l="1"/>
  <c r="AU35" i="6" s="1"/>
  <c r="B49" i="7"/>
  <c r="A48" i="7"/>
  <c r="Q48" i="6"/>
  <c r="C18" i="7"/>
  <c r="Q43" i="6"/>
  <c r="Q40" i="6"/>
  <c r="P6" i="6"/>
  <c r="P57" i="6"/>
  <c r="P61" i="6" s="1"/>
  <c r="P11" i="6" s="1"/>
  <c r="AZ1" i="6"/>
  <c r="AY30" i="6"/>
  <c r="AY55" i="6"/>
  <c r="AX10" i="6"/>
  <c r="AQ65" i="6"/>
  <c r="AR64" i="6" s="1"/>
  <c r="BI68" i="6"/>
  <c r="BH69" i="6"/>
  <c r="BH70" i="6" s="1"/>
  <c r="AW17" i="6"/>
  <c r="AW18" i="6" s="1"/>
  <c r="AX16" i="6"/>
  <c r="AW31" i="6"/>
  <c r="AV32" i="6"/>
  <c r="AV25" i="6"/>
  <c r="AV27" i="6" s="1"/>
  <c r="AV28" i="6" s="1"/>
  <c r="AW20" i="6"/>
  <c r="I48" i="7"/>
  <c r="AX38" i="6" s="1"/>
  <c r="K48" i="7"/>
  <c r="H49" i="7"/>
  <c r="AY59" i="6" s="1"/>
  <c r="J47" i="7"/>
  <c r="AW49" i="6" s="1"/>
  <c r="AW73" i="6"/>
  <c r="AU27" i="6"/>
  <c r="BK22" i="6"/>
  <c r="BJ51" i="6"/>
  <c r="B49" i="4"/>
  <c r="A48" i="4"/>
  <c r="E30" i="4"/>
  <c r="D30" i="4"/>
  <c r="I48" i="4"/>
  <c r="AV34" i="6" l="1"/>
  <c r="AV35" i="6" s="1"/>
  <c r="B50" i="7"/>
  <c r="A49" i="7"/>
  <c r="Q44" i="6"/>
  <c r="Q8" i="6"/>
  <c r="Q9" i="6" s="1"/>
  <c r="Q47" i="6"/>
  <c r="Q52" i="6" s="1"/>
  <c r="D18" i="7"/>
  <c r="R37" i="6" s="1"/>
  <c r="F18" i="7"/>
  <c r="R58" i="6"/>
  <c r="R60" i="6" s="1"/>
  <c r="BB1" i="6"/>
  <c r="BA1" i="6"/>
  <c r="J48" i="7"/>
  <c r="AX49" i="6" s="1"/>
  <c r="AX73" i="6"/>
  <c r="BI69" i="6"/>
  <c r="BI70" i="6" s="1"/>
  <c r="BJ68" i="6"/>
  <c r="AR65" i="6"/>
  <c r="AS64" i="6" s="1"/>
  <c r="AX31" i="6"/>
  <c r="AW32" i="6"/>
  <c r="AY10" i="6"/>
  <c r="AZ55" i="6"/>
  <c r="BL22" i="6"/>
  <c r="BK51" i="6"/>
  <c r="AU28" i="6"/>
  <c r="AX17" i="6"/>
  <c r="AX18" i="6" s="1"/>
  <c r="AY16" i="6"/>
  <c r="AZ30" i="6"/>
  <c r="H50" i="7"/>
  <c r="AZ59" i="6" s="1"/>
  <c r="BA59" i="6" s="1"/>
  <c r="I49" i="7"/>
  <c r="AY38" i="6" s="1"/>
  <c r="K49" i="7"/>
  <c r="AW25" i="6"/>
  <c r="AX20" i="6"/>
  <c r="I49" i="4"/>
  <c r="F30" i="4"/>
  <c r="G30" i="4" s="1"/>
  <c r="L30" i="4"/>
  <c r="A49" i="4"/>
  <c r="B50" i="4"/>
  <c r="K49" i="4"/>
  <c r="K50" i="4" s="1"/>
  <c r="AW34" i="6" l="1"/>
  <c r="AW35" i="6" s="1"/>
  <c r="AW27" i="6"/>
  <c r="AW28" i="6" s="1"/>
  <c r="B51" i="7"/>
  <c r="A50" i="7"/>
  <c r="E18" i="7"/>
  <c r="R72" i="6"/>
  <c r="R78" i="6" s="1"/>
  <c r="R80" i="6" s="1"/>
  <c r="R82" i="6" s="1"/>
  <c r="R42" i="6"/>
  <c r="R39" i="6"/>
  <c r="Q4" i="6"/>
  <c r="Q5" i="6"/>
  <c r="Q7" i="6" s="1"/>
  <c r="Q56" i="6"/>
  <c r="AS65" i="6"/>
  <c r="AT64" i="6" s="1"/>
  <c r="J49" i="7"/>
  <c r="AY49" i="6" s="1"/>
  <c r="AY73" i="6"/>
  <c r="BL51" i="6"/>
  <c r="BM22" i="6"/>
  <c r="BB55" i="6"/>
  <c r="BA55" i="6"/>
  <c r="AZ10" i="6"/>
  <c r="BA10" i="6" s="1"/>
  <c r="BC1" i="6"/>
  <c r="K50" i="7"/>
  <c r="I50" i="7"/>
  <c r="AZ38" i="6" s="1"/>
  <c r="BA38" i="6" s="1"/>
  <c r="H51" i="7"/>
  <c r="BB59" i="6" s="1"/>
  <c r="BB30" i="6"/>
  <c r="BA30" i="6"/>
  <c r="BJ69" i="6"/>
  <c r="BJ70" i="6" s="1"/>
  <c r="BK68" i="6"/>
  <c r="AX25" i="6"/>
  <c r="AX27" i="6" s="1"/>
  <c r="AX28" i="6" s="1"/>
  <c r="AY20" i="6"/>
  <c r="AY31" i="6"/>
  <c r="AX32" i="6"/>
  <c r="AZ16" i="6"/>
  <c r="AY17" i="6"/>
  <c r="AY18" i="6" s="1"/>
  <c r="B51" i="4"/>
  <c r="A50" i="4"/>
  <c r="D31" i="4"/>
  <c r="E31" i="4"/>
  <c r="I50" i="4"/>
  <c r="B52" i="7" l="1"/>
  <c r="A51" i="7"/>
  <c r="Q6" i="6"/>
  <c r="Q57" i="6"/>
  <c r="Q61" i="6" s="1"/>
  <c r="Q11" i="6" s="1"/>
  <c r="R40" i="6"/>
  <c r="R43" i="6"/>
  <c r="R48" i="6"/>
  <c r="C19" i="7"/>
  <c r="BB10" i="6"/>
  <c r="BC55" i="6"/>
  <c r="AZ17" i="6"/>
  <c r="BA17" i="6" s="1"/>
  <c r="BB16" i="6"/>
  <c r="BA16" i="6"/>
  <c r="BC30" i="6"/>
  <c r="AZ31" i="6"/>
  <c r="AY32" i="6"/>
  <c r="AX34" i="6"/>
  <c r="H52" i="7"/>
  <c r="BC59" i="6" s="1"/>
  <c r="K51" i="7"/>
  <c r="I51" i="7"/>
  <c r="BB38" i="6" s="1"/>
  <c r="AZ20" i="6"/>
  <c r="AY25" i="6"/>
  <c r="J50" i="7"/>
  <c r="AZ49" i="6" s="1"/>
  <c r="BA49" i="6" s="1"/>
  <c r="AZ73" i="6"/>
  <c r="BA73" i="6" s="1"/>
  <c r="AT65" i="6"/>
  <c r="AU64" i="6" s="1"/>
  <c r="BO22" i="6"/>
  <c r="BM51" i="6"/>
  <c r="BN51" i="6" s="1"/>
  <c r="BN22" i="6"/>
  <c r="BD1" i="6"/>
  <c r="BK69" i="6"/>
  <c r="BK70" i="6" s="1"/>
  <c r="BL68" i="6"/>
  <c r="I51" i="4"/>
  <c r="F31" i="4"/>
  <c r="G31" i="4" s="1"/>
  <c r="L31" i="4"/>
  <c r="A51" i="4"/>
  <c r="B52" i="4"/>
  <c r="K51" i="4"/>
  <c r="K52" i="4" s="1"/>
  <c r="AY34" i="6" l="1"/>
  <c r="AY35" i="6" s="1"/>
  <c r="B53" i="7"/>
  <c r="A52" i="7"/>
  <c r="D19" i="7"/>
  <c r="S37" i="6" s="1"/>
  <c r="F19" i="7"/>
  <c r="S58" i="6"/>
  <c r="S60" i="6" s="1"/>
  <c r="R44" i="6"/>
  <c r="R47" i="6"/>
  <c r="R52" i="6" s="1"/>
  <c r="R8" i="6"/>
  <c r="R9" i="6" s="1"/>
  <c r="AU65" i="6"/>
  <c r="AV64" i="6" s="1"/>
  <c r="BD30" i="6"/>
  <c r="BB20" i="6"/>
  <c r="AZ25" i="6"/>
  <c r="BA25" i="6" s="1"/>
  <c r="BA20" i="6"/>
  <c r="K52" i="7"/>
  <c r="H53" i="7"/>
  <c r="I52" i="7"/>
  <c r="BC38" i="6" s="1"/>
  <c r="BE1" i="6"/>
  <c r="BB17" i="6"/>
  <c r="BB18" i="6" s="1"/>
  <c r="BC16" i="6"/>
  <c r="BO51" i="6"/>
  <c r="BP22" i="6"/>
  <c r="AX35" i="6"/>
  <c r="BB31" i="6"/>
  <c r="BA31" i="6"/>
  <c r="AZ32" i="6"/>
  <c r="BA32" i="6" s="1"/>
  <c r="BL69" i="6"/>
  <c r="BL70" i="6" s="1"/>
  <c r="BM68" i="6"/>
  <c r="J51" i="7"/>
  <c r="BB49" i="6" s="1"/>
  <c r="BB73" i="6"/>
  <c r="AZ18" i="6"/>
  <c r="BC10" i="6"/>
  <c r="BD55" i="6"/>
  <c r="AY27" i="6"/>
  <c r="AY28" i="6" s="1"/>
  <c r="B53" i="4"/>
  <c r="A52" i="4"/>
  <c r="D32" i="4"/>
  <c r="E32" i="4"/>
  <c r="K53" i="4"/>
  <c r="I52" i="4"/>
  <c r="B54" i="7" l="1"/>
  <c r="A53" i="7"/>
  <c r="R4" i="6"/>
  <c r="R5" i="6"/>
  <c r="R7" i="6" s="1"/>
  <c r="R56" i="6"/>
  <c r="E19" i="7"/>
  <c r="S72" i="6"/>
  <c r="S78" i="6" s="1"/>
  <c r="S80" i="6" s="1"/>
  <c r="S82" i="6" s="1"/>
  <c r="S42" i="6"/>
  <c r="S39" i="6"/>
  <c r="AV65" i="6"/>
  <c r="AW64" i="6" s="1"/>
  <c r="BC17" i="6"/>
  <c r="BC18" i="6" s="1"/>
  <c r="BD16" i="6"/>
  <c r="K53" i="7"/>
  <c r="H54" i="7"/>
  <c r="BE59" i="6" s="1"/>
  <c r="I53" i="7"/>
  <c r="BD38" i="6" s="1"/>
  <c r="J52" i="7"/>
  <c r="BC49" i="6" s="1"/>
  <c r="BC73" i="6"/>
  <c r="BD10" i="6"/>
  <c r="BE55" i="6"/>
  <c r="BP51" i="6"/>
  <c r="BQ22" i="6"/>
  <c r="BO68" i="6"/>
  <c r="BM69" i="6"/>
  <c r="BN69" i="6" s="1"/>
  <c r="BN68" i="6"/>
  <c r="BC31" i="6"/>
  <c r="BB32" i="6"/>
  <c r="BB25" i="6"/>
  <c r="BC20" i="6"/>
  <c r="BF1" i="6"/>
  <c r="BE30" i="6"/>
  <c r="AZ27" i="6"/>
  <c r="AZ34" i="6"/>
  <c r="BA18" i="6"/>
  <c r="BD59" i="6"/>
  <c r="F32" i="4"/>
  <c r="G32" i="4" s="1"/>
  <c r="L32" i="4"/>
  <c r="I53" i="4"/>
  <c r="A53" i="4"/>
  <c r="B54" i="4"/>
  <c r="B55" i="7" l="1"/>
  <c r="A54" i="7"/>
  <c r="S40" i="6"/>
  <c r="S43" i="6"/>
  <c r="S48" i="6"/>
  <c r="C20" i="7"/>
  <c r="R6" i="6"/>
  <c r="R57" i="6"/>
  <c r="R61" i="6" s="1"/>
  <c r="R11" i="6" s="1"/>
  <c r="AW65" i="6"/>
  <c r="AX64" i="6" s="1"/>
  <c r="BO69" i="6"/>
  <c r="BO70" i="6" s="1"/>
  <c r="BP68" i="6"/>
  <c r="AZ35" i="6"/>
  <c r="BA34" i="6"/>
  <c r="BA35" i="6" s="1"/>
  <c r="BG1" i="6"/>
  <c r="BB27" i="6"/>
  <c r="BR22" i="6"/>
  <c r="BQ51" i="6"/>
  <c r="BC25" i="6"/>
  <c r="BD20" i="6"/>
  <c r="J53" i="7"/>
  <c r="BD49" i="6" s="1"/>
  <c r="BD73" i="6"/>
  <c r="BF55" i="6"/>
  <c r="BE10" i="6"/>
  <c r="BD31" i="6"/>
  <c r="BC32" i="6"/>
  <c r="BB34" i="6"/>
  <c r="BM70" i="6"/>
  <c r="H55" i="7"/>
  <c r="BF59" i="6" s="1"/>
  <c r="I54" i="7"/>
  <c r="BE38" i="6" s="1"/>
  <c r="K54" i="7"/>
  <c r="AZ28" i="6"/>
  <c r="BA27" i="6"/>
  <c r="BA28" i="6" s="1"/>
  <c r="BF30" i="6"/>
  <c r="BE16" i="6"/>
  <c r="BD17" i="6"/>
  <c r="BD18" i="6" s="1"/>
  <c r="B55" i="4"/>
  <c r="A54" i="4"/>
  <c r="I54" i="4"/>
  <c r="E33" i="4"/>
  <c r="D33" i="4"/>
  <c r="K54" i="4"/>
  <c r="K55" i="4" s="1"/>
  <c r="BC34" i="6" l="1"/>
  <c r="BC35" i="6" s="1"/>
  <c r="BC27" i="6"/>
  <c r="BC28" i="6" s="1"/>
  <c r="B56" i="7"/>
  <c r="A55" i="7"/>
  <c r="S44" i="6"/>
  <c r="S8" i="6"/>
  <c r="S9" i="6" s="1"/>
  <c r="S47" i="6"/>
  <c r="S52" i="6" s="1"/>
  <c r="D20" i="7"/>
  <c r="T37" i="6" s="1"/>
  <c r="T58" i="6"/>
  <c r="T60" i="6" s="1"/>
  <c r="F20" i="7"/>
  <c r="BE31" i="6"/>
  <c r="BD32" i="6"/>
  <c r="BS22" i="6"/>
  <c r="BR51" i="6"/>
  <c r="BB28" i="6"/>
  <c r="BD25" i="6"/>
  <c r="BD27" i="6" s="1"/>
  <c r="BD28" i="6" s="1"/>
  <c r="BE20" i="6"/>
  <c r="BG30" i="6"/>
  <c r="BF10" i="6"/>
  <c r="BG55" i="6"/>
  <c r="J54" i="7"/>
  <c r="BE49" i="6" s="1"/>
  <c r="BE73" i="6"/>
  <c r="BQ68" i="6"/>
  <c r="BP69" i="6"/>
  <c r="BP70" i="6" s="1"/>
  <c r="H56" i="7"/>
  <c r="BG59" i="6" s="1"/>
  <c r="I55" i="7"/>
  <c r="BF38" i="6" s="1"/>
  <c r="K55" i="7"/>
  <c r="AX65" i="6"/>
  <c r="AY64" i="6" s="1"/>
  <c r="BN70" i="6"/>
  <c r="BF16" i="6"/>
  <c r="BE17" i="6"/>
  <c r="BE18" i="6" s="1"/>
  <c r="BB35" i="6"/>
  <c r="BH1" i="6"/>
  <c r="F33" i="4"/>
  <c r="G33" i="4" s="1"/>
  <c r="L33" i="4"/>
  <c r="I55" i="4"/>
  <c r="A55" i="4"/>
  <c r="B56" i="4"/>
  <c r="BD34" i="6" l="1"/>
  <c r="BD35" i="6" s="1"/>
  <c r="B57" i="7"/>
  <c r="A56" i="7"/>
  <c r="T39" i="6"/>
  <c r="T42" i="6"/>
  <c r="E20" i="7"/>
  <c r="T72" i="6"/>
  <c r="T78" i="6" s="1"/>
  <c r="T80" i="6" s="1"/>
  <c r="T82" i="6" s="1"/>
  <c r="S4" i="6"/>
  <c r="S5" i="6"/>
  <c r="S7" i="6" s="1"/>
  <c r="S56" i="6"/>
  <c r="BH55" i="6"/>
  <c r="BG10" i="6"/>
  <c r="BH30" i="6"/>
  <c r="BS51" i="6"/>
  <c r="BT22" i="6"/>
  <c r="BR68" i="6"/>
  <c r="BQ69" i="6"/>
  <c r="AY65" i="6"/>
  <c r="AZ64" i="6" s="1"/>
  <c r="J55" i="7"/>
  <c r="BF49" i="6" s="1"/>
  <c r="BF73" i="6"/>
  <c r="K56" i="7"/>
  <c r="I56" i="7"/>
  <c r="BG38" i="6" s="1"/>
  <c r="H57" i="7"/>
  <c r="BG16" i="6"/>
  <c r="BF17" i="6"/>
  <c r="BF18" i="6" s="1"/>
  <c r="BE25" i="6"/>
  <c r="BE27" i="6" s="1"/>
  <c r="BF20" i="6"/>
  <c r="BI1" i="6"/>
  <c r="BF31" i="6"/>
  <c r="BE32" i="6"/>
  <c r="A56" i="4"/>
  <c r="B57" i="4"/>
  <c r="I56" i="4"/>
  <c r="K56" i="4"/>
  <c r="K57" i="4" s="1"/>
  <c r="E34" i="4"/>
  <c r="D34" i="4"/>
  <c r="BE34" i="6" l="1"/>
  <c r="BE35" i="6" s="1"/>
  <c r="B58" i="7"/>
  <c r="A57" i="7"/>
  <c r="S6" i="6"/>
  <c r="S57" i="6"/>
  <c r="S61" i="6" s="1"/>
  <c r="S11" i="6" s="1"/>
  <c r="T48" i="6"/>
  <c r="C21" i="7"/>
  <c r="T40" i="6"/>
  <c r="T43" i="6"/>
  <c r="AZ65" i="6"/>
  <c r="BA65" i="6" s="1"/>
  <c r="BA64" i="6"/>
  <c r="BI30" i="6"/>
  <c r="K57" i="7"/>
  <c r="I57" i="7"/>
  <c r="BH38" i="6" s="1"/>
  <c r="H58" i="7"/>
  <c r="BI59" i="6" s="1"/>
  <c r="J56" i="7"/>
  <c r="BG49" i="6" s="1"/>
  <c r="BG73" i="6"/>
  <c r="BI55" i="6"/>
  <c r="BH10" i="6"/>
  <c r="BE28" i="6"/>
  <c r="BJ1" i="6"/>
  <c r="BG17" i="6"/>
  <c r="BG18" i="6" s="1"/>
  <c r="BH16" i="6"/>
  <c r="BT51" i="6"/>
  <c r="BU22" i="6"/>
  <c r="BH59" i="6"/>
  <c r="BG20" i="6"/>
  <c r="BF25" i="6"/>
  <c r="BF27" i="6" s="1"/>
  <c r="BQ70" i="6"/>
  <c r="BS68" i="6"/>
  <c r="BR69" i="6"/>
  <c r="BR70" i="6" s="1"/>
  <c r="BG31" i="6"/>
  <c r="BF32" i="6"/>
  <c r="F34" i="4"/>
  <c r="G34" i="4" s="1"/>
  <c r="L34" i="4"/>
  <c r="I57" i="4"/>
  <c r="B58" i="4"/>
  <c r="A57" i="4"/>
  <c r="B59" i="7" l="1"/>
  <c r="A58" i="7"/>
  <c r="T8" i="6"/>
  <c r="T9" i="6" s="1"/>
  <c r="T44" i="6"/>
  <c r="T47" i="6"/>
  <c r="T52" i="6" s="1"/>
  <c r="D21" i="7"/>
  <c r="U37" i="6" s="1"/>
  <c r="F21" i="7"/>
  <c r="U58" i="6"/>
  <c r="U60" i="6" s="1"/>
  <c r="BF28" i="6"/>
  <c r="BJ55" i="6"/>
  <c r="BI10" i="6"/>
  <c r="BJ30" i="6"/>
  <c r="BH20" i="6"/>
  <c r="BG25" i="6"/>
  <c r="BU51" i="6"/>
  <c r="BV22" i="6"/>
  <c r="BB64" i="6"/>
  <c r="BK1" i="6"/>
  <c r="I58" i="7"/>
  <c r="BI38" i="6" s="1"/>
  <c r="K58" i="7"/>
  <c r="H59" i="7"/>
  <c r="J57" i="7"/>
  <c r="BH49" i="6" s="1"/>
  <c r="BH73" i="6"/>
  <c r="BH31" i="6"/>
  <c r="BG32" i="6"/>
  <c r="BH17" i="6"/>
  <c r="BH18" i="6" s="1"/>
  <c r="BI16" i="6"/>
  <c r="BF34" i="6"/>
  <c r="BT68" i="6"/>
  <c r="BS69" i="6"/>
  <c r="BS70" i="6" s="1"/>
  <c r="A58" i="4"/>
  <c r="B59" i="4"/>
  <c r="I58" i="4"/>
  <c r="K58" i="4"/>
  <c r="K59" i="4" s="1"/>
  <c r="E35" i="4"/>
  <c r="D35" i="4"/>
  <c r="BG34" i="6" l="1"/>
  <c r="BG35" i="6" s="1"/>
  <c r="BG27" i="6"/>
  <c r="BG28" i="6" s="1"/>
  <c r="B60" i="7"/>
  <c r="A59" i="7"/>
  <c r="U39" i="6"/>
  <c r="U42" i="6"/>
  <c r="E21" i="7"/>
  <c r="U72" i="6"/>
  <c r="T5" i="6"/>
  <c r="T7" i="6" s="1"/>
  <c r="T4" i="6"/>
  <c r="T56" i="6"/>
  <c r="BI31" i="6"/>
  <c r="BH32" i="6"/>
  <c r="J58" i="7"/>
  <c r="BI49" i="6" s="1"/>
  <c r="BI73" i="6"/>
  <c r="BU68" i="6"/>
  <c r="BT69" i="6"/>
  <c r="BT70" i="6" s="1"/>
  <c r="BK55" i="6"/>
  <c r="BJ10" i="6"/>
  <c r="BF35" i="6"/>
  <c r="BV51" i="6"/>
  <c r="BW22" i="6"/>
  <c r="K59" i="7"/>
  <c r="H60" i="7"/>
  <c r="BK59" i="6" s="1"/>
  <c r="I59" i="7"/>
  <c r="BJ38" i="6" s="1"/>
  <c r="BI20" i="6"/>
  <c r="BH25" i="6"/>
  <c r="BH27" i="6" s="1"/>
  <c r="BK30" i="6"/>
  <c r="BB65" i="6"/>
  <c r="BI17" i="6"/>
  <c r="BI18" i="6" s="1"/>
  <c r="BJ16" i="6"/>
  <c r="BL1" i="6"/>
  <c r="BJ59" i="6"/>
  <c r="F35" i="4"/>
  <c r="G35" i="4" s="1"/>
  <c r="L35" i="4"/>
  <c r="I59" i="4"/>
  <c r="A59" i="4"/>
  <c r="B60" i="4"/>
  <c r="BH34" i="6" l="1"/>
  <c r="BH35" i="6" s="1"/>
  <c r="B61" i="7"/>
  <c r="A60" i="7"/>
  <c r="U78" i="6"/>
  <c r="U48" i="6"/>
  <c r="C22" i="7"/>
  <c r="T6" i="6"/>
  <c r="T57" i="6"/>
  <c r="T61" i="6" s="1"/>
  <c r="T11" i="6" s="1"/>
  <c r="U40" i="6"/>
  <c r="U43" i="6"/>
  <c r="BH28" i="6"/>
  <c r="BJ17" i="6"/>
  <c r="BJ18" i="6" s="1"/>
  <c r="BK16" i="6"/>
  <c r="BU69" i="6"/>
  <c r="BU70" i="6" s="1"/>
  <c r="BV68" i="6"/>
  <c r="BM1" i="6"/>
  <c r="BW51" i="6"/>
  <c r="BX22" i="6"/>
  <c r="BC64" i="6"/>
  <c r="BL30" i="6"/>
  <c r="BJ20" i="6"/>
  <c r="BI25" i="6"/>
  <c r="BJ31" i="6"/>
  <c r="BI32" i="6"/>
  <c r="H61" i="7"/>
  <c r="BL59" i="6" s="1"/>
  <c r="I60" i="7"/>
  <c r="BK38" i="6" s="1"/>
  <c r="K60" i="7"/>
  <c r="J59" i="7"/>
  <c r="BJ49" i="6" s="1"/>
  <c r="BJ73" i="6"/>
  <c r="BL55" i="6"/>
  <c r="BK10" i="6"/>
  <c r="E36" i="4"/>
  <c r="D36" i="4"/>
  <c r="A60" i="4"/>
  <c r="B61" i="4"/>
  <c r="I60" i="4"/>
  <c r="K60" i="4"/>
  <c r="K61" i="4" s="1"/>
  <c r="BI34" i="6" l="1"/>
  <c r="BI35" i="6" s="1"/>
  <c r="B62" i="7"/>
  <c r="A61" i="7"/>
  <c r="D22" i="7"/>
  <c r="V37" i="6" s="1"/>
  <c r="F22" i="7"/>
  <c r="V58" i="6"/>
  <c r="V60" i="6" s="1"/>
  <c r="U44" i="6"/>
  <c r="U8" i="6"/>
  <c r="U47" i="6"/>
  <c r="U80" i="6"/>
  <c r="J60" i="7"/>
  <c r="BK49" i="6" s="1"/>
  <c r="BK73" i="6"/>
  <c r="K61" i="7"/>
  <c r="I61" i="7"/>
  <c r="BL38" i="6" s="1"/>
  <c r="H62" i="7"/>
  <c r="BM30" i="6"/>
  <c r="BV69" i="6"/>
  <c r="BV70" i="6" s="1"/>
  <c r="BW68" i="6"/>
  <c r="BK31" i="6"/>
  <c r="BJ32" i="6"/>
  <c r="BC65" i="6"/>
  <c r="BD64" i="6" s="1"/>
  <c r="BK17" i="6"/>
  <c r="BK18" i="6" s="1"/>
  <c r="BL16" i="6"/>
  <c r="BJ25" i="6"/>
  <c r="BK20" i="6"/>
  <c r="BX51" i="6"/>
  <c r="BY22" i="6"/>
  <c r="BM55" i="6"/>
  <c r="BL10" i="6"/>
  <c r="BO1" i="6"/>
  <c r="BN1" i="6"/>
  <c r="BI27" i="6"/>
  <c r="BI28" i="6" s="1"/>
  <c r="K62" i="4"/>
  <c r="I61" i="4"/>
  <c r="A61" i="4"/>
  <c r="B62" i="4"/>
  <c r="F36" i="4"/>
  <c r="G36" i="4" s="1"/>
  <c r="L36" i="4"/>
  <c r="BJ34" i="6" l="1"/>
  <c r="BJ35" i="6" s="1"/>
  <c r="B63" i="7"/>
  <c r="A62" i="7"/>
  <c r="U52" i="6"/>
  <c r="U9" i="6"/>
  <c r="U82" i="6"/>
  <c r="E22" i="7"/>
  <c r="V72" i="6"/>
  <c r="V39" i="6"/>
  <c r="V42" i="6"/>
  <c r="H63" i="7"/>
  <c r="BO59" i="6" s="1"/>
  <c r="I62" i="7"/>
  <c r="BM38" i="6" s="1"/>
  <c r="BN38" i="6" s="1"/>
  <c r="K62" i="7"/>
  <c r="BD65" i="6"/>
  <c r="J61" i="7"/>
  <c r="BL49" i="6" s="1"/>
  <c r="BL73" i="6"/>
  <c r="BJ27" i="6"/>
  <c r="BJ28" i="6" s="1"/>
  <c r="BY51" i="6"/>
  <c r="BZ22" i="6"/>
  <c r="BW69" i="6"/>
  <c r="BW70" i="6" s="1"/>
  <c r="BX68" i="6"/>
  <c r="BK25" i="6"/>
  <c r="BK34" i="6" s="1"/>
  <c r="BL20" i="6"/>
  <c r="BO30" i="6"/>
  <c r="BN30" i="6"/>
  <c r="BO55" i="6"/>
  <c r="BN55" i="6"/>
  <c r="BM10" i="6"/>
  <c r="BN10" i="6" s="1"/>
  <c r="BL17" i="6"/>
  <c r="BL18" i="6" s="1"/>
  <c r="BM16" i="6"/>
  <c r="BP1" i="6"/>
  <c r="BM59" i="6"/>
  <c r="BN59" i="6" s="1"/>
  <c r="BL31" i="6"/>
  <c r="BK32" i="6"/>
  <c r="E37" i="4"/>
  <c r="D37" i="4"/>
  <c r="B63" i="4"/>
  <c r="A62" i="4"/>
  <c r="I62" i="4"/>
  <c r="B64" i="7" l="1"/>
  <c r="A63" i="7"/>
  <c r="V40" i="6"/>
  <c r="V43" i="6"/>
  <c r="V48" i="6"/>
  <c r="C23" i="7"/>
  <c r="V78" i="6"/>
  <c r="U4" i="6"/>
  <c r="U5" i="6"/>
  <c r="U56" i="6"/>
  <c r="BK35" i="6"/>
  <c r="BM20" i="6"/>
  <c r="BL25" i="6"/>
  <c r="BL27" i="6" s="1"/>
  <c r="BL28" i="6" s="1"/>
  <c r="J62" i="7"/>
  <c r="BM49" i="6" s="1"/>
  <c r="BN49" i="6" s="1"/>
  <c r="BM73" i="6"/>
  <c r="BN73" i="6" s="1"/>
  <c r="BY68" i="6"/>
  <c r="BX69" i="6"/>
  <c r="BX70" i="6" s="1"/>
  <c r="BK27" i="6"/>
  <c r="BK28" i="6" s="1"/>
  <c r="BQ1" i="6"/>
  <c r="BP30" i="6"/>
  <c r="BE64" i="6"/>
  <c r="K63" i="7"/>
  <c r="I63" i="7"/>
  <c r="BO38" i="6" s="1"/>
  <c r="H64" i="7"/>
  <c r="BM17" i="6"/>
  <c r="BN17" i="6" s="1"/>
  <c r="BO16" i="6"/>
  <c r="BN16" i="6"/>
  <c r="BZ51" i="6"/>
  <c r="CA51" i="6" s="1"/>
  <c r="CB22" i="6"/>
  <c r="CA22" i="6"/>
  <c r="BM31" i="6"/>
  <c r="BL32" i="6"/>
  <c r="BO10" i="6"/>
  <c r="BP55" i="6"/>
  <c r="I63" i="4"/>
  <c r="B64" i="4"/>
  <c r="A63" i="4"/>
  <c r="F37" i="4"/>
  <c r="G37" i="4" s="1"/>
  <c r="L37" i="4"/>
  <c r="K63" i="4"/>
  <c r="K64" i="4" s="1"/>
  <c r="BM18" i="6" l="1"/>
  <c r="BN18" i="6" s="1"/>
  <c r="B65" i="7"/>
  <c r="A64" i="7"/>
  <c r="U7" i="6"/>
  <c r="U6" i="6"/>
  <c r="U57" i="6"/>
  <c r="U61" i="6" s="1"/>
  <c r="U11" i="6" s="1"/>
  <c r="V80" i="6"/>
  <c r="D23" i="7"/>
  <c r="W37" i="6" s="1"/>
  <c r="F23" i="7"/>
  <c r="W58" i="6"/>
  <c r="W60" i="6" s="1"/>
  <c r="V8" i="6"/>
  <c r="V44" i="6"/>
  <c r="V47" i="6"/>
  <c r="BQ55" i="6"/>
  <c r="BP10" i="6"/>
  <c r="BL34" i="6"/>
  <c r="K64" i="7"/>
  <c r="H65" i="7"/>
  <c r="I64" i="7"/>
  <c r="BP38" i="6" s="1"/>
  <c r="J63" i="7"/>
  <c r="BO49" i="6" s="1"/>
  <c r="BO73" i="6"/>
  <c r="BP59" i="6"/>
  <c r="CC22" i="6"/>
  <c r="CB51" i="6"/>
  <c r="BR1" i="6"/>
  <c r="BO20" i="6"/>
  <c r="BM25" i="6"/>
  <c r="BN25" i="6" s="1"/>
  <c r="BN20" i="6"/>
  <c r="BE65" i="6"/>
  <c r="BF64" i="6" s="1"/>
  <c r="BO17" i="6"/>
  <c r="BO18" i="6" s="1"/>
  <c r="BP16" i="6"/>
  <c r="BO31" i="6"/>
  <c r="BN31" i="6"/>
  <c r="BM32" i="6"/>
  <c r="BN32" i="6" s="1"/>
  <c r="BQ30" i="6"/>
  <c r="BY69" i="6"/>
  <c r="BY70" i="6" s="1"/>
  <c r="BZ68" i="6"/>
  <c r="K65" i="4"/>
  <c r="E38" i="4"/>
  <c r="D38" i="4"/>
  <c r="A64" i="4"/>
  <c r="B65" i="4"/>
  <c r="I64" i="4"/>
  <c r="B66" i="7" l="1"/>
  <c r="A65" i="7"/>
  <c r="E23" i="7"/>
  <c r="W72" i="6"/>
  <c r="V82" i="6"/>
  <c r="V52" i="6"/>
  <c r="W42" i="6"/>
  <c r="W39" i="6"/>
  <c r="V9" i="6"/>
  <c r="BF65" i="6"/>
  <c r="BG64" i="6" s="1"/>
  <c r="K65" i="7"/>
  <c r="I65" i="7"/>
  <c r="BQ38" i="6" s="1"/>
  <c r="H66" i="7"/>
  <c r="BQ16" i="6"/>
  <c r="BP17" i="6"/>
  <c r="BR30" i="6"/>
  <c r="BQ59" i="6"/>
  <c r="J64" i="7"/>
  <c r="BP49" i="6" s="1"/>
  <c r="BP73" i="6"/>
  <c r="CC51" i="6"/>
  <c r="CD22" i="6"/>
  <c r="BL35" i="6"/>
  <c r="BP31" i="6"/>
  <c r="BO32" i="6"/>
  <c r="BP20" i="6"/>
  <c r="BO25" i="6"/>
  <c r="BO27" i="6" s="1"/>
  <c r="BS1" i="6"/>
  <c r="BM27" i="6"/>
  <c r="BR55" i="6"/>
  <c r="BQ10" i="6"/>
  <c r="BZ69" i="6"/>
  <c r="CA69" i="6" s="1"/>
  <c r="CB68" i="6"/>
  <c r="CA68" i="6"/>
  <c r="BM34" i="6"/>
  <c r="K66" i="4"/>
  <c r="I65" i="4"/>
  <c r="A65" i="4"/>
  <c r="B66" i="4"/>
  <c r="F38" i="4"/>
  <c r="G38" i="4" s="1"/>
  <c r="L38" i="4"/>
  <c r="B67" i="7" l="1"/>
  <c r="A66" i="7"/>
  <c r="W48" i="6"/>
  <c r="C24" i="7"/>
  <c r="W40" i="6"/>
  <c r="W43" i="6"/>
  <c r="V5" i="6"/>
  <c r="V4" i="6"/>
  <c r="V56" i="6"/>
  <c r="W78" i="6"/>
  <c r="BO28" i="6"/>
  <c r="BG65" i="6"/>
  <c r="BH64" i="6" s="1"/>
  <c r="BR10" i="6"/>
  <c r="BS55" i="6"/>
  <c r="CD51" i="6"/>
  <c r="CE22" i="6"/>
  <c r="BP25" i="6"/>
  <c r="BQ20" i="6"/>
  <c r="BQ31" i="6"/>
  <c r="BP32" i="6"/>
  <c r="BS30" i="6"/>
  <c r="J65" i="7"/>
  <c r="BQ49" i="6" s="1"/>
  <c r="BQ73" i="6"/>
  <c r="BP18" i="6"/>
  <c r="BR16" i="6"/>
  <c r="BQ17" i="6"/>
  <c r="BQ18" i="6" s="1"/>
  <c r="BM28" i="6"/>
  <c r="BN27" i="6"/>
  <c r="BN28" i="6" s="1"/>
  <c r="K66" i="7"/>
  <c r="H67" i="7"/>
  <c r="BS59" i="6" s="1"/>
  <c r="I66" i="7"/>
  <c r="BR38" i="6" s="1"/>
  <c r="CB69" i="6"/>
  <c r="CC68" i="6"/>
  <c r="BM35" i="6"/>
  <c r="BN34" i="6"/>
  <c r="BN35" i="6" s="1"/>
  <c r="BO34" i="6"/>
  <c r="BT1" i="6"/>
  <c r="BZ70" i="6"/>
  <c r="BR59" i="6"/>
  <c r="E39" i="4"/>
  <c r="D39" i="4"/>
  <c r="B67" i="4"/>
  <c r="A66" i="4"/>
  <c r="I66" i="4"/>
  <c r="B68" i="7" l="1"/>
  <c r="A67" i="7"/>
  <c r="W80" i="6"/>
  <c r="V7" i="6"/>
  <c r="W44" i="6"/>
  <c r="W8" i="6"/>
  <c r="W47" i="6"/>
  <c r="F24" i="7"/>
  <c r="D24" i="7"/>
  <c r="X37" i="6" s="1"/>
  <c r="X58" i="6"/>
  <c r="X60" i="6" s="1"/>
  <c r="V6" i="6"/>
  <c r="V57" i="6"/>
  <c r="V61" i="6" s="1"/>
  <c r="V11" i="6" s="1"/>
  <c r="CE51" i="6"/>
  <c r="CF22" i="6"/>
  <c r="CD68" i="6"/>
  <c r="CC69" i="6"/>
  <c r="CC70" i="6" s="1"/>
  <c r="BR31" i="6"/>
  <c r="BQ32" i="6"/>
  <c r="BS10" i="6"/>
  <c r="BT55" i="6"/>
  <c r="CB70" i="6"/>
  <c r="CA70" i="6"/>
  <c r="BU1" i="6"/>
  <c r="BH65" i="6"/>
  <c r="BI64" i="6" s="1"/>
  <c r="I67" i="7"/>
  <c r="BS38" i="6" s="1"/>
  <c r="K67" i="7"/>
  <c r="H68" i="7"/>
  <c r="BT59" i="6" s="1"/>
  <c r="BR17" i="6"/>
  <c r="BR18" i="6" s="1"/>
  <c r="BS16" i="6"/>
  <c r="BQ25" i="6"/>
  <c r="BQ27" i="6" s="1"/>
  <c r="BQ28" i="6" s="1"/>
  <c r="BR20" i="6"/>
  <c r="J66" i="7"/>
  <c r="BR49" i="6" s="1"/>
  <c r="BR73" i="6"/>
  <c r="BO35" i="6"/>
  <c r="BP34" i="6"/>
  <c r="BP27" i="6"/>
  <c r="BT30" i="6"/>
  <c r="I67" i="4"/>
  <c r="B68" i="4"/>
  <c r="A67" i="4"/>
  <c r="F39" i="4"/>
  <c r="G39" i="4" s="1"/>
  <c r="L39" i="4"/>
  <c r="K67" i="4"/>
  <c r="K68" i="4" s="1"/>
  <c r="B69" i="7" l="1"/>
  <c r="A68" i="7"/>
  <c r="X72" i="6"/>
  <c r="E24" i="7"/>
  <c r="W52" i="6"/>
  <c r="W9" i="6"/>
  <c r="X39" i="6"/>
  <c r="X42" i="6"/>
  <c r="W82" i="6"/>
  <c r="BV1" i="6"/>
  <c r="CF51" i="6"/>
  <c r="CG22" i="6"/>
  <c r="BP28" i="6"/>
  <c r="BP35" i="6"/>
  <c r="J67" i="7"/>
  <c r="BS49" i="6" s="1"/>
  <c r="BS73" i="6"/>
  <c r="BI65" i="6"/>
  <c r="BJ64" i="6" s="1"/>
  <c r="CD69" i="6"/>
  <c r="CD70" i="6" s="1"/>
  <c r="CE68" i="6"/>
  <c r="BU30" i="6"/>
  <c r="BR25" i="6"/>
  <c r="BS20" i="6"/>
  <c r="BS17" i="6"/>
  <c r="BS18" i="6" s="1"/>
  <c r="BT16" i="6"/>
  <c r="H69" i="7"/>
  <c r="K68" i="7"/>
  <c r="I68" i="7"/>
  <c r="BT38" i="6" s="1"/>
  <c r="BT10" i="6"/>
  <c r="BU55" i="6"/>
  <c r="BS31" i="6"/>
  <c r="BR32" i="6"/>
  <c r="BQ34" i="6"/>
  <c r="D40" i="4"/>
  <c r="E40" i="4"/>
  <c r="B69" i="4"/>
  <c r="A68" i="4"/>
  <c r="I68" i="4"/>
  <c r="BR34" i="6" l="1"/>
  <c r="BR35" i="6" s="1"/>
  <c r="B70" i="7"/>
  <c r="A69" i="7"/>
  <c r="X40" i="6"/>
  <c r="X43" i="6"/>
  <c r="W5" i="6"/>
  <c r="W4" i="6"/>
  <c r="W56" i="6"/>
  <c r="X48" i="6"/>
  <c r="C25" i="7"/>
  <c r="X78" i="6"/>
  <c r="I69" i="7"/>
  <c r="BU38" i="6" s="1"/>
  <c r="K69" i="7"/>
  <c r="H70" i="7"/>
  <c r="BV59" i="6" s="1"/>
  <c r="BU16" i="6"/>
  <c r="BT17" i="6"/>
  <c r="BT18" i="6" s="1"/>
  <c r="BU59" i="6"/>
  <c r="BV30" i="6"/>
  <c r="BW1" i="6"/>
  <c r="BV55" i="6"/>
  <c r="BU10" i="6"/>
  <c r="BS25" i="6"/>
  <c r="BT20" i="6"/>
  <c r="BR27" i="6"/>
  <c r="CF68" i="6"/>
  <c r="CE69" i="6"/>
  <c r="CE70" i="6" s="1"/>
  <c r="J68" i="7"/>
  <c r="BT49" i="6" s="1"/>
  <c r="BT73" i="6"/>
  <c r="BJ65" i="6"/>
  <c r="BK64" i="6" s="1"/>
  <c r="BQ35" i="6"/>
  <c r="BT31" i="6"/>
  <c r="BS32" i="6"/>
  <c r="CG51" i="6"/>
  <c r="CH22" i="6"/>
  <c r="I69" i="4"/>
  <c r="B70" i="4"/>
  <c r="A69" i="4"/>
  <c r="F40" i="4"/>
  <c r="G40" i="4" s="1"/>
  <c r="L40" i="4"/>
  <c r="K69" i="4"/>
  <c r="K70" i="4" s="1"/>
  <c r="B71" i="7" l="1"/>
  <c r="A70" i="7"/>
  <c r="F25" i="7"/>
  <c r="D25" i="7"/>
  <c r="Y37" i="6" s="1"/>
  <c r="Y58" i="6"/>
  <c r="Y60" i="6" s="1"/>
  <c r="W6" i="6"/>
  <c r="W57" i="6"/>
  <c r="W61" i="6" s="1"/>
  <c r="W11" i="6" s="1"/>
  <c r="X44" i="6"/>
  <c r="X8" i="6"/>
  <c r="X47" i="6"/>
  <c r="X80" i="6"/>
  <c r="W7" i="6"/>
  <c r="BV16" i="6"/>
  <c r="BU17" i="6"/>
  <c r="BU18" i="6" s="1"/>
  <c r="BX1" i="6"/>
  <c r="CH51" i="6"/>
  <c r="CI22" i="6"/>
  <c r="BT25" i="6"/>
  <c r="BT27" i="6" s="1"/>
  <c r="BU20" i="6"/>
  <c r="BW30" i="6"/>
  <c r="BK65" i="6"/>
  <c r="BL64" i="6" s="1"/>
  <c r="BW55" i="6"/>
  <c r="BV10" i="6"/>
  <c r="J69" i="7"/>
  <c r="BU49" i="6" s="1"/>
  <c r="BU73" i="6"/>
  <c r="BR28" i="6"/>
  <c r="BS27" i="6"/>
  <c r="BS28" i="6" s="1"/>
  <c r="H71" i="7"/>
  <c r="BW59" i="6" s="1"/>
  <c r="K70" i="7"/>
  <c r="I70" i="7"/>
  <c r="BV38" i="6" s="1"/>
  <c r="CG68" i="6"/>
  <c r="CF69" i="6"/>
  <c r="CF70" i="6" s="1"/>
  <c r="BU31" i="6"/>
  <c r="BT32" i="6"/>
  <c r="BS34" i="6"/>
  <c r="D41" i="4"/>
  <c r="E41" i="4"/>
  <c r="A70" i="4"/>
  <c r="B71" i="4"/>
  <c r="I70" i="4"/>
  <c r="B72" i="7" l="1"/>
  <c r="A71" i="7"/>
  <c r="X82" i="6"/>
  <c r="X52" i="6"/>
  <c r="X9" i="6"/>
  <c r="Y39" i="6"/>
  <c r="Y42" i="6"/>
  <c r="E25" i="7"/>
  <c r="Y72" i="6"/>
  <c r="BT28" i="6"/>
  <c r="BX55" i="6"/>
  <c r="BW10" i="6"/>
  <c r="BT34" i="6"/>
  <c r="J70" i="7"/>
  <c r="BV49" i="6" s="1"/>
  <c r="BV73" i="6"/>
  <c r="BW16" i="6"/>
  <c r="BV17" i="6"/>
  <c r="BV18" i="6" s="1"/>
  <c r="I71" i="7"/>
  <c r="BW38" i="6" s="1"/>
  <c r="H72" i="7"/>
  <c r="BX59" i="6" s="1"/>
  <c r="K71" i="7"/>
  <c r="BV31" i="6"/>
  <c r="BU32" i="6"/>
  <c r="BU25" i="6"/>
  <c r="BU27" i="6" s="1"/>
  <c r="BV20" i="6"/>
  <c r="CH68" i="6"/>
  <c r="CG69" i="6"/>
  <c r="CG70" i="6" s="1"/>
  <c r="CI51" i="6"/>
  <c r="CJ22" i="6"/>
  <c r="BL65" i="6"/>
  <c r="BM64" i="6" s="1"/>
  <c r="BY1" i="6"/>
  <c r="BX30" i="6"/>
  <c r="BS35" i="6"/>
  <c r="I71" i="4"/>
  <c r="A71" i="4"/>
  <c r="B72" i="4"/>
  <c r="F41" i="4"/>
  <c r="G41" i="4" s="1"/>
  <c r="L41" i="4"/>
  <c r="K71" i="4"/>
  <c r="K72" i="4" s="1"/>
  <c r="B73" i="7" l="1"/>
  <c r="A72" i="7"/>
  <c r="Y78" i="6"/>
  <c r="Y48" i="6"/>
  <c r="C26" i="7"/>
  <c r="Y40" i="6"/>
  <c r="Y43" i="6"/>
  <c r="X5" i="6"/>
  <c r="X4" i="6"/>
  <c r="X56" i="6"/>
  <c r="BU28" i="6"/>
  <c r="BY30" i="6"/>
  <c r="CI68" i="6"/>
  <c r="CH69" i="6"/>
  <c r="CH70" i="6" s="1"/>
  <c r="BY55" i="6"/>
  <c r="BX10" i="6"/>
  <c r="CJ51" i="6"/>
  <c r="CK22" i="6"/>
  <c r="BT35" i="6"/>
  <c r="J71" i="7"/>
  <c r="BW49" i="6" s="1"/>
  <c r="BW73" i="6"/>
  <c r="I72" i="7"/>
  <c r="BX38" i="6" s="1"/>
  <c r="K72" i="7"/>
  <c r="H73" i="7"/>
  <c r="BZ1" i="6"/>
  <c r="BW20" i="6"/>
  <c r="BV25" i="6"/>
  <c r="BV27" i="6" s="1"/>
  <c r="BV28" i="6" s="1"/>
  <c r="BW31" i="6"/>
  <c r="BV32" i="6"/>
  <c r="BW17" i="6"/>
  <c r="BW18" i="6" s="1"/>
  <c r="BX16" i="6"/>
  <c r="BU34" i="6"/>
  <c r="BM65" i="6"/>
  <c r="BN65" i="6" s="1"/>
  <c r="BN64" i="6"/>
  <c r="E42" i="4"/>
  <c r="D42" i="4"/>
  <c r="A72" i="4"/>
  <c r="B73" i="4"/>
  <c r="I72" i="4"/>
  <c r="B74" i="7" l="1"/>
  <c r="A73" i="7"/>
  <c r="X6" i="6"/>
  <c r="X57" i="6"/>
  <c r="X61" i="6" s="1"/>
  <c r="X11" i="6" s="1"/>
  <c r="X7" i="6"/>
  <c r="Y47" i="6"/>
  <c r="Y44" i="6"/>
  <c r="Y8" i="6"/>
  <c r="D26" i="7"/>
  <c r="Z37" i="6" s="1"/>
  <c r="F26" i="7"/>
  <c r="Z58" i="6"/>
  <c r="Y80" i="6"/>
  <c r="I73" i="7"/>
  <c r="BY38" i="6" s="1"/>
  <c r="H74" i="7"/>
  <c r="BZ59" i="6" s="1"/>
  <c r="CA59" i="6" s="1"/>
  <c r="K73" i="7"/>
  <c r="BO64" i="6"/>
  <c r="J72" i="7"/>
  <c r="BX49" i="6" s="1"/>
  <c r="BX73" i="6"/>
  <c r="BZ55" i="6"/>
  <c r="BY10" i="6"/>
  <c r="BU35" i="6"/>
  <c r="BW25" i="6"/>
  <c r="BW27" i="6" s="1"/>
  <c r="BW28" i="6" s="1"/>
  <c r="BX20" i="6"/>
  <c r="CI69" i="6"/>
  <c r="CI70" i="6" s="1"/>
  <c r="CJ68" i="6"/>
  <c r="BZ30" i="6"/>
  <c r="CA1" i="6"/>
  <c r="CB1" i="6"/>
  <c r="BX17" i="6"/>
  <c r="BX18" i="6" s="1"/>
  <c r="BY16" i="6"/>
  <c r="CK51" i="6"/>
  <c r="CL22" i="6"/>
  <c r="BV34" i="6"/>
  <c r="BY59" i="6"/>
  <c r="BX31" i="6"/>
  <c r="BW32" i="6"/>
  <c r="I73" i="4"/>
  <c r="B74" i="4"/>
  <c r="A73" i="4"/>
  <c r="F42" i="4"/>
  <c r="G42" i="4" s="1"/>
  <c r="L42" i="4"/>
  <c r="K73" i="4"/>
  <c r="K74" i="4" s="1"/>
  <c r="B75" i="7" l="1"/>
  <c r="A74" i="7"/>
  <c r="Y82" i="6"/>
  <c r="AA58" i="6"/>
  <c r="Z60" i="6"/>
  <c r="AA60" i="6" s="1"/>
  <c r="Z42" i="6"/>
  <c r="AA42" i="6" s="1"/>
  <c r="Z39" i="6"/>
  <c r="AA37" i="6"/>
  <c r="E26" i="7"/>
  <c r="Z72" i="6"/>
  <c r="Y9" i="6"/>
  <c r="Y52" i="6"/>
  <c r="CM22" i="6"/>
  <c r="CL51" i="6"/>
  <c r="CA55" i="6"/>
  <c r="CB55" i="6"/>
  <c r="BZ10" i="6"/>
  <c r="CA10" i="6" s="1"/>
  <c r="BY17" i="6"/>
  <c r="BY18" i="6" s="1"/>
  <c r="BZ16" i="6"/>
  <c r="J73" i="7"/>
  <c r="BY49" i="6" s="1"/>
  <c r="BY73" i="6"/>
  <c r="I74" i="7"/>
  <c r="BZ38" i="6" s="1"/>
  <c r="CA38" i="6" s="1"/>
  <c r="H75" i="7"/>
  <c r="CB59" i="6" s="1"/>
  <c r="K74" i="7"/>
  <c r="BY20" i="6"/>
  <c r="BX25" i="6"/>
  <c r="BX27" i="6" s="1"/>
  <c r="BX28" i="6" s="1"/>
  <c r="CB30" i="6"/>
  <c r="CA30" i="6"/>
  <c r="BO65" i="6"/>
  <c r="BW34" i="6"/>
  <c r="BY31" i="6"/>
  <c r="BX32" i="6"/>
  <c r="CJ69" i="6"/>
  <c r="CJ70" i="6" s="1"/>
  <c r="CK68" i="6"/>
  <c r="BV35" i="6"/>
  <c r="CC1" i="6"/>
  <c r="D43" i="4"/>
  <c r="E43" i="4"/>
  <c r="B75" i="4"/>
  <c r="A74" i="4"/>
  <c r="I74" i="4"/>
  <c r="B76" i="7" l="1"/>
  <c r="A75" i="7"/>
  <c r="Y5" i="6"/>
  <c r="Y4" i="6"/>
  <c r="Y56" i="6"/>
  <c r="Z78" i="6"/>
  <c r="AA72" i="6"/>
  <c r="Z48" i="6"/>
  <c r="AA48" i="6" s="1"/>
  <c r="C27" i="7"/>
  <c r="G32" i="3" s="1"/>
  <c r="H32" i="3" s="1"/>
  <c r="Z43" i="6"/>
  <c r="Z40" i="6"/>
  <c r="AA39" i="6"/>
  <c r="AA40" i="6" s="1"/>
  <c r="CC30" i="6"/>
  <c r="BZ17" i="6"/>
  <c r="CA17" i="6" s="1"/>
  <c r="CB16" i="6"/>
  <c r="CA16" i="6"/>
  <c r="BP64" i="6"/>
  <c r="CD1" i="6"/>
  <c r="CC55" i="6"/>
  <c r="CB10" i="6"/>
  <c r="BZ31" i="6"/>
  <c r="BY32" i="6"/>
  <c r="BZ20" i="6"/>
  <c r="BY25" i="6"/>
  <c r="BY27" i="6" s="1"/>
  <c r="BY28" i="6" s="1"/>
  <c r="J74" i="7"/>
  <c r="BZ49" i="6" s="1"/>
  <c r="CA49" i="6" s="1"/>
  <c r="BZ73" i="6"/>
  <c r="CA73" i="6" s="1"/>
  <c r="K75" i="7"/>
  <c r="I75" i="7"/>
  <c r="CB38" i="6" s="1"/>
  <c r="H76" i="7"/>
  <c r="CC59" i="6" s="1"/>
  <c r="CM51" i="6"/>
  <c r="CN51" i="6" s="1"/>
  <c r="CO22" i="6"/>
  <c r="CN22" i="6"/>
  <c r="BX34" i="6"/>
  <c r="CL68" i="6"/>
  <c r="CK69" i="6"/>
  <c r="CK70" i="6" s="1"/>
  <c r="BW35" i="6"/>
  <c r="I75" i="4"/>
  <c r="A75" i="4"/>
  <c r="B76" i="4"/>
  <c r="F43" i="4"/>
  <c r="G43" i="4" s="1"/>
  <c r="L43" i="4"/>
  <c r="K75" i="4"/>
  <c r="K76" i="4" s="1"/>
  <c r="BY34" i="6" l="1"/>
  <c r="BY35" i="6" s="1"/>
  <c r="BZ18" i="6"/>
  <c r="CA18" i="6" s="1"/>
  <c r="B77" i="7"/>
  <c r="A76" i="7"/>
  <c r="D27" i="7"/>
  <c r="AB37" i="6" s="1"/>
  <c r="F27" i="7"/>
  <c r="AB58" i="6"/>
  <c r="AB60" i="6" s="1"/>
  <c r="Z80" i="6"/>
  <c r="AA78" i="6"/>
  <c r="Y57" i="6"/>
  <c r="Y61" i="6" s="1"/>
  <c r="Y11" i="6" s="1"/>
  <c r="Y6" i="6"/>
  <c r="Z47" i="6"/>
  <c r="Z44" i="6"/>
  <c r="Z8" i="6"/>
  <c r="AA43" i="6"/>
  <c r="AA44" i="6" s="1"/>
  <c r="Y7" i="6"/>
  <c r="CC10" i="6"/>
  <c r="CD55" i="6"/>
  <c r="CD59" i="6"/>
  <c r="CE1" i="6"/>
  <c r="CB17" i="6"/>
  <c r="CB18" i="6" s="1"/>
  <c r="CC16" i="6"/>
  <c r="CL69" i="6"/>
  <c r="CL70" i="6" s="1"/>
  <c r="CM68" i="6"/>
  <c r="CB20" i="6"/>
  <c r="BZ25" i="6"/>
  <c r="CA25" i="6" s="1"/>
  <c r="CA20" i="6"/>
  <c r="CO51" i="6"/>
  <c r="CP22" i="6"/>
  <c r="H77" i="7"/>
  <c r="I76" i="7"/>
  <c r="CC38" i="6" s="1"/>
  <c r="K76" i="7"/>
  <c r="J75" i="7"/>
  <c r="CB49" i="6" s="1"/>
  <c r="CB73" i="6"/>
  <c r="CD30" i="6"/>
  <c r="BX35" i="6"/>
  <c r="CB31" i="6"/>
  <c r="CA31" i="6"/>
  <c r="BZ32" i="6"/>
  <c r="CA32" i="6" s="1"/>
  <c r="BP65" i="6"/>
  <c r="B77" i="4"/>
  <c r="K77" i="4" s="1"/>
  <c r="A76" i="4"/>
  <c r="D44" i="4"/>
  <c r="E44" i="4"/>
  <c r="I76" i="4"/>
  <c r="B78" i="7" l="1"/>
  <c r="A77" i="7"/>
  <c r="Z9" i="6"/>
  <c r="AA9" i="6" s="1"/>
  <c r="AA8" i="6"/>
  <c r="Z82" i="6"/>
  <c r="AA82" i="6" s="1"/>
  <c r="AA80" i="6"/>
  <c r="E31" i="3" s="1"/>
  <c r="E27" i="7"/>
  <c r="AB72" i="6"/>
  <c r="AB78" i="6" s="1"/>
  <c r="AB80" i="6" s="1"/>
  <c r="Z52" i="6"/>
  <c r="AA47" i="6"/>
  <c r="AB42" i="6"/>
  <c r="AB39" i="6"/>
  <c r="BZ34" i="6"/>
  <c r="J76" i="7"/>
  <c r="CC49" i="6" s="1"/>
  <c r="CC73" i="6"/>
  <c r="CC17" i="6"/>
  <c r="CC18" i="6" s="1"/>
  <c r="CD16" i="6"/>
  <c r="CM69" i="6"/>
  <c r="CN69" i="6" s="1"/>
  <c r="CO68" i="6"/>
  <c r="CN68" i="6"/>
  <c r="CC31" i="6"/>
  <c r="CB32" i="6"/>
  <c r="CE55" i="6"/>
  <c r="CD10" i="6"/>
  <c r="I77" i="7"/>
  <c r="CD38" i="6" s="1"/>
  <c r="K77" i="7"/>
  <c r="H78" i="7"/>
  <c r="CF1" i="6"/>
  <c r="CB25" i="6"/>
  <c r="CC20" i="6"/>
  <c r="BZ27" i="6"/>
  <c r="CE30" i="6"/>
  <c r="BQ64" i="6"/>
  <c r="CQ22" i="6"/>
  <c r="CP51" i="6"/>
  <c r="I77" i="4"/>
  <c r="F44" i="4"/>
  <c r="G44" i="4" s="1"/>
  <c r="L44" i="4"/>
  <c r="A77" i="4"/>
  <c r="B78" i="4"/>
  <c r="K31" i="3" l="1"/>
  <c r="L31" i="3"/>
  <c r="B79" i="7"/>
  <c r="A78" i="7"/>
  <c r="AB40" i="6"/>
  <c r="AB43" i="6"/>
  <c r="AB48" i="6"/>
  <c r="C28" i="7"/>
  <c r="Z5" i="6"/>
  <c r="Z4" i="6"/>
  <c r="AA4" i="6" s="1"/>
  <c r="AA52" i="6"/>
  <c r="Z56" i="6"/>
  <c r="AB82" i="6"/>
  <c r="CG1" i="6"/>
  <c r="K78" i="7"/>
  <c r="H79" i="7"/>
  <c r="CF59" i="6" s="1"/>
  <c r="I78" i="7"/>
  <c r="CE38" i="6" s="1"/>
  <c r="J77" i="7"/>
  <c r="CD49" i="6" s="1"/>
  <c r="CD73" i="6"/>
  <c r="BQ65" i="6"/>
  <c r="CF30" i="6"/>
  <c r="CD17" i="6"/>
  <c r="CD18" i="6" s="1"/>
  <c r="CE16" i="6"/>
  <c r="CB27" i="6"/>
  <c r="CF55" i="6"/>
  <c r="CE10" i="6"/>
  <c r="CB34" i="6"/>
  <c r="BZ28" i="6"/>
  <c r="CA27" i="6"/>
  <c r="CA28" i="6" s="1"/>
  <c r="CE59" i="6"/>
  <c r="BZ35" i="6"/>
  <c r="CA34" i="6"/>
  <c r="CA35" i="6" s="1"/>
  <c r="CO69" i="6"/>
  <c r="CO70" i="6" s="1"/>
  <c r="CP68" i="6"/>
  <c r="CR22" i="6"/>
  <c r="CQ51" i="6"/>
  <c r="CD31" i="6"/>
  <c r="CC32" i="6"/>
  <c r="CD20" i="6"/>
  <c r="CC25" i="6"/>
  <c r="CC34" i="6" s="1"/>
  <c r="CM70" i="6"/>
  <c r="B79" i="4"/>
  <c r="A78" i="4"/>
  <c r="D45" i="4"/>
  <c r="E45" i="4"/>
  <c r="I78" i="4"/>
  <c r="K78" i="4"/>
  <c r="K79" i="4" s="1"/>
  <c r="B80" i="7" l="1"/>
  <c r="A79" i="7"/>
  <c r="AA56" i="6"/>
  <c r="Z6" i="6"/>
  <c r="Z57" i="6"/>
  <c r="Z61" i="6" s="1"/>
  <c r="AB47" i="6"/>
  <c r="AB52" i="6" s="1"/>
  <c r="AB44" i="6"/>
  <c r="AB8" i="6"/>
  <c r="AB9" i="6" s="1"/>
  <c r="AA5" i="6"/>
  <c r="Z7" i="6"/>
  <c r="D28" i="7"/>
  <c r="AC37" i="6" s="1"/>
  <c r="F28" i="7"/>
  <c r="AC58" i="6"/>
  <c r="AC60" i="6" s="1"/>
  <c r="CC35" i="6"/>
  <c r="J78" i="7"/>
  <c r="CE49" i="6" s="1"/>
  <c r="CE73" i="6"/>
  <c r="CG30" i="6"/>
  <c r="CB35" i="6"/>
  <c r="CE31" i="6"/>
  <c r="CD32" i="6"/>
  <c r="CQ68" i="6"/>
  <c r="CP69" i="6"/>
  <c r="H80" i="7"/>
  <c r="CG59" i="6" s="1"/>
  <c r="K79" i="7"/>
  <c r="I79" i="7"/>
  <c r="CF38" i="6" s="1"/>
  <c r="CB28" i="6"/>
  <c r="BR64" i="6"/>
  <c r="CE20" i="6"/>
  <c r="CD25" i="6"/>
  <c r="CD27" i="6" s="1"/>
  <c r="CR51" i="6"/>
  <c r="CS22" i="6"/>
  <c r="CH1" i="6"/>
  <c r="CC27" i="6"/>
  <c r="CC28" i="6" s="1"/>
  <c r="CN70" i="6"/>
  <c r="CG55" i="6"/>
  <c r="CF10" i="6"/>
  <c r="CE17" i="6"/>
  <c r="CE18" i="6" s="1"/>
  <c r="CF16" i="6"/>
  <c r="I79" i="4"/>
  <c r="F45" i="4"/>
  <c r="G45" i="4" s="1"/>
  <c r="L45" i="4"/>
  <c r="B80" i="4"/>
  <c r="K80" i="4" s="1"/>
  <c r="A79" i="4"/>
  <c r="CD34" i="6" l="1"/>
  <c r="CD35" i="6" s="1"/>
  <c r="B81" i="7"/>
  <c r="A80" i="7"/>
  <c r="AC39" i="6"/>
  <c r="AC42" i="6"/>
  <c r="AB4" i="6"/>
  <c r="AB5" i="6"/>
  <c r="AB7" i="6" s="1"/>
  <c r="E28" i="7"/>
  <c r="AC72" i="6"/>
  <c r="AC78" i="6" s="1"/>
  <c r="AC80" i="6" s="1"/>
  <c r="AC82" i="6" s="1"/>
  <c r="AA7" i="6"/>
  <c r="AA13" i="6" s="1"/>
  <c r="Z11" i="6"/>
  <c r="AA61" i="6"/>
  <c r="AA11" i="6" s="1"/>
  <c r="AA12" i="6" s="1"/>
  <c r="AA57" i="6"/>
  <c r="AB56" i="6"/>
  <c r="AA6" i="6"/>
  <c r="CD28" i="6"/>
  <c r="CR68" i="6"/>
  <c r="CQ69" i="6"/>
  <c r="CQ70" i="6" s="1"/>
  <c r="CF31" i="6"/>
  <c r="CE32" i="6"/>
  <c r="CI1" i="6"/>
  <c r="CF17" i="6"/>
  <c r="CF18" i="6" s="1"/>
  <c r="CG16" i="6"/>
  <c r="CG10" i="6"/>
  <c r="CH55" i="6"/>
  <c r="CT22" i="6"/>
  <c r="CS51" i="6"/>
  <c r="CH30" i="6"/>
  <c r="CE25" i="6"/>
  <c r="CF20" i="6"/>
  <c r="BR65" i="6"/>
  <c r="BS64" i="6" s="1"/>
  <c r="CP70" i="6"/>
  <c r="J79" i="7"/>
  <c r="CF49" i="6" s="1"/>
  <c r="CF73" i="6"/>
  <c r="K80" i="7"/>
  <c r="H81" i="7"/>
  <c r="CH59" i="6" s="1"/>
  <c r="I80" i="7"/>
  <c r="CG38" i="6" s="1"/>
  <c r="D46" i="4"/>
  <c r="E46" i="4"/>
  <c r="B81" i="4"/>
  <c r="A80" i="4"/>
  <c r="I80" i="4"/>
  <c r="CE34" i="6" l="1"/>
  <c r="CE35" i="6" s="1"/>
  <c r="CE27" i="6"/>
  <c r="CE28" i="6" s="1"/>
  <c r="B82" i="7"/>
  <c r="A81" i="7"/>
  <c r="AB6" i="6"/>
  <c r="AB57" i="6"/>
  <c r="AB61" i="6" s="1"/>
  <c r="AB11" i="6" s="1"/>
  <c r="AC48" i="6"/>
  <c r="C29" i="7"/>
  <c r="AC43" i="6"/>
  <c r="AC40" i="6"/>
  <c r="BS65" i="6"/>
  <c r="BT64" i="6" s="1"/>
  <c r="CJ1" i="6"/>
  <c r="CU22" i="6"/>
  <c r="CT51" i="6"/>
  <c r="CS68" i="6"/>
  <c r="CR69" i="6"/>
  <c r="CR70" i="6" s="1"/>
  <c r="CI55" i="6"/>
  <c r="CH10" i="6"/>
  <c r="J80" i="7"/>
  <c r="CG49" i="6" s="1"/>
  <c r="CG73" i="6"/>
  <c r="CF25" i="6"/>
  <c r="CF27" i="6" s="1"/>
  <c r="CG20" i="6"/>
  <c r="CH16" i="6"/>
  <c r="CG17" i="6"/>
  <c r="CG18" i="6" s="1"/>
  <c r="CI30" i="6"/>
  <c r="H82" i="7"/>
  <c r="K81" i="7"/>
  <c r="I81" i="7"/>
  <c r="CH38" i="6" s="1"/>
  <c r="CG31" i="6"/>
  <c r="CF32" i="6"/>
  <c r="I81" i="4"/>
  <c r="B82" i="4"/>
  <c r="A81" i="4"/>
  <c r="F46" i="4"/>
  <c r="G46" i="4" s="1"/>
  <c r="L46" i="4"/>
  <c r="K81" i="4"/>
  <c r="B83" i="7" l="1"/>
  <c r="A82" i="7"/>
  <c r="AC8" i="6"/>
  <c r="AC9" i="6" s="1"/>
  <c r="AC44" i="6"/>
  <c r="AC47" i="6"/>
  <c r="AC52" i="6" s="1"/>
  <c r="D29" i="7"/>
  <c r="AD37" i="6" s="1"/>
  <c r="AD58" i="6"/>
  <c r="AD60" i="6" s="1"/>
  <c r="F29" i="7"/>
  <c r="CF28" i="6"/>
  <c r="CU51" i="6"/>
  <c r="CV22" i="6"/>
  <c r="CJ55" i="6"/>
  <c r="CI10" i="6"/>
  <c r="H83" i="7"/>
  <c r="I82" i="7"/>
  <c r="CI38" i="6" s="1"/>
  <c r="K82" i="7"/>
  <c r="CK1" i="6"/>
  <c r="CI59" i="6"/>
  <c r="CS69" i="6"/>
  <c r="CS70" i="6" s="1"/>
  <c r="CT68" i="6"/>
  <c r="BT65" i="6"/>
  <c r="BU64" i="6" s="1"/>
  <c r="J81" i="7"/>
  <c r="CH49" i="6" s="1"/>
  <c r="CH73" i="6"/>
  <c r="CI16" i="6"/>
  <c r="CH17" i="6"/>
  <c r="CH18" i="6" s="1"/>
  <c r="CH20" i="6"/>
  <c r="CG25" i="6"/>
  <c r="CG27" i="6" s="1"/>
  <c r="CG28" i="6" s="1"/>
  <c r="CF34" i="6"/>
  <c r="CJ30" i="6"/>
  <c r="CH31" i="6"/>
  <c r="CG32" i="6"/>
  <c r="B83" i="4"/>
  <c r="A82" i="4"/>
  <c r="I82" i="4"/>
  <c r="K82" i="4"/>
  <c r="K83" i="4" s="1"/>
  <c r="E47" i="4"/>
  <c r="D47" i="4"/>
  <c r="CG34" i="6" l="1"/>
  <c r="CG35" i="6" s="1"/>
  <c r="B84" i="7"/>
  <c r="A83" i="7"/>
  <c r="AD72" i="6"/>
  <c r="AD78" i="6" s="1"/>
  <c r="AD80" i="6" s="1"/>
  <c r="AD82" i="6" s="1"/>
  <c r="E29" i="7"/>
  <c r="AD42" i="6"/>
  <c r="AD39" i="6"/>
  <c r="AC4" i="6"/>
  <c r="AC5" i="6"/>
  <c r="AC7" i="6" s="1"/>
  <c r="AC56" i="6"/>
  <c r="BU65" i="6"/>
  <c r="BV64" i="6" s="1"/>
  <c r="I83" i="7"/>
  <c r="CJ38" i="6" s="1"/>
  <c r="H84" i="7"/>
  <c r="CK59" i="6" s="1"/>
  <c r="K83" i="7"/>
  <c r="CV51" i="6"/>
  <c r="CW22" i="6"/>
  <c r="CH25" i="6"/>
  <c r="CH34" i="6" s="1"/>
  <c r="CI20" i="6"/>
  <c r="CL1" i="6"/>
  <c r="CT69" i="6"/>
  <c r="CT70" i="6" s="1"/>
  <c r="CU68" i="6"/>
  <c r="J82" i="7"/>
  <c r="CI49" i="6" s="1"/>
  <c r="CI73" i="6"/>
  <c r="CJ59" i="6"/>
  <c r="CK30" i="6"/>
  <c r="CF35" i="6"/>
  <c r="CJ16" i="6"/>
  <c r="CI17" i="6"/>
  <c r="CI18" i="6" s="1"/>
  <c r="CI31" i="6"/>
  <c r="CH32" i="6"/>
  <c r="CK55" i="6"/>
  <c r="CJ10" i="6"/>
  <c r="F47" i="4"/>
  <c r="G47" i="4" s="1"/>
  <c r="L47" i="4"/>
  <c r="I83" i="4"/>
  <c r="A83" i="4"/>
  <c r="B84" i="4"/>
  <c r="B85" i="7" l="1"/>
  <c r="A84" i="7"/>
  <c r="AC57" i="6"/>
  <c r="AC61" i="6" s="1"/>
  <c r="AC11" i="6" s="1"/>
  <c r="AC6" i="6"/>
  <c r="AD43" i="6"/>
  <c r="AD40" i="6"/>
  <c r="AD48" i="6"/>
  <c r="C30" i="7"/>
  <c r="CH35" i="6"/>
  <c r="BV65" i="6"/>
  <c r="BW64" i="6" s="1"/>
  <c r="CH27" i="6"/>
  <c r="CH28" i="6" s="1"/>
  <c r="CK10" i="6"/>
  <c r="CL55" i="6"/>
  <c r="CL30" i="6"/>
  <c r="CJ31" i="6"/>
  <c r="CI32" i="6"/>
  <c r="CK16" i="6"/>
  <c r="CJ17" i="6"/>
  <c r="CJ18" i="6" s="1"/>
  <c r="J83" i="7"/>
  <c r="CJ49" i="6" s="1"/>
  <c r="CJ73" i="6"/>
  <c r="CV68" i="6"/>
  <c r="CU69" i="6"/>
  <c r="CU70" i="6" s="1"/>
  <c r="CI25" i="6"/>
  <c r="CI27" i="6" s="1"/>
  <c r="CI28" i="6" s="1"/>
  <c r="CJ20" i="6"/>
  <c r="K84" i="7"/>
  <c r="I84" i="7"/>
  <c r="CK38" i="6" s="1"/>
  <c r="H85" i="7"/>
  <c r="CW51" i="6"/>
  <c r="CX22" i="6"/>
  <c r="CM1" i="6"/>
  <c r="B85" i="4"/>
  <c r="A84" i="4"/>
  <c r="I84" i="4"/>
  <c r="D48" i="4"/>
  <c r="E48" i="4"/>
  <c r="K84" i="4"/>
  <c r="K85" i="4" s="1"/>
  <c r="B86" i="7" l="1"/>
  <c r="A85" i="7"/>
  <c r="AE58" i="6"/>
  <c r="AE60" i="6" s="1"/>
  <c r="F30" i="7"/>
  <c r="D30" i="7"/>
  <c r="AE37" i="6" s="1"/>
  <c r="AD44" i="6"/>
  <c r="AD47" i="6"/>
  <c r="AD52" i="6" s="1"/>
  <c r="AD8" i="6"/>
  <c r="AD9" i="6" s="1"/>
  <c r="BW65" i="6"/>
  <c r="BX64" i="6" s="1"/>
  <c r="CM59" i="6"/>
  <c r="CN59" i="6" s="1"/>
  <c r="CO1" i="6"/>
  <c r="CN1" i="6"/>
  <c r="CK31" i="6"/>
  <c r="CJ32" i="6"/>
  <c r="CX51" i="6"/>
  <c r="CY22" i="6"/>
  <c r="K85" i="7"/>
  <c r="H86" i="7"/>
  <c r="I85" i="7"/>
  <c r="CL38" i="6" s="1"/>
  <c r="CW68" i="6"/>
  <c r="CV69" i="6"/>
  <c r="CV70" i="6" s="1"/>
  <c r="CL59" i="6"/>
  <c r="CJ25" i="6"/>
  <c r="CJ27" i="6" s="1"/>
  <c r="CJ28" i="6" s="1"/>
  <c r="CK20" i="6"/>
  <c r="CM55" i="6"/>
  <c r="CL10" i="6"/>
  <c r="J84" i="7"/>
  <c r="CK49" i="6" s="1"/>
  <c r="CK73" i="6"/>
  <c r="CM30" i="6"/>
  <c r="CI34" i="6"/>
  <c r="CL16" i="6"/>
  <c r="CK17" i="6"/>
  <c r="CK18" i="6" s="1"/>
  <c r="F48" i="4"/>
  <c r="G48" i="4" s="1"/>
  <c r="L48" i="4"/>
  <c r="I85" i="4"/>
  <c r="B86" i="4"/>
  <c r="A85" i="4"/>
  <c r="B87" i="7" l="1"/>
  <c r="A86" i="7"/>
  <c r="AD4" i="6"/>
  <c r="AD5" i="6"/>
  <c r="AD7" i="6" s="1"/>
  <c r="AD56" i="6"/>
  <c r="AE39" i="6"/>
  <c r="AE42" i="6"/>
  <c r="E30" i="7"/>
  <c r="AE72" i="6"/>
  <c r="AE78" i="6" s="1"/>
  <c r="AE80" i="6" s="1"/>
  <c r="AE82" i="6" s="1"/>
  <c r="BX65" i="6"/>
  <c r="BY64" i="6" s="1"/>
  <c r="J85" i="7"/>
  <c r="CL49" i="6" s="1"/>
  <c r="CL73" i="6"/>
  <c r="CM16" i="6"/>
  <c r="CL17" i="6"/>
  <c r="CL18" i="6" s="1"/>
  <c r="CK25" i="6"/>
  <c r="CK27" i="6" s="1"/>
  <c r="CK28" i="6" s="1"/>
  <c r="CL20" i="6"/>
  <c r="CP1" i="6"/>
  <c r="CX68" i="6"/>
  <c r="CW69" i="6"/>
  <c r="CW70" i="6" s="1"/>
  <c r="CI35" i="6"/>
  <c r="I86" i="7"/>
  <c r="CM38" i="6" s="1"/>
  <c r="CN38" i="6" s="1"/>
  <c r="H87" i="7"/>
  <c r="CO59" i="6" s="1"/>
  <c r="K86" i="7"/>
  <c r="CL31" i="6"/>
  <c r="CK32" i="6"/>
  <c r="CJ34" i="6"/>
  <c r="CO30" i="6"/>
  <c r="CN30" i="6"/>
  <c r="CY51" i="6"/>
  <c r="CZ22" i="6"/>
  <c r="CN55" i="6"/>
  <c r="CO55" i="6"/>
  <c r="CM10" i="6"/>
  <c r="CN10" i="6" s="1"/>
  <c r="A86" i="4"/>
  <c r="B87" i="4"/>
  <c r="I86" i="4"/>
  <c r="E49" i="4"/>
  <c r="D49" i="4"/>
  <c r="K86" i="4"/>
  <c r="K87" i="4" s="1"/>
  <c r="CK34" i="6" l="1"/>
  <c r="CK35" i="6" s="1"/>
  <c r="B88" i="7"/>
  <c r="A87" i="7"/>
  <c r="AE48" i="6"/>
  <c r="C31" i="7"/>
  <c r="AE40" i="6"/>
  <c r="AE43" i="6"/>
  <c r="AD6" i="6"/>
  <c r="AD57" i="6"/>
  <c r="AD61" i="6" s="1"/>
  <c r="AD11" i="6" s="1"/>
  <c r="CP30" i="6"/>
  <c r="CM17" i="6"/>
  <c r="CN17" i="6" s="1"/>
  <c r="CO16" i="6"/>
  <c r="CN16" i="6"/>
  <c r="CY68" i="6"/>
  <c r="CX69" i="6"/>
  <c r="CX70" i="6" s="1"/>
  <c r="CJ35" i="6"/>
  <c r="CZ51" i="6"/>
  <c r="DA51" i="6" s="1"/>
  <c r="DB22" i="6"/>
  <c r="DA22" i="6"/>
  <c r="CM31" i="6"/>
  <c r="CL32" i="6"/>
  <c r="I87" i="7"/>
  <c r="CO38" i="6" s="1"/>
  <c r="K87" i="7"/>
  <c r="H88" i="7"/>
  <c r="CP59" i="6" s="1"/>
  <c r="BY65" i="6"/>
  <c r="BZ64" i="6" s="1"/>
  <c r="CP55" i="6"/>
  <c r="CO10" i="6"/>
  <c r="CQ1" i="6"/>
  <c r="J86" i="7"/>
  <c r="CM49" i="6" s="1"/>
  <c r="CN49" i="6" s="1"/>
  <c r="CM73" i="6"/>
  <c r="CN73" i="6" s="1"/>
  <c r="CM20" i="6"/>
  <c r="CL25" i="6"/>
  <c r="CL27" i="6" s="1"/>
  <c r="CL28" i="6" s="1"/>
  <c r="F49" i="4"/>
  <c r="G49" i="4" s="1"/>
  <c r="L49" i="4"/>
  <c r="I87" i="4"/>
  <c r="B88" i="4"/>
  <c r="A87" i="4"/>
  <c r="CL34" i="6" l="1"/>
  <c r="CL35" i="6" s="1"/>
  <c r="B89" i="7"/>
  <c r="A88" i="7"/>
  <c r="AE8" i="6"/>
  <c r="AE9" i="6" s="1"/>
  <c r="AE44" i="6"/>
  <c r="AE47" i="6"/>
  <c r="AE52" i="6" s="1"/>
  <c r="AF58" i="6"/>
  <c r="AF60" i="6" s="1"/>
  <c r="D31" i="7"/>
  <c r="AF37" i="6" s="1"/>
  <c r="F31" i="7"/>
  <c r="CA64" i="6"/>
  <c r="BZ65" i="6"/>
  <c r="CA65" i="6" s="1"/>
  <c r="CM25" i="6"/>
  <c r="CN25" i="6" s="1"/>
  <c r="CO20" i="6"/>
  <c r="CN20" i="6"/>
  <c r="CO31" i="6"/>
  <c r="CN31" i="6"/>
  <c r="CM32" i="6"/>
  <c r="CN32" i="6" s="1"/>
  <c r="K88" i="7"/>
  <c r="H89" i="7"/>
  <c r="I88" i="7"/>
  <c r="CP38" i="6" s="1"/>
  <c r="CQ55" i="6"/>
  <c r="CP10" i="6"/>
  <c r="CM18" i="6"/>
  <c r="CQ30" i="6"/>
  <c r="CY69" i="6"/>
  <c r="CY70" i="6" s="1"/>
  <c r="CZ68" i="6"/>
  <c r="DC22" i="6"/>
  <c r="DB51" i="6"/>
  <c r="CO17" i="6"/>
  <c r="CP16" i="6"/>
  <c r="J87" i="7"/>
  <c r="CO49" i="6" s="1"/>
  <c r="CO73" i="6"/>
  <c r="CQ59" i="6"/>
  <c r="CR1" i="6"/>
  <c r="B89" i="4"/>
  <c r="A88" i="4"/>
  <c r="I88" i="4"/>
  <c r="E50" i="4"/>
  <c r="D50" i="4"/>
  <c r="K88" i="4"/>
  <c r="K89" i="4" s="1"/>
  <c r="B90" i="7" l="1"/>
  <c r="A89" i="7"/>
  <c r="AF42" i="6"/>
  <c r="AF39" i="6"/>
  <c r="AF72" i="6"/>
  <c r="E31" i="7"/>
  <c r="AE4" i="6"/>
  <c r="AE5" i="6"/>
  <c r="AE7" i="6" s="1"/>
  <c r="AE56" i="6"/>
  <c r="CP20" i="6"/>
  <c r="CO25" i="6"/>
  <c r="CR30" i="6"/>
  <c r="CB64" i="6"/>
  <c r="CQ16" i="6"/>
  <c r="CP17" i="6"/>
  <c r="CP18" i="6" s="1"/>
  <c r="CS1" i="6"/>
  <c r="CO18" i="6"/>
  <c r="CQ10" i="6"/>
  <c r="CR55" i="6"/>
  <c r="CP31" i="6"/>
  <c r="CO32" i="6"/>
  <c r="DC51" i="6"/>
  <c r="DD22" i="6"/>
  <c r="CZ69" i="6"/>
  <c r="DA69" i="6" s="1"/>
  <c r="DB68" i="6"/>
  <c r="DA68" i="6"/>
  <c r="I89" i="7"/>
  <c r="CQ38" i="6" s="1"/>
  <c r="H90" i="7"/>
  <c r="K89" i="7"/>
  <c r="J88" i="7"/>
  <c r="CP49" i="6" s="1"/>
  <c r="CP73" i="6"/>
  <c r="CM27" i="6"/>
  <c r="CM34" i="6"/>
  <c r="CN18" i="6"/>
  <c r="F50" i="4"/>
  <c r="G50" i="4" s="1"/>
  <c r="L50" i="4"/>
  <c r="I89" i="4"/>
  <c r="B90" i="4"/>
  <c r="A89" i="4"/>
  <c r="B91" i="7" l="1"/>
  <c r="A90" i="7"/>
  <c r="AF48" i="6"/>
  <c r="C32" i="7"/>
  <c r="AF78" i="6"/>
  <c r="AF43" i="6"/>
  <c r="AF40" i="6"/>
  <c r="AE6" i="6"/>
  <c r="AE57" i="6"/>
  <c r="AE61" i="6" s="1"/>
  <c r="AE11" i="6" s="1"/>
  <c r="K90" i="7"/>
  <c r="H91" i="7"/>
  <c r="I90" i="7"/>
  <c r="CR38" i="6" s="1"/>
  <c r="CO34" i="6"/>
  <c r="CO27" i="6"/>
  <c r="J89" i="7"/>
  <c r="CQ49" i="6" s="1"/>
  <c r="CQ73" i="6"/>
  <c r="CB65" i="6"/>
  <c r="CC64" i="6" s="1"/>
  <c r="CS30" i="6"/>
  <c r="CR59" i="6"/>
  <c r="CQ20" i="6"/>
  <c r="CP25" i="6"/>
  <c r="CM35" i="6"/>
  <c r="CN34" i="6"/>
  <c r="CN35" i="6" s="1"/>
  <c r="CM28" i="6"/>
  <c r="CN27" i="6"/>
  <c r="CN28" i="6" s="1"/>
  <c r="CQ17" i="6"/>
  <c r="CQ18" i="6" s="1"/>
  <c r="CR16" i="6"/>
  <c r="CT1" i="6"/>
  <c r="CQ31" i="6"/>
  <c r="CP32" i="6"/>
  <c r="DB69" i="6"/>
  <c r="DB70" i="6" s="1"/>
  <c r="DC68" i="6"/>
  <c r="CZ70" i="6"/>
  <c r="CS55" i="6"/>
  <c r="CR10" i="6"/>
  <c r="DE22" i="6"/>
  <c r="DD51" i="6"/>
  <c r="B91" i="4"/>
  <c r="A90" i="4"/>
  <c r="I90" i="4"/>
  <c r="D51" i="4"/>
  <c r="E51" i="4"/>
  <c r="K90" i="4"/>
  <c r="K91" i="4" s="1"/>
  <c r="CP34" i="6" l="1"/>
  <c r="CP35" i="6" s="1"/>
  <c r="B92" i="7"/>
  <c r="A91" i="7"/>
  <c r="F32" i="7"/>
  <c r="D32" i="7"/>
  <c r="AG37" i="6" s="1"/>
  <c r="AG58" i="6"/>
  <c r="AG60" i="6" s="1"/>
  <c r="AF47" i="6"/>
  <c r="AF44" i="6"/>
  <c r="AF8" i="6"/>
  <c r="AF80" i="6"/>
  <c r="CR20" i="6"/>
  <c r="CQ25" i="6"/>
  <c r="CQ27" i="6" s="1"/>
  <c r="CQ28" i="6" s="1"/>
  <c r="CU1" i="6"/>
  <c r="CC65" i="6"/>
  <c r="CT30" i="6"/>
  <c r="H92" i="7"/>
  <c r="CT59" i="6" s="1"/>
  <c r="K91" i="7"/>
  <c r="I91" i="7"/>
  <c r="CS38" i="6" s="1"/>
  <c r="CP27" i="6"/>
  <c r="CP28" i="6" s="1"/>
  <c r="CR17" i="6"/>
  <c r="CR18" i="6" s="1"/>
  <c r="CS16" i="6"/>
  <c r="CT55" i="6"/>
  <c r="CS10" i="6"/>
  <c r="DE51" i="6"/>
  <c r="DF22" i="6"/>
  <c r="CR31" i="6"/>
  <c r="CQ32" i="6"/>
  <c r="CO28" i="6"/>
  <c r="CO35" i="6"/>
  <c r="J90" i="7"/>
  <c r="CR49" i="6" s="1"/>
  <c r="CR73" i="6"/>
  <c r="DA70" i="6"/>
  <c r="DC69" i="6"/>
  <c r="DC70" i="6" s="1"/>
  <c r="DD68" i="6"/>
  <c r="CS59" i="6"/>
  <c r="F51" i="4"/>
  <c r="G51" i="4" s="1"/>
  <c r="L51" i="4"/>
  <c r="I91" i="4"/>
  <c r="B92" i="4"/>
  <c r="A91" i="4"/>
  <c r="B93" i="7" l="1"/>
  <c r="A92" i="7"/>
  <c r="AF82" i="6"/>
  <c r="AF52" i="6"/>
  <c r="AF9" i="6"/>
  <c r="AG42" i="6"/>
  <c r="AG39" i="6"/>
  <c r="E32" i="7"/>
  <c r="AG72" i="6"/>
  <c r="CQ34" i="6"/>
  <c r="CR25" i="6"/>
  <c r="CR34" i="6" s="1"/>
  <c r="CS20" i="6"/>
  <c r="CS17" i="6"/>
  <c r="CT16" i="6"/>
  <c r="CD64" i="6"/>
  <c r="DG22" i="6"/>
  <c r="DF51" i="6"/>
  <c r="CU55" i="6"/>
  <c r="CT10" i="6"/>
  <c r="CU30" i="6"/>
  <c r="CV1" i="6"/>
  <c r="J91" i="7"/>
  <c r="CS49" i="6" s="1"/>
  <c r="CS73" i="6"/>
  <c r="DD69" i="6"/>
  <c r="DD70" i="6" s="1"/>
  <c r="DE68" i="6"/>
  <c r="K92" i="7"/>
  <c r="I92" i="7"/>
  <c r="CT38" i="6" s="1"/>
  <c r="H93" i="7"/>
  <c r="CU59" i="6" s="1"/>
  <c r="CS31" i="6"/>
  <c r="CR32" i="6"/>
  <c r="A92" i="4"/>
  <c r="B93" i="4"/>
  <c r="I92" i="4"/>
  <c r="E52" i="4"/>
  <c r="D52" i="4"/>
  <c r="K92" i="4"/>
  <c r="K93" i="4" s="1"/>
  <c r="B94" i="7" l="1"/>
  <c r="A93" i="7"/>
  <c r="AG78" i="6"/>
  <c r="AG40" i="6"/>
  <c r="AG43" i="6"/>
  <c r="AG48" i="6"/>
  <c r="C33" i="7"/>
  <c r="AF4" i="6"/>
  <c r="AF5" i="6"/>
  <c r="AF56" i="6"/>
  <c r="CR35" i="6"/>
  <c r="CV30" i="6"/>
  <c r="DE69" i="6"/>
  <c r="DE70" i="6" s="1"/>
  <c r="DF68" i="6"/>
  <c r="CD65" i="6"/>
  <c r="CE64" i="6" s="1"/>
  <c r="CS25" i="6"/>
  <c r="CT20" i="6"/>
  <c r="CT31" i="6"/>
  <c r="CS32" i="6"/>
  <c r="CQ35" i="6"/>
  <c r="CR27" i="6"/>
  <c r="H94" i="7"/>
  <c r="CV59" i="6" s="1"/>
  <c r="K93" i="7"/>
  <c r="I93" i="7"/>
  <c r="CU38" i="6" s="1"/>
  <c r="CS18" i="6"/>
  <c r="CW1" i="6"/>
  <c r="CV55" i="6"/>
  <c r="CU10" i="6"/>
  <c r="J92" i="7"/>
  <c r="CT49" i="6" s="1"/>
  <c r="CT73" i="6"/>
  <c r="DG51" i="6"/>
  <c r="DH22" i="6"/>
  <c r="CT17" i="6"/>
  <c r="CT18" i="6" s="1"/>
  <c r="CU16" i="6"/>
  <c r="F52" i="4"/>
  <c r="G52" i="4" s="1"/>
  <c r="L52" i="4"/>
  <c r="I93" i="4"/>
  <c r="A93" i="4"/>
  <c r="B94" i="4"/>
  <c r="B95" i="7" l="1"/>
  <c r="A94" i="7"/>
  <c r="AF6" i="6"/>
  <c r="AF57" i="6"/>
  <c r="AF61" i="6" s="1"/>
  <c r="AF11" i="6" s="1"/>
  <c r="AF7" i="6"/>
  <c r="D33" i="7"/>
  <c r="AH37" i="6" s="1"/>
  <c r="F33" i="7"/>
  <c r="AH58" i="6"/>
  <c r="AH60" i="6" s="1"/>
  <c r="AG44" i="6"/>
  <c r="AG8" i="6"/>
  <c r="AG47" i="6"/>
  <c r="AG80" i="6"/>
  <c r="CE65" i="6"/>
  <c r="CF64" i="6" s="1"/>
  <c r="DG68" i="6"/>
  <c r="DF69" i="6"/>
  <c r="DF70" i="6" s="1"/>
  <c r="CS34" i="6"/>
  <c r="CS27" i="6"/>
  <c r="CS28" i="6" s="1"/>
  <c r="CW55" i="6"/>
  <c r="CV10" i="6"/>
  <c r="CW30" i="6"/>
  <c r="CU17" i="6"/>
  <c r="CU18" i="6" s="1"/>
  <c r="CV16" i="6"/>
  <c r="K94" i="7"/>
  <c r="I94" i="7"/>
  <c r="CV38" i="6" s="1"/>
  <c r="H95" i="7"/>
  <c r="CW59" i="6" s="1"/>
  <c r="CU31" i="6"/>
  <c r="CT32" i="6"/>
  <c r="CU20" i="6"/>
  <c r="CT25" i="6"/>
  <c r="CT27" i="6" s="1"/>
  <c r="CT28" i="6" s="1"/>
  <c r="CR28" i="6"/>
  <c r="DI22" i="6"/>
  <c r="DH51" i="6"/>
  <c r="J93" i="7"/>
  <c r="CU49" i="6" s="1"/>
  <c r="CU73" i="6"/>
  <c r="CX1" i="6"/>
  <c r="A94" i="4"/>
  <c r="B95" i="4"/>
  <c r="I94" i="4"/>
  <c r="E53" i="4"/>
  <c r="D53" i="4"/>
  <c r="K94" i="4"/>
  <c r="K95" i="4" s="1"/>
  <c r="B96" i="7" l="1"/>
  <c r="A95" i="7"/>
  <c r="AG82" i="6"/>
  <c r="AG52" i="6"/>
  <c r="AH39" i="6"/>
  <c r="AH42" i="6"/>
  <c r="AG9" i="6"/>
  <c r="E33" i="7"/>
  <c r="AH72" i="6"/>
  <c r="CY1" i="6"/>
  <c r="CX55" i="6"/>
  <c r="CW10" i="6"/>
  <c r="CS35" i="6"/>
  <c r="CV31" i="6"/>
  <c r="CU32" i="6"/>
  <c r="J94" i="7"/>
  <c r="CV49" i="6" s="1"/>
  <c r="CV73" i="6"/>
  <c r="CV17" i="6"/>
  <c r="CV18" i="6" s="1"/>
  <c r="CW16" i="6"/>
  <c r="CX30" i="6"/>
  <c r="K95" i="7"/>
  <c r="I95" i="7"/>
  <c r="CW38" i="6" s="1"/>
  <c r="H96" i="7"/>
  <c r="CT34" i="6"/>
  <c r="CF65" i="6"/>
  <c r="CG64" i="6" s="1"/>
  <c r="DI51" i="6"/>
  <c r="DJ22" i="6"/>
  <c r="DH68" i="6"/>
  <c r="DG69" i="6"/>
  <c r="DG70" i="6" s="1"/>
  <c r="CV20" i="6"/>
  <c r="CU25" i="6"/>
  <c r="CU27" i="6" s="1"/>
  <c r="F53" i="4"/>
  <c r="G53" i="4" s="1"/>
  <c r="L53" i="4"/>
  <c r="I95" i="4"/>
  <c r="B96" i="4"/>
  <c r="A95" i="4"/>
  <c r="CU34" i="6" l="1"/>
  <c r="CU35" i="6" s="1"/>
  <c r="B97" i="7"/>
  <c r="A96" i="7"/>
  <c r="CX59" i="6"/>
  <c r="AH40" i="6"/>
  <c r="AH43" i="6"/>
  <c r="AH78" i="6"/>
  <c r="AH48" i="6"/>
  <c r="C34" i="7"/>
  <c r="AG5" i="6"/>
  <c r="AG4" i="6"/>
  <c r="AG56" i="6"/>
  <c r="CG65" i="6"/>
  <c r="CH64" i="6" s="1"/>
  <c r="CU28" i="6"/>
  <c r="CY30" i="6"/>
  <c r="DJ51" i="6"/>
  <c r="DK22" i="6"/>
  <c r="CW17" i="6"/>
  <c r="CW18" i="6" s="1"/>
  <c r="CX16" i="6"/>
  <c r="CY55" i="6"/>
  <c r="CX10" i="6"/>
  <c r="CW31" i="6"/>
  <c r="CV32" i="6"/>
  <c r="DI68" i="6"/>
  <c r="DH69" i="6"/>
  <c r="DH70" i="6" s="1"/>
  <c r="J95" i="7"/>
  <c r="CW49" i="6" s="1"/>
  <c r="CW73" i="6"/>
  <c r="CZ1" i="6"/>
  <c r="CW20" i="6"/>
  <c r="CV25" i="6"/>
  <c r="CV27" i="6" s="1"/>
  <c r="CV28" i="6" s="1"/>
  <c r="CT35" i="6"/>
  <c r="H97" i="7"/>
  <c r="K96" i="7"/>
  <c r="I96" i="7"/>
  <c r="CX38" i="6" s="1"/>
  <c r="B97" i="4"/>
  <c r="A96" i="4"/>
  <c r="I96" i="4"/>
  <c r="E54" i="4"/>
  <c r="D54" i="4"/>
  <c r="K96" i="4"/>
  <c r="K97" i="4" s="1"/>
  <c r="B98" i="7" l="1"/>
  <c r="A97" i="7"/>
  <c r="AG7" i="6"/>
  <c r="D34" i="7"/>
  <c r="AI37" i="6" s="1"/>
  <c r="AI58" i="6"/>
  <c r="AI60" i="6" s="1"/>
  <c r="F34" i="7"/>
  <c r="AG6" i="6"/>
  <c r="AG57" i="6"/>
  <c r="AG61" i="6" s="1"/>
  <c r="AG11" i="6" s="1"/>
  <c r="AH80" i="6"/>
  <c r="AH47" i="6"/>
  <c r="AH44" i="6"/>
  <c r="AH8" i="6"/>
  <c r="CH65" i="6"/>
  <c r="CI64" i="6" s="1"/>
  <c r="DA1" i="6"/>
  <c r="DB1" i="6"/>
  <c r="I97" i="7"/>
  <c r="CY38" i="6" s="1"/>
  <c r="H98" i="7"/>
  <c r="CZ59" i="6" s="1"/>
  <c r="DA59" i="6" s="1"/>
  <c r="K97" i="7"/>
  <c r="CY59" i="6"/>
  <c r="CW25" i="6"/>
  <c r="CW34" i="6" s="1"/>
  <c r="CX20" i="6"/>
  <c r="CY10" i="6"/>
  <c r="CZ55" i="6"/>
  <c r="DJ68" i="6"/>
  <c r="DI69" i="6"/>
  <c r="DI70" i="6" s="1"/>
  <c r="DL22" i="6"/>
  <c r="DK51" i="6"/>
  <c r="CX31" i="6"/>
  <c r="CW32" i="6"/>
  <c r="CZ30" i="6"/>
  <c r="CV34" i="6"/>
  <c r="J96" i="7"/>
  <c r="CX49" i="6" s="1"/>
  <c r="CX73" i="6"/>
  <c r="CX17" i="6"/>
  <c r="CX18" i="6" s="1"/>
  <c r="CY16" i="6"/>
  <c r="F54" i="4"/>
  <c r="G54" i="4" s="1"/>
  <c r="L54" i="4"/>
  <c r="I97" i="4"/>
  <c r="A97" i="4"/>
  <c r="B98" i="4"/>
  <c r="B99" i="7" l="1"/>
  <c r="A98" i="7"/>
  <c r="AH9" i="6"/>
  <c r="AH82" i="6"/>
  <c r="AH52" i="6"/>
  <c r="E34" i="7"/>
  <c r="AI72" i="6"/>
  <c r="AI42" i="6"/>
  <c r="AI39" i="6"/>
  <c r="CW35" i="6"/>
  <c r="CI65" i="6"/>
  <c r="CJ64" i="6" s="1"/>
  <c r="DL51" i="6"/>
  <c r="DM22" i="6"/>
  <c r="CX25" i="6"/>
  <c r="CX27" i="6" s="1"/>
  <c r="CX28" i="6" s="1"/>
  <c r="CY20" i="6"/>
  <c r="CZ16" i="6"/>
  <c r="CY17" i="6"/>
  <c r="CY18" i="6" s="1"/>
  <c r="J97" i="7"/>
  <c r="CY49" i="6" s="1"/>
  <c r="CY73" i="6"/>
  <c r="CV35" i="6"/>
  <c r="I98" i="7"/>
  <c r="CZ38" i="6" s="1"/>
  <c r="DA38" i="6" s="1"/>
  <c r="K98" i="7"/>
  <c r="H99" i="7"/>
  <c r="DB59" i="6" s="1"/>
  <c r="CY31" i="6"/>
  <c r="CX32" i="6"/>
  <c r="CZ10" i="6"/>
  <c r="DA10" i="6" s="1"/>
  <c r="DA55" i="6"/>
  <c r="DB55" i="6"/>
  <c r="DJ69" i="6"/>
  <c r="DJ70" i="6" s="1"/>
  <c r="DK68" i="6"/>
  <c r="DB30" i="6"/>
  <c r="DA30" i="6"/>
  <c r="CW27" i="6"/>
  <c r="CW28" i="6" s="1"/>
  <c r="DC1" i="6"/>
  <c r="B99" i="4"/>
  <c r="A98" i="4"/>
  <c r="I98" i="4"/>
  <c r="D55" i="4"/>
  <c r="E55" i="4"/>
  <c r="K98" i="4"/>
  <c r="K99" i="4" s="1"/>
  <c r="B100" i="7" l="1"/>
  <c r="A99" i="7"/>
  <c r="AI78" i="6"/>
  <c r="AI48" i="6"/>
  <c r="C35" i="7"/>
  <c r="AI43" i="6"/>
  <c r="AI40" i="6"/>
  <c r="AH4" i="6"/>
  <c r="AH5" i="6"/>
  <c r="AH56" i="6"/>
  <c r="CJ65" i="6"/>
  <c r="CK64" i="6" s="1"/>
  <c r="DK69" i="6"/>
  <c r="DK70" i="6" s="1"/>
  <c r="DL68" i="6"/>
  <c r="CZ20" i="6"/>
  <c r="CY25" i="6"/>
  <c r="CY27" i="6" s="1"/>
  <c r="CY28" i="6" s="1"/>
  <c r="DM51" i="6"/>
  <c r="DN51" i="6" s="1"/>
  <c r="DO22" i="6"/>
  <c r="DN22" i="6"/>
  <c r="CX34" i="6"/>
  <c r="CZ31" i="6"/>
  <c r="CY32" i="6"/>
  <c r="DC55" i="6"/>
  <c r="DB10" i="6"/>
  <c r="DC30" i="6"/>
  <c r="K99" i="7"/>
  <c r="H100" i="7"/>
  <c r="DC59" i="6" s="1"/>
  <c r="I99" i="7"/>
  <c r="DB38" i="6" s="1"/>
  <c r="DB16" i="6"/>
  <c r="CZ17" i="6"/>
  <c r="DA17" i="6" s="1"/>
  <c r="DA16" i="6"/>
  <c r="DD1" i="6"/>
  <c r="J98" i="7"/>
  <c r="CZ49" i="6" s="1"/>
  <c r="DA49" i="6" s="1"/>
  <c r="CZ73" i="6"/>
  <c r="DA73" i="6" s="1"/>
  <c r="F55" i="4"/>
  <c r="G55" i="4" s="1"/>
  <c r="L55" i="4"/>
  <c r="I99" i="4"/>
  <c r="B100" i="4"/>
  <c r="A99" i="4"/>
  <c r="B101" i="7" l="1"/>
  <c r="A100" i="7"/>
  <c r="AI8" i="6"/>
  <c r="AI44" i="6"/>
  <c r="AI47" i="6"/>
  <c r="D35" i="7"/>
  <c r="AJ37" i="6" s="1"/>
  <c r="F35" i="7"/>
  <c r="AJ58" i="6"/>
  <c r="AJ60" i="6" s="1"/>
  <c r="AH6" i="6"/>
  <c r="AH57" i="6"/>
  <c r="AH61" i="6" s="1"/>
  <c r="AH11" i="6" s="1"/>
  <c r="AH7" i="6"/>
  <c r="AI80" i="6"/>
  <c r="CK65" i="6"/>
  <c r="CL64" i="6" s="1"/>
  <c r="DC10" i="6"/>
  <c r="DD55" i="6"/>
  <c r="J99" i="7"/>
  <c r="DB49" i="6" s="1"/>
  <c r="DB73" i="6"/>
  <c r="DL69" i="6"/>
  <c r="DL70" i="6" s="1"/>
  <c r="DM68" i="6"/>
  <c r="DB31" i="6"/>
  <c r="DA31" i="6"/>
  <c r="CZ32" i="6"/>
  <c r="DA32" i="6" s="1"/>
  <c r="DD30" i="6"/>
  <c r="DO51" i="6"/>
  <c r="DP22" i="6"/>
  <c r="DB17" i="6"/>
  <c r="DB18" i="6" s="1"/>
  <c r="DC16" i="6"/>
  <c r="I100" i="7"/>
  <c r="DC38" i="6" s="1"/>
  <c r="K100" i="7"/>
  <c r="H101" i="7"/>
  <c r="DD59" i="6" s="1"/>
  <c r="DB20" i="6"/>
  <c r="CZ25" i="6"/>
  <c r="DA25" i="6" s="1"/>
  <c r="DA20" i="6"/>
  <c r="DE1" i="6"/>
  <c r="CX35" i="6"/>
  <c r="CY34" i="6"/>
  <c r="CZ18" i="6"/>
  <c r="A100" i="4"/>
  <c r="B101" i="4"/>
  <c r="I100" i="4"/>
  <c r="E56" i="4"/>
  <c r="D56" i="4"/>
  <c r="K100" i="4"/>
  <c r="K101" i="4" s="1"/>
  <c r="B102" i="7" l="1"/>
  <c r="A101" i="7"/>
  <c r="AI82" i="6"/>
  <c r="AJ39" i="6"/>
  <c r="AJ42" i="6"/>
  <c r="AJ72" i="6"/>
  <c r="E35" i="7"/>
  <c r="AI52" i="6"/>
  <c r="AI9" i="6"/>
  <c r="CL65" i="6"/>
  <c r="CM64" i="6" s="1"/>
  <c r="J100" i="7"/>
  <c r="DC49" i="6" s="1"/>
  <c r="DC73" i="6"/>
  <c r="DC31" i="6"/>
  <c r="DB32" i="6"/>
  <c r="CY35" i="6"/>
  <c r="DE30" i="6"/>
  <c r="DC20" i="6"/>
  <c r="DB25" i="6"/>
  <c r="DO68" i="6"/>
  <c r="DM69" i="6"/>
  <c r="DN69" i="6" s="1"/>
  <c r="DN68" i="6"/>
  <c r="DD16" i="6"/>
  <c r="DC17" i="6"/>
  <c r="DC18" i="6" s="1"/>
  <c r="DP51" i="6"/>
  <c r="DQ22" i="6"/>
  <c r="I101" i="7"/>
  <c r="DD38" i="6" s="1"/>
  <c r="H102" i="7"/>
  <c r="K101" i="7"/>
  <c r="CZ34" i="6"/>
  <c r="CZ27" i="6"/>
  <c r="DA18" i="6"/>
  <c r="DF1" i="6"/>
  <c r="DD10" i="6"/>
  <c r="DE55" i="6"/>
  <c r="F56" i="4"/>
  <c r="G56" i="4" s="1"/>
  <c r="L56" i="4"/>
  <c r="I101" i="4"/>
  <c r="A101" i="4"/>
  <c r="B102" i="4"/>
  <c r="B103" i="7" l="1"/>
  <c r="A102" i="7"/>
  <c r="AI5" i="6"/>
  <c r="AI4" i="6"/>
  <c r="AI56" i="6"/>
  <c r="AJ48" i="6"/>
  <c r="C36" i="7"/>
  <c r="AJ78" i="6"/>
  <c r="AJ43" i="6"/>
  <c r="AJ40" i="6"/>
  <c r="CM65" i="6"/>
  <c r="CN65" i="6" s="1"/>
  <c r="CN64" i="6"/>
  <c r="DM70" i="6"/>
  <c r="DO69" i="6"/>
  <c r="DO70" i="6" s="1"/>
  <c r="DP68" i="6"/>
  <c r="DD31" i="6"/>
  <c r="DC32" i="6"/>
  <c r="DE16" i="6"/>
  <c r="DD17" i="6"/>
  <c r="DD18" i="6" s="1"/>
  <c r="DB34" i="6"/>
  <c r="CZ28" i="6"/>
  <c r="DA27" i="6"/>
  <c r="DA28" i="6" s="1"/>
  <c r="I102" i="7"/>
  <c r="DE38" i="6" s="1"/>
  <c r="H103" i="7"/>
  <c r="DF59" i="6" s="1"/>
  <c r="K102" i="7"/>
  <c r="DE10" i="6"/>
  <c r="DF55" i="6"/>
  <c r="CZ35" i="6"/>
  <c r="DA34" i="6"/>
  <c r="DA35" i="6" s="1"/>
  <c r="DR22" i="6"/>
  <c r="DQ51" i="6"/>
  <c r="DC25" i="6"/>
  <c r="DC34" i="6" s="1"/>
  <c r="DD20" i="6"/>
  <c r="DF30" i="6"/>
  <c r="DG1" i="6"/>
  <c r="DE59" i="6"/>
  <c r="DB27" i="6"/>
  <c r="J101" i="7"/>
  <c r="DD49" i="6" s="1"/>
  <c r="DD73" i="6"/>
  <c r="A102" i="4"/>
  <c r="B103" i="4"/>
  <c r="I102" i="4"/>
  <c r="D57" i="4"/>
  <c r="E57" i="4"/>
  <c r="K102" i="4"/>
  <c r="K103" i="4" s="1"/>
  <c r="CO64" i="6" l="1"/>
  <c r="CO65" i="6" s="1"/>
  <c r="B104" i="7"/>
  <c r="A103" i="7"/>
  <c r="AI6" i="6"/>
  <c r="AI57" i="6"/>
  <c r="AI61" i="6" s="1"/>
  <c r="AI11" i="6" s="1"/>
  <c r="AJ47" i="6"/>
  <c r="AJ8" i="6"/>
  <c r="AJ44" i="6"/>
  <c r="D36" i="7"/>
  <c r="AK37" i="6" s="1"/>
  <c r="AK58" i="6"/>
  <c r="AK60" i="6" s="1"/>
  <c r="F36" i="7"/>
  <c r="AJ80" i="6"/>
  <c r="AI7" i="6"/>
  <c r="DC35" i="6"/>
  <c r="DP69" i="6"/>
  <c r="DQ68" i="6"/>
  <c r="DB35" i="6"/>
  <c r="J102" i="7"/>
  <c r="DE49" i="6" s="1"/>
  <c r="DE73" i="6"/>
  <c r="DS22" i="6"/>
  <c r="DR51" i="6"/>
  <c r="H104" i="7"/>
  <c r="DG59" i="6" s="1"/>
  <c r="I103" i="7"/>
  <c r="DF38" i="6" s="1"/>
  <c r="K103" i="7"/>
  <c r="DF16" i="6"/>
  <c r="DE17" i="6"/>
  <c r="DC27" i="6"/>
  <c r="DC28" i="6" s="1"/>
  <c r="DG30" i="6"/>
  <c r="DB28" i="6"/>
  <c r="DG55" i="6"/>
  <c r="DF10" i="6"/>
  <c r="DN70" i="6"/>
  <c r="DD25" i="6"/>
  <c r="DE20" i="6"/>
  <c r="DH1" i="6"/>
  <c r="DE31" i="6"/>
  <c r="DD32" i="6"/>
  <c r="F57" i="4"/>
  <c r="G57" i="4" s="1"/>
  <c r="L57" i="4"/>
  <c r="I103" i="4"/>
  <c r="A103" i="4"/>
  <c r="B104" i="4"/>
  <c r="B105" i="7" l="1"/>
  <c r="A104" i="7"/>
  <c r="E36" i="7"/>
  <c r="AK72" i="6"/>
  <c r="AK78" i="6" s="1"/>
  <c r="AK80" i="6" s="1"/>
  <c r="AJ52" i="6"/>
  <c r="AJ82" i="6"/>
  <c r="AK42" i="6"/>
  <c r="AK39" i="6"/>
  <c r="AJ9" i="6"/>
  <c r="DH30" i="6"/>
  <c r="DI1" i="6"/>
  <c r="DF20" i="6"/>
  <c r="DE25" i="6"/>
  <c r="DP70" i="6"/>
  <c r="I104" i="7"/>
  <c r="DG38" i="6" s="1"/>
  <c r="H105" i="7"/>
  <c r="DH59" i="6" s="1"/>
  <c r="K104" i="7"/>
  <c r="DE18" i="6"/>
  <c r="DD27" i="6"/>
  <c r="DD28" i="6" s="1"/>
  <c r="CP64" i="6"/>
  <c r="DQ69" i="6"/>
  <c r="DQ70" i="6" s="1"/>
  <c r="DR68" i="6"/>
  <c r="DF17" i="6"/>
  <c r="DF18" i="6" s="1"/>
  <c r="DG16" i="6"/>
  <c r="DG10" i="6"/>
  <c r="DH55" i="6"/>
  <c r="J103" i="7"/>
  <c r="DF49" i="6" s="1"/>
  <c r="DF73" i="6"/>
  <c r="DF31" i="6"/>
  <c r="DE32" i="6"/>
  <c r="DT22" i="6"/>
  <c r="DS51" i="6"/>
  <c r="DD34" i="6"/>
  <c r="B105" i="4"/>
  <c r="A104" i="4"/>
  <c r="I104" i="4"/>
  <c r="D58" i="4"/>
  <c r="E58" i="4"/>
  <c r="K104" i="4"/>
  <c r="K105" i="4" s="1"/>
  <c r="B106" i="7" l="1"/>
  <c r="A105" i="7"/>
  <c r="AK43" i="6"/>
  <c r="AK40" i="6"/>
  <c r="AJ5" i="6"/>
  <c r="AJ4" i="6"/>
  <c r="AJ56" i="6"/>
  <c r="AK82" i="6"/>
  <c r="AK48" i="6"/>
  <c r="C37" i="7"/>
  <c r="DF25" i="6"/>
  <c r="DG20" i="6"/>
  <c r="DT51" i="6"/>
  <c r="DU22" i="6"/>
  <c r="DS68" i="6"/>
  <c r="DR69" i="6"/>
  <c r="DR70" i="6" s="1"/>
  <c r="CP65" i="6"/>
  <c r="H106" i="7"/>
  <c r="DI59" i="6" s="1"/>
  <c r="K105" i="7"/>
  <c r="I105" i="7"/>
  <c r="DH38" i="6" s="1"/>
  <c r="DI30" i="6"/>
  <c r="DG31" i="6"/>
  <c r="DF32" i="6"/>
  <c r="DJ1" i="6"/>
  <c r="DI55" i="6"/>
  <c r="DH10" i="6"/>
  <c r="DE34" i="6"/>
  <c r="DE27" i="6"/>
  <c r="DD35" i="6"/>
  <c r="DH16" i="6"/>
  <c r="DG17" i="6"/>
  <c r="DG18" i="6" s="1"/>
  <c r="J104" i="7"/>
  <c r="DG49" i="6" s="1"/>
  <c r="DG73" i="6"/>
  <c r="I105" i="4"/>
  <c r="F58" i="4"/>
  <c r="G58" i="4" s="1"/>
  <c r="L58" i="4"/>
  <c r="B106" i="4"/>
  <c r="A105" i="4"/>
  <c r="DF34" i="6" l="1"/>
  <c r="DF35" i="6" s="1"/>
  <c r="DF27" i="6"/>
  <c r="DF28" i="6" s="1"/>
  <c r="B107" i="7"/>
  <c r="A106" i="7"/>
  <c r="F37" i="7"/>
  <c r="AL58" i="6"/>
  <c r="AL60" i="6" s="1"/>
  <c r="D37" i="7"/>
  <c r="AL37" i="6" s="1"/>
  <c r="AJ6" i="6"/>
  <c r="AJ57" i="6"/>
  <c r="AJ61" i="6" s="1"/>
  <c r="AJ11" i="6" s="1"/>
  <c r="AJ7" i="6"/>
  <c r="AK47" i="6"/>
  <c r="AK52" i="6" s="1"/>
  <c r="AK8" i="6"/>
  <c r="AK9" i="6" s="1"/>
  <c r="AK44" i="6"/>
  <c r="DK1" i="6"/>
  <c r="CQ64" i="6"/>
  <c r="DE28" i="6"/>
  <c r="DJ55" i="6"/>
  <c r="DI10" i="6"/>
  <c r="DJ30" i="6"/>
  <c r="J105" i="7"/>
  <c r="DH49" i="6" s="1"/>
  <c r="DH73" i="6"/>
  <c r="K106" i="7"/>
  <c r="H107" i="7"/>
  <c r="DJ59" i="6" s="1"/>
  <c r="I106" i="7"/>
  <c r="DI38" i="6" s="1"/>
  <c r="DG25" i="6"/>
  <c r="DH20" i="6"/>
  <c r="DE35" i="6"/>
  <c r="DH31" i="6"/>
  <c r="DG32" i="6"/>
  <c r="DV22" i="6"/>
  <c r="DU51" i="6"/>
  <c r="DH17" i="6"/>
  <c r="DH18" i="6" s="1"/>
  <c r="DI16" i="6"/>
  <c r="DS69" i="6"/>
  <c r="DS70" i="6" s="1"/>
  <c r="DT68" i="6"/>
  <c r="I106" i="4"/>
  <c r="D59" i="4"/>
  <c r="E59" i="4"/>
  <c r="A106" i="4"/>
  <c r="B107" i="4"/>
  <c r="K106" i="4"/>
  <c r="DG34" i="6" l="1"/>
  <c r="DG35" i="6" s="1"/>
  <c r="B108" i="7"/>
  <c r="A107" i="7"/>
  <c r="AK4" i="6"/>
  <c r="AK5" i="6"/>
  <c r="AK7" i="6" s="1"/>
  <c r="AK56" i="6"/>
  <c r="AL39" i="6"/>
  <c r="AL42" i="6"/>
  <c r="AL72" i="6"/>
  <c r="AL78" i="6" s="1"/>
  <c r="AL80" i="6" s="1"/>
  <c r="AL82" i="6" s="1"/>
  <c r="E37" i="7"/>
  <c r="I107" i="7"/>
  <c r="DJ38" i="6" s="1"/>
  <c r="H108" i="7"/>
  <c r="DK59" i="6" s="1"/>
  <c r="K107" i="7"/>
  <c r="DV51" i="6"/>
  <c r="DW22" i="6"/>
  <c r="J106" i="7"/>
  <c r="DI49" i="6" s="1"/>
  <c r="DI73" i="6"/>
  <c r="DL1" i="6"/>
  <c r="DK30" i="6"/>
  <c r="DK55" i="6"/>
  <c r="DJ10" i="6"/>
  <c r="DU68" i="6"/>
  <c r="DT69" i="6"/>
  <c r="DT70" i="6" s="1"/>
  <c r="CQ65" i="6"/>
  <c r="DJ16" i="6"/>
  <c r="DI17" i="6"/>
  <c r="DI18" i="6" s="1"/>
  <c r="DI31" i="6"/>
  <c r="DH32" i="6"/>
  <c r="DG27" i="6"/>
  <c r="DI20" i="6"/>
  <c r="DH25" i="6"/>
  <c r="DH27" i="6" s="1"/>
  <c r="DH28" i="6" s="1"/>
  <c r="F59" i="4"/>
  <c r="G59" i="4" s="1"/>
  <c r="L59" i="4"/>
  <c r="B108" i="4"/>
  <c r="A107" i="4"/>
  <c r="K107" i="4"/>
  <c r="K108" i="4" s="1"/>
  <c r="I107" i="4"/>
  <c r="B109" i="7" l="1"/>
  <c r="A108" i="7"/>
  <c r="AL43" i="6"/>
  <c r="AL40" i="6"/>
  <c r="AL48" i="6"/>
  <c r="C38" i="7"/>
  <c r="AK57" i="6"/>
  <c r="AK61" i="6" s="1"/>
  <c r="AK11" i="6" s="1"/>
  <c r="AK6" i="6"/>
  <c r="DG28" i="6"/>
  <c r="DJ31" i="6"/>
  <c r="DI32" i="6"/>
  <c r="DH34" i="6"/>
  <c r="DU69" i="6"/>
  <c r="DU70" i="6" s="1"/>
  <c r="DV68" i="6"/>
  <c r="K108" i="7"/>
  <c r="I108" i="7"/>
  <c r="DK38" i="6" s="1"/>
  <c r="H109" i="7"/>
  <c r="DL59" i="6" s="1"/>
  <c r="DJ17" i="6"/>
  <c r="DJ18" i="6" s="1"/>
  <c r="DK16" i="6"/>
  <c r="DL55" i="6"/>
  <c r="DK10" i="6"/>
  <c r="DI25" i="6"/>
  <c r="DJ20" i="6"/>
  <c r="CR64" i="6"/>
  <c r="DM1" i="6"/>
  <c r="J107" i="7"/>
  <c r="DJ49" i="6" s="1"/>
  <c r="DJ73" i="6"/>
  <c r="DL30" i="6"/>
  <c r="DW51" i="6"/>
  <c r="DX22" i="6"/>
  <c r="I108" i="4"/>
  <c r="A108" i="4"/>
  <c r="B109" i="4"/>
  <c r="E60" i="4"/>
  <c r="D60" i="4"/>
  <c r="DI34" i="6" l="1"/>
  <c r="DI35" i="6" s="1"/>
  <c r="B110" i="7"/>
  <c r="A109" i="7"/>
  <c r="F38" i="7"/>
  <c r="D38" i="7"/>
  <c r="AM37" i="6" s="1"/>
  <c r="AM58" i="6"/>
  <c r="AL44" i="6"/>
  <c r="AL8" i="6"/>
  <c r="AL9" i="6" s="1"/>
  <c r="AL47" i="6"/>
  <c r="AL52" i="6" s="1"/>
  <c r="DW68" i="6"/>
  <c r="DV69" i="6"/>
  <c r="DV70" i="6" s="1"/>
  <c r="DL16" i="6"/>
  <c r="DK17" i="6"/>
  <c r="DK18" i="6" s="1"/>
  <c r="DH35" i="6"/>
  <c r="J108" i="7"/>
  <c r="DK49" i="6" s="1"/>
  <c r="DK73" i="6"/>
  <c r="DK31" i="6"/>
  <c r="DJ32" i="6"/>
  <c r="CR65" i="6"/>
  <c r="CS64" i="6" s="1"/>
  <c r="K109" i="7"/>
  <c r="H110" i="7"/>
  <c r="I109" i="7"/>
  <c r="DL38" i="6" s="1"/>
  <c r="DI27" i="6"/>
  <c r="DX51" i="6"/>
  <c r="DY22" i="6"/>
  <c r="DO1" i="6"/>
  <c r="DN1" i="6"/>
  <c r="DM30" i="6"/>
  <c r="DJ25" i="6"/>
  <c r="DK20" i="6"/>
  <c r="DM55" i="6"/>
  <c r="DL10" i="6"/>
  <c r="F60" i="4"/>
  <c r="G60" i="4" s="1"/>
  <c r="L60" i="4"/>
  <c r="B110" i="4"/>
  <c r="A109" i="4"/>
  <c r="I109" i="4"/>
  <c r="K109" i="4"/>
  <c r="K110" i="4" s="1"/>
  <c r="DJ34" i="6" l="1"/>
  <c r="DJ35" i="6" s="1"/>
  <c r="B111" i="7"/>
  <c r="A110" i="7"/>
  <c r="AL4" i="6"/>
  <c r="AL5" i="6"/>
  <c r="AL7" i="6" s="1"/>
  <c r="AL56" i="6"/>
  <c r="AM60" i="6"/>
  <c r="AN60" i="6" s="1"/>
  <c r="AN58" i="6"/>
  <c r="AM42" i="6"/>
  <c r="AN42" i="6" s="1"/>
  <c r="AM39" i="6"/>
  <c r="AN37" i="6"/>
  <c r="AM72" i="6"/>
  <c r="E38" i="7"/>
  <c r="J109" i="7"/>
  <c r="DL49" i="6" s="1"/>
  <c r="DL73" i="6"/>
  <c r="DO55" i="6"/>
  <c r="DN55" i="6"/>
  <c r="DM10" i="6"/>
  <c r="DN10" i="6" s="1"/>
  <c r="H111" i="7"/>
  <c r="I110" i="7"/>
  <c r="DM38" i="6" s="1"/>
  <c r="DN38" i="6" s="1"/>
  <c r="K110" i="7"/>
  <c r="DO59" i="6"/>
  <c r="DP1" i="6"/>
  <c r="CS65" i="6"/>
  <c r="CT64" i="6" s="1"/>
  <c r="DL17" i="6"/>
  <c r="DL18" i="6" s="1"/>
  <c r="DM16" i="6"/>
  <c r="DM59" i="6"/>
  <c r="DN59" i="6" s="1"/>
  <c r="DX68" i="6"/>
  <c r="DW69" i="6"/>
  <c r="DW70" i="6" s="1"/>
  <c r="DL20" i="6"/>
  <c r="DK25" i="6"/>
  <c r="DZ22" i="6"/>
  <c r="DY51" i="6"/>
  <c r="DL31" i="6"/>
  <c r="DK32" i="6"/>
  <c r="DJ27" i="6"/>
  <c r="DJ28" i="6" s="1"/>
  <c r="DO30" i="6"/>
  <c r="DN30" i="6"/>
  <c r="DI28" i="6"/>
  <c r="I110" i="4"/>
  <c r="A110" i="4"/>
  <c r="B111" i="4"/>
  <c r="E61" i="4"/>
  <c r="D61" i="4"/>
  <c r="DK34" i="6" l="1"/>
  <c r="DK35" i="6" s="1"/>
  <c r="B112" i="7"/>
  <c r="A111" i="7"/>
  <c r="AM78" i="6"/>
  <c r="AN72" i="6"/>
  <c r="AM40" i="6"/>
  <c r="AM43" i="6"/>
  <c r="AN39" i="6"/>
  <c r="AN40" i="6" s="1"/>
  <c r="AL6" i="6"/>
  <c r="AL57" i="6"/>
  <c r="AL61" i="6" s="1"/>
  <c r="AL11" i="6" s="1"/>
  <c r="AM48" i="6"/>
  <c r="AN48" i="6" s="1"/>
  <c r="C39" i="7"/>
  <c r="G33" i="3" s="1"/>
  <c r="H33" i="3" s="1"/>
  <c r="DX69" i="6"/>
  <c r="DX70" i="6" s="1"/>
  <c r="DY68" i="6"/>
  <c r="DP55" i="6"/>
  <c r="DO10" i="6"/>
  <c r="DP30" i="6"/>
  <c r="DM31" i="6"/>
  <c r="DL32" i="6"/>
  <c r="H112" i="7"/>
  <c r="DP59" i="6" s="1"/>
  <c r="K111" i="7"/>
  <c r="I111" i="7"/>
  <c r="DO38" i="6" s="1"/>
  <c r="DK27" i="6"/>
  <c r="DK28" i="6" s="1"/>
  <c r="DZ51" i="6"/>
  <c r="EA51" i="6" s="1"/>
  <c r="EB22" i="6"/>
  <c r="EA22" i="6"/>
  <c r="J110" i="7"/>
  <c r="DM49" i="6" s="1"/>
  <c r="DN49" i="6" s="1"/>
  <c r="DM73" i="6"/>
  <c r="DN73" i="6" s="1"/>
  <c r="DQ1" i="6"/>
  <c r="DO16" i="6"/>
  <c r="DM17" i="6"/>
  <c r="DN17" i="6" s="1"/>
  <c r="DN16" i="6"/>
  <c r="CT65" i="6"/>
  <c r="CU64" i="6" s="1"/>
  <c r="DL25" i="6"/>
  <c r="DL27" i="6" s="1"/>
  <c r="DL28" i="6" s="1"/>
  <c r="DM20" i="6"/>
  <c r="F61" i="4"/>
  <c r="G61" i="4" s="1"/>
  <c r="L61" i="4"/>
  <c r="B112" i="4"/>
  <c r="A111" i="4"/>
  <c r="K111" i="4"/>
  <c r="K112" i="4" s="1"/>
  <c r="I111" i="4"/>
  <c r="DM18" i="6" l="1"/>
  <c r="DN18" i="6" s="1"/>
  <c r="B113" i="7"/>
  <c r="A112" i="7"/>
  <c r="F39" i="7"/>
  <c r="AO58" i="6"/>
  <c r="AO60" i="6" s="1"/>
  <c r="D39" i="7"/>
  <c r="AO37" i="6" s="1"/>
  <c r="AM47" i="6"/>
  <c r="AM44" i="6"/>
  <c r="AM8" i="6"/>
  <c r="AN43" i="6"/>
  <c r="AN44" i="6" s="1"/>
  <c r="AM80" i="6"/>
  <c r="AN78" i="6"/>
  <c r="CU65" i="6"/>
  <c r="CV64" i="6" s="1"/>
  <c r="EB51" i="6"/>
  <c r="EC22" i="6"/>
  <c r="DM25" i="6"/>
  <c r="DN25" i="6" s="1"/>
  <c r="DO20" i="6"/>
  <c r="DN20" i="6"/>
  <c r="J111" i="7"/>
  <c r="DO49" i="6" s="1"/>
  <c r="DO73" i="6"/>
  <c r="DL34" i="6"/>
  <c r="DQ59" i="6"/>
  <c r="DR1" i="6"/>
  <c r="DQ30" i="6"/>
  <c r="DQ55" i="6"/>
  <c r="DP10" i="6"/>
  <c r="DZ68" i="6"/>
  <c r="DY69" i="6"/>
  <c r="DY70" i="6" s="1"/>
  <c r="I112" i="7"/>
  <c r="DP38" i="6" s="1"/>
  <c r="H113" i="7"/>
  <c r="K112" i="7"/>
  <c r="DO31" i="6"/>
  <c r="DN31" i="6"/>
  <c r="DM32" i="6"/>
  <c r="DN32" i="6" s="1"/>
  <c r="DO17" i="6"/>
  <c r="DO18" i="6" s="1"/>
  <c r="DP16" i="6"/>
  <c r="I112" i="4"/>
  <c r="A112" i="4"/>
  <c r="B113" i="4"/>
  <c r="E62" i="4"/>
  <c r="D62" i="4"/>
  <c r="DM27" i="6" l="1"/>
  <c r="DM28" i="6" s="1"/>
  <c r="B114" i="7"/>
  <c r="A113" i="7"/>
  <c r="AM82" i="6"/>
  <c r="AN82" i="6" s="1"/>
  <c r="AN80" i="6"/>
  <c r="E32" i="3" s="1"/>
  <c r="AM52" i="6"/>
  <c r="AN47" i="6"/>
  <c r="AM9" i="6"/>
  <c r="AN9" i="6" s="1"/>
  <c r="AN8" i="6"/>
  <c r="AO39" i="6"/>
  <c r="AO42" i="6"/>
  <c r="E39" i="7"/>
  <c r="AO72" i="6"/>
  <c r="AO78" i="6" s="1"/>
  <c r="AO80" i="6" s="1"/>
  <c r="EC51" i="6"/>
  <c r="ED22" i="6"/>
  <c r="CV65" i="6"/>
  <c r="CW64" i="6" s="1"/>
  <c r="H114" i="7"/>
  <c r="I113" i="7"/>
  <c r="DQ38" i="6" s="1"/>
  <c r="K113" i="7"/>
  <c r="DS1" i="6"/>
  <c r="DP17" i="6"/>
  <c r="DP18" i="6" s="1"/>
  <c r="DQ16" i="6"/>
  <c r="DR55" i="6"/>
  <c r="DQ10" i="6"/>
  <c r="DM34" i="6"/>
  <c r="DP31" i="6"/>
  <c r="DO32" i="6"/>
  <c r="DL35" i="6"/>
  <c r="J112" i="7"/>
  <c r="DP49" i="6" s="1"/>
  <c r="DP73" i="6"/>
  <c r="DR30" i="6"/>
  <c r="DP20" i="6"/>
  <c r="DO25" i="6"/>
  <c r="EB68" i="6"/>
  <c r="DZ69" i="6"/>
  <c r="EA69" i="6" s="1"/>
  <c r="EA68" i="6"/>
  <c r="F62" i="4"/>
  <c r="G62" i="4" s="1"/>
  <c r="L62" i="4"/>
  <c r="B114" i="4"/>
  <c r="A113" i="4"/>
  <c r="K113" i="4"/>
  <c r="K114" i="4" s="1"/>
  <c r="I113" i="4"/>
  <c r="DO34" i="6" l="1"/>
  <c r="DO35" i="6" s="1"/>
  <c r="DN27" i="6"/>
  <c r="DN28" i="6" s="1"/>
  <c r="DZ70" i="6"/>
  <c r="EA70" i="6" s="1"/>
  <c r="DO27" i="6"/>
  <c r="DO28" i="6" s="1"/>
  <c r="K32" i="3"/>
  <c r="L32" i="3"/>
  <c r="B115" i="7"/>
  <c r="A114" i="7"/>
  <c r="AO48" i="6"/>
  <c r="C40" i="7"/>
  <c r="AO43" i="6"/>
  <c r="AO40" i="6"/>
  <c r="AM5" i="6"/>
  <c r="AM4" i="6"/>
  <c r="AN4" i="6" s="1"/>
  <c r="AN52" i="6"/>
  <c r="AM56" i="6"/>
  <c r="AO82" i="6"/>
  <c r="EB69" i="6"/>
  <c r="EB70" i="6" s="1"/>
  <c r="EC68" i="6"/>
  <c r="DQ31" i="6"/>
  <c r="DP32" i="6"/>
  <c r="J113" i="7"/>
  <c r="DQ49" i="6" s="1"/>
  <c r="DQ73" i="6"/>
  <c r="DM35" i="6"/>
  <c r="DN34" i="6"/>
  <c r="DN35" i="6" s="1"/>
  <c r="DP25" i="6"/>
  <c r="DP27" i="6" s="1"/>
  <c r="DQ20" i="6"/>
  <c r="I114" i="7"/>
  <c r="DR38" i="6" s="1"/>
  <c r="H115" i="7"/>
  <c r="K114" i="7"/>
  <c r="DS30" i="6"/>
  <c r="DR10" i="6"/>
  <c r="DS55" i="6"/>
  <c r="CW65" i="6"/>
  <c r="CX64" i="6" s="1"/>
  <c r="DT1" i="6"/>
  <c r="DR16" i="6"/>
  <c r="DQ17" i="6"/>
  <c r="DQ18" i="6" s="1"/>
  <c r="DR59" i="6"/>
  <c r="ED51" i="6"/>
  <c r="EE22" i="6"/>
  <c r="I114" i="4"/>
  <c r="A114" i="4"/>
  <c r="B115" i="4"/>
  <c r="D63" i="4"/>
  <c r="E63" i="4"/>
  <c r="B116" i="7" l="1"/>
  <c r="A115" i="7"/>
  <c r="AN56" i="6"/>
  <c r="AM6" i="6"/>
  <c r="AM57" i="6"/>
  <c r="AM61" i="6" s="1"/>
  <c r="AN5" i="6"/>
  <c r="AM7" i="6"/>
  <c r="AO44" i="6"/>
  <c r="AO8" i="6"/>
  <c r="AO9" i="6" s="1"/>
  <c r="AO47" i="6"/>
  <c r="AO52" i="6" s="1"/>
  <c r="F40" i="7"/>
  <c r="D40" i="7"/>
  <c r="AP37" i="6" s="1"/>
  <c r="AP58" i="6"/>
  <c r="AP60" i="6" s="1"/>
  <c r="DP28" i="6"/>
  <c r="J114" i="7"/>
  <c r="DR49" i="6" s="1"/>
  <c r="DR73" i="6"/>
  <c r="H116" i="7"/>
  <c r="I115" i="7"/>
  <c r="DS38" i="6" s="1"/>
  <c r="K115" i="7"/>
  <c r="DQ25" i="6"/>
  <c r="DQ27" i="6" s="1"/>
  <c r="DQ28" i="6" s="1"/>
  <c r="DR20" i="6"/>
  <c r="DS16" i="6"/>
  <c r="DR17" i="6"/>
  <c r="DR18" i="6" s="1"/>
  <c r="CX65" i="6"/>
  <c r="CY64" i="6" s="1"/>
  <c r="DP34" i="6"/>
  <c r="DS10" i="6"/>
  <c r="DT55" i="6"/>
  <c r="DR31" i="6"/>
  <c r="DQ32" i="6"/>
  <c r="EE51" i="6"/>
  <c r="EF22" i="6"/>
  <c r="DT30" i="6"/>
  <c r="DS59" i="6"/>
  <c r="EC69" i="6"/>
  <c r="EC70" i="6" s="1"/>
  <c r="ED68" i="6"/>
  <c r="DT59" i="6"/>
  <c r="DU1" i="6"/>
  <c r="F63" i="4"/>
  <c r="G63" i="4" s="1"/>
  <c r="L63" i="4"/>
  <c r="B116" i="4"/>
  <c r="A115" i="4"/>
  <c r="K115" i="4"/>
  <c r="K116" i="4" s="1"/>
  <c r="I115" i="4"/>
  <c r="DQ34" i="6" l="1"/>
  <c r="DQ35" i="6" s="1"/>
  <c r="B117" i="7"/>
  <c r="A116" i="7"/>
  <c r="AO4" i="6"/>
  <c r="AO5" i="6"/>
  <c r="AO7" i="6" s="1"/>
  <c r="AN7" i="6"/>
  <c r="AN13" i="6" s="1"/>
  <c r="AP39" i="6"/>
  <c r="AP42" i="6"/>
  <c r="AP72" i="6"/>
  <c r="AP78" i="6" s="1"/>
  <c r="AP80" i="6" s="1"/>
  <c r="AP82" i="6" s="1"/>
  <c r="E40" i="7"/>
  <c r="AN61" i="6"/>
  <c r="AN11" i="6" s="1"/>
  <c r="AN12" i="6" s="1"/>
  <c r="AM11" i="6"/>
  <c r="AN57" i="6"/>
  <c r="AO56" i="6"/>
  <c r="AN6" i="6"/>
  <c r="CY65" i="6"/>
  <c r="CZ64" i="6" s="1"/>
  <c r="ED69" i="6"/>
  <c r="ED70" i="6" s="1"/>
  <c r="EE68" i="6"/>
  <c r="DV1" i="6"/>
  <c r="DS31" i="6"/>
  <c r="DR32" i="6"/>
  <c r="J115" i="7"/>
  <c r="DS49" i="6" s="1"/>
  <c r="DS73" i="6"/>
  <c r="DP35" i="6"/>
  <c r="DT16" i="6"/>
  <c r="DS17" i="6"/>
  <c r="DS18" i="6" s="1"/>
  <c r="DU30" i="6"/>
  <c r="EF51" i="6"/>
  <c r="EG22" i="6"/>
  <c r="DS20" i="6"/>
  <c r="DR25" i="6"/>
  <c r="DU55" i="6"/>
  <c r="DT10" i="6"/>
  <c r="K116" i="7"/>
  <c r="I116" i="7"/>
  <c r="DT38" i="6" s="1"/>
  <c r="H117" i="7"/>
  <c r="I116" i="4"/>
  <c r="A116" i="4"/>
  <c r="B117" i="4"/>
  <c r="E64" i="4"/>
  <c r="D64" i="4"/>
  <c r="B118" i="7" l="1"/>
  <c r="A117" i="7"/>
  <c r="AP48" i="6"/>
  <c r="C41" i="7"/>
  <c r="AP40" i="6"/>
  <c r="AP43" i="6"/>
  <c r="AO6" i="6"/>
  <c r="AO57" i="6"/>
  <c r="AO61" i="6" s="1"/>
  <c r="AO11" i="6" s="1"/>
  <c r="DA64" i="6"/>
  <c r="CZ65" i="6"/>
  <c r="DA65" i="6" s="1"/>
  <c r="DT17" i="6"/>
  <c r="DT18" i="6" s="1"/>
  <c r="DU16" i="6"/>
  <c r="DT20" i="6"/>
  <c r="DS25" i="6"/>
  <c r="DS27" i="6" s="1"/>
  <c r="DS28" i="6" s="1"/>
  <c r="EG51" i="6"/>
  <c r="EH22" i="6"/>
  <c r="DR34" i="6"/>
  <c r="I117" i="7"/>
  <c r="DU38" i="6" s="1"/>
  <c r="H118" i="7"/>
  <c r="DV59" i="6" s="1"/>
  <c r="K117" i="7"/>
  <c r="DR27" i="6"/>
  <c r="EE69" i="6"/>
  <c r="EE70" i="6" s="1"/>
  <c r="EF68" i="6"/>
  <c r="DT31" i="6"/>
  <c r="DS32" i="6"/>
  <c r="DW1" i="6"/>
  <c r="DV30" i="6"/>
  <c r="J116" i="7"/>
  <c r="DT49" i="6" s="1"/>
  <c r="DT73" i="6"/>
  <c r="DU59" i="6"/>
  <c r="DV55" i="6"/>
  <c r="DU10" i="6"/>
  <c r="F64" i="4"/>
  <c r="G64" i="4" s="1"/>
  <c r="L64" i="4"/>
  <c r="B118" i="4"/>
  <c r="A117" i="4"/>
  <c r="K117" i="4"/>
  <c r="K118" i="4" s="1"/>
  <c r="I117" i="4"/>
  <c r="B119" i="7" l="1"/>
  <c r="A118" i="7"/>
  <c r="AP44" i="6"/>
  <c r="AP8" i="6"/>
  <c r="AP9" i="6" s="1"/>
  <c r="AP47" i="6"/>
  <c r="AP52" i="6" s="1"/>
  <c r="D41" i="7"/>
  <c r="AQ37" i="6" s="1"/>
  <c r="AQ58" i="6"/>
  <c r="AQ60" i="6" s="1"/>
  <c r="F41" i="7"/>
  <c r="DW55" i="6"/>
  <c r="DV10" i="6"/>
  <c r="DR35" i="6"/>
  <c r="DS34" i="6"/>
  <c r="DU20" i="6"/>
  <c r="DT25" i="6"/>
  <c r="DT34" i="6" s="1"/>
  <c r="DX1" i="6"/>
  <c r="DR28" i="6"/>
  <c r="DU17" i="6"/>
  <c r="DU18" i="6" s="1"/>
  <c r="DV16" i="6"/>
  <c r="J117" i="7"/>
  <c r="DU49" i="6" s="1"/>
  <c r="DU73" i="6"/>
  <c r="K118" i="7"/>
  <c r="I118" i="7"/>
  <c r="DV38" i="6" s="1"/>
  <c r="H119" i="7"/>
  <c r="DW30" i="6"/>
  <c r="DU31" i="6"/>
  <c r="DT32" i="6"/>
  <c r="EH51" i="6"/>
  <c r="EI22" i="6"/>
  <c r="DB64" i="6"/>
  <c r="EF69" i="6"/>
  <c r="EF70" i="6" s="1"/>
  <c r="EG68" i="6"/>
  <c r="I118" i="4"/>
  <c r="B119" i="4"/>
  <c r="A118" i="4"/>
  <c r="E65" i="4"/>
  <c r="D65" i="4"/>
  <c r="DT27" i="6" l="1"/>
  <c r="DT28" i="6" s="1"/>
  <c r="B120" i="7"/>
  <c r="A119" i="7"/>
  <c r="AQ72" i="6"/>
  <c r="E41" i="7"/>
  <c r="AQ39" i="6"/>
  <c r="AQ42" i="6"/>
  <c r="AP5" i="6"/>
  <c r="AP7" i="6" s="1"/>
  <c r="AP4" i="6"/>
  <c r="AP56" i="6"/>
  <c r="EJ22" i="6"/>
  <c r="EI51" i="6"/>
  <c r="J118" i="7"/>
  <c r="DV49" i="6" s="1"/>
  <c r="DV73" i="6"/>
  <c r="DV31" i="6"/>
  <c r="DU32" i="6"/>
  <c r="DS35" i="6"/>
  <c r="DB65" i="6"/>
  <c r="DC64" i="6" s="1"/>
  <c r="DX30" i="6"/>
  <c r="K119" i="7"/>
  <c r="H120" i="7"/>
  <c r="I119" i="7"/>
  <c r="DW38" i="6" s="1"/>
  <c r="DY1" i="6"/>
  <c r="DW59" i="6"/>
  <c r="DX55" i="6"/>
  <c r="DW10" i="6"/>
  <c r="DT35" i="6"/>
  <c r="DV17" i="6"/>
  <c r="DV18" i="6" s="1"/>
  <c r="DW16" i="6"/>
  <c r="EG69" i="6"/>
  <c r="EG70" i="6" s="1"/>
  <c r="EH68" i="6"/>
  <c r="DU25" i="6"/>
  <c r="DU34" i="6" s="1"/>
  <c r="DV20" i="6"/>
  <c r="F65" i="4"/>
  <c r="G65" i="4" s="1"/>
  <c r="L65" i="4"/>
  <c r="A119" i="4"/>
  <c r="B120" i="4"/>
  <c r="K119" i="4"/>
  <c r="K120" i="4" s="1"/>
  <c r="I119" i="4"/>
  <c r="B121" i="7" l="1"/>
  <c r="A120" i="7"/>
  <c r="AP6" i="6"/>
  <c r="AP57" i="6"/>
  <c r="AP61" i="6" s="1"/>
  <c r="AP11" i="6" s="1"/>
  <c r="AQ40" i="6"/>
  <c r="AQ43" i="6"/>
  <c r="AQ48" i="6"/>
  <c r="C42" i="7"/>
  <c r="AQ78" i="6"/>
  <c r="DC65" i="6"/>
  <c r="DD64" i="6" s="1"/>
  <c r="DU35" i="6"/>
  <c r="K120" i="7"/>
  <c r="H121" i="7"/>
  <c r="I120" i="7"/>
  <c r="DX38" i="6" s="1"/>
  <c r="J119" i="7"/>
  <c r="DW49" i="6" s="1"/>
  <c r="DW73" i="6"/>
  <c r="EJ51" i="6"/>
  <c r="EK22" i="6"/>
  <c r="DW31" i="6"/>
  <c r="DV32" i="6"/>
  <c r="DY55" i="6"/>
  <c r="DX10" i="6"/>
  <c r="DW17" i="6"/>
  <c r="DW18" i="6" s="1"/>
  <c r="DX16" i="6"/>
  <c r="DZ1" i="6"/>
  <c r="DY30" i="6"/>
  <c r="DV25" i="6"/>
  <c r="DV34" i="6" s="1"/>
  <c r="DW20" i="6"/>
  <c r="EI68" i="6"/>
  <c r="EH69" i="6"/>
  <c r="EH70" i="6" s="1"/>
  <c r="DU27" i="6"/>
  <c r="DX59" i="6"/>
  <c r="I120" i="4"/>
  <c r="B121" i="4"/>
  <c r="A120" i="4"/>
  <c r="E66" i="4"/>
  <c r="D66" i="4"/>
  <c r="DV27" i="6" l="1"/>
  <c r="DV28" i="6" s="1"/>
  <c r="B122" i="7"/>
  <c r="A121" i="7"/>
  <c r="AQ80" i="6"/>
  <c r="AQ8" i="6"/>
  <c r="AQ47" i="6"/>
  <c r="AQ44" i="6"/>
  <c r="AR58" i="6"/>
  <c r="AR60" i="6" s="1"/>
  <c r="F42" i="7"/>
  <c r="D42" i="7"/>
  <c r="AR37" i="6" s="1"/>
  <c r="DV35" i="6"/>
  <c r="DD65" i="6"/>
  <c r="DE64" i="6" s="1"/>
  <c r="DX20" i="6"/>
  <c r="DW25" i="6"/>
  <c r="DX17" i="6"/>
  <c r="DX18" i="6" s="1"/>
  <c r="DY16" i="6"/>
  <c r="EI69" i="6"/>
  <c r="EI70" i="6" s="1"/>
  <c r="EJ68" i="6"/>
  <c r="K121" i="7"/>
  <c r="I121" i="7"/>
  <c r="DY38" i="6" s="1"/>
  <c r="H122" i="7"/>
  <c r="DZ59" i="6" s="1"/>
  <c r="EA59" i="6" s="1"/>
  <c r="DY59" i="6"/>
  <c r="J120" i="7"/>
  <c r="DX49" i="6" s="1"/>
  <c r="DX73" i="6"/>
  <c r="DZ55" i="6"/>
  <c r="DY10" i="6"/>
  <c r="DX31" i="6"/>
  <c r="DW32" i="6"/>
  <c r="DZ30" i="6"/>
  <c r="EA1" i="6"/>
  <c r="EB1" i="6"/>
  <c r="EK51" i="6"/>
  <c r="EL22" i="6"/>
  <c r="DU28" i="6"/>
  <c r="F66" i="4"/>
  <c r="G66" i="4" s="1"/>
  <c r="L66" i="4"/>
  <c r="B122" i="4"/>
  <c r="A121" i="4"/>
  <c r="K121" i="4"/>
  <c r="K122" i="4" s="1"/>
  <c r="I121" i="4"/>
  <c r="DW34" i="6" l="1"/>
  <c r="DW35" i="6" s="1"/>
  <c r="B123" i="7"/>
  <c r="A122" i="7"/>
  <c r="E42" i="7"/>
  <c r="AR72" i="6"/>
  <c r="AQ9" i="6"/>
  <c r="AR39" i="6"/>
  <c r="AR42" i="6"/>
  <c r="AQ52" i="6"/>
  <c r="AQ82" i="6"/>
  <c r="DE65" i="6"/>
  <c r="DF64" i="6" s="1"/>
  <c r="DZ16" i="6"/>
  <c r="DY17" i="6"/>
  <c r="DY18" i="6" s="1"/>
  <c r="H123" i="7"/>
  <c r="EB59" i="6" s="1"/>
  <c r="K122" i="7"/>
  <c r="I122" i="7"/>
  <c r="DZ38" i="6" s="1"/>
  <c r="EA38" i="6" s="1"/>
  <c r="J121" i="7"/>
  <c r="DY49" i="6" s="1"/>
  <c r="DY73" i="6"/>
  <c r="EA55" i="6"/>
  <c r="DZ10" i="6"/>
  <c r="EA10" i="6" s="1"/>
  <c r="EB55" i="6"/>
  <c r="DX25" i="6"/>
  <c r="DY20" i="6"/>
  <c r="DY31" i="6"/>
  <c r="DX32" i="6"/>
  <c r="EB30" i="6"/>
  <c r="EA30" i="6"/>
  <c r="DW27" i="6"/>
  <c r="DW28" i="6" s="1"/>
  <c r="EL51" i="6"/>
  <c r="EM22" i="6"/>
  <c r="EC1" i="6"/>
  <c r="EJ69" i="6"/>
  <c r="EJ70" i="6" s="1"/>
  <c r="EK68" i="6"/>
  <c r="I122" i="4"/>
  <c r="B123" i="4"/>
  <c r="A122" i="4"/>
  <c r="E67" i="4"/>
  <c r="D67" i="4"/>
  <c r="DX34" i="6" l="1"/>
  <c r="DX35" i="6" s="1"/>
  <c r="B124" i="7"/>
  <c r="A123" i="7"/>
  <c r="AR40" i="6"/>
  <c r="AR43" i="6"/>
  <c r="AQ4" i="6"/>
  <c r="AQ5" i="6"/>
  <c r="AQ56" i="6"/>
  <c r="AR78" i="6"/>
  <c r="AR48" i="6"/>
  <c r="C43" i="7"/>
  <c r="DF65" i="6"/>
  <c r="DG64" i="6" s="1"/>
  <c r="K123" i="7"/>
  <c r="H124" i="7"/>
  <c r="EC59" i="6" s="1"/>
  <c r="I123" i="7"/>
  <c r="EB38" i="6" s="1"/>
  <c r="EC55" i="6"/>
  <c r="EB10" i="6"/>
  <c r="ED1" i="6"/>
  <c r="DX27" i="6"/>
  <c r="DX28" i="6" s="1"/>
  <c r="DY25" i="6"/>
  <c r="DZ20" i="6"/>
  <c r="EC30" i="6"/>
  <c r="EB16" i="6"/>
  <c r="DZ17" i="6"/>
  <c r="EA17" i="6" s="1"/>
  <c r="EA16" i="6"/>
  <c r="J122" i="7"/>
  <c r="DZ49" i="6" s="1"/>
  <c r="EA49" i="6" s="1"/>
  <c r="DZ73" i="6"/>
  <c r="EA73" i="6" s="1"/>
  <c r="EL68" i="6"/>
  <c r="EK69" i="6"/>
  <c r="EK70" i="6" s="1"/>
  <c r="EM51" i="6"/>
  <c r="EN51" i="6" s="1"/>
  <c r="EO22" i="6"/>
  <c r="EN22" i="6"/>
  <c r="DZ31" i="6"/>
  <c r="DY32" i="6"/>
  <c r="F67" i="4"/>
  <c r="G67" i="4" s="1"/>
  <c r="L67" i="4"/>
  <c r="A123" i="4"/>
  <c r="B124" i="4"/>
  <c r="K123" i="4"/>
  <c r="K124" i="4" s="1"/>
  <c r="I123" i="4"/>
  <c r="DY34" i="6" l="1"/>
  <c r="DY35" i="6" s="1"/>
  <c r="B125" i="7"/>
  <c r="A124" i="7"/>
  <c r="AQ7" i="6"/>
  <c r="D43" i="7"/>
  <c r="AS37" i="6" s="1"/>
  <c r="AS58" i="6"/>
  <c r="AS60" i="6" s="1"/>
  <c r="F43" i="7"/>
  <c r="AR80" i="6"/>
  <c r="AQ6" i="6"/>
  <c r="AQ57" i="6"/>
  <c r="AQ61" i="6" s="1"/>
  <c r="AQ11" i="6" s="1"/>
  <c r="AR44" i="6"/>
  <c r="AR8" i="6"/>
  <c r="AR47" i="6"/>
  <c r="J123" i="7"/>
  <c r="EB49" i="6" s="1"/>
  <c r="EB73" i="6"/>
  <c r="EC16" i="6"/>
  <c r="EB17" i="6"/>
  <c r="DZ25" i="6"/>
  <c r="EA25" i="6" s="1"/>
  <c r="EB20" i="6"/>
  <c r="EA20" i="6"/>
  <c r="ED30" i="6"/>
  <c r="DG65" i="6"/>
  <c r="DH64" i="6" s="1"/>
  <c r="ED55" i="6"/>
  <c r="EC10" i="6"/>
  <c r="DY27" i="6"/>
  <c r="DY28" i="6" s="1"/>
  <c r="EO51" i="6"/>
  <c r="EP22" i="6"/>
  <c r="DZ18" i="6"/>
  <c r="EM68" i="6"/>
  <c r="EL69" i="6"/>
  <c r="EL70" i="6" s="1"/>
  <c r="EE1" i="6"/>
  <c r="EB31" i="6"/>
  <c r="EA31" i="6"/>
  <c r="DZ32" i="6"/>
  <c r="EA32" i="6" s="1"/>
  <c r="H125" i="7"/>
  <c r="I124" i="7"/>
  <c r="EC38" i="6" s="1"/>
  <c r="K124" i="7"/>
  <c r="I124" i="4"/>
  <c r="A124" i="4"/>
  <c r="B125" i="4"/>
  <c r="D68" i="4"/>
  <c r="E68" i="4"/>
  <c r="B126" i="7" l="1"/>
  <c r="A125" i="7"/>
  <c r="E43" i="7"/>
  <c r="AS72" i="6"/>
  <c r="AR52" i="6"/>
  <c r="AR9" i="6"/>
  <c r="AR82" i="6"/>
  <c r="AS42" i="6"/>
  <c r="AS39" i="6"/>
  <c r="J124" i="7"/>
  <c r="EC49" i="6" s="1"/>
  <c r="EC73" i="6"/>
  <c r="ED16" i="6"/>
  <c r="EC17" i="6"/>
  <c r="EC18" i="6" s="1"/>
  <c r="EB18" i="6"/>
  <c r="K125" i="7"/>
  <c r="I125" i="7"/>
  <c r="ED38" i="6" s="1"/>
  <c r="H126" i="7"/>
  <c r="EE59" i="6" s="1"/>
  <c r="EF1" i="6"/>
  <c r="DZ27" i="6"/>
  <c r="DZ34" i="6"/>
  <c r="EA18" i="6"/>
  <c r="EE30" i="6"/>
  <c r="EB25" i="6"/>
  <c r="EC20" i="6"/>
  <c r="EE55" i="6"/>
  <c r="ED10" i="6"/>
  <c r="EO68" i="6"/>
  <c r="EM69" i="6"/>
  <c r="EN69" i="6" s="1"/>
  <c r="EN68" i="6"/>
  <c r="DH65" i="6"/>
  <c r="DI64" i="6" s="1"/>
  <c r="ED59" i="6"/>
  <c r="EC31" i="6"/>
  <c r="EB32" i="6"/>
  <c r="EP51" i="6"/>
  <c r="EQ22" i="6"/>
  <c r="F68" i="4"/>
  <c r="G68" i="4" s="1"/>
  <c r="L68" i="4"/>
  <c r="B126" i="4"/>
  <c r="A125" i="4"/>
  <c r="K125" i="4"/>
  <c r="K126" i="4" s="1"/>
  <c r="I125" i="4"/>
  <c r="B127" i="7" l="1"/>
  <c r="A126" i="7"/>
  <c r="AS43" i="6"/>
  <c r="AS40" i="6"/>
  <c r="AR5" i="6"/>
  <c r="AR4" i="6"/>
  <c r="AR56" i="6"/>
  <c r="AS78" i="6"/>
  <c r="AS48" i="6"/>
  <c r="C44" i="7"/>
  <c r="EG1" i="6"/>
  <c r="ED31" i="6"/>
  <c r="EC32" i="6"/>
  <c r="EC25" i="6"/>
  <c r="EC27" i="6" s="1"/>
  <c r="EC28" i="6" s="1"/>
  <c r="ED20" i="6"/>
  <c r="ED17" i="6"/>
  <c r="ED18" i="6" s="1"/>
  <c r="EE16" i="6"/>
  <c r="EF30" i="6"/>
  <c r="DI65" i="6"/>
  <c r="DJ64" i="6" s="1"/>
  <c r="J125" i="7"/>
  <c r="ED49" i="6" s="1"/>
  <c r="ED73" i="6"/>
  <c r="K126" i="7"/>
  <c r="I126" i="7"/>
  <c r="EE38" i="6" s="1"/>
  <c r="H127" i="7"/>
  <c r="DZ28" i="6"/>
  <c r="EA27" i="6"/>
  <c r="EA28" i="6" s="1"/>
  <c r="EM70" i="6"/>
  <c r="EO69" i="6"/>
  <c r="EP68" i="6"/>
  <c r="EF55" i="6"/>
  <c r="EE10" i="6"/>
  <c r="DZ35" i="6"/>
  <c r="EA34" i="6"/>
  <c r="EA35" i="6" s="1"/>
  <c r="ER22" i="6"/>
  <c r="EQ51" i="6"/>
  <c r="EB27" i="6"/>
  <c r="EB34" i="6"/>
  <c r="I126" i="4"/>
  <c r="B127" i="4"/>
  <c r="A126" i="4"/>
  <c r="E69" i="4"/>
  <c r="D69" i="4"/>
  <c r="EC34" i="6" l="1"/>
  <c r="EC35" i="6" s="1"/>
  <c r="B128" i="7"/>
  <c r="A127" i="7"/>
  <c r="D44" i="7"/>
  <c r="AT37" i="6" s="1"/>
  <c r="AT58" i="6"/>
  <c r="AT60" i="6" s="1"/>
  <c r="F44" i="7"/>
  <c r="AS80" i="6"/>
  <c r="AR6" i="6"/>
  <c r="AR57" i="6"/>
  <c r="AR61" i="6" s="1"/>
  <c r="AR11" i="6" s="1"/>
  <c r="AR7" i="6"/>
  <c r="AS8" i="6"/>
  <c r="AS44" i="6"/>
  <c r="AS47" i="6"/>
  <c r="DJ65" i="6"/>
  <c r="DK64" i="6" s="1"/>
  <c r="EE31" i="6"/>
  <c r="ED32" i="6"/>
  <c r="K127" i="7"/>
  <c r="I127" i="7"/>
  <c r="EF38" i="6" s="1"/>
  <c r="H128" i="7"/>
  <c r="EG59" i="6"/>
  <c r="EH1" i="6"/>
  <c r="ER51" i="6"/>
  <c r="ES22" i="6"/>
  <c r="EP69" i="6"/>
  <c r="EP70" i="6" s="1"/>
  <c r="EQ68" i="6"/>
  <c r="EO70" i="6"/>
  <c r="EE20" i="6"/>
  <c r="ED25" i="6"/>
  <c r="EB35" i="6"/>
  <c r="J126" i="7"/>
  <c r="EE49" i="6" s="1"/>
  <c r="EE73" i="6"/>
  <c r="EG30" i="6"/>
  <c r="EE17" i="6"/>
  <c r="EE18" i="6" s="1"/>
  <c r="EF16" i="6"/>
  <c r="EG55" i="6"/>
  <c r="EF10" i="6"/>
  <c r="EB28" i="6"/>
  <c r="EF59" i="6"/>
  <c r="EN70" i="6"/>
  <c r="F69" i="4"/>
  <c r="G69" i="4" s="1"/>
  <c r="L69" i="4"/>
  <c r="A127" i="4"/>
  <c r="B128" i="4"/>
  <c r="K127" i="4"/>
  <c r="K128" i="4" s="1"/>
  <c r="I127" i="4"/>
  <c r="B129" i="7" l="1"/>
  <c r="A128" i="7"/>
  <c r="AS82" i="6"/>
  <c r="AS52" i="6"/>
  <c r="AS9" i="6"/>
  <c r="E44" i="7"/>
  <c r="AT72" i="6"/>
  <c r="AT39" i="6"/>
  <c r="AT42" i="6"/>
  <c r="EG10" i="6"/>
  <c r="EH55" i="6"/>
  <c r="ET22" i="6"/>
  <c r="ES51" i="6"/>
  <c r="EF20" i="6"/>
  <c r="EE25" i="6"/>
  <c r="EF31" i="6"/>
  <c r="EE32" i="6"/>
  <c r="EG16" i="6"/>
  <c r="EF17" i="6"/>
  <c r="EF18" i="6" s="1"/>
  <c r="EI1" i="6"/>
  <c r="ED34" i="6"/>
  <c r="EQ69" i="6"/>
  <c r="EQ70" i="6" s="1"/>
  <c r="ER68" i="6"/>
  <c r="J127" i="7"/>
  <c r="EF49" i="6" s="1"/>
  <c r="EF73" i="6"/>
  <c r="ED27" i="6"/>
  <c r="EH30" i="6"/>
  <c r="DK65" i="6"/>
  <c r="DL64" i="6" s="1"/>
  <c r="I128" i="7"/>
  <c r="EG38" i="6" s="1"/>
  <c r="H129" i="7"/>
  <c r="EH59" i="6" s="1"/>
  <c r="K128" i="7"/>
  <c r="I128" i="4"/>
  <c r="A128" i="4"/>
  <c r="B129" i="4"/>
  <c r="E70" i="4"/>
  <c r="D70" i="4"/>
  <c r="EE34" i="6" l="1"/>
  <c r="EE35" i="6" s="1"/>
  <c r="B130" i="7"/>
  <c r="A129" i="7"/>
  <c r="AS5" i="6"/>
  <c r="AS4" i="6"/>
  <c r="AS56" i="6"/>
  <c r="AT43" i="6"/>
  <c r="AT40" i="6"/>
  <c r="AT78" i="6"/>
  <c r="AT48" i="6"/>
  <c r="C45" i="7"/>
  <c r="DL65" i="6"/>
  <c r="DM64" i="6" s="1"/>
  <c r="J128" i="7"/>
  <c r="EG49" i="6" s="1"/>
  <c r="EG73" i="6"/>
  <c r="ED35" i="6"/>
  <c r="EE27" i="6"/>
  <c r="EE28" i="6" s="1"/>
  <c r="EJ1" i="6"/>
  <c r="EG31" i="6"/>
  <c r="EF32" i="6"/>
  <c r="EI30" i="6"/>
  <c r="EG20" i="6"/>
  <c r="EF25" i="6"/>
  <c r="EF27" i="6" s="1"/>
  <c r="EF28" i="6" s="1"/>
  <c r="ED28" i="6"/>
  <c r="H130" i="7"/>
  <c r="EI59" i="6" s="1"/>
  <c r="K129" i="7"/>
  <c r="I129" i="7"/>
  <c r="EH38" i="6" s="1"/>
  <c r="EI55" i="6"/>
  <c r="EH10" i="6"/>
  <c r="EG17" i="6"/>
  <c r="EG18" i="6" s="1"/>
  <c r="EH16" i="6"/>
  <c r="ER69" i="6"/>
  <c r="ER70" i="6" s="1"/>
  <c r="ES68" i="6"/>
  <c r="EU22" i="6"/>
  <c r="ET51" i="6"/>
  <c r="F70" i="4"/>
  <c r="G70" i="4" s="1"/>
  <c r="L70" i="4"/>
  <c r="B130" i="4"/>
  <c r="A129" i="4"/>
  <c r="K129" i="4"/>
  <c r="K130" i="4" s="1"/>
  <c r="I129" i="4"/>
  <c r="EF34" i="6" l="1"/>
  <c r="EF35" i="6" s="1"/>
  <c r="B131" i="7"/>
  <c r="A130" i="7"/>
  <c r="AT8" i="6"/>
  <c r="AT47" i="6"/>
  <c r="AT44" i="6"/>
  <c r="AS57" i="6"/>
  <c r="AS61" i="6" s="1"/>
  <c r="AS11" i="6" s="1"/>
  <c r="AS6" i="6"/>
  <c r="D45" i="7"/>
  <c r="AU37" i="6" s="1"/>
  <c r="F45" i="7"/>
  <c r="AU58" i="6"/>
  <c r="AU60" i="6" s="1"/>
  <c r="AT80" i="6"/>
  <c r="AS7" i="6"/>
  <c r="DM65" i="6"/>
  <c r="DN65" i="6" s="1"/>
  <c r="DN64" i="6"/>
  <c r="EK1" i="6"/>
  <c r="EJ30" i="6"/>
  <c r="J129" i="7"/>
  <c r="EH49" i="6" s="1"/>
  <c r="EH73" i="6"/>
  <c r="I130" i="7"/>
  <c r="EI38" i="6" s="1"/>
  <c r="K130" i="7"/>
  <c r="H131" i="7"/>
  <c r="EH20" i="6"/>
  <c r="EG25" i="6"/>
  <c r="EG34" i="6" s="1"/>
  <c r="EI16" i="6"/>
  <c r="EH17" i="6"/>
  <c r="EH18" i="6" s="1"/>
  <c r="EJ55" i="6"/>
  <c r="EI10" i="6"/>
  <c r="EH31" i="6"/>
  <c r="EG32" i="6"/>
  <c r="EU51" i="6"/>
  <c r="EV22" i="6"/>
  <c r="ES69" i="6"/>
  <c r="ES70" i="6" s="1"/>
  <c r="ET68" i="6"/>
  <c r="I130" i="4"/>
  <c r="A130" i="4"/>
  <c r="B131" i="4"/>
  <c r="E71" i="4"/>
  <c r="D71" i="4"/>
  <c r="B132" i="7" l="1"/>
  <c r="A131" i="7"/>
  <c r="E45" i="7"/>
  <c r="AU72" i="6"/>
  <c r="AT82" i="6"/>
  <c r="AT52" i="6"/>
  <c r="AU39" i="6"/>
  <c r="AU42" i="6"/>
  <c r="AT9" i="6"/>
  <c r="EG35" i="6"/>
  <c r="EK55" i="6"/>
  <c r="EJ10" i="6"/>
  <c r="EL1" i="6"/>
  <c r="EU68" i="6"/>
  <c r="ET69" i="6"/>
  <c r="ET70" i="6" s="1"/>
  <c r="DO64" i="6"/>
  <c r="J130" i="7"/>
  <c r="EI49" i="6" s="1"/>
  <c r="EI73" i="6"/>
  <c r="EI17" i="6"/>
  <c r="EI18" i="6" s="1"/>
  <c r="EJ16" i="6"/>
  <c r="EK30" i="6"/>
  <c r="K131" i="7"/>
  <c r="I131" i="7"/>
  <c r="EJ38" i="6" s="1"/>
  <c r="H132" i="7"/>
  <c r="EJ59" i="6"/>
  <c r="EV51" i="6"/>
  <c r="EW22" i="6"/>
  <c r="EI20" i="6"/>
  <c r="EH25" i="6"/>
  <c r="EH27" i="6" s="1"/>
  <c r="EH28" i="6" s="1"/>
  <c r="EG27" i="6"/>
  <c r="EI31" i="6"/>
  <c r="EH32" i="6"/>
  <c r="F71" i="4"/>
  <c r="G71" i="4" s="1"/>
  <c r="L71" i="4"/>
  <c r="A131" i="4"/>
  <c r="B132" i="4"/>
  <c r="K131" i="4"/>
  <c r="K132" i="4" s="1"/>
  <c r="I131" i="4"/>
  <c r="EH34" i="6" l="1"/>
  <c r="EH35" i="6" s="1"/>
  <c r="B133" i="7"/>
  <c r="A132" i="7"/>
  <c r="AU43" i="6"/>
  <c r="AU40" i="6"/>
  <c r="AT56" i="6"/>
  <c r="AT5" i="6"/>
  <c r="AT4" i="6"/>
  <c r="AU78" i="6"/>
  <c r="AU48" i="6"/>
  <c r="C46" i="7"/>
  <c r="EM1" i="6"/>
  <c r="EJ31" i="6"/>
  <c r="EI32" i="6"/>
  <c r="I132" i="7"/>
  <c r="EK38" i="6" s="1"/>
  <c r="H133" i="7"/>
  <c r="K132" i="7"/>
  <c r="J131" i="7"/>
  <c r="EJ49" i="6" s="1"/>
  <c r="EJ73" i="6"/>
  <c r="EU69" i="6"/>
  <c r="EU70" i="6" s="1"/>
  <c r="EV68" i="6"/>
  <c r="EL30" i="6"/>
  <c r="DO65" i="6"/>
  <c r="DP64" i="6" s="1"/>
  <c r="EK59" i="6"/>
  <c r="EG28" i="6"/>
  <c r="EL55" i="6"/>
  <c r="EK10" i="6"/>
  <c r="EI25" i="6"/>
  <c r="EI27" i="6" s="1"/>
  <c r="EI28" i="6" s="1"/>
  <c r="EJ20" i="6"/>
  <c r="EX22" i="6"/>
  <c r="EW51" i="6"/>
  <c r="EJ17" i="6"/>
  <c r="EJ18" i="6" s="1"/>
  <c r="EK16" i="6"/>
  <c r="I132" i="4"/>
  <c r="B133" i="4"/>
  <c r="A132" i="4"/>
  <c r="E72" i="4"/>
  <c r="D72" i="4"/>
  <c r="EI34" i="6" l="1"/>
  <c r="EI35" i="6" s="1"/>
  <c r="B134" i="7"/>
  <c r="A133" i="7"/>
  <c r="AT6" i="6"/>
  <c r="AT57" i="6"/>
  <c r="AT61" i="6" s="1"/>
  <c r="AT11" i="6" s="1"/>
  <c r="D46" i="7"/>
  <c r="AV37" i="6" s="1"/>
  <c r="AV58" i="6"/>
  <c r="AV60" i="6" s="1"/>
  <c r="F46" i="7"/>
  <c r="AT7" i="6"/>
  <c r="AU80" i="6"/>
  <c r="AU47" i="6"/>
  <c r="AU44" i="6"/>
  <c r="AU8" i="6"/>
  <c r="EO1" i="6"/>
  <c r="EN1" i="6"/>
  <c r="EL16" i="6"/>
  <c r="EK17" i="6"/>
  <c r="EK18" i="6" s="1"/>
  <c r="DP65" i="6"/>
  <c r="DQ64" i="6" s="1"/>
  <c r="J132" i="7"/>
  <c r="EK49" i="6" s="1"/>
  <c r="EK73" i="6"/>
  <c r="EK20" i="6"/>
  <c r="EJ25" i="6"/>
  <c r="EM30" i="6"/>
  <c r="I133" i="7"/>
  <c r="EL38" i="6" s="1"/>
  <c r="K133" i="7"/>
  <c r="H134" i="7"/>
  <c r="EK31" i="6"/>
  <c r="EJ32" i="6"/>
  <c r="EW68" i="6"/>
  <c r="EV69" i="6"/>
  <c r="EV70" i="6" s="1"/>
  <c r="EL59" i="6"/>
  <c r="EX51" i="6"/>
  <c r="EY22" i="6"/>
  <c r="EM55" i="6"/>
  <c r="EL10" i="6"/>
  <c r="F72" i="4"/>
  <c r="G72" i="4" s="1"/>
  <c r="L72" i="4"/>
  <c r="B134" i="4"/>
  <c r="A133" i="4"/>
  <c r="K133" i="4"/>
  <c r="K134" i="4" s="1"/>
  <c r="I133" i="4"/>
  <c r="EJ34" i="6" l="1"/>
  <c r="EJ35" i="6" s="1"/>
  <c r="B135" i="7"/>
  <c r="A134" i="7"/>
  <c r="AU82" i="6"/>
  <c r="AU9" i="6"/>
  <c r="AU52" i="6"/>
  <c r="E46" i="7"/>
  <c r="AV72" i="6"/>
  <c r="AV78" i="6" s="1"/>
  <c r="AV80" i="6" s="1"/>
  <c r="AV39" i="6"/>
  <c r="AV42" i="6"/>
  <c r="DQ65" i="6"/>
  <c r="EY51" i="6"/>
  <c r="EZ22" i="6"/>
  <c r="K134" i="7"/>
  <c r="H135" i="7"/>
  <c r="EO59" i="6" s="1"/>
  <c r="I134" i="7"/>
  <c r="EM38" i="6" s="1"/>
  <c r="EN38" i="6" s="1"/>
  <c r="EP1" i="6"/>
  <c r="EO30" i="6"/>
  <c r="EN30" i="6"/>
  <c r="EX68" i="6"/>
  <c r="EW69" i="6"/>
  <c r="EW70" i="6" s="1"/>
  <c r="EL17" i="6"/>
  <c r="EL18" i="6" s="1"/>
  <c r="EM16" i="6"/>
  <c r="EO55" i="6"/>
  <c r="EN55" i="6"/>
  <c r="EM10" i="6"/>
  <c r="EN10" i="6" s="1"/>
  <c r="EL31" i="6"/>
  <c r="EK32" i="6"/>
  <c r="EJ27" i="6"/>
  <c r="EJ28" i="6" s="1"/>
  <c r="J133" i="7"/>
  <c r="EL49" i="6" s="1"/>
  <c r="EL73" i="6"/>
  <c r="EL20" i="6"/>
  <c r="EK25" i="6"/>
  <c r="EK27" i="6" s="1"/>
  <c r="EK28" i="6" s="1"/>
  <c r="EM59" i="6"/>
  <c r="EN59" i="6" s="1"/>
  <c r="I134" i="4"/>
  <c r="A134" i="4"/>
  <c r="B135" i="4"/>
  <c r="D73" i="4"/>
  <c r="E73" i="4"/>
  <c r="AV82" i="6" l="1"/>
  <c r="B136" i="7"/>
  <c r="A135" i="7"/>
  <c r="AU4" i="6"/>
  <c r="AU5" i="6"/>
  <c r="AU56" i="6"/>
  <c r="AV48" i="6"/>
  <c r="C47" i="7"/>
  <c r="AV40" i="6"/>
  <c r="AV43" i="6"/>
  <c r="EX69" i="6"/>
  <c r="EX70" i="6" s="1"/>
  <c r="EY68" i="6"/>
  <c r="J134" i="7"/>
  <c r="EM49" i="6" s="1"/>
  <c r="EN49" i="6" s="1"/>
  <c r="EM73" i="6"/>
  <c r="EN73" i="6" s="1"/>
  <c r="FB22" i="6"/>
  <c r="EZ51" i="6"/>
  <c r="FA51" i="6" s="1"/>
  <c r="FA22" i="6"/>
  <c r="EK34" i="6"/>
  <c r="EP55" i="6"/>
  <c r="EO10" i="6"/>
  <c r="DR64" i="6"/>
  <c r="K135" i="7"/>
  <c r="I135" i="7"/>
  <c r="EO38" i="6" s="1"/>
  <c r="H136" i="7"/>
  <c r="EQ1" i="6"/>
  <c r="EP30" i="6"/>
  <c r="EM20" i="6"/>
  <c r="EL25" i="6"/>
  <c r="EL27" i="6" s="1"/>
  <c r="EL28" i="6" s="1"/>
  <c r="EM31" i="6"/>
  <c r="EL32" i="6"/>
  <c r="EO16" i="6"/>
  <c r="EM17" i="6"/>
  <c r="EN17" i="6" s="1"/>
  <c r="EN16" i="6"/>
  <c r="F73" i="4"/>
  <c r="G73" i="4" s="1"/>
  <c r="L73" i="4"/>
  <c r="B136" i="4"/>
  <c r="A135" i="4"/>
  <c r="K135" i="4"/>
  <c r="K136" i="4" s="1"/>
  <c r="I135" i="4"/>
  <c r="B137" i="7" l="1"/>
  <c r="A136" i="7"/>
  <c r="EP59" i="6"/>
  <c r="AU6" i="6"/>
  <c r="AU57" i="6"/>
  <c r="AU61" i="6" s="1"/>
  <c r="AU11" i="6" s="1"/>
  <c r="AV47" i="6"/>
  <c r="AV52" i="6" s="1"/>
  <c r="AV44" i="6"/>
  <c r="AV8" i="6"/>
  <c r="AV9" i="6" s="1"/>
  <c r="D47" i="7"/>
  <c r="AW37" i="6" s="1"/>
  <c r="AW58" i="6"/>
  <c r="AW60" i="6" s="1"/>
  <c r="F47" i="7"/>
  <c r="AU7" i="6"/>
  <c r="ER1" i="6"/>
  <c r="EO31" i="6"/>
  <c r="EN31" i="6"/>
  <c r="EM32" i="6"/>
  <c r="EN32" i="6" s="1"/>
  <c r="DR65" i="6"/>
  <c r="DS64" i="6" s="1"/>
  <c r="EQ55" i="6"/>
  <c r="EP10" i="6"/>
  <c r="EL34" i="6"/>
  <c r="EQ30" i="6"/>
  <c r="EK35" i="6"/>
  <c r="EP16" i="6"/>
  <c r="EO17" i="6"/>
  <c r="FC22" i="6"/>
  <c r="FB51" i="6"/>
  <c r="EM18" i="6"/>
  <c r="H137" i="7"/>
  <c r="I136" i="7"/>
  <c r="EP38" i="6" s="1"/>
  <c r="K136" i="7"/>
  <c r="J135" i="7"/>
  <c r="EO49" i="6" s="1"/>
  <c r="EO73" i="6"/>
  <c r="EZ68" i="6"/>
  <c r="EY69" i="6"/>
  <c r="EY70" i="6" s="1"/>
  <c r="EO20" i="6"/>
  <c r="EM25" i="6"/>
  <c r="EN25" i="6" s="1"/>
  <c r="EN20" i="6"/>
  <c r="I136" i="4"/>
  <c r="B137" i="4"/>
  <c r="A136" i="4"/>
  <c r="D74" i="4"/>
  <c r="E74" i="4"/>
  <c r="B138" i="7" l="1"/>
  <c r="A137" i="7"/>
  <c r="EQ59" i="6"/>
  <c r="E47" i="7"/>
  <c r="AW72" i="6"/>
  <c r="AW78" i="6" s="1"/>
  <c r="AW80" i="6" s="1"/>
  <c r="AW82" i="6" s="1"/>
  <c r="AW39" i="6"/>
  <c r="AW42" i="6"/>
  <c r="AV4" i="6"/>
  <c r="AV5" i="6"/>
  <c r="AV7" i="6" s="1"/>
  <c r="AV56" i="6"/>
  <c r="DS65" i="6"/>
  <c r="DT64" i="6" s="1"/>
  <c r="EP31" i="6"/>
  <c r="EO32" i="6"/>
  <c r="FC51" i="6"/>
  <c r="FD22" i="6"/>
  <c r="FB68" i="6"/>
  <c r="EZ69" i="6"/>
  <c r="FA69" i="6" s="1"/>
  <c r="FA68" i="6"/>
  <c r="EP17" i="6"/>
  <c r="EP18" i="6" s="1"/>
  <c r="EQ16" i="6"/>
  <c r="ES1" i="6"/>
  <c r="EM27" i="6"/>
  <c r="EM34" i="6"/>
  <c r="EN18" i="6"/>
  <c r="EL35" i="6"/>
  <c r="EP20" i="6"/>
  <c r="EO25" i="6"/>
  <c r="EO18" i="6"/>
  <c r="ER55" i="6"/>
  <c r="EQ10" i="6"/>
  <c r="J136" i="7"/>
  <c r="EP49" i="6" s="1"/>
  <c r="EP73" i="6"/>
  <c r="I137" i="7"/>
  <c r="EQ38" i="6" s="1"/>
  <c r="K137" i="7"/>
  <c r="H138" i="7"/>
  <c r="ER30" i="6"/>
  <c r="F74" i="4"/>
  <c r="G74" i="4" s="1"/>
  <c r="L74" i="4"/>
  <c r="B138" i="4"/>
  <c r="A137" i="4"/>
  <c r="K137" i="4"/>
  <c r="K138" i="4" s="1"/>
  <c r="I137" i="4"/>
  <c r="EZ70" i="6" l="1"/>
  <c r="FA70" i="6" s="1"/>
  <c r="B139" i="7"/>
  <c r="A138" i="7"/>
  <c r="ER59" i="6"/>
  <c r="AW48" i="6"/>
  <c r="C48" i="7"/>
  <c r="AV6" i="6"/>
  <c r="AV57" i="6"/>
  <c r="AV61" i="6" s="1"/>
  <c r="AV11" i="6" s="1"/>
  <c r="AW43" i="6"/>
  <c r="AW40" i="6"/>
  <c r="DT65" i="6"/>
  <c r="DU64" i="6" s="1"/>
  <c r="FD51" i="6"/>
  <c r="FE22" i="6"/>
  <c r="EQ31" i="6"/>
  <c r="EP32" i="6"/>
  <c r="H139" i="7"/>
  <c r="I138" i="7"/>
  <c r="ER38" i="6" s="1"/>
  <c r="K138" i="7"/>
  <c r="J137" i="7"/>
  <c r="EQ49" i="6" s="1"/>
  <c r="EQ73" i="6"/>
  <c r="EM35" i="6"/>
  <c r="EN34" i="6"/>
  <c r="EN35" i="6" s="1"/>
  <c r="EO27" i="6"/>
  <c r="EO34" i="6"/>
  <c r="ET1" i="6"/>
  <c r="ER10" i="6"/>
  <c r="ES55" i="6"/>
  <c r="EM28" i="6"/>
  <c r="EN27" i="6"/>
  <c r="EN28" i="6" s="1"/>
  <c r="EQ17" i="6"/>
  <c r="ER16" i="6"/>
  <c r="ES30" i="6"/>
  <c r="EP25" i="6"/>
  <c r="EP27" i="6" s="1"/>
  <c r="EP28" i="6" s="1"/>
  <c r="EQ20" i="6"/>
  <c r="FB69" i="6"/>
  <c r="FC68" i="6"/>
  <c r="I138" i="4"/>
  <c r="A138" i="4"/>
  <c r="B139" i="4"/>
  <c r="E75" i="4"/>
  <c r="D75" i="4"/>
  <c r="B140" i="7" l="1"/>
  <c r="A139" i="7"/>
  <c r="ES59" i="6"/>
  <c r="AW47" i="6"/>
  <c r="AW52" i="6" s="1"/>
  <c r="AW8" i="6"/>
  <c r="AW9" i="6" s="1"/>
  <c r="AW44" i="6"/>
  <c r="F48" i="7"/>
  <c r="D48" i="7"/>
  <c r="AX37" i="6" s="1"/>
  <c r="AX58" i="6"/>
  <c r="AX60" i="6" s="1"/>
  <c r="DU65" i="6"/>
  <c r="DV64" i="6" s="1"/>
  <c r="EU1" i="6"/>
  <c r="FE51" i="6"/>
  <c r="FF22" i="6"/>
  <c r="FC69" i="6"/>
  <c r="FC70" i="6" s="1"/>
  <c r="FD68" i="6"/>
  <c r="J138" i="7"/>
  <c r="ER49" i="6" s="1"/>
  <c r="ER73" i="6"/>
  <c r="ES10" i="6"/>
  <c r="ET55" i="6"/>
  <c r="EO35" i="6"/>
  <c r="I139" i="7"/>
  <c r="ES38" i="6" s="1"/>
  <c r="K139" i="7"/>
  <c r="H140" i="7"/>
  <c r="EQ18" i="6"/>
  <c r="EO28" i="6"/>
  <c r="EP34" i="6"/>
  <c r="EQ25" i="6"/>
  <c r="ER20" i="6"/>
  <c r="ER31" i="6"/>
  <c r="EQ32" i="6"/>
  <c r="ET30" i="6"/>
  <c r="ER17" i="6"/>
  <c r="ER18" i="6" s="1"/>
  <c r="ES16" i="6"/>
  <c r="FB70" i="6"/>
  <c r="I139" i="4"/>
  <c r="F75" i="4"/>
  <c r="G75" i="4" s="1"/>
  <c r="L75" i="4"/>
  <c r="B140" i="4"/>
  <c r="A139" i="4"/>
  <c r="K139" i="4"/>
  <c r="K140" i="4" s="1"/>
  <c r="B141" i="7" l="1"/>
  <c r="A140" i="7"/>
  <c r="ET59" i="6"/>
  <c r="E48" i="7"/>
  <c r="AX72" i="6"/>
  <c r="AX78" i="6" s="1"/>
  <c r="AX80" i="6" s="1"/>
  <c r="AX82" i="6" s="1"/>
  <c r="AX42" i="6"/>
  <c r="AX39" i="6"/>
  <c r="AW4" i="6"/>
  <c r="AW5" i="6"/>
  <c r="AW7" i="6" s="1"/>
  <c r="AW56" i="6"/>
  <c r="DV65" i="6"/>
  <c r="DW64" i="6" s="1"/>
  <c r="EU30" i="6"/>
  <c r="EQ27" i="6"/>
  <c r="EQ34" i="6"/>
  <c r="ES20" i="6"/>
  <c r="ER25" i="6"/>
  <c r="J139" i="7"/>
  <c r="ES49" i="6" s="1"/>
  <c r="ES73" i="6"/>
  <c r="EP35" i="6"/>
  <c r="ES17" i="6"/>
  <c r="ES18" i="6" s="1"/>
  <c r="ET16" i="6"/>
  <c r="EV1" i="6"/>
  <c r="ES31" i="6"/>
  <c r="ER32" i="6"/>
  <c r="FD69" i="6"/>
  <c r="FD70" i="6" s="1"/>
  <c r="FE68" i="6"/>
  <c r="H141" i="7"/>
  <c r="I140" i="7"/>
  <c r="ET38" i="6" s="1"/>
  <c r="K140" i="7"/>
  <c r="ET10" i="6"/>
  <c r="EU55" i="6"/>
  <c r="FF51" i="6"/>
  <c r="FG22" i="6"/>
  <c r="A140" i="4"/>
  <c r="B141" i="4"/>
  <c r="E76" i="4"/>
  <c r="D76" i="4"/>
  <c r="I140" i="4"/>
  <c r="ER34" i="6" l="1"/>
  <c r="ER35" i="6" s="1"/>
  <c r="ER27" i="6"/>
  <c r="ER28" i="6" s="1"/>
  <c r="B142" i="7"/>
  <c r="A141" i="7"/>
  <c r="EU59" i="6"/>
  <c r="AW57" i="6"/>
  <c r="AW61" i="6" s="1"/>
  <c r="AW11" i="6" s="1"/>
  <c r="AW6" i="6"/>
  <c r="AX43" i="6"/>
  <c r="AX40" i="6"/>
  <c r="AX48" i="6"/>
  <c r="C49" i="7"/>
  <c r="EV30" i="6"/>
  <c r="FH22" i="6"/>
  <c r="FG51" i="6"/>
  <c r="I141" i="7"/>
  <c r="EU38" i="6" s="1"/>
  <c r="K141" i="7"/>
  <c r="H142" i="7"/>
  <c r="ES25" i="6"/>
  <c r="ET20" i="6"/>
  <c r="J140" i="7"/>
  <c r="ET49" i="6" s="1"/>
  <c r="ET73" i="6"/>
  <c r="ET31" i="6"/>
  <c r="ES32" i="6"/>
  <c r="EU10" i="6"/>
  <c r="EV55" i="6"/>
  <c r="EW1" i="6"/>
  <c r="EU16" i="6"/>
  <c r="ET17" i="6"/>
  <c r="ET18" i="6" s="1"/>
  <c r="DW65" i="6"/>
  <c r="DX64" i="6" s="1"/>
  <c r="FE69" i="6"/>
  <c r="FE70" i="6" s="1"/>
  <c r="FF68" i="6"/>
  <c r="EQ35" i="6"/>
  <c r="EQ28" i="6"/>
  <c r="F76" i="4"/>
  <c r="G76" i="4" s="1"/>
  <c r="L76" i="4"/>
  <c r="I141" i="4"/>
  <c r="A141" i="4"/>
  <c r="B142" i="4"/>
  <c r="K141" i="4"/>
  <c r="K142" i="4" s="1"/>
  <c r="B143" i="7" l="1"/>
  <c r="A142" i="7"/>
  <c r="EV59" i="6"/>
  <c r="F49" i="7"/>
  <c r="D49" i="7"/>
  <c r="AY37" i="6" s="1"/>
  <c r="AY58" i="6"/>
  <c r="AY60" i="6" s="1"/>
  <c r="AX47" i="6"/>
  <c r="AX52" i="6" s="1"/>
  <c r="AX44" i="6"/>
  <c r="AX8" i="6"/>
  <c r="AX9" i="6" s="1"/>
  <c r="DX65" i="6"/>
  <c r="DY64" i="6" s="1"/>
  <c r="FH51" i="6"/>
  <c r="FI22" i="6"/>
  <c r="EW55" i="6"/>
  <c r="EV10" i="6"/>
  <c r="ET25" i="6"/>
  <c r="ET27" i="6" s="1"/>
  <c r="ET28" i="6" s="1"/>
  <c r="EU20" i="6"/>
  <c r="FF69" i="6"/>
  <c r="FF70" i="6" s="1"/>
  <c r="FG68" i="6"/>
  <c r="EW30" i="6"/>
  <c r="EU17" i="6"/>
  <c r="EU18" i="6" s="1"/>
  <c r="EV16" i="6"/>
  <c r="I142" i="7"/>
  <c r="EV38" i="6" s="1"/>
  <c r="K142" i="7"/>
  <c r="H143" i="7"/>
  <c r="EX1" i="6"/>
  <c r="EU31" i="6"/>
  <c r="ET32" i="6"/>
  <c r="ES34" i="6"/>
  <c r="J141" i="7"/>
  <c r="EU49" i="6" s="1"/>
  <c r="EU73" i="6"/>
  <c r="ES27" i="6"/>
  <c r="I142" i="4"/>
  <c r="A142" i="4"/>
  <c r="B143" i="4"/>
  <c r="E77" i="4"/>
  <c r="D77" i="4"/>
  <c r="B144" i="7" l="1"/>
  <c r="A143" i="7"/>
  <c r="EW59" i="6"/>
  <c r="AX5" i="6"/>
  <c r="AX7" i="6" s="1"/>
  <c r="AX4" i="6"/>
  <c r="AX56" i="6"/>
  <c r="AY39" i="6"/>
  <c r="AY42" i="6"/>
  <c r="E49" i="7"/>
  <c r="AY72" i="6"/>
  <c r="AY78" i="6" s="1"/>
  <c r="AY80" i="6" s="1"/>
  <c r="AY82" i="6" s="1"/>
  <c r="EY1" i="6"/>
  <c r="EW16" i="6"/>
  <c r="EV17" i="6"/>
  <c r="EV18" i="6" s="1"/>
  <c r="ES28" i="6"/>
  <c r="H144" i="7"/>
  <c r="K143" i="7"/>
  <c r="I143" i="7"/>
  <c r="EW38" i="6" s="1"/>
  <c r="FG69" i="6"/>
  <c r="FG70" i="6" s="1"/>
  <c r="FH68" i="6"/>
  <c r="ES35" i="6"/>
  <c r="EV31" i="6"/>
  <c r="EU32" i="6"/>
  <c r="J142" i="7"/>
  <c r="EV49" i="6" s="1"/>
  <c r="EV73" i="6"/>
  <c r="ET34" i="6"/>
  <c r="FI51" i="6"/>
  <c r="FJ22" i="6"/>
  <c r="EX30" i="6"/>
  <c r="EV20" i="6"/>
  <c r="EU25" i="6"/>
  <c r="EU27" i="6" s="1"/>
  <c r="EU28" i="6" s="1"/>
  <c r="DY65" i="6"/>
  <c r="DZ64" i="6" s="1"/>
  <c r="EX55" i="6"/>
  <c r="EW10" i="6"/>
  <c r="A143" i="4"/>
  <c r="B144" i="4"/>
  <c r="F77" i="4"/>
  <c r="G77" i="4" s="1"/>
  <c r="L77" i="4"/>
  <c r="I143" i="4"/>
  <c r="K143" i="4"/>
  <c r="K144" i="4" s="1"/>
  <c r="EU34" i="6" l="1"/>
  <c r="EU35" i="6" s="1"/>
  <c r="B145" i="7"/>
  <c r="A144" i="7"/>
  <c r="AY40" i="6"/>
  <c r="AY43" i="6"/>
  <c r="AY48" i="6"/>
  <c r="C50" i="7"/>
  <c r="AX6" i="6"/>
  <c r="AX57" i="6"/>
  <c r="AX61" i="6" s="1"/>
  <c r="AX11" i="6" s="1"/>
  <c r="EX10" i="6"/>
  <c r="EY55" i="6"/>
  <c r="FK22" i="6"/>
  <c r="FJ51" i="6"/>
  <c r="FH69" i="6"/>
  <c r="FH70" i="6" s="1"/>
  <c r="FI68" i="6"/>
  <c r="DZ65" i="6"/>
  <c r="EA65" i="6" s="1"/>
  <c r="EA64" i="6"/>
  <c r="EW17" i="6"/>
  <c r="EW18" i="6" s="1"/>
  <c r="EX16" i="6"/>
  <c r="ET35" i="6"/>
  <c r="EZ1" i="6"/>
  <c r="J143" i="7"/>
  <c r="EW49" i="6" s="1"/>
  <c r="EW73" i="6"/>
  <c r="EW20" i="6"/>
  <c r="EV25" i="6"/>
  <c r="EV27" i="6" s="1"/>
  <c r="EW31" i="6"/>
  <c r="EV32" i="6"/>
  <c r="EY30" i="6"/>
  <c r="H145" i="7"/>
  <c r="I144" i="7"/>
  <c r="EX38" i="6" s="1"/>
  <c r="K144" i="7"/>
  <c r="EX59" i="6"/>
  <c r="I144" i="4"/>
  <c r="E78" i="4"/>
  <c r="D78" i="4"/>
  <c r="B145" i="4"/>
  <c r="A144" i="4"/>
  <c r="EV34" i="6" l="1"/>
  <c r="EV35" i="6" s="1"/>
  <c r="B146" i="7"/>
  <c r="A145" i="7"/>
  <c r="EY59" i="6"/>
  <c r="D50" i="7"/>
  <c r="AZ37" i="6" s="1"/>
  <c r="F50" i="7"/>
  <c r="AZ58" i="6"/>
  <c r="AY47" i="6"/>
  <c r="AY52" i="6" s="1"/>
  <c r="AY44" i="6"/>
  <c r="AY8" i="6"/>
  <c r="AY9" i="6" s="1"/>
  <c r="EV28" i="6"/>
  <c r="FJ68" i="6"/>
  <c r="FI69" i="6"/>
  <c r="FI70" i="6" s="1"/>
  <c r="EY16" i="6"/>
  <c r="EX17" i="6"/>
  <c r="EX18" i="6" s="1"/>
  <c r="EZ30" i="6"/>
  <c r="EB64" i="6"/>
  <c r="FB1" i="6"/>
  <c r="FA1" i="6"/>
  <c r="FL22" i="6"/>
  <c r="FK51" i="6"/>
  <c r="J144" i="7"/>
  <c r="EX49" i="6" s="1"/>
  <c r="EX73" i="6"/>
  <c r="EX31" i="6"/>
  <c r="EW32" i="6"/>
  <c r="EZ55" i="6"/>
  <c r="EY10" i="6"/>
  <c r="H146" i="7"/>
  <c r="I145" i="7"/>
  <c r="EY38" i="6" s="1"/>
  <c r="K145" i="7"/>
  <c r="EW25" i="6"/>
  <c r="EX20" i="6"/>
  <c r="A145" i="4"/>
  <c r="B146" i="4"/>
  <c r="F78" i="4"/>
  <c r="G78" i="4" s="1"/>
  <c r="L78" i="4"/>
  <c r="K145" i="4"/>
  <c r="K146" i="4" s="1"/>
  <c r="I145" i="4"/>
  <c r="EZ59" i="6" l="1"/>
  <c r="FA59" i="6" s="1"/>
  <c r="EW34" i="6"/>
  <c r="EW35" i="6" s="1"/>
  <c r="B147" i="7"/>
  <c r="A146" i="7"/>
  <c r="AY5" i="6"/>
  <c r="AY7" i="6" s="1"/>
  <c r="AY4" i="6"/>
  <c r="AY56" i="6"/>
  <c r="BA58" i="6"/>
  <c r="AZ60" i="6"/>
  <c r="BA60" i="6" s="1"/>
  <c r="AZ72" i="6"/>
  <c r="E50" i="7"/>
  <c r="AZ42" i="6"/>
  <c r="BA42" i="6" s="1"/>
  <c r="AZ39" i="6"/>
  <c r="BA37" i="6"/>
  <c r="FC1" i="6"/>
  <c r="EY31" i="6"/>
  <c r="EX32" i="6"/>
  <c r="FM22" i="6"/>
  <c r="FL51" i="6"/>
  <c r="EW27" i="6"/>
  <c r="EW28" i="6" s="1"/>
  <c r="J145" i="7"/>
  <c r="EY49" i="6" s="1"/>
  <c r="EY73" i="6"/>
  <c r="EB65" i="6"/>
  <c r="EC64" i="6" s="1"/>
  <c r="FB55" i="6"/>
  <c r="FA55" i="6"/>
  <c r="EZ10" i="6"/>
  <c r="FA10" i="6" s="1"/>
  <c r="EX25" i="6"/>
  <c r="EX27" i="6" s="1"/>
  <c r="EX28" i="6" s="1"/>
  <c r="EY20" i="6"/>
  <c r="FB30" i="6"/>
  <c r="FA30" i="6"/>
  <c r="H147" i="7"/>
  <c r="FB59" i="6" s="1"/>
  <c r="I146" i="7"/>
  <c r="EZ38" i="6" s="1"/>
  <c r="FA38" i="6" s="1"/>
  <c r="K146" i="7"/>
  <c r="FK68" i="6"/>
  <c r="FJ69" i="6"/>
  <c r="FJ70" i="6" s="1"/>
  <c r="EY17" i="6"/>
  <c r="EY18" i="6" s="1"/>
  <c r="EZ16" i="6"/>
  <c r="I146" i="4"/>
  <c r="E79" i="4"/>
  <c r="D79" i="4"/>
  <c r="B147" i="4"/>
  <c r="A146" i="4"/>
  <c r="K147" i="4"/>
  <c r="B148" i="7" l="1"/>
  <c r="A147" i="7"/>
  <c r="AZ48" i="6"/>
  <c r="BA48" i="6" s="1"/>
  <c r="C51" i="7"/>
  <c r="G34" i="3" s="1"/>
  <c r="H34" i="3" s="1"/>
  <c r="AZ40" i="6"/>
  <c r="AZ43" i="6"/>
  <c r="BA39" i="6"/>
  <c r="BA40" i="6" s="1"/>
  <c r="AZ78" i="6"/>
  <c r="BA72" i="6"/>
  <c r="AY6" i="6"/>
  <c r="AY57" i="6"/>
  <c r="AY61" i="6" s="1"/>
  <c r="AY11" i="6" s="1"/>
  <c r="EC65" i="6"/>
  <c r="ED64" i="6" s="1"/>
  <c r="FC30" i="6"/>
  <c r="FB16" i="6"/>
  <c r="EZ17" i="6"/>
  <c r="FA17" i="6" s="1"/>
  <c r="FA16" i="6"/>
  <c r="FD1" i="6"/>
  <c r="FM51" i="6"/>
  <c r="FN51" i="6" s="1"/>
  <c r="FO22" i="6"/>
  <c r="FN22" i="6"/>
  <c r="FK69" i="6"/>
  <c r="FK70" i="6" s="1"/>
  <c r="FL68" i="6"/>
  <c r="EZ31" i="6"/>
  <c r="EY32" i="6"/>
  <c r="EX34" i="6"/>
  <c r="K147" i="7"/>
  <c r="H148" i="7"/>
  <c r="FC59" i="6" s="1"/>
  <c r="I147" i="7"/>
  <c r="FB38" i="6" s="1"/>
  <c r="EZ20" i="6"/>
  <c r="EY25" i="6"/>
  <c r="FC55" i="6"/>
  <c r="FB10" i="6"/>
  <c r="J146" i="7"/>
  <c r="EZ49" i="6" s="1"/>
  <c r="FA49" i="6" s="1"/>
  <c r="EZ73" i="6"/>
  <c r="FA73" i="6" s="1"/>
  <c r="I147" i="4"/>
  <c r="A147" i="4"/>
  <c r="B148" i="4"/>
  <c r="F79" i="4"/>
  <c r="G79" i="4" s="1"/>
  <c r="L79" i="4"/>
  <c r="EY34" i="6" l="1"/>
  <c r="EY35" i="6" s="1"/>
  <c r="EZ18" i="6"/>
  <c r="B149" i="7"/>
  <c r="A148" i="7"/>
  <c r="AZ80" i="6"/>
  <c r="BA78" i="6"/>
  <c r="AZ47" i="6"/>
  <c r="AZ44" i="6"/>
  <c r="AZ8" i="6"/>
  <c r="BA43" i="6"/>
  <c r="BA44" i="6" s="1"/>
  <c r="D51" i="7"/>
  <c r="BB37" i="6" s="1"/>
  <c r="F51" i="7"/>
  <c r="BB58" i="6"/>
  <c r="BB60" i="6" s="1"/>
  <c r="FD55" i="6"/>
  <c r="FC10" i="6"/>
  <c r="FO51" i="6"/>
  <c r="FP22" i="6"/>
  <c r="FB17" i="6"/>
  <c r="FB18" i="6" s="1"/>
  <c r="FC16" i="6"/>
  <c r="J147" i="7"/>
  <c r="FB49" i="6" s="1"/>
  <c r="FB73" i="6"/>
  <c r="EX35" i="6"/>
  <c r="EY27" i="6"/>
  <c r="EY28" i="6" s="1"/>
  <c r="FB20" i="6"/>
  <c r="EZ25" i="6"/>
  <c r="FA25" i="6" s="1"/>
  <c r="FA20" i="6"/>
  <c r="FE1" i="6"/>
  <c r="FB31" i="6"/>
  <c r="FA31" i="6"/>
  <c r="EZ32" i="6"/>
  <c r="FA32" i="6" s="1"/>
  <c r="K148" i="7"/>
  <c r="H149" i="7"/>
  <c r="FD59" i="6" s="1"/>
  <c r="I148" i="7"/>
  <c r="FC38" i="6" s="1"/>
  <c r="FD30" i="6"/>
  <c r="FL69" i="6"/>
  <c r="FL70" i="6" s="1"/>
  <c r="FM68" i="6"/>
  <c r="ED65" i="6"/>
  <c r="EE64" i="6" s="1"/>
  <c r="E80" i="4"/>
  <c r="D80" i="4"/>
  <c r="I148" i="4"/>
  <c r="B149" i="4"/>
  <c r="A148" i="4"/>
  <c r="K148" i="4"/>
  <c r="K149" i="4" s="1"/>
  <c r="EZ34" i="6" l="1"/>
  <c r="EZ35" i="6" s="1"/>
  <c r="FA18" i="6"/>
  <c r="B150" i="7"/>
  <c r="A149" i="7"/>
  <c r="E51" i="7"/>
  <c r="BB72" i="6"/>
  <c r="BB42" i="6"/>
  <c r="BB39" i="6"/>
  <c r="AZ52" i="6"/>
  <c r="BA47" i="6"/>
  <c r="AZ9" i="6"/>
  <c r="BA9" i="6" s="1"/>
  <c r="BA8" i="6"/>
  <c r="AZ82" i="6"/>
  <c r="BA82" i="6" s="1"/>
  <c r="BA80" i="6"/>
  <c r="E33" i="3" s="1"/>
  <c r="EE65" i="6"/>
  <c r="FB25" i="6"/>
  <c r="FB27" i="6" s="1"/>
  <c r="FC20" i="6"/>
  <c r="FM69" i="6"/>
  <c r="FN69" i="6" s="1"/>
  <c r="FO68" i="6"/>
  <c r="FN68" i="6"/>
  <c r="J148" i="7"/>
  <c r="FC49" i="6" s="1"/>
  <c r="FC73" i="6"/>
  <c r="FP51" i="6"/>
  <c r="FQ22" i="6"/>
  <c r="FE55" i="6"/>
  <c r="FD10" i="6"/>
  <c r="FD16" i="6"/>
  <c r="FC17" i="6"/>
  <c r="FC18" i="6" s="1"/>
  <c r="I149" i="7"/>
  <c r="FD38" i="6" s="1"/>
  <c r="H150" i="7"/>
  <c r="FE59" i="6" s="1"/>
  <c r="K149" i="7"/>
  <c r="FE30" i="6"/>
  <c r="FF1" i="6"/>
  <c r="FC31" i="6"/>
  <c r="FB32" i="6"/>
  <c r="EZ27" i="6"/>
  <c r="A149" i="4"/>
  <c r="B150" i="4"/>
  <c r="I149" i="4"/>
  <c r="F80" i="4"/>
  <c r="G80" i="4" s="1"/>
  <c r="L80" i="4"/>
  <c r="FM70" i="6" l="1"/>
  <c r="FN70" i="6" s="1"/>
  <c r="FA34" i="6"/>
  <c r="FA35" i="6" s="1"/>
  <c r="K33" i="3"/>
  <c r="L33" i="3"/>
  <c r="B151" i="7"/>
  <c r="A150" i="7"/>
  <c r="BB43" i="6"/>
  <c r="BB40" i="6"/>
  <c r="BB78" i="6"/>
  <c r="AZ4" i="6"/>
  <c r="BA4" i="6" s="1"/>
  <c r="AZ5" i="6"/>
  <c r="BA52" i="6"/>
  <c r="AZ56" i="6"/>
  <c r="BB48" i="6"/>
  <c r="C52" i="7"/>
  <c r="FB28" i="6"/>
  <c r="EZ28" i="6"/>
  <c r="FA27" i="6"/>
  <c r="FA28" i="6" s="1"/>
  <c r="FB34" i="6"/>
  <c r="FF55" i="6"/>
  <c r="FE10" i="6"/>
  <c r="FD31" i="6"/>
  <c r="FC32" i="6"/>
  <c r="FO69" i="6"/>
  <c r="FO70" i="6" s="1"/>
  <c r="FP68" i="6"/>
  <c r="EF64" i="6"/>
  <c r="J149" i="7"/>
  <c r="FD49" i="6" s="1"/>
  <c r="FD73" i="6"/>
  <c r="FC25" i="6"/>
  <c r="FD20" i="6"/>
  <c r="H151" i="7"/>
  <c r="FF59" i="6" s="1"/>
  <c r="K150" i="7"/>
  <c r="I150" i="7"/>
  <c r="FE38" i="6" s="1"/>
  <c r="FQ51" i="6"/>
  <c r="FR22" i="6"/>
  <c r="FF30" i="6"/>
  <c r="FG1" i="6"/>
  <c r="FD17" i="6"/>
  <c r="FD18" i="6" s="1"/>
  <c r="FE16" i="6"/>
  <c r="E81" i="4"/>
  <c r="D81" i="4"/>
  <c r="I150" i="4"/>
  <c r="B151" i="4"/>
  <c r="A150" i="4"/>
  <c r="K150" i="4"/>
  <c r="K151" i="4" s="1"/>
  <c r="FC34" i="6" l="1"/>
  <c r="FC35" i="6" s="1"/>
  <c r="B152" i="7"/>
  <c r="A151" i="7"/>
  <c r="BA5" i="6"/>
  <c r="AZ7" i="6"/>
  <c r="AZ57" i="6"/>
  <c r="AZ61" i="6" s="1"/>
  <c r="AZ6" i="6"/>
  <c r="BA56" i="6"/>
  <c r="F52" i="7"/>
  <c r="D52" i="7"/>
  <c r="BC37" i="6" s="1"/>
  <c r="BC58" i="6"/>
  <c r="BC60" i="6" s="1"/>
  <c r="BB80" i="6"/>
  <c r="BB8" i="6"/>
  <c r="BB47" i="6"/>
  <c r="BB44" i="6"/>
  <c r="EF65" i="6"/>
  <c r="EG64" i="6" s="1"/>
  <c r="FR51" i="6"/>
  <c r="FS22" i="6"/>
  <c r="I151" i="7"/>
  <c r="FF38" i="6" s="1"/>
  <c r="H152" i="7"/>
  <c r="K151" i="7"/>
  <c r="FG59" i="6"/>
  <c r="FH1" i="6"/>
  <c r="FE20" i="6"/>
  <c r="FD25" i="6"/>
  <c r="FC27" i="6"/>
  <c r="FE31" i="6"/>
  <c r="FD32" i="6"/>
  <c r="FB35" i="6"/>
  <c r="FE17" i="6"/>
  <c r="FF16" i="6"/>
  <c r="FQ68" i="6"/>
  <c r="FP69" i="6"/>
  <c r="FP70" i="6" s="1"/>
  <c r="J150" i="7"/>
  <c r="FE49" i="6" s="1"/>
  <c r="FE73" i="6"/>
  <c r="FG30" i="6"/>
  <c r="FG55" i="6"/>
  <c r="FF10" i="6"/>
  <c r="A151" i="4"/>
  <c r="B152" i="4"/>
  <c r="I151" i="4"/>
  <c r="F81" i="4"/>
  <c r="G81" i="4" s="1"/>
  <c r="L81" i="4"/>
  <c r="B153" i="7" l="1"/>
  <c r="A152" i="7"/>
  <c r="BB9" i="6"/>
  <c r="BB52" i="6"/>
  <c r="BB56" i="6" s="1"/>
  <c r="BB82" i="6"/>
  <c r="BC39" i="6"/>
  <c r="BC42" i="6"/>
  <c r="E52" i="7"/>
  <c r="BC72" i="6"/>
  <c r="BA6" i="6"/>
  <c r="BA57" i="6"/>
  <c r="BA61" i="6"/>
  <c r="BA11" i="6" s="1"/>
  <c r="BA12" i="6" s="1"/>
  <c r="AZ11" i="6"/>
  <c r="BA7" i="6"/>
  <c r="BA13" i="6" s="1"/>
  <c r="EG65" i="6"/>
  <c r="EH64" i="6" s="1"/>
  <c r="FC28" i="6"/>
  <c r="FD34" i="6"/>
  <c r="FE18" i="6"/>
  <c r="FS51" i="6"/>
  <c r="FT22" i="6"/>
  <c r="FH30" i="6"/>
  <c r="FD27" i="6"/>
  <c r="FD28" i="6" s="1"/>
  <c r="FI1" i="6"/>
  <c r="FF31" i="6"/>
  <c r="FE32" i="6"/>
  <c r="FF17" i="6"/>
  <c r="FF18" i="6" s="1"/>
  <c r="FG16" i="6"/>
  <c r="FH55" i="6"/>
  <c r="FG10" i="6"/>
  <c r="FE25" i="6"/>
  <c r="FF20" i="6"/>
  <c r="J151" i="7"/>
  <c r="FF49" i="6" s="1"/>
  <c r="FF73" i="6"/>
  <c r="FQ69" i="6"/>
  <c r="FQ70" i="6" s="1"/>
  <c r="FR68" i="6"/>
  <c r="H153" i="7"/>
  <c r="FH59" i="6" s="1"/>
  <c r="K152" i="7"/>
  <c r="I152" i="7"/>
  <c r="FG38" i="6" s="1"/>
  <c r="D82" i="4"/>
  <c r="E82" i="4"/>
  <c r="I152" i="4"/>
  <c r="B153" i="4"/>
  <c r="A152" i="4"/>
  <c r="K152" i="4"/>
  <c r="K153" i="4" s="1"/>
  <c r="B154" i="7" l="1"/>
  <c r="A153" i="7"/>
  <c r="BC78" i="6"/>
  <c r="BB6" i="6"/>
  <c r="BB57" i="6"/>
  <c r="BB61" i="6" s="1"/>
  <c r="BB11" i="6" s="1"/>
  <c r="BC48" i="6"/>
  <c r="C53" i="7"/>
  <c r="BC43" i="6"/>
  <c r="BC40" i="6"/>
  <c r="BB5" i="6"/>
  <c r="BB4" i="6"/>
  <c r="FD35" i="6"/>
  <c r="FI59" i="6"/>
  <c r="FJ1" i="6"/>
  <c r="FT51" i="6"/>
  <c r="FU22" i="6"/>
  <c r="FI55" i="6"/>
  <c r="FH10" i="6"/>
  <c r="EH65" i="6"/>
  <c r="EI64" i="6" s="1"/>
  <c r="FI30" i="6"/>
  <c r="FF25" i="6"/>
  <c r="FF27" i="6" s="1"/>
  <c r="FF28" i="6" s="1"/>
  <c r="FG20" i="6"/>
  <c r="H154" i="7"/>
  <c r="I153" i="7"/>
  <c r="FH38" i="6" s="1"/>
  <c r="K153" i="7"/>
  <c r="FE27" i="6"/>
  <c r="FE28" i="6" s="1"/>
  <c r="FE34" i="6"/>
  <c r="FH16" i="6"/>
  <c r="FG17" i="6"/>
  <c r="FG18" i="6" s="1"/>
  <c r="FG31" i="6"/>
  <c r="FF32" i="6"/>
  <c r="J152" i="7"/>
  <c r="FG49" i="6" s="1"/>
  <c r="FG73" i="6"/>
  <c r="FR69" i="6"/>
  <c r="FR70" i="6" s="1"/>
  <c r="FS68" i="6"/>
  <c r="A153" i="4"/>
  <c r="B154" i="4"/>
  <c r="I153" i="4"/>
  <c r="F82" i="4"/>
  <c r="G82" i="4" s="1"/>
  <c r="L82" i="4"/>
  <c r="B155" i="7" l="1"/>
  <c r="A154" i="7"/>
  <c r="BB7" i="6"/>
  <c r="BC8" i="6"/>
  <c r="BC44" i="6"/>
  <c r="BC47" i="6"/>
  <c r="D53" i="7"/>
  <c r="BD37" i="6" s="1"/>
  <c r="F53" i="7"/>
  <c r="BD58" i="6"/>
  <c r="BD60" i="6" s="1"/>
  <c r="BC80" i="6"/>
  <c r="EI65" i="6"/>
  <c r="EJ64" i="6" s="1"/>
  <c r="FE35" i="6"/>
  <c r="FF34" i="6"/>
  <c r="FI16" i="6"/>
  <c r="FH17" i="6"/>
  <c r="FH18" i="6" s="1"/>
  <c r="J153" i="7"/>
  <c r="FH49" i="6" s="1"/>
  <c r="FH73" i="6"/>
  <c r="FU51" i="6"/>
  <c r="FV22" i="6"/>
  <c r="FH20" i="6"/>
  <c r="FG25" i="6"/>
  <c r="FG27" i="6" s="1"/>
  <c r="FS69" i="6"/>
  <c r="FS70" i="6" s="1"/>
  <c r="FT68" i="6"/>
  <c r="FJ30" i="6"/>
  <c r="FI10" i="6"/>
  <c r="FJ55" i="6"/>
  <c r="FH31" i="6"/>
  <c r="FG32" i="6"/>
  <c r="I154" i="7"/>
  <c r="FI38" i="6" s="1"/>
  <c r="K154" i="7"/>
  <c r="H155" i="7"/>
  <c r="FK1" i="6"/>
  <c r="I154" i="4"/>
  <c r="D83" i="4"/>
  <c r="E83" i="4"/>
  <c r="B155" i="4"/>
  <c r="A154" i="4"/>
  <c r="K154" i="4"/>
  <c r="K155" i="4" s="1"/>
  <c r="B156" i="7" l="1"/>
  <c r="A155" i="7"/>
  <c r="FJ59" i="6"/>
  <c r="E53" i="7"/>
  <c r="BD72" i="6"/>
  <c r="BC82" i="6"/>
  <c r="BD39" i="6"/>
  <c r="BD42" i="6"/>
  <c r="BC52" i="6"/>
  <c r="BC9" i="6"/>
  <c r="FG28" i="6"/>
  <c r="FI17" i="6"/>
  <c r="FI18" i="6" s="1"/>
  <c r="FJ16" i="6"/>
  <c r="FF35" i="6"/>
  <c r="J154" i="7"/>
  <c r="FI49" i="6" s="1"/>
  <c r="FI73" i="6"/>
  <c r="FG34" i="6"/>
  <c r="FH25" i="6"/>
  <c r="FH27" i="6" s="1"/>
  <c r="FH28" i="6" s="1"/>
  <c r="FI20" i="6"/>
  <c r="FI31" i="6"/>
  <c r="FH32" i="6"/>
  <c r="EJ65" i="6"/>
  <c r="EK64" i="6" s="1"/>
  <c r="FK30" i="6"/>
  <c r="FV51" i="6"/>
  <c r="FW22" i="6"/>
  <c r="FT69" i="6"/>
  <c r="FT70" i="6" s="1"/>
  <c r="FU68" i="6"/>
  <c r="K155" i="7"/>
  <c r="I155" i="7"/>
  <c r="FJ38" i="6" s="1"/>
  <c r="H156" i="7"/>
  <c r="FK59" i="6" s="1"/>
  <c r="FL1" i="6"/>
  <c r="FJ10" i="6"/>
  <c r="FK55" i="6"/>
  <c r="B156" i="4"/>
  <c r="A155" i="4"/>
  <c r="F83" i="4"/>
  <c r="G83" i="4" s="1"/>
  <c r="L83" i="4"/>
  <c r="I155" i="4"/>
  <c r="B157" i="7" l="1"/>
  <c r="A156" i="7"/>
  <c r="BC4" i="6"/>
  <c r="BC5" i="6"/>
  <c r="BC56" i="6"/>
  <c r="BD43" i="6"/>
  <c r="BD40" i="6"/>
  <c r="BD78" i="6"/>
  <c r="BD48" i="6"/>
  <c r="C54" i="7"/>
  <c r="EK65" i="6"/>
  <c r="EL64" i="6" s="1"/>
  <c r="FJ20" i="6"/>
  <c r="FI25" i="6"/>
  <c r="FX22" i="6"/>
  <c r="FW51" i="6"/>
  <c r="FM1" i="6"/>
  <c r="FJ31" i="6"/>
  <c r="FI32" i="6"/>
  <c r="FJ17" i="6"/>
  <c r="FJ18" i="6" s="1"/>
  <c r="FK16" i="6"/>
  <c r="FG35" i="6"/>
  <c r="I156" i="7"/>
  <c r="FK38" i="6" s="1"/>
  <c r="H157" i="7"/>
  <c r="K156" i="7"/>
  <c r="FV68" i="6"/>
  <c r="FU69" i="6"/>
  <c r="FU70" i="6" s="1"/>
  <c r="FH34" i="6"/>
  <c r="FK10" i="6"/>
  <c r="FL55" i="6"/>
  <c r="J155" i="7"/>
  <c r="FJ49" i="6" s="1"/>
  <c r="FJ73" i="6"/>
  <c r="FL30" i="6"/>
  <c r="I156" i="4"/>
  <c r="E84" i="4"/>
  <c r="D84" i="4"/>
  <c r="A156" i="4"/>
  <c r="B157" i="4"/>
  <c r="K156" i="4"/>
  <c r="K157" i="4" s="1"/>
  <c r="FI34" i="6" l="1"/>
  <c r="FI35" i="6" s="1"/>
  <c r="B158" i="7"/>
  <c r="A157" i="7"/>
  <c r="BE58" i="6"/>
  <c r="BE60" i="6" s="1"/>
  <c r="D54" i="7"/>
  <c r="BE37" i="6" s="1"/>
  <c r="F54" i="7"/>
  <c r="BD80" i="6"/>
  <c r="BD47" i="6"/>
  <c r="BD44" i="6"/>
  <c r="BD8" i="6"/>
  <c r="BC57" i="6"/>
  <c r="BC61" i="6" s="1"/>
  <c r="BC11" i="6" s="1"/>
  <c r="BC6" i="6"/>
  <c r="BC7" i="6"/>
  <c r="FI27" i="6"/>
  <c r="FI28" i="6" s="1"/>
  <c r="K157" i="7"/>
  <c r="H158" i="7"/>
  <c r="I157" i="7"/>
  <c r="FL38" i="6" s="1"/>
  <c r="FM55" i="6"/>
  <c r="FL10" i="6"/>
  <c r="FH35" i="6"/>
  <c r="FO1" i="6"/>
  <c r="FN1" i="6"/>
  <c r="FX51" i="6"/>
  <c r="FY22" i="6"/>
  <c r="FV69" i="6"/>
  <c r="FV70" i="6" s="1"/>
  <c r="FW68" i="6"/>
  <c r="FK31" i="6"/>
  <c r="FJ32" i="6"/>
  <c r="FM30" i="6"/>
  <c r="J156" i="7"/>
  <c r="FK49" i="6" s="1"/>
  <c r="FK73" i="6"/>
  <c r="FJ25" i="6"/>
  <c r="FK20" i="6"/>
  <c r="EL65" i="6"/>
  <c r="EM64" i="6" s="1"/>
  <c r="FL59" i="6"/>
  <c r="FK17" i="6"/>
  <c r="FK18" i="6" s="1"/>
  <c r="FL16" i="6"/>
  <c r="B158" i="4"/>
  <c r="A157" i="4"/>
  <c r="F84" i="4"/>
  <c r="G84" i="4" s="1"/>
  <c r="L84" i="4"/>
  <c r="I157" i="4"/>
  <c r="FJ34" i="6" l="1"/>
  <c r="FJ35" i="6" s="1"/>
  <c r="FM59" i="6"/>
  <c r="FN59" i="6" s="1"/>
  <c r="B159" i="7"/>
  <c r="A158" i="7"/>
  <c r="BD82" i="6"/>
  <c r="BD52" i="6"/>
  <c r="E54" i="7"/>
  <c r="BE72" i="6"/>
  <c r="BD9" i="6"/>
  <c r="BE39" i="6"/>
  <c r="BE42" i="6"/>
  <c r="H159" i="7"/>
  <c r="FO59" i="6" s="1"/>
  <c r="K158" i="7"/>
  <c r="I158" i="7"/>
  <c r="FM38" i="6" s="1"/>
  <c r="FN38" i="6" s="1"/>
  <c r="FW69" i="6"/>
  <c r="FW70" i="6" s="1"/>
  <c r="FX68" i="6"/>
  <c r="FP1" i="6"/>
  <c r="FL31" i="6"/>
  <c r="FK32" i="6"/>
  <c r="FZ22" i="6"/>
  <c r="FY51" i="6"/>
  <c r="FK25" i="6"/>
  <c r="FL20" i="6"/>
  <c r="FL17" i="6"/>
  <c r="FL18" i="6" s="1"/>
  <c r="FM16" i="6"/>
  <c r="J157" i="7"/>
  <c r="FL49" i="6" s="1"/>
  <c r="FL73" i="6"/>
  <c r="FO30" i="6"/>
  <c r="FN30" i="6"/>
  <c r="EN64" i="6"/>
  <c r="EM65" i="6"/>
  <c r="EN65" i="6" s="1"/>
  <c r="FJ27" i="6"/>
  <c r="FJ28" i="6" s="1"/>
  <c r="FO55" i="6"/>
  <c r="FN55" i="6"/>
  <c r="FM10" i="6"/>
  <c r="FN10" i="6" s="1"/>
  <c r="I158" i="4"/>
  <c r="E85" i="4"/>
  <c r="D85" i="4"/>
  <c r="A158" i="4"/>
  <c r="B159" i="4"/>
  <c r="K158" i="4"/>
  <c r="K159" i="4" s="1"/>
  <c r="FK34" i="6" l="1"/>
  <c r="FK35" i="6" s="1"/>
  <c r="B160" i="7"/>
  <c r="A159" i="7"/>
  <c r="BE40" i="6"/>
  <c r="BE43" i="6"/>
  <c r="BE78" i="6"/>
  <c r="BE48" i="6"/>
  <c r="C55" i="7"/>
  <c r="BD5" i="6"/>
  <c r="BD4" i="6"/>
  <c r="BD56" i="6"/>
  <c r="FP30" i="6"/>
  <c r="FX69" i="6"/>
  <c r="FX70" i="6" s="1"/>
  <c r="FY68" i="6"/>
  <c r="FL25" i="6"/>
  <c r="FL27" i="6" s="1"/>
  <c r="FL28" i="6" s="1"/>
  <c r="FM20" i="6"/>
  <c r="EO64" i="6"/>
  <c r="J158" i="7"/>
  <c r="FM49" i="6" s="1"/>
  <c r="FN49" i="6" s="1"/>
  <c r="FM73" i="6"/>
  <c r="FN73" i="6" s="1"/>
  <c r="GB22" i="6"/>
  <c r="FZ51" i="6"/>
  <c r="GA51" i="6" s="1"/>
  <c r="GA22" i="6"/>
  <c r="I159" i="7"/>
  <c r="FO38" i="6" s="1"/>
  <c r="K159" i="7"/>
  <c r="H160" i="7"/>
  <c r="FP59" i="6" s="1"/>
  <c r="FK27" i="6"/>
  <c r="FK28" i="6" s="1"/>
  <c r="FO16" i="6"/>
  <c r="FM17" i="6"/>
  <c r="FN17" i="6" s="1"/>
  <c r="FN16" i="6"/>
  <c r="FM31" i="6"/>
  <c r="FL32" i="6"/>
  <c r="FQ1" i="6"/>
  <c r="FP55" i="6"/>
  <c r="FO10" i="6"/>
  <c r="A159" i="4"/>
  <c r="B160" i="4"/>
  <c r="F85" i="4"/>
  <c r="G85" i="4" s="1"/>
  <c r="L85" i="4"/>
  <c r="I159" i="4"/>
  <c r="B161" i="7" l="1"/>
  <c r="A160" i="7"/>
  <c r="BD6" i="6"/>
  <c r="BD57" i="6"/>
  <c r="BD61" i="6" s="1"/>
  <c r="BD11" i="6" s="1"/>
  <c r="BD7" i="6"/>
  <c r="F55" i="7"/>
  <c r="D55" i="7"/>
  <c r="BF37" i="6" s="1"/>
  <c r="BF58" i="6"/>
  <c r="BF60" i="6" s="1"/>
  <c r="BE80" i="6"/>
  <c r="BE47" i="6"/>
  <c r="BE8" i="6"/>
  <c r="BE44" i="6"/>
  <c r="FQ55" i="6"/>
  <c r="FP10" i="6"/>
  <c r="FQ30" i="6"/>
  <c r="FO31" i="6"/>
  <c r="FN31" i="6"/>
  <c r="FM32" i="6"/>
  <c r="FN32" i="6" s="1"/>
  <c r="FM18" i="6"/>
  <c r="FO20" i="6"/>
  <c r="FM25" i="6"/>
  <c r="FN25" i="6" s="1"/>
  <c r="FN20" i="6"/>
  <c r="FR1" i="6"/>
  <c r="I160" i="7"/>
  <c r="FP38" i="6" s="1"/>
  <c r="K160" i="7"/>
  <c r="H161" i="7"/>
  <c r="FL34" i="6"/>
  <c r="GC22" i="6"/>
  <c r="GB51" i="6"/>
  <c r="FO17" i="6"/>
  <c r="FO18" i="6" s="1"/>
  <c r="FP16" i="6"/>
  <c r="EO65" i="6"/>
  <c r="EP64" i="6" s="1"/>
  <c r="J159" i="7"/>
  <c r="FO49" i="6" s="1"/>
  <c r="FO73" i="6"/>
  <c r="FZ68" i="6"/>
  <c r="FY69" i="6"/>
  <c r="FY70" i="6" s="1"/>
  <c r="I160" i="4"/>
  <c r="E86" i="4"/>
  <c r="D86" i="4"/>
  <c r="B161" i="4"/>
  <c r="A160" i="4"/>
  <c r="K160" i="4"/>
  <c r="K161" i="4" s="1"/>
  <c r="B162" i="7" l="1"/>
  <c r="A161" i="7"/>
  <c r="BE9" i="6"/>
  <c r="BE52" i="6"/>
  <c r="BE82" i="6"/>
  <c r="BF39" i="6"/>
  <c r="BF42" i="6"/>
  <c r="BF72" i="6"/>
  <c r="E55" i="7"/>
  <c r="J160" i="7"/>
  <c r="FP49" i="6" s="1"/>
  <c r="FP73" i="6"/>
  <c r="FP31" i="6"/>
  <c r="FO32" i="6"/>
  <c r="FP20" i="6"/>
  <c r="FO25" i="6"/>
  <c r="FS1" i="6"/>
  <c r="FM27" i="6"/>
  <c r="FM34" i="6"/>
  <c r="FN18" i="6"/>
  <c r="GC51" i="6"/>
  <c r="GD22" i="6"/>
  <c r="FR55" i="6"/>
  <c r="FQ10" i="6"/>
  <c r="FL35" i="6"/>
  <c r="GB68" i="6"/>
  <c r="FZ69" i="6"/>
  <c r="GA69" i="6" s="1"/>
  <c r="GA68" i="6"/>
  <c r="H162" i="7"/>
  <c r="I161" i="7"/>
  <c r="FQ38" i="6" s="1"/>
  <c r="K161" i="7"/>
  <c r="FR30" i="6"/>
  <c r="EP65" i="6"/>
  <c r="EQ64" i="6" s="1"/>
  <c r="FQ16" i="6"/>
  <c r="FP17" i="6"/>
  <c r="FP18" i="6" s="1"/>
  <c r="FQ59" i="6"/>
  <c r="B162" i="4"/>
  <c r="A161" i="4"/>
  <c r="F86" i="4"/>
  <c r="G86" i="4" s="1"/>
  <c r="L86" i="4"/>
  <c r="I161" i="4"/>
  <c r="FO34" i="6" l="1"/>
  <c r="FO35" i="6" s="1"/>
  <c r="B163" i="7"/>
  <c r="A162" i="7"/>
  <c r="BF48" i="6"/>
  <c r="C56" i="7"/>
  <c r="BF78" i="6"/>
  <c r="BF40" i="6"/>
  <c r="BF43" i="6"/>
  <c r="BE5" i="6"/>
  <c r="BE4" i="6"/>
  <c r="BE56" i="6"/>
  <c r="FS55" i="6"/>
  <c r="FR10" i="6"/>
  <c r="FM35" i="6"/>
  <c r="FN34" i="6"/>
  <c r="FN35" i="6" s="1"/>
  <c r="FM28" i="6"/>
  <c r="FN27" i="6"/>
  <c r="FN28" i="6" s="1"/>
  <c r="K162" i="7"/>
  <c r="I162" i="7"/>
  <c r="FR38" i="6" s="1"/>
  <c r="H163" i="7"/>
  <c r="FS59" i="6" s="1"/>
  <c r="FQ20" i="6"/>
  <c r="FP25" i="6"/>
  <c r="FP27" i="6" s="1"/>
  <c r="FP28" i="6" s="1"/>
  <c r="FR59" i="6"/>
  <c r="FZ70" i="6"/>
  <c r="GB69" i="6"/>
  <c r="GB70" i="6" s="1"/>
  <c r="GC68" i="6"/>
  <c r="FR16" i="6"/>
  <c r="FQ17" i="6"/>
  <c r="FQ18" i="6" s="1"/>
  <c r="GE22" i="6"/>
  <c r="GD51" i="6"/>
  <c r="J161" i="7"/>
  <c r="FQ49" i="6" s="1"/>
  <c r="FQ73" i="6"/>
  <c r="FQ31" i="6"/>
  <c r="FP32" i="6"/>
  <c r="EQ65" i="6"/>
  <c r="ER64" i="6" s="1"/>
  <c r="FS30" i="6"/>
  <c r="FO27" i="6"/>
  <c r="FT1" i="6"/>
  <c r="I162" i="4"/>
  <c r="D87" i="4"/>
  <c r="E87" i="4"/>
  <c r="B163" i="4"/>
  <c r="A162" i="4"/>
  <c r="K162" i="4"/>
  <c r="K163" i="4" s="1"/>
  <c r="B164" i="7" l="1"/>
  <c r="A163" i="7"/>
  <c r="BE6" i="6"/>
  <c r="BE57" i="6"/>
  <c r="BE61" i="6" s="1"/>
  <c r="BE11" i="6" s="1"/>
  <c r="BE7" i="6"/>
  <c r="BF44" i="6"/>
  <c r="BF47" i="6"/>
  <c r="BF8" i="6"/>
  <c r="BF80" i="6"/>
  <c r="D56" i="7"/>
  <c r="BG37" i="6" s="1"/>
  <c r="F56" i="7"/>
  <c r="BG58" i="6"/>
  <c r="BG60" i="6" s="1"/>
  <c r="FT30" i="6"/>
  <c r="FQ25" i="6"/>
  <c r="FQ27" i="6" s="1"/>
  <c r="FQ28" i="6" s="1"/>
  <c r="FR20" i="6"/>
  <c r="FR31" i="6"/>
  <c r="FQ32" i="6"/>
  <c r="FS16" i="6"/>
  <c r="FR17" i="6"/>
  <c r="FR18" i="6" s="1"/>
  <c r="FO28" i="6"/>
  <c r="ER65" i="6"/>
  <c r="ES64" i="6" s="1"/>
  <c r="GE51" i="6"/>
  <c r="GF22" i="6"/>
  <c r="FT55" i="6"/>
  <c r="FS10" i="6"/>
  <c r="GC69" i="6"/>
  <c r="GC70" i="6" s="1"/>
  <c r="GD68" i="6"/>
  <c r="GA70" i="6"/>
  <c r="H164" i="7"/>
  <c r="FT59" i="6" s="1"/>
  <c r="K163" i="7"/>
  <c r="I163" i="7"/>
  <c r="FS38" i="6" s="1"/>
  <c r="J162" i="7"/>
  <c r="FR49" i="6" s="1"/>
  <c r="FR73" i="6"/>
  <c r="FU1" i="6"/>
  <c r="FP34" i="6"/>
  <c r="B164" i="4"/>
  <c r="A163" i="4"/>
  <c r="F87" i="4"/>
  <c r="G87" i="4" s="1"/>
  <c r="L87" i="4"/>
  <c r="I163" i="4"/>
  <c r="FQ34" i="6" l="1"/>
  <c r="FQ35" i="6" s="1"/>
  <c r="B165" i="7"/>
  <c r="A164" i="7"/>
  <c r="E56" i="7"/>
  <c r="BG72" i="6"/>
  <c r="BG78" i="6" s="1"/>
  <c r="BG80" i="6" s="1"/>
  <c r="BF52" i="6"/>
  <c r="BG42" i="6"/>
  <c r="BG39" i="6"/>
  <c r="BF82" i="6"/>
  <c r="BF9" i="6"/>
  <c r="ES65" i="6"/>
  <c r="ET64" i="6" s="1"/>
  <c r="FV1" i="6"/>
  <c r="FS20" i="6"/>
  <c r="FR25" i="6"/>
  <c r="FR34" i="6" s="1"/>
  <c r="FS17" i="6"/>
  <c r="FS18" i="6" s="1"/>
  <c r="FT16" i="6"/>
  <c r="GF51" i="6"/>
  <c r="GG22" i="6"/>
  <c r="GE68" i="6"/>
  <c r="GD69" i="6"/>
  <c r="FP35" i="6"/>
  <c r="FU30" i="6"/>
  <c r="J163" i="7"/>
  <c r="FS49" i="6" s="1"/>
  <c r="FS73" i="6"/>
  <c r="FS31" i="6"/>
  <c r="FR32" i="6"/>
  <c r="I164" i="7"/>
  <c r="FT38" i="6" s="1"/>
  <c r="K164" i="7"/>
  <c r="H165" i="7"/>
  <c r="FU55" i="6"/>
  <c r="FT10" i="6"/>
  <c r="I164" i="4"/>
  <c r="D88" i="4"/>
  <c r="E88" i="4"/>
  <c r="B165" i="4"/>
  <c r="A164" i="4"/>
  <c r="K164" i="4"/>
  <c r="K165" i="4" s="1"/>
  <c r="BG82" i="6" l="1"/>
  <c r="B166" i="7"/>
  <c r="A165" i="7"/>
  <c r="BG40" i="6"/>
  <c r="BG43" i="6"/>
  <c r="BF4" i="6"/>
  <c r="BF5" i="6"/>
  <c r="BF56" i="6"/>
  <c r="BG48" i="6"/>
  <c r="C57" i="7"/>
  <c r="FR35" i="6"/>
  <c r="ET65" i="6"/>
  <c r="EU64" i="6" s="1"/>
  <c r="I165" i="7"/>
  <c r="FU38" i="6" s="1"/>
  <c r="K165" i="7"/>
  <c r="H166" i="7"/>
  <c r="FT31" i="6"/>
  <c r="FS32" i="6"/>
  <c r="FT20" i="6"/>
  <c r="FS25" i="6"/>
  <c r="FR27" i="6"/>
  <c r="FU10" i="6"/>
  <c r="FV55" i="6"/>
  <c r="GD70" i="6"/>
  <c r="J164" i="7"/>
  <c r="FT49" i="6" s="1"/>
  <c r="FT73" i="6"/>
  <c r="GE69" i="6"/>
  <c r="GE70" i="6" s="1"/>
  <c r="GF68" i="6"/>
  <c r="FW1" i="6"/>
  <c r="FU59" i="6"/>
  <c r="FV30" i="6"/>
  <c r="FT17" i="6"/>
  <c r="FT18" i="6" s="1"/>
  <c r="FU16" i="6"/>
  <c r="GG51" i="6"/>
  <c r="GH22" i="6"/>
  <c r="A165" i="4"/>
  <c r="B166" i="4"/>
  <c r="F88" i="4"/>
  <c r="G88" i="4" s="1"/>
  <c r="L88" i="4"/>
  <c r="I165" i="4"/>
  <c r="FS34" i="6" l="1"/>
  <c r="FS35" i="6" s="1"/>
  <c r="FS27" i="6"/>
  <c r="FS28" i="6" s="1"/>
  <c r="B167" i="7"/>
  <c r="A166" i="7"/>
  <c r="BF6" i="6"/>
  <c r="BF57" i="6"/>
  <c r="BF61" i="6" s="1"/>
  <c r="BF11" i="6" s="1"/>
  <c r="F57" i="7"/>
  <c r="BH58" i="6"/>
  <c r="BH60" i="6" s="1"/>
  <c r="D57" i="7"/>
  <c r="BH37" i="6" s="1"/>
  <c r="BF7" i="6"/>
  <c r="BG44" i="6"/>
  <c r="BG8" i="6"/>
  <c r="BG9" i="6" s="1"/>
  <c r="BG47" i="6"/>
  <c r="BG52" i="6" s="1"/>
  <c r="EU65" i="6"/>
  <c r="EV64" i="6" s="1"/>
  <c r="FX1" i="6"/>
  <c r="FV10" i="6"/>
  <c r="FW55" i="6"/>
  <c r="FU17" i="6"/>
  <c r="FU18" i="6" s="1"/>
  <c r="FV16" i="6"/>
  <c r="H167" i="7"/>
  <c r="FW59" i="6" s="1"/>
  <c r="I166" i="7"/>
  <c r="FV38" i="6" s="1"/>
  <c r="K166" i="7"/>
  <c r="FR28" i="6"/>
  <c r="FW30" i="6"/>
  <c r="GH51" i="6"/>
  <c r="GI22" i="6"/>
  <c r="J165" i="7"/>
  <c r="FU49" i="6" s="1"/>
  <c r="FU73" i="6"/>
  <c r="FU31" i="6"/>
  <c r="FT32" i="6"/>
  <c r="FV59" i="6"/>
  <c r="FT25" i="6"/>
  <c r="FT27" i="6" s="1"/>
  <c r="FU20" i="6"/>
  <c r="GG68" i="6"/>
  <c r="GF69" i="6"/>
  <c r="GF70" i="6" s="1"/>
  <c r="I166" i="4"/>
  <c r="E89" i="4"/>
  <c r="D89" i="4"/>
  <c r="A166" i="4"/>
  <c r="B167" i="4"/>
  <c r="K166" i="4"/>
  <c r="K167" i="4" s="1"/>
  <c r="B168" i="7" l="1"/>
  <c r="A167" i="7"/>
  <c r="BH42" i="6"/>
  <c r="BH39" i="6"/>
  <c r="E57" i="7"/>
  <c r="BH72" i="6"/>
  <c r="BH78" i="6" s="1"/>
  <c r="BH80" i="6" s="1"/>
  <c r="BH82" i="6" s="1"/>
  <c r="BG5" i="6"/>
  <c r="BG7" i="6" s="1"/>
  <c r="BG4" i="6"/>
  <c r="BG56" i="6"/>
  <c r="FT28" i="6"/>
  <c r="EV65" i="6"/>
  <c r="EW64" i="6" s="1"/>
  <c r="FW10" i="6"/>
  <c r="FX55" i="6"/>
  <c r="GI51" i="6"/>
  <c r="GJ22" i="6"/>
  <c r="J166" i="7"/>
  <c r="FV49" i="6" s="1"/>
  <c r="FV73" i="6"/>
  <c r="K167" i="7"/>
  <c r="H168" i="7"/>
  <c r="I167" i="7"/>
  <c r="FW38" i="6" s="1"/>
  <c r="FW16" i="6"/>
  <c r="FV17" i="6"/>
  <c r="FV18" i="6" s="1"/>
  <c r="GG69" i="6"/>
  <c r="GG70" i="6" s="1"/>
  <c r="GH68" i="6"/>
  <c r="FV31" i="6"/>
  <c r="FU32" i="6"/>
  <c r="FU25" i="6"/>
  <c r="FU34" i="6" s="1"/>
  <c r="FV20" i="6"/>
  <c r="FT34" i="6"/>
  <c r="FX30" i="6"/>
  <c r="FY1" i="6"/>
  <c r="B168" i="4"/>
  <c r="A167" i="4"/>
  <c r="F89" i="4"/>
  <c r="G89" i="4" s="1"/>
  <c r="L89" i="4"/>
  <c r="I167" i="4"/>
  <c r="FU27" i="6" l="1"/>
  <c r="FU28" i="6" s="1"/>
  <c r="B169" i="7"/>
  <c r="A168" i="7"/>
  <c r="BH48" i="6"/>
  <c r="C58" i="7"/>
  <c r="BG6" i="6"/>
  <c r="BG57" i="6"/>
  <c r="BG61" i="6" s="1"/>
  <c r="BG11" i="6" s="1"/>
  <c r="BH43" i="6"/>
  <c r="BH40" i="6"/>
  <c r="EW65" i="6"/>
  <c r="EX64" i="6" s="1"/>
  <c r="FZ1" i="6"/>
  <c r="K168" i="7"/>
  <c r="I168" i="7"/>
  <c r="FX38" i="6" s="1"/>
  <c r="H169" i="7"/>
  <c r="GH69" i="6"/>
  <c r="GH70" i="6" s="1"/>
  <c r="GI68" i="6"/>
  <c r="FY30" i="6"/>
  <c r="FT35" i="6"/>
  <c r="FU35" i="6"/>
  <c r="FV25" i="6"/>
  <c r="FV27" i="6" s="1"/>
  <c r="FV28" i="6" s="1"/>
  <c r="FW20" i="6"/>
  <c r="FY55" i="6"/>
  <c r="FX10" i="6"/>
  <c r="FX16" i="6"/>
  <c r="FW17" i="6"/>
  <c r="FW18" i="6" s="1"/>
  <c r="J167" i="7"/>
  <c r="FW49" i="6" s="1"/>
  <c r="FW73" i="6"/>
  <c r="GJ51" i="6"/>
  <c r="GK22" i="6"/>
  <c r="FW31" i="6"/>
  <c r="FV32" i="6"/>
  <c r="FX59" i="6"/>
  <c r="I168" i="4"/>
  <c r="E90" i="4"/>
  <c r="D90" i="4"/>
  <c r="A168" i="4"/>
  <c r="B169" i="4"/>
  <c r="K168" i="4"/>
  <c r="K169" i="4" s="1"/>
  <c r="FV34" i="6" l="1"/>
  <c r="FV35" i="6" s="1"/>
  <c r="B170" i="7"/>
  <c r="A169" i="7"/>
  <c r="BH8" i="6"/>
  <c r="BH9" i="6" s="1"/>
  <c r="BH44" i="6"/>
  <c r="BH47" i="6"/>
  <c r="BH52" i="6" s="1"/>
  <c r="F58" i="7"/>
  <c r="D58" i="7"/>
  <c r="BI37" i="6" s="1"/>
  <c r="BI58" i="6"/>
  <c r="BI60" i="6" s="1"/>
  <c r="EX65" i="6"/>
  <c r="EY64" i="6" s="1"/>
  <c r="FX17" i="6"/>
  <c r="FX18" i="6" s="1"/>
  <c r="FY16" i="6"/>
  <c r="FZ30" i="6"/>
  <c r="GK51" i="6"/>
  <c r="GL22" i="6"/>
  <c r="FZ55" i="6"/>
  <c r="FY10" i="6"/>
  <c r="FX31" i="6"/>
  <c r="FW32" i="6"/>
  <c r="I169" i="7"/>
  <c r="FY38" i="6" s="1"/>
  <c r="H170" i="7"/>
  <c r="K169" i="7"/>
  <c r="FY59" i="6"/>
  <c r="FZ59" i="6"/>
  <c r="GA59" i="6" s="1"/>
  <c r="GB1" i="6"/>
  <c r="GA1" i="6"/>
  <c r="GI69" i="6"/>
  <c r="GI70" i="6" s="1"/>
  <c r="GJ68" i="6"/>
  <c r="FX20" i="6"/>
  <c r="FW25" i="6"/>
  <c r="J168" i="7"/>
  <c r="FX49" i="6" s="1"/>
  <c r="FX73" i="6"/>
  <c r="A169" i="4"/>
  <c r="B170" i="4"/>
  <c r="F90" i="4"/>
  <c r="G90" i="4" s="1"/>
  <c r="L90" i="4"/>
  <c r="I169" i="4"/>
  <c r="FW34" i="6" l="1"/>
  <c r="FW35" i="6" s="1"/>
  <c r="B171" i="7"/>
  <c r="A170" i="7"/>
  <c r="BI42" i="6"/>
  <c r="BI39" i="6"/>
  <c r="BH4" i="6"/>
  <c r="BH5" i="6"/>
  <c r="BH7" i="6" s="1"/>
  <c r="BH56" i="6"/>
  <c r="E58" i="7"/>
  <c r="BI72" i="6"/>
  <c r="BI78" i="6" s="1"/>
  <c r="BI80" i="6" s="1"/>
  <c r="BI82" i="6" s="1"/>
  <c r="GC1" i="6"/>
  <c r="GB55" i="6"/>
  <c r="GA55" i="6"/>
  <c r="FZ10" i="6"/>
  <c r="GA10" i="6" s="1"/>
  <c r="GB30" i="6"/>
  <c r="GA30" i="6"/>
  <c r="FX25" i="6"/>
  <c r="FX27" i="6" s="1"/>
  <c r="FX28" i="6" s="1"/>
  <c r="FY20" i="6"/>
  <c r="FY31" i="6"/>
  <c r="FX32" i="6"/>
  <c r="GL51" i="6"/>
  <c r="GM22" i="6"/>
  <c r="I170" i="7"/>
  <c r="FZ38" i="6" s="1"/>
  <c r="GA38" i="6" s="1"/>
  <c r="H171" i="7"/>
  <c r="GB59" i="6" s="1"/>
  <c r="K170" i="7"/>
  <c r="EY65" i="6"/>
  <c r="EZ64" i="6" s="1"/>
  <c r="FW27" i="6"/>
  <c r="FW28" i="6" s="1"/>
  <c r="J169" i="7"/>
  <c r="FY49" i="6" s="1"/>
  <c r="FY73" i="6"/>
  <c r="FY17" i="6"/>
  <c r="FY18" i="6" s="1"/>
  <c r="FZ16" i="6"/>
  <c r="GJ69" i="6"/>
  <c r="GJ70" i="6" s="1"/>
  <c r="GK68" i="6"/>
  <c r="I170" i="4"/>
  <c r="D91" i="4"/>
  <c r="E91" i="4"/>
  <c r="A170" i="4"/>
  <c r="B171" i="4"/>
  <c r="K170" i="4"/>
  <c r="B172" i="7" l="1"/>
  <c r="A171" i="7"/>
  <c r="BH6" i="6"/>
  <c r="BH57" i="6"/>
  <c r="BH61" i="6" s="1"/>
  <c r="BH11" i="6" s="1"/>
  <c r="BI43" i="6"/>
  <c r="BI40" i="6"/>
  <c r="BI48" i="6"/>
  <c r="C59" i="7"/>
  <c r="EZ65" i="6"/>
  <c r="FA65" i="6" s="1"/>
  <c r="FA64" i="6"/>
  <c r="GC55" i="6"/>
  <c r="GB10" i="6"/>
  <c r="FY25" i="6"/>
  <c r="FY34" i="6" s="1"/>
  <c r="FZ20" i="6"/>
  <c r="FZ31" i="6"/>
  <c r="FY32" i="6"/>
  <c r="GM51" i="6"/>
  <c r="GN51" i="6" s="1"/>
  <c r="GO22" i="6"/>
  <c r="GN22" i="6"/>
  <c r="GC30" i="6"/>
  <c r="J170" i="7"/>
  <c r="FZ49" i="6" s="1"/>
  <c r="GA49" i="6" s="1"/>
  <c r="FZ73" i="6"/>
  <c r="GA73" i="6" s="1"/>
  <c r="GD1" i="6"/>
  <c r="GL68" i="6"/>
  <c r="GK69" i="6"/>
  <c r="GK70" i="6" s="1"/>
  <c r="FX34" i="6"/>
  <c r="GB16" i="6"/>
  <c r="FZ17" i="6"/>
  <c r="GA17" i="6" s="1"/>
  <c r="GA16" i="6"/>
  <c r="H172" i="7"/>
  <c r="K171" i="7"/>
  <c r="I171" i="7"/>
  <c r="GB38" i="6" s="1"/>
  <c r="A171" i="4"/>
  <c r="B172" i="4"/>
  <c r="K171" i="4"/>
  <c r="K172" i="4" s="1"/>
  <c r="F91" i="4"/>
  <c r="G91" i="4" s="1"/>
  <c r="L91" i="4"/>
  <c r="I171" i="4"/>
  <c r="FB64" i="6" l="1"/>
  <c r="FB65" i="6" s="1"/>
  <c r="FC64" i="6" s="1"/>
  <c r="B173" i="7"/>
  <c r="A172" i="7"/>
  <c r="BI44" i="6"/>
  <c r="BI8" i="6"/>
  <c r="BI9" i="6" s="1"/>
  <c r="BI47" i="6"/>
  <c r="BI52" i="6" s="1"/>
  <c r="D59" i="7"/>
  <c r="BJ37" i="6" s="1"/>
  <c r="F59" i="7"/>
  <c r="BJ58" i="6"/>
  <c r="BJ60" i="6" s="1"/>
  <c r="FY35" i="6"/>
  <c r="GD59" i="6"/>
  <c r="GE1" i="6"/>
  <c r="GB31" i="6"/>
  <c r="GA31" i="6"/>
  <c r="FZ32" i="6"/>
  <c r="GA32" i="6" s="1"/>
  <c r="GD30" i="6"/>
  <c r="J171" i="7"/>
  <c r="GB49" i="6" s="1"/>
  <c r="GB73" i="6"/>
  <c r="K172" i="7"/>
  <c r="I172" i="7"/>
  <c r="GC38" i="6" s="1"/>
  <c r="H173" i="7"/>
  <c r="GC59" i="6"/>
  <c r="GC16" i="6"/>
  <c r="GB17" i="6"/>
  <c r="GB18" i="6" s="1"/>
  <c r="GO51" i="6"/>
  <c r="GP22" i="6"/>
  <c r="FY27" i="6"/>
  <c r="FY28" i="6" s="1"/>
  <c r="GB20" i="6"/>
  <c r="FZ25" i="6"/>
  <c r="GA25" i="6" s="1"/>
  <c r="GA20" i="6"/>
  <c r="GD55" i="6"/>
  <c r="GC10" i="6"/>
  <c r="FZ18" i="6"/>
  <c r="FX35" i="6"/>
  <c r="GL69" i="6"/>
  <c r="GL70" i="6" s="1"/>
  <c r="GM68" i="6"/>
  <c r="I172" i="4"/>
  <c r="A172" i="4"/>
  <c r="B173" i="4"/>
  <c r="E92" i="4"/>
  <c r="D92" i="4"/>
  <c r="B174" i="7" l="1"/>
  <c r="A173" i="7"/>
  <c r="E59" i="7"/>
  <c r="BJ72" i="6"/>
  <c r="BJ78" i="6" s="1"/>
  <c r="BJ80" i="6" s="1"/>
  <c r="BJ82" i="6" s="1"/>
  <c r="BJ39" i="6"/>
  <c r="BJ42" i="6"/>
  <c r="BI5" i="6"/>
  <c r="BI7" i="6" s="1"/>
  <c r="BI4" i="6"/>
  <c r="BI56" i="6"/>
  <c r="GC17" i="6"/>
  <c r="GD16" i="6"/>
  <c r="GE55" i="6"/>
  <c r="GD10" i="6"/>
  <c r="GC31" i="6"/>
  <c r="GB32" i="6"/>
  <c r="FC65" i="6"/>
  <c r="FD64" i="6" s="1"/>
  <c r="GM69" i="6"/>
  <c r="GN69" i="6" s="1"/>
  <c r="GO68" i="6"/>
  <c r="GN68" i="6"/>
  <c r="GE30" i="6"/>
  <c r="GQ22" i="6"/>
  <c r="GP51" i="6"/>
  <c r="J172" i="7"/>
  <c r="GC49" i="6" s="1"/>
  <c r="GC73" i="6"/>
  <c r="FZ27" i="6"/>
  <c r="FZ34" i="6"/>
  <c r="GA18" i="6"/>
  <c r="GC20" i="6"/>
  <c r="GB25" i="6"/>
  <c r="K173" i="7"/>
  <c r="H174" i="7"/>
  <c r="GE59" i="6" s="1"/>
  <c r="I173" i="7"/>
  <c r="GD38" i="6" s="1"/>
  <c r="GF1" i="6"/>
  <c r="B174" i="4"/>
  <c r="A173" i="4"/>
  <c r="K173" i="4"/>
  <c r="K174" i="4" s="1"/>
  <c r="I173" i="4"/>
  <c r="F92" i="4"/>
  <c r="G92" i="4" s="1"/>
  <c r="L92" i="4"/>
  <c r="B175" i="7" l="1"/>
  <c r="A174" i="7"/>
  <c r="BI6" i="6"/>
  <c r="BI57" i="6"/>
  <c r="BI61" i="6" s="1"/>
  <c r="BI11" i="6" s="1"/>
  <c r="BJ40" i="6"/>
  <c r="BJ43" i="6"/>
  <c r="BJ48" i="6"/>
  <c r="C60" i="7"/>
  <c r="FZ28" i="6"/>
  <c r="GA27" i="6"/>
  <c r="GA28" i="6" s="1"/>
  <c r="I174" i="7"/>
  <c r="GE38" i="6" s="1"/>
  <c r="K174" i="7"/>
  <c r="H175" i="7"/>
  <c r="GF59" i="6" s="1"/>
  <c r="GC25" i="6"/>
  <c r="GD20" i="6"/>
  <c r="GB27" i="6"/>
  <c r="FZ35" i="6"/>
  <c r="GA34" i="6"/>
  <c r="GA35" i="6" s="1"/>
  <c r="GE16" i="6"/>
  <c r="GD17" i="6"/>
  <c r="GC18" i="6"/>
  <c r="J173" i="7"/>
  <c r="GD49" i="6" s="1"/>
  <c r="GD73" i="6"/>
  <c r="FD65" i="6"/>
  <c r="FE64" i="6" s="1"/>
  <c r="GQ51" i="6"/>
  <c r="GR22" i="6"/>
  <c r="GG1" i="6"/>
  <c r="GF30" i="6"/>
  <c r="GB34" i="6"/>
  <c r="GF55" i="6"/>
  <c r="GE10" i="6"/>
  <c r="GP68" i="6"/>
  <c r="GO69" i="6"/>
  <c r="GM70" i="6"/>
  <c r="GD31" i="6"/>
  <c r="GC32" i="6"/>
  <c r="I174" i="4"/>
  <c r="E93" i="4"/>
  <c r="D93" i="4"/>
  <c r="A174" i="4"/>
  <c r="B175" i="4"/>
  <c r="B176" i="7" l="1"/>
  <c r="A175" i="7"/>
  <c r="D60" i="7"/>
  <c r="BK37" i="6" s="1"/>
  <c r="F60" i="7"/>
  <c r="BK58" i="6"/>
  <c r="BK60" i="6" s="1"/>
  <c r="BJ44" i="6"/>
  <c r="BJ8" i="6"/>
  <c r="BJ9" i="6" s="1"/>
  <c r="BJ47" i="6"/>
  <c r="BJ52" i="6" s="1"/>
  <c r="I175" i="7"/>
  <c r="GF38" i="6" s="1"/>
  <c r="H176" i="7"/>
  <c r="K175" i="7"/>
  <c r="GQ68" i="6"/>
  <c r="GP69" i="6"/>
  <c r="GG59" i="6"/>
  <c r="GH1" i="6"/>
  <c r="GE20" i="6"/>
  <c r="GD25" i="6"/>
  <c r="GF16" i="6"/>
  <c r="GE17" i="6"/>
  <c r="GE18" i="6" s="1"/>
  <c r="GB35" i="6"/>
  <c r="FE65" i="6"/>
  <c r="FF64" i="6" s="1"/>
  <c r="GN70" i="6"/>
  <c r="GD18" i="6"/>
  <c r="GB28" i="6"/>
  <c r="GC34" i="6"/>
  <c r="GC27" i="6"/>
  <c r="GC28" i="6" s="1"/>
  <c r="GO70" i="6"/>
  <c r="J174" i="7"/>
  <c r="GE49" i="6" s="1"/>
  <c r="GE73" i="6"/>
  <c r="GG55" i="6"/>
  <c r="GF10" i="6"/>
  <c r="GR51" i="6"/>
  <c r="GS22" i="6"/>
  <c r="GE31" i="6"/>
  <c r="GD32" i="6"/>
  <c r="GG30" i="6"/>
  <c r="F93" i="4"/>
  <c r="G93" i="4" s="1"/>
  <c r="L93" i="4"/>
  <c r="A175" i="4"/>
  <c r="B176" i="4"/>
  <c r="K175" i="4"/>
  <c r="K176" i="4" s="1"/>
  <c r="I175" i="4"/>
  <c r="B177" i="7" l="1"/>
  <c r="A176" i="7"/>
  <c r="E60" i="7"/>
  <c r="BK72" i="6"/>
  <c r="BK78" i="6" s="1"/>
  <c r="BK80" i="6" s="1"/>
  <c r="BK82" i="6" s="1"/>
  <c r="BJ5" i="6"/>
  <c r="BJ7" i="6" s="1"/>
  <c r="BJ4" i="6"/>
  <c r="BJ56" i="6"/>
  <c r="BK39" i="6"/>
  <c r="BK42" i="6"/>
  <c r="GH55" i="6"/>
  <c r="GG10" i="6"/>
  <c r="GH30" i="6"/>
  <c r="GP70" i="6"/>
  <c r="K176" i="7"/>
  <c r="I176" i="7"/>
  <c r="GG38" i="6" s="1"/>
  <c r="H177" i="7"/>
  <c r="GI1" i="6"/>
  <c r="GH59" i="6"/>
  <c r="GR68" i="6"/>
  <c r="GQ69" i="6"/>
  <c r="GQ70" i="6" s="1"/>
  <c r="GF20" i="6"/>
  <c r="GE25" i="6"/>
  <c r="GE27" i="6" s="1"/>
  <c r="GE28" i="6" s="1"/>
  <c r="GC35" i="6"/>
  <c r="FF65" i="6"/>
  <c r="FG64" i="6" s="1"/>
  <c r="J175" i="7"/>
  <c r="GF49" i="6" s="1"/>
  <c r="GF73" i="6"/>
  <c r="GF31" i="6"/>
  <c r="GE32" i="6"/>
  <c r="GT22" i="6"/>
  <c r="GS51" i="6"/>
  <c r="GD34" i="6"/>
  <c r="GD27" i="6"/>
  <c r="GD28" i="6" s="1"/>
  <c r="GF17" i="6"/>
  <c r="GF18" i="6" s="1"/>
  <c r="GG16" i="6"/>
  <c r="I176" i="4"/>
  <c r="B177" i="4"/>
  <c r="A176" i="4"/>
  <c r="D94" i="4"/>
  <c r="E94" i="4"/>
  <c r="GE34" i="6" l="1"/>
  <c r="GE35" i="6" s="1"/>
  <c r="B178" i="7"/>
  <c r="A177" i="7"/>
  <c r="BK43" i="6"/>
  <c r="BK40" i="6"/>
  <c r="BJ6" i="6"/>
  <c r="BJ57" i="6"/>
  <c r="BJ61" i="6" s="1"/>
  <c r="BJ11" i="6" s="1"/>
  <c r="BK48" i="6"/>
  <c r="C61" i="7"/>
  <c r="FG65" i="6"/>
  <c r="FH64" i="6" s="1"/>
  <c r="GI55" i="6"/>
  <c r="GH10" i="6"/>
  <c r="K177" i="7"/>
  <c r="I177" i="7"/>
  <c r="GH38" i="6" s="1"/>
  <c r="H178" i="7"/>
  <c r="GI59" i="6" s="1"/>
  <c r="GI30" i="6"/>
  <c r="GJ1" i="6"/>
  <c r="GD35" i="6"/>
  <c r="J176" i="7"/>
  <c r="GG49" i="6" s="1"/>
  <c r="GG73" i="6"/>
  <c r="GS68" i="6"/>
  <c r="GR69" i="6"/>
  <c r="GR70" i="6" s="1"/>
  <c r="GH16" i="6"/>
  <c r="GG17" i="6"/>
  <c r="GG18" i="6" s="1"/>
  <c r="GT51" i="6"/>
  <c r="GU22" i="6"/>
  <c r="GG20" i="6"/>
  <c r="GF25" i="6"/>
  <c r="GF27" i="6" s="1"/>
  <c r="GF28" i="6" s="1"/>
  <c r="GG31" i="6"/>
  <c r="GF32" i="6"/>
  <c r="F94" i="4"/>
  <c r="G94" i="4" s="1"/>
  <c r="L94" i="4"/>
  <c r="A177" i="4"/>
  <c r="B178" i="4"/>
  <c r="I177" i="4"/>
  <c r="K177" i="4"/>
  <c r="K178" i="4" s="1"/>
  <c r="GF34" i="6" l="1"/>
  <c r="GF35" i="6" s="1"/>
  <c r="B179" i="7"/>
  <c r="A178" i="7"/>
  <c r="D61" i="7"/>
  <c r="BL37" i="6" s="1"/>
  <c r="BL58" i="6"/>
  <c r="BL60" i="6" s="1"/>
  <c r="F61" i="7"/>
  <c r="BK44" i="6"/>
  <c r="BK8" i="6"/>
  <c r="BK9" i="6" s="1"/>
  <c r="BK47" i="6"/>
  <c r="BK52" i="6" s="1"/>
  <c r="FH65" i="6"/>
  <c r="FI64" i="6" s="1"/>
  <c r="J177" i="7"/>
  <c r="GH49" i="6" s="1"/>
  <c r="GH73" i="6"/>
  <c r="GK1" i="6"/>
  <c r="GH31" i="6"/>
  <c r="GG32" i="6"/>
  <c r="GH17" i="6"/>
  <c r="GH18" i="6" s="1"/>
  <c r="GI16" i="6"/>
  <c r="GS69" i="6"/>
  <c r="GS70" i="6" s="1"/>
  <c r="GT68" i="6"/>
  <c r="GV22" i="6"/>
  <c r="GU51" i="6"/>
  <c r="K178" i="7"/>
  <c r="I178" i="7"/>
  <c r="GI38" i="6" s="1"/>
  <c r="H179" i="7"/>
  <c r="GJ55" i="6"/>
  <c r="GI10" i="6"/>
  <c r="GG25" i="6"/>
  <c r="GH20" i="6"/>
  <c r="GJ30" i="6"/>
  <c r="I178" i="4"/>
  <c r="A178" i="4"/>
  <c r="B179" i="4"/>
  <c r="E95" i="4"/>
  <c r="D95" i="4"/>
  <c r="GG34" i="6" l="1"/>
  <c r="GG35" i="6" s="1"/>
  <c r="B180" i="7"/>
  <c r="A179" i="7"/>
  <c r="E61" i="7"/>
  <c r="BL72" i="6"/>
  <c r="BL78" i="6" s="1"/>
  <c r="BL80" i="6" s="1"/>
  <c r="BL82" i="6" s="1"/>
  <c r="BK4" i="6"/>
  <c r="BK5" i="6"/>
  <c r="BK7" i="6" s="1"/>
  <c r="BK56" i="6"/>
  <c r="BL42" i="6"/>
  <c r="BL39" i="6"/>
  <c r="GL1" i="6"/>
  <c r="FI65" i="6"/>
  <c r="FJ64" i="6" s="1"/>
  <c r="GG27" i="6"/>
  <c r="GK55" i="6"/>
  <c r="GJ10" i="6"/>
  <c r="GU68" i="6"/>
  <c r="GT69" i="6"/>
  <c r="GT70" i="6" s="1"/>
  <c r="GK30" i="6"/>
  <c r="GH25" i="6"/>
  <c r="GH27" i="6" s="1"/>
  <c r="GH28" i="6" s="1"/>
  <c r="GI20" i="6"/>
  <c r="J178" i="7"/>
  <c r="GI49" i="6" s="1"/>
  <c r="GI73" i="6"/>
  <c r="GI31" i="6"/>
  <c r="GH32" i="6"/>
  <c r="GV51" i="6"/>
  <c r="GW22" i="6"/>
  <c r="I179" i="7"/>
  <c r="GJ38" i="6" s="1"/>
  <c r="H180" i="7"/>
  <c r="K179" i="7"/>
  <c r="GJ16" i="6"/>
  <c r="GI17" i="6"/>
  <c r="GI18" i="6" s="1"/>
  <c r="GJ59" i="6"/>
  <c r="B180" i="4"/>
  <c r="A179" i="4"/>
  <c r="F95" i="4"/>
  <c r="G95" i="4" s="1"/>
  <c r="L95" i="4"/>
  <c r="I179" i="4"/>
  <c r="K179" i="4"/>
  <c r="K180" i="4" s="1"/>
  <c r="GH34" i="6" l="1"/>
  <c r="GH35" i="6" s="1"/>
  <c r="B181" i="7"/>
  <c r="A180" i="7"/>
  <c r="BL43" i="6"/>
  <c r="BL40" i="6"/>
  <c r="BK6" i="6"/>
  <c r="BK57" i="6"/>
  <c r="BK61" i="6" s="1"/>
  <c r="BK11" i="6" s="1"/>
  <c r="BL48" i="6"/>
  <c r="C62" i="7"/>
  <c r="FJ65" i="6"/>
  <c r="FK64" i="6" s="1"/>
  <c r="H181" i="7"/>
  <c r="I180" i="7"/>
  <c r="GK38" i="6" s="1"/>
  <c r="K180" i="7"/>
  <c r="GL30" i="6"/>
  <c r="GU69" i="6"/>
  <c r="GU70" i="6" s="1"/>
  <c r="GV68" i="6"/>
  <c r="J179" i="7"/>
  <c r="GJ49" i="6" s="1"/>
  <c r="GJ73" i="6"/>
  <c r="GK59" i="6"/>
  <c r="GJ31" i="6"/>
  <c r="GI32" i="6"/>
  <c r="GK10" i="6"/>
  <c r="GL55" i="6"/>
  <c r="GG28" i="6"/>
  <c r="GI25" i="6"/>
  <c r="GI27" i="6" s="1"/>
  <c r="GI28" i="6" s="1"/>
  <c r="GJ20" i="6"/>
  <c r="GW51" i="6"/>
  <c r="GX22" i="6"/>
  <c r="GK16" i="6"/>
  <c r="GJ17" i="6"/>
  <c r="GJ18" i="6" s="1"/>
  <c r="GM1" i="6"/>
  <c r="I180" i="4"/>
  <c r="E96" i="4"/>
  <c r="D96" i="4"/>
  <c r="A180" i="4"/>
  <c r="B181" i="4"/>
  <c r="GI34" i="6" l="1"/>
  <c r="GI35" i="6" s="1"/>
  <c r="B182" i="7"/>
  <c r="A181" i="7"/>
  <c r="F62" i="7"/>
  <c r="D62" i="7"/>
  <c r="BM37" i="6" s="1"/>
  <c r="BM58" i="6"/>
  <c r="BL47" i="6"/>
  <c r="BL52" i="6" s="1"/>
  <c r="BL8" i="6"/>
  <c r="BL9" i="6" s="1"/>
  <c r="BL44" i="6"/>
  <c r="FK65" i="6"/>
  <c r="FL64" i="6" s="1"/>
  <c r="GM30" i="6"/>
  <c r="GL10" i="6"/>
  <c r="GM55" i="6"/>
  <c r="GO1" i="6"/>
  <c r="GN1" i="6"/>
  <c r="GX51" i="6"/>
  <c r="GY22" i="6"/>
  <c r="H182" i="7"/>
  <c r="I181" i="7"/>
  <c r="GL38" i="6" s="1"/>
  <c r="K181" i="7"/>
  <c r="GL59" i="6"/>
  <c r="GJ25" i="6"/>
  <c r="GJ34" i="6" s="1"/>
  <c r="GK20" i="6"/>
  <c r="J180" i="7"/>
  <c r="GK49" i="6" s="1"/>
  <c r="GK73" i="6"/>
  <c r="GK17" i="6"/>
  <c r="GK18" i="6" s="1"/>
  <c r="GL16" i="6"/>
  <c r="GV69" i="6"/>
  <c r="GV70" i="6" s="1"/>
  <c r="GW68" i="6"/>
  <c r="GK31" i="6"/>
  <c r="GJ32" i="6"/>
  <c r="A181" i="4"/>
  <c r="B182" i="4"/>
  <c r="F96" i="4"/>
  <c r="G96" i="4" s="1"/>
  <c r="L96" i="4"/>
  <c r="I181" i="4"/>
  <c r="K181" i="4"/>
  <c r="K182" i="4" s="1"/>
  <c r="GJ27" i="6" l="1"/>
  <c r="GJ28" i="6" s="1"/>
  <c r="B183" i="7"/>
  <c r="A182" i="7"/>
  <c r="GM59" i="6"/>
  <c r="GN59" i="6" s="1"/>
  <c r="BM39" i="6"/>
  <c r="BM42" i="6"/>
  <c r="BN42" i="6" s="1"/>
  <c r="BN37" i="6"/>
  <c r="BL4" i="6"/>
  <c r="BL5" i="6"/>
  <c r="BL7" i="6" s="1"/>
  <c r="BL56" i="6"/>
  <c r="BM60" i="6"/>
  <c r="BN60" i="6" s="1"/>
  <c r="BN58" i="6"/>
  <c r="E62" i="7"/>
  <c r="BM72" i="6"/>
  <c r="GJ35" i="6"/>
  <c r="GL20" i="6"/>
  <c r="GK25" i="6"/>
  <c r="GX68" i="6"/>
  <c r="GW69" i="6"/>
  <c r="GW70" i="6" s="1"/>
  <c r="GM16" i="6"/>
  <c r="GL17" i="6"/>
  <c r="GL18" i="6" s="1"/>
  <c r="GO30" i="6"/>
  <c r="GN30" i="6"/>
  <c r="GP1" i="6"/>
  <c r="GL31" i="6"/>
  <c r="GK32" i="6"/>
  <c r="J181" i="7"/>
  <c r="GL49" i="6" s="1"/>
  <c r="GL73" i="6"/>
  <c r="GN55" i="6"/>
  <c r="GO55" i="6"/>
  <c r="GM10" i="6"/>
  <c r="GN10" i="6" s="1"/>
  <c r="K182" i="7"/>
  <c r="I182" i="7"/>
  <c r="GM38" i="6" s="1"/>
  <c r="GN38" i="6" s="1"/>
  <c r="H183" i="7"/>
  <c r="GY51" i="6"/>
  <c r="GZ22" i="6"/>
  <c r="FL65" i="6"/>
  <c r="FM64" i="6" s="1"/>
  <c r="I182" i="4"/>
  <c r="D97" i="4"/>
  <c r="E97" i="4"/>
  <c r="A182" i="4"/>
  <c r="B183" i="4"/>
  <c r="GK34" i="6" l="1"/>
  <c r="GK35" i="6" s="1"/>
  <c r="B184" i="7"/>
  <c r="A183" i="7"/>
  <c r="BM48" i="6"/>
  <c r="BN48" i="6" s="1"/>
  <c r="C63" i="7"/>
  <c r="G35" i="3" s="1"/>
  <c r="H35" i="3" s="1"/>
  <c r="BL6" i="6"/>
  <c r="BL57" i="6"/>
  <c r="BL61" i="6" s="1"/>
  <c r="BL11" i="6" s="1"/>
  <c r="BM78" i="6"/>
  <c r="BN72" i="6"/>
  <c r="BM40" i="6"/>
  <c r="BM43" i="6"/>
  <c r="BN39" i="6"/>
  <c r="BN40" i="6" s="1"/>
  <c r="FN64" i="6"/>
  <c r="FM65" i="6"/>
  <c r="FN65" i="6" s="1"/>
  <c r="H184" i="7"/>
  <c r="GP59" i="6" s="1"/>
  <c r="K183" i="7"/>
  <c r="I183" i="7"/>
  <c r="GO38" i="6" s="1"/>
  <c r="GM31" i="6"/>
  <c r="GL32" i="6"/>
  <c r="J182" i="7"/>
  <c r="GM49" i="6" s="1"/>
  <c r="GN49" i="6" s="1"/>
  <c r="GM73" i="6"/>
  <c r="GN73" i="6" s="1"/>
  <c r="GQ1" i="6"/>
  <c r="GK27" i="6"/>
  <c r="GK28" i="6" s="1"/>
  <c r="HB22" i="6"/>
  <c r="GZ51" i="6"/>
  <c r="HA51" i="6" s="1"/>
  <c r="HA22" i="6"/>
  <c r="GM17" i="6"/>
  <c r="GN17" i="6" s="1"/>
  <c r="GO16" i="6"/>
  <c r="GN16" i="6"/>
  <c r="GY68" i="6"/>
  <c r="GX69" i="6"/>
  <c r="GX70" i="6" s="1"/>
  <c r="GP30" i="6"/>
  <c r="GL25" i="6"/>
  <c r="GL27" i="6" s="1"/>
  <c r="GL28" i="6" s="1"/>
  <c r="GM20" i="6"/>
  <c r="GP55" i="6"/>
  <c r="GO10" i="6"/>
  <c r="GO59" i="6"/>
  <c r="F97" i="4"/>
  <c r="G97" i="4" s="1"/>
  <c r="L97" i="4"/>
  <c r="B184" i="4"/>
  <c r="A183" i="4"/>
  <c r="K183" i="4"/>
  <c r="K184" i="4" s="1"/>
  <c r="I183" i="4"/>
  <c r="GL34" i="6" l="1"/>
  <c r="GL35" i="6" s="1"/>
  <c r="GM18" i="6"/>
  <c r="GN18" i="6" s="1"/>
  <c r="B185" i="7"/>
  <c r="A184" i="7"/>
  <c r="BM44" i="6"/>
  <c r="BM47" i="6"/>
  <c r="BM8" i="6"/>
  <c r="BN43" i="6"/>
  <c r="BN44" i="6" s="1"/>
  <c r="F63" i="7"/>
  <c r="D63" i="7"/>
  <c r="BO37" i="6" s="1"/>
  <c r="BO58" i="6"/>
  <c r="BO60" i="6" s="1"/>
  <c r="BM80" i="6"/>
  <c r="BN78" i="6"/>
  <c r="I184" i="7"/>
  <c r="GP38" i="6" s="1"/>
  <c r="H185" i="7"/>
  <c r="GQ59" i="6" s="1"/>
  <c r="K184" i="7"/>
  <c r="GM25" i="6"/>
  <c r="GN25" i="6" s="1"/>
  <c r="GO20" i="6"/>
  <c r="GN20" i="6"/>
  <c r="GQ30" i="6"/>
  <c r="HB51" i="6"/>
  <c r="HC22" i="6"/>
  <c r="GQ55" i="6"/>
  <c r="GP10" i="6"/>
  <c r="GR1" i="6"/>
  <c r="GO31" i="6"/>
  <c r="GN31" i="6"/>
  <c r="GM32" i="6"/>
  <c r="GN32" i="6" s="1"/>
  <c r="GZ68" i="6"/>
  <c r="GY69" i="6"/>
  <c r="GY70" i="6" s="1"/>
  <c r="J183" i="7"/>
  <c r="GO49" i="6" s="1"/>
  <c r="GO73" i="6"/>
  <c r="GO17" i="6"/>
  <c r="GO18" i="6" s="1"/>
  <c r="GP16" i="6"/>
  <c r="FO64" i="6"/>
  <c r="I184" i="4"/>
  <c r="B185" i="4"/>
  <c r="A184" i="4"/>
  <c r="E98" i="4"/>
  <c r="D98" i="4"/>
  <c r="GM27" i="6" l="1"/>
  <c r="GM28" i="6" s="1"/>
  <c r="GM34" i="6"/>
  <c r="GM35" i="6" s="1"/>
  <c r="B186" i="7"/>
  <c r="A185" i="7"/>
  <c r="BM82" i="6"/>
  <c r="BN82" i="6" s="1"/>
  <c r="BN80" i="6"/>
  <c r="E34" i="3" s="1"/>
  <c r="BO72" i="6"/>
  <c r="E63" i="7"/>
  <c r="BM9" i="6"/>
  <c r="BN9" i="6" s="1"/>
  <c r="BN8" i="6"/>
  <c r="BO42" i="6"/>
  <c r="BO39" i="6"/>
  <c r="BM52" i="6"/>
  <c r="BN47" i="6"/>
  <c r="GZ69" i="6"/>
  <c r="HA69" i="6" s="1"/>
  <c r="HB68" i="6"/>
  <c r="HA68" i="6"/>
  <c r="GP17" i="6"/>
  <c r="GQ16" i="6"/>
  <c r="GR55" i="6"/>
  <c r="GQ10" i="6"/>
  <c r="GP31" i="6"/>
  <c r="GO32" i="6"/>
  <c r="HC51" i="6"/>
  <c r="HD22" i="6"/>
  <c r="H186" i="7"/>
  <c r="I185" i="7"/>
  <c r="GQ38" i="6" s="1"/>
  <c r="K185" i="7"/>
  <c r="GO25" i="6"/>
  <c r="GP20" i="6"/>
  <c r="J184" i="7"/>
  <c r="GP49" i="6" s="1"/>
  <c r="GP73" i="6"/>
  <c r="GS1" i="6"/>
  <c r="GR30" i="6"/>
  <c r="FO65" i="6"/>
  <c r="F98" i="4"/>
  <c r="G98" i="4" s="1"/>
  <c r="L98" i="4"/>
  <c r="B186" i="4"/>
  <c r="A185" i="4"/>
  <c r="I185" i="4"/>
  <c r="K185" i="4"/>
  <c r="K186" i="4" s="1"/>
  <c r="GN34" i="6" l="1"/>
  <c r="GN35" i="6" s="1"/>
  <c r="GN27" i="6"/>
  <c r="GN28" i="6" s="1"/>
  <c r="GZ70" i="6"/>
  <c r="HA70" i="6" s="1"/>
  <c r="K34" i="3"/>
  <c r="L34" i="3"/>
  <c r="B187" i="7"/>
  <c r="A186" i="7"/>
  <c r="BM5" i="6"/>
  <c r="BM4" i="6"/>
  <c r="BN4" i="6" s="1"/>
  <c r="BN52" i="6"/>
  <c r="BM56" i="6"/>
  <c r="BO78" i="6"/>
  <c r="BO40" i="6"/>
  <c r="BO43" i="6"/>
  <c r="BO48" i="6"/>
  <c r="C64" i="7"/>
  <c r="GS30" i="6"/>
  <c r="FP64" i="6"/>
  <c r="GP18" i="6"/>
  <c r="GP25" i="6"/>
  <c r="GQ20" i="6"/>
  <c r="J185" i="7"/>
  <c r="GQ49" i="6" s="1"/>
  <c r="GQ73" i="6"/>
  <c r="I186" i="7"/>
  <c r="GR38" i="6" s="1"/>
  <c r="H187" i="7"/>
  <c r="K186" i="7"/>
  <c r="GR59" i="6"/>
  <c r="GQ31" i="6"/>
  <c r="GP32" i="6"/>
  <c r="HD51" i="6"/>
  <c r="HE22" i="6"/>
  <c r="HB69" i="6"/>
  <c r="HB70" i="6" s="1"/>
  <c r="HC68" i="6"/>
  <c r="GO34" i="6"/>
  <c r="GT1" i="6"/>
  <c r="GS55" i="6"/>
  <c r="GR10" i="6"/>
  <c r="GO27" i="6"/>
  <c r="GQ17" i="6"/>
  <c r="GQ18" i="6" s="1"/>
  <c r="GR16" i="6"/>
  <c r="I186" i="4"/>
  <c r="A186" i="4"/>
  <c r="B187" i="4"/>
  <c r="D99" i="4"/>
  <c r="E99" i="4"/>
  <c r="B188" i="7" l="1"/>
  <c r="A187" i="7"/>
  <c r="BO8" i="6"/>
  <c r="BO44" i="6"/>
  <c r="BO47" i="6"/>
  <c r="BO80" i="6"/>
  <c r="D64" i="7"/>
  <c r="BP37" i="6" s="1"/>
  <c r="BP58" i="6"/>
  <c r="BP60" i="6" s="1"/>
  <c r="F64" i="7"/>
  <c r="BN56" i="6"/>
  <c r="BM6" i="6"/>
  <c r="BM57" i="6"/>
  <c r="BM61" i="6" s="1"/>
  <c r="BN5" i="6"/>
  <c r="BM7" i="6"/>
  <c r="GO28" i="6"/>
  <c r="H188" i="7"/>
  <c r="I187" i="7"/>
  <c r="GS38" i="6" s="1"/>
  <c r="K187" i="7"/>
  <c r="HE51" i="6"/>
  <c r="HF22" i="6"/>
  <c r="GQ25" i="6"/>
  <c r="GR20" i="6"/>
  <c r="GP34" i="6"/>
  <c r="GP27" i="6"/>
  <c r="GP28" i="6" s="1"/>
  <c r="GO35" i="6"/>
  <c r="GU1" i="6"/>
  <c r="GT30" i="6"/>
  <c r="GR17" i="6"/>
  <c r="GR18" i="6" s="1"/>
  <c r="GS16" i="6"/>
  <c r="GS59" i="6"/>
  <c r="GS10" i="6"/>
  <c r="GT55" i="6"/>
  <c r="HD68" i="6"/>
  <c r="HC69" i="6"/>
  <c r="GR31" i="6"/>
  <c r="GQ32" i="6"/>
  <c r="J186" i="7"/>
  <c r="GR49" i="6" s="1"/>
  <c r="GR73" i="6"/>
  <c r="FP65" i="6"/>
  <c r="A187" i="4"/>
  <c r="B188" i="4"/>
  <c r="F99" i="4"/>
  <c r="G99" i="4" s="1"/>
  <c r="L99" i="4"/>
  <c r="K187" i="4"/>
  <c r="K188" i="4" s="1"/>
  <c r="I187" i="4"/>
  <c r="GQ34" i="6" l="1"/>
  <c r="GQ35" i="6" s="1"/>
  <c r="GQ27" i="6"/>
  <c r="GQ28" i="6" s="1"/>
  <c r="B189" i="7"/>
  <c r="A188" i="7"/>
  <c r="BN6" i="6"/>
  <c r="BN57" i="6"/>
  <c r="BO52" i="6"/>
  <c r="BM11" i="6"/>
  <c r="BN61" i="6"/>
  <c r="BN11" i="6" s="1"/>
  <c r="BN12" i="6" s="1"/>
  <c r="E64" i="7"/>
  <c r="BP72" i="6"/>
  <c r="BO82" i="6"/>
  <c r="BP39" i="6"/>
  <c r="BP42" i="6"/>
  <c r="BN7" i="6"/>
  <c r="BN13" i="6" s="1"/>
  <c r="BO9" i="6"/>
  <c r="GU30" i="6"/>
  <c r="H189" i="7"/>
  <c r="GU59" i="6" s="1"/>
  <c r="K188" i="7"/>
  <c r="I188" i="7"/>
  <c r="GT38" i="6" s="1"/>
  <c r="GP35" i="6"/>
  <c r="HC70" i="6"/>
  <c r="GR25" i="6"/>
  <c r="GS20" i="6"/>
  <c r="FQ64" i="6"/>
  <c r="J187" i="7"/>
  <c r="GS49" i="6" s="1"/>
  <c r="GS73" i="6"/>
  <c r="GS17" i="6"/>
  <c r="GS18" i="6" s="1"/>
  <c r="GT16" i="6"/>
  <c r="GV1" i="6"/>
  <c r="GS31" i="6"/>
  <c r="GR32" i="6"/>
  <c r="GT59" i="6"/>
  <c r="HD69" i="6"/>
  <c r="HE68" i="6"/>
  <c r="GT10" i="6"/>
  <c r="GU55" i="6"/>
  <c r="HF51" i="6"/>
  <c r="HG22" i="6"/>
  <c r="I188" i="4"/>
  <c r="E100" i="4"/>
  <c r="D100" i="4"/>
  <c r="A188" i="4"/>
  <c r="B189" i="4"/>
  <c r="GR34" i="6" l="1"/>
  <c r="GR35" i="6" s="1"/>
  <c r="B190" i="7"/>
  <c r="A189" i="7"/>
  <c r="BP78" i="6"/>
  <c r="BP48" i="6"/>
  <c r="C65" i="7"/>
  <c r="BO4" i="6"/>
  <c r="BO5" i="6"/>
  <c r="BP43" i="6"/>
  <c r="BP40" i="6"/>
  <c r="BO56" i="6"/>
  <c r="J188" i="7"/>
  <c r="GT49" i="6" s="1"/>
  <c r="GT73" i="6"/>
  <c r="FQ65" i="6"/>
  <c r="FR64" i="6" s="1"/>
  <c r="GW1" i="6"/>
  <c r="HE69" i="6"/>
  <c r="HE70" i="6" s="1"/>
  <c r="HF68" i="6"/>
  <c r="GV30" i="6"/>
  <c r="HD70" i="6"/>
  <c r="GS25" i="6"/>
  <c r="GT20" i="6"/>
  <c r="H190" i="7"/>
  <c r="GV59" i="6" s="1"/>
  <c r="K189" i="7"/>
  <c r="I189" i="7"/>
  <c r="GU38" i="6" s="1"/>
  <c r="GV55" i="6"/>
  <c r="GU10" i="6"/>
  <c r="GU16" i="6"/>
  <c r="GT17" i="6"/>
  <c r="GT18" i="6" s="1"/>
  <c r="GR27" i="6"/>
  <c r="HG51" i="6"/>
  <c r="HH22" i="6"/>
  <c r="GT31" i="6"/>
  <c r="GS32" i="6"/>
  <c r="F100" i="4"/>
  <c r="G100" i="4" s="1"/>
  <c r="L100" i="4"/>
  <c r="B190" i="4"/>
  <c r="A189" i="4"/>
  <c r="I189" i="4"/>
  <c r="K189" i="4"/>
  <c r="K190" i="4" s="1"/>
  <c r="B191" i="7" l="1"/>
  <c r="A190" i="7"/>
  <c r="BO6" i="6"/>
  <c r="BO57" i="6"/>
  <c r="BO61" i="6" s="1"/>
  <c r="BO11" i="6" s="1"/>
  <c r="D65" i="7"/>
  <c r="BQ37" i="6" s="1"/>
  <c r="BQ58" i="6"/>
  <c r="BQ60" i="6" s="1"/>
  <c r="F65" i="7"/>
  <c r="BP47" i="6"/>
  <c r="BP8" i="6"/>
  <c r="BP44" i="6"/>
  <c r="BO7" i="6"/>
  <c r="BP80" i="6"/>
  <c r="J189" i="7"/>
  <c r="GU49" i="6" s="1"/>
  <c r="GU73" i="6"/>
  <c r="GU20" i="6"/>
  <c r="GT25" i="6"/>
  <c r="GU31" i="6"/>
  <c r="GT32" i="6"/>
  <c r="FR65" i="6"/>
  <c r="FS64" i="6" s="1"/>
  <c r="GW55" i="6"/>
  <c r="GV10" i="6"/>
  <c r="HG68" i="6"/>
  <c r="HF69" i="6"/>
  <c r="HF70" i="6" s="1"/>
  <c r="GR28" i="6"/>
  <c r="K190" i="7"/>
  <c r="H191" i="7"/>
  <c r="GW59" i="6" s="1"/>
  <c r="I190" i="7"/>
  <c r="GV38" i="6" s="1"/>
  <c r="HI22" i="6"/>
  <c r="HH51" i="6"/>
  <c r="GW30" i="6"/>
  <c r="GS27" i="6"/>
  <c r="GS28" i="6" s="1"/>
  <c r="GU17" i="6"/>
  <c r="GU18" i="6" s="1"/>
  <c r="GV16" i="6"/>
  <c r="GX1" i="6"/>
  <c r="GS34" i="6"/>
  <c r="I190" i="4"/>
  <c r="B191" i="4"/>
  <c r="A190" i="4"/>
  <c r="D101" i="4"/>
  <c r="E101" i="4"/>
  <c r="GT34" i="6" l="1"/>
  <c r="GT35" i="6" s="1"/>
  <c r="B192" i="7"/>
  <c r="A191" i="7"/>
  <c r="BP82" i="6"/>
  <c r="BP52" i="6"/>
  <c r="BQ72" i="6"/>
  <c r="E65" i="7"/>
  <c r="BP9" i="6"/>
  <c r="BQ39" i="6"/>
  <c r="BQ42" i="6"/>
  <c r="GX30" i="6"/>
  <c r="GY1" i="6"/>
  <c r="GV17" i="6"/>
  <c r="GV18" i="6" s="1"/>
  <c r="GW16" i="6"/>
  <c r="HH68" i="6"/>
  <c r="HG69" i="6"/>
  <c r="HG70" i="6" s="1"/>
  <c r="K191" i="7"/>
  <c r="H192" i="7"/>
  <c r="GX59" i="6" s="1"/>
  <c r="I191" i="7"/>
  <c r="GW38" i="6" s="1"/>
  <c r="J190" i="7"/>
  <c r="GV49" i="6" s="1"/>
  <c r="GV73" i="6"/>
  <c r="GT27" i="6"/>
  <c r="FS65" i="6"/>
  <c r="FT64" i="6" s="1"/>
  <c r="HI51" i="6"/>
  <c r="HJ22" i="6"/>
  <c r="GV31" i="6"/>
  <c r="GU32" i="6"/>
  <c r="GV20" i="6"/>
  <c r="GU25" i="6"/>
  <c r="GU27" i="6" s="1"/>
  <c r="GU28" i="6" s="1"/>
  <c r="GS35" i="6"/>
  <c r="GX55" i="6"/>
  <c r="GW10" i="6"/>
  <c r="F101" i="4"/>
  <c r="G101" i="4" s="1"/>
  <c r="L101" i="4"/>
  <c r="A191" i="4"/>
  <c r="B192" i="4"/>
  <c r="K191" i="4"/>
  <c r="I191" i="4"/>
  <c r="B193" i="7" l="1"/>
  <c r="A192" i="7"/>
  <c r="BQ48" i="6"/>
  <c r="C66" i="7"/>
  <c r="BQ40" i="6"/>
  <c r="BQ43" i="6"/>
  <c r="BP4" i="6"/>
  <c r="BP5" i="6"/>
  <c r="BP56" i="6"/>
  <c r="BQ78" i="6"/>
  <c r="I192" i="7"/>
  <c r="GX38" i="6" s="1"/>
  <c r="H193" i="7"/>
  <c r="K192" i="7"/>
  <c r="GY30" i="6"/>
  <c r="GW31" i="6"/>
  <c r="GV32" i="6"/>
  <c r="GU34" i="6"/>
  <c r="HJ51" i="6"/>
  <c r="HK22" i="6"/>
  <c r="HH69" i="6"/>
  <c r="HH70" i="6" s="1"/>
  <c r="HI68" i="6"/>
  <c r="GX16" i="6"/>
  <c r="GW17" i="6"/>
  <c r="GW18" i="6" s="1"/>
  <c r="GW20" i="6"/>
  <c r="GV25" i="6"/>
  <c r="GV27" i="6" s="1"/>
  <c r="GY55" i="6"/>
  <c r="GX10" i="6"/>
  <c r="FT65" i="6"/>
  <c r="FU64" i="6" s="1"/>
  <c r="GZ1" i="6"/>
  <c r="GT28" i="6"/>
  <c r="J191" i="7"/>
  <c r="GW49" i="6" s="1"/>
  <c r="GW73" i="6"/>
  <c r="K192" i="4"/>
  <c r="I192" i="4"/>
  <c r="B193" i="4"/>
  <c r="A192" i="4"/>
  <c r="E102" i="4"/>
  <c r="D102" i="4"/>
  <c r="B194" i="7" l="1"/>
  <c r="A193" i="7"/>
  <c r="BQ44" i="6"/>
  <c r="BQ47" i="6"/>
  <c r="BQ8" i="6"/>
  <c r="BQ80" i="6"/>
  <c r="BP6" i="6"/>
  <c r="BP57" i="6"/>
  <c r="BP61" i="6" s="1"/>
  <c r="BP11" i="6" s="1"/>
  <c r="BP7" i="6"/>
  <c r="F66" i="7"/>
  <c r="BR58" i="6"/>
  <c r="BR60" i="6" s="1"/>
  <c r="D66" i="7"/>
  <c r="BR37" i="6" s="1"/>
  <c r="GV28" i="6"/>
  <c r="HA1" i="6"/>
  <c r="HB1" i="6"/>
  <c r="GV34" i="6"/>
  <c r="GZ30" i="6"/>
  <c r="FU65" i="6"/>
  <c r="FV64" i="6" s="1"/>
  <c r="GY16" i="6"/>
  <c r="GX17" i="6"/>
  <c r="GX18" i="6" s="1"/>
  <c r="I193" i="7"/>
  <c r="GY38" i="6" s="1"/>
  <c r="K193" i="7"/>
  <c r="H194" i="7"/>
  <c r="GZ59" i="6" s="1"/>
  <c r="HA59" i="6" s="1"/>
  <c r="GX31" i="6"/>
  <c r="GW32" i="6"/>
  <c r="J192" i="7"/>
  <c r="GX49" i="6" s="1"/>
  <c r="GX73" i="6"/>
  <c r="HI69" i="6"/>
  <c r="HI70" i="6" s="1"/>
  <c r="HJ68" i="6"/>
  <c r="GY59" i="6"/>
  <c r="GY10" i="6"/>
  <c r="GZ55" i="6"/>
  <c r="HL22" i="6"/>
  <c r="HK51" i="6"/>
  <c r="GX20" i="6"/>
  <c r="GW25" i="6"/>
  <c r="GW27" i="6" s="1"/>
  <c r="GW28" i="6" s="1"/>
  <c r="GU35" i="6"/>
  <c r="F102" i="4"/>
  <c r="G102" i="4" s="1"/>
  <c r="L102" i="4"/>
  <c r="A193" i="4"/>
  <c r="B194" i="4"/>
  <c r="I193" i="4"/>
  <c r="K193" i="4"/>
  <c r="K194" i="4" s="1"/>
  <c r="B195" i="7" l="1"/>
  <c r="A194" i="7"/>
  <c r="BQ82" i="6"/>
  <c r="BR42" i="6"/>
  <c r="BR39" i="6"/>
  <c r="BR72" i="6"/>
  <c r="E66" i="7"/>
  <c r="BQ9" i="6"/>
  <c r="BQ52" i="6"/>
  <c r="GV35" i="6"/>
  <c r="GX25" i="6"/>
  <c r="GX27" i="6" s="1"/>
  <c r="GX28" i="6" s="1"/>
  <c r="GY20" i="6"/>
  <c r="GY31" i="6"/>
  <c r="GX32" i="6"/>
  <c r="H195" i="7"/>
  <c r="HB59" i="6" s="1"/>
  <c r="K194" i="7"/>
  <c r="I194" i="7"/>
  <c r="GZ38" i="6" s="1"/>
  <c r="HA38" i="6" s="1"/>
  <c r="HC1" i="6"/>
  <c r="GW34" i="6"/>
  <c r="HM22" i="6"/>
  <c r="HL51" i="6"/>
  <c r="J193" i="7"/>
  <c r="GY49" i="6" s="1"/>
  <c r="GY73" i="6"/>
  <c r="GZ16" i="6"/>
  <c r="GY17" i="6"/>
  <c r="GY18" i="6" s="1"/>
  <c r="FV65" i="6"/>
  <c r="FW64" i="6" s="1"/>
  <c r="HJ69" i="6"/>
  <c r="HJ70" i="6" s="1"/>
  <c r="HK68" i="6"/>
  <c r="HB30" i="6"/>
  <c r="HA30" i="6"/>
  <c r="HA55" i="6"/>
  <c r="HB55" i="6"/>
  <c r="GZ10" i="6"/>
  <c r="HA10" i="6" s="1"/>
  <c r="I194" i="4"/>
  <c r="B195" i="4"/>
  <c r="A194" i="4"/>
  <c r="D103" i="4"/>
  <c r="E103" i="4"/>
  <c r="B196" i="7" l="1"/>
  <c r="A195" i="7"/>
  <c r="BR48" i="6"/>
  <c r="C67" i="7"/>
  <c r="BR40" i="6"/>
  <c r="BR43" i="6"/>
  <c r="BQ4" i="6"/>
  <c r="BQ5" i="6"/>
  <c r="BQ56" i="6"/>
  <c r="BR78" i="6"/>
  <c r="HM51" i="6"/>
  <c r="HN51" i="6" s="1"/>
  <c r="HO22" i="6"/>
  <c r="HN22" i="6"/>
  <c r="GZ31" i="6"/>
  <c r="GY32" i="6"/>
  <c r="HD1" i="6"/>
  <c r="HB16" i="6"/>
  <c r="GZ17" i="6"/>
  <c r="HA17" i="6" s="1"/>
  <c r="HA16" i="6"/>
  <c r="GZ20" i="6"/>
  <c r="GY25" i="6"/>
  <c r="HC55" i="6"/>
  <c r="HB10" i="6"/>
  <c r="HC30" i="6"/>
  <c r="J194" i="7"/>
  <c r="GZ49" i="6" s="1"/>
  <c r="HA49" i="6" s="1"/>
  <c r="GZ73" i="6"/>
  <c r="HA73" i="6" s="1"/>
  <c r="GX34" i="6"/>
  <c r="HK69" i="6"/>
  <c r="HK70" i="6" s="1"/>
  <c r="HL68" i="6"/>
  <c r="GW35" i="6"/>
  <c r="FW65" i="6"/>
  <c r="FX64" i="6" s="1"/>
  <c r="I195" i="7"/>
  <c r="HB38" i="6" s="1"/>
  <c r="H196" i="7"/>
  <c r="HC59" i="6" s="1"/>
  <c r="K195" i="7"/>
  <c r="F103" i="4"/>
  <c r="G103" i="4" s="1"/>
  <c r="L103" i="4"/>
  <c r="B196" i="4"/>
  <c r="A195" i="4"/>
  <c r="I195" i="4"/>
  <c r="K195" i="4"/>
  <c r="K196" i="4" s="1"/>
  <c r="GY34" i="6" l="1"/>
  <c r="GY35" i="6" s="1"/>
  <c r="GZ18" i="6"/>
  <c r="HA18" i="6" s="1"/>
  <c r="GY27" i="6"/>
  <c r="GY28" i="6" s="1"/>
  <c r="B197" i="7"/>
  <c r="A196" i="7"/>
  <c r="BQ57" i="6"/>
  <c r="BQ61" i="6" s="1"/>
  <c r="BQ11" i="6" s="1"/>
  <c r="BQ6" i="6"/>
  <c r="BR80" i="6"/>
  <c r="BQ7" i="6"/>
  <c r="BR47" i="6"/>
  <c r="BR8" i="6"/>
  <c r="BR44" i="6"/>
  <c r="F67" i="7"/>
  <c r="D67" i="7"/>
  <c r="BS37" i="6" s="1"/>
  <c r="BS58" i="6"/>
  <c r="BS60" i="6" s="1"/>
  <c r="FX65" i="6"/>
  <c r="FY64" i="6" s="1"/>
  <c r="HP22" i="6"/>
  <c r="HO51" i="6"/>
  <c r="HD55" i="6"/>
  <c r="HC10" i="6"/>
  <c r="HL69" i="6"/>
  <c r="HL70" i="6" s="1"/>
  <c r="HM68" i="6"/>
  <c r="GX35" i="6"/>
  <c r="J195" i="7"/>
  <c r="HB49" i="6" s="1"/>
  <c r="HB73" i="6"/>
  <c r="H197" i="7"/>
  <c r="I196" i="7"/>
  <c r="HC38" i="6" s="1"/>
  <c r="K196" i="7"/>
  <c r="HE1" i="6"/>
  <c r="HC16" i="6"/>
  <c r="HB17" i="6"/>
  <c r="HD30" i="6"/>
  <c r="HB31" i="6"/>
  <c r="HA31" i="6"/>
  <c r="GZ32" i="6"/>
  <c r="HA32" i="6" s="1"/>
  <c r="HB20" i="6"/>
  <c r="GZ25" i="6"/>
  <c r="HA25" i="6" s="1"/>
  <c r="HA20" i="6"/>
  <c r="I196" i="4"/>
  <c r="A196" i="4"/>
  <c r="B197" i="4"/>
  <c r="D104" i="4"/>
  <c r="E104" i="4"/>
  <c r="B198" i="7" l="1"/>
  <c r="A197" i="7"/>
  <c r="BS42" i="6"/>
  <c r="BS39" i="6"/>
  <c r="E67" i="7"/>
  <c r="BS72" i="6"/>
  <c r="BR9" i="6"/>
  <c r="BR52" i="6"/>
  <c r="BR82" i="6"/>
  <c r="FY65" i="6"/>
  <c r="FZ64" i="6" s="1"/>
  <c r="HC31" i="6"/>
  <c r="HB32" i="6"/>
  <c r="HE30" i="6"/>
  <c r="HP51" i="6"/>
  <c r="HQ22" i="6"/>
  <c r="GZ34" i="6"/>
  <c r="I197" i="7"/>
  <c r="HD38" i="6" s="1"/>
  <c r="K197" i="7"/>
  <c r="H198" i="7"/>
  <c r="HD59" i="6"/>
  <c r="HE55" i="6"/>
  <c r="HD10" i="6"/>
  <c r="GZ27" i="6"/>
  <c r="HC20" i="6"/>
  <c r="HB25" i="6"/>
  <c r="J196" i="7"/>
  <c r="HC49" i="6" s="1"/>
  <c r="HC73" i="6"/>
  <c r="HM69" i="6"/>
  <c r="HN69" i="6" s="1"/>
  <c r="HO68" i="6"/>
  <c r="HN68" i="6"/>
  <c r="HB18" i="6"/>
  <c r="HC17" i="6"/>
  <c r="HC18" i="6" s="1"/>
  <c r="HD16" i="6"/>
  <c r="HE59" i="6"/>
  <c r="HF1" i="6"/>
  <c r="F104" i="4"/>
  <c r="G104" i="4" s="1"/>
  <c r="L104" i="4"/>
  <c r="B198" i="4"/>
  <c r="A197" i="4"/>
  <c r="I197" i="4"/>
  <c r="K197" i="4"/>
  <c r="K198" i="4" s="1"/>
  <c r="HM70" i="6" l="1"/>
  <c r="HN70" i="6" s="1"/>
  <c r="B199" i="7"/>
  <c r="A198" i="7"/>
  <c r="BR4" i="6"/>
  <c r="BR5" i="6"/>
  <c r="BR56" i="6"/>
  <c r="BS78" i="6"/>
  <c r="BS48" i="6"/>
  <c r="C68" i="7"/>
  <c r="BS40" i="6"/>
  <c r="BS43" i="6"/>
  <c r="GA64" i="6"/>
  <c r="FZ65" i="6"/>
  <c r="GA65" i="6" s="1"/>
  <c r="HD20" i="6"/>
  <c r="HC25" i="6"/>
  <c r="HD31" i="6"/>
  <c r="HC32" i="6"/>
  <c r="HQ51" i="6"/>
  <c r="HR22" i="6"/>
  <c r="HE10" i="6"/>
  <c r="HF55" i="6"/>
  <c r="HD17" i="6"/>
  <c r="HD18" i="6" s="1"/>
  <c r="HE16" i="6"/>
  <c r="GZ28" i="6"/>
  <c r="HA27" i="6"/>
  <c r="HA28" i="6" s="1"/>
  <c r="GZ35" i="6"/>
  <c r="HA34" i="6"/>
  <c r="HA35" i="6" s="1"/>
  <c r="HG1" i="6"/>
  <c r="HP68" i="6"/>
  <c r="HO69" i="6"/>
  <c r="HO70" i="6" s="1"/>
  <c r="HF30" i="6"/>
  <c r="I198" i="7"/>
  <c r="HE38" i="6" s="1"/>
  <c r="H199" i="7"/>
  <c r="K198" i="7"/>
  <c r="J197" i="7"/>
  <c r="HD49" i="6" s="1"/>
  <c r="HD73" i="6"/>
  <c r="HB34" i="6"/>
  <c r="HB27" i="6"/>
  <c r="I198" i="4"/>
  <c r="B199" i="4"/>
  <c r="A198" i="4"/>
  <c r="E105" i="4"/>
  <c r="D105" i="4"/>
  <c r="HF59" i="6" l="1"/>
  <c r="B200" i="7"/>
  <c r="A199" i="7"/>
  <c r="BS8" i="6"/>
  <c r="BS44" i="6"/>
  <c r="BS47" i="6"/>
  <c r="F68" i="7"/>
  <c r="BT58" i="6"/>
  <c r="BT60" i="6" s="1"/>
  <c r="D68" i="7"/>
  <c r="BT37" i="6" s="1"/>
  <c r="BS80" i="6"/>
  <c r="BR6" i="6"/>
  <c r="BR57" i="6"/>
  <c r="BR61" i="6" s="1"/>
  <c r="BR11" i="6" s="1"/>
  <c r="BR7" i="6"/>
  <c r="HG30" i="6"/>
  <c r="HG55" i="6"/>
  <c r="HF10" i="6"/>
  <c r="HP69" i="6"/>
  <c r="HP70" i="6" s="1"/>
  <c r="HQ68" i="6"/>
  <c r="HS22" i="6"/>
  <c r="HR51" i="6"/>
  <c r="HC27" i="6"/>
  <c r="HC28" i="6" s="1"/>
  <c r="I199" i="7"/>
  <c r="HF38" i="6" s="1"/>
  <c r="K199" i="7"/>
  <c r="H200" i="7"/>
  <c r="HH1" i="6"/>
  <c r="HE17" i="6"/>
  <c r="HE18" i="6" s="1"/>
  <c r="HF16" i="6"/>
  <c r="HE31" i="6"/>
  <c r="HD32" i="6"/>
  <c r="HB28" i="6"/>
  <c r="GB64" i="6"/>
  <c r="HB35" i="6"/>
  <c r="HC34" i="6"/>
  <c r="HE20" i="6"/>
  <c r="HD25" i="6"/>
  <c r="HD27" i="6" s="1"/>
  <c r="HD28" i="6" s="1"/>
  <c r="J198" i="7"/>
  <c r="HE49" i="6" s="1"/>
  <c r="HE73" i="6"/>
  <c r="F105" i="4"/>
  <c r="G105" i="4" s="1"/>
  <c r="L105" i="4"/>
  <c r="A199" i="4"/>
  <c r="B200" i="4"/>
  <c r="I199" i="4"/>
  <c r="K199" i="4"/>
  <c r="K200" i="4" s="1"/>
  <c r="HD34" i="6" l="1"/>
  <c r="HD35" i="6" s="1"/>
  <c r="B201" i="7"/>
  <c r="A200" i="7"/>
  <c r="BS82" i="6"/>
  <c r="BT39" i="6"/>
  <c r="BT42" i="6"/>
  <c r="BT72" i="6"/>
  <c r="BT78" i="6" s="1"/>
  <c r="BT80" i="6" s="1"/>
  <c r="E68" i="7"/>
  <c r="BS52" i="6"/>
  <c r="BS9" i="6"/>
  <c r="HG10" i="6"/>
  <c r="HH55" i="6"/>
  <c r="HC35" i="6"/>
  <c r="HF31" i="6"/>
  <c r="HE32" i="6"/>
  <c r="K200" i="7"/>
  <c r="H201" i="7"/>
  <c r="HH59" i="6" s="1"/>
  <c r="I200" i="7"/>
  <c r="HG38" i="6" s="1"/>
  <c r="J199" i="7"/>
  <c r="HF49" i="6" s="1"/>
  <c r="HF73" i="6"/>
  <c r="HH30" i="6"/>
  <c r="HI1" i="6"/>
  <c r="HT22" i="6"/>
  <c r="HS51" i="6"/>
  <c r="HR68" i="6"/>
  <c r="HQ69" i="6"/>
  <c r="HF17" i="6"/>
  <c r="HF18" i="6" s="1"/>
  <c r="HG16" i="6"/>
  <c r="GB65" i="6"/>
  <c r="HG59" i="6"/>
  <c r="HE25" i="6"/>
  <c r="HE34" i="6" s="1"/>
  <c r="HF20" i="6"/>
  <c r="I200" i="4"/>
  <c r="A200" i="4"/>
  <c r="B201" i="4"/>
  <c r="E106" i="4"/>
  <c r="D106" i="4"/>
  <c r="HE27" i="6" l="1"/>
  <c r="HE28" i="6" s="1"/>
  <c r="B202" i="7"/>
  <c r="A201" i="7"/>
  <c r="BS5" i="6"/>
  <c r="BS4" i="6"/>
  <c r="BS56" i="6"/>
  <c r="BT82" i="6"/>
  <c r="BT48" i="6"/>
  <c r="C69" i="7"/>
  <c r="BT40" i="6"/>
  <c r="BT43" i="6"/>
  <c r="J200" i="7"/>
  <c r="HG49" i="6" s="1"/>
  <c r="HG73" i="6"/>
  <c r="HF25" i="6"/>
  <c r="HF27" i="6" s="1"/>
  <c r="HG20" i="6"/>
  <c r="HH10" i="6"/>
  <c r="HI55" i="6"/>
  <c r="HI30" i="6"/>
  <c r="GC64" i="6"/>
  <c r="HG17" i="6"/>
  <c r="HG18" i="6" s="1"/>
  <c r="HH16" i="6"/>
  <c r="K201" i="7"/>
  <c r="I201" i="7"/>
  <c r="HH38" i="6" s="1"/>
  <c r="H202" i="7"/>
  <c r="HI59" i="6" s="1"/>
  <c r="HG31" i="6"/>
  <c r="HF32" i="6"/>
  <c r="HS68" i="6"/>
  <c r="HR69" i="6"/>
  <c r="HE35" i="6"/>
  <c r="HU22" i="6"/>
  <c r="HT51" i="6"/>
  <c r="HJ1" i="6"/>
  <c r="HQ70" i="6"/>
  <c r="F106" i="4"/>
  <c r="G106" i="4" s="1"/>
  <c r="L106" i="4"/>
  <c r="B202" i="4"/>
  <c r="A201" i="4"/>
  <c r="I201" i="4"/>
  <c r="K201" i="4"/>
  <c r="K202" i="4" s="1"/>
  <c r="B203" i="7" l="1"/>
  <c r="A202" i="7"/>
  <c r="BS7" i="6"/>
  <c r="BS6" i="6"/>
  <c r="BS57" i="6"/>
  <c r="BS61" i="6" s="1"/>
  <c r="BS11" i="6" s="1"/>
  <c r="BT44" i="6"/>
  <c r="BT47" i="6"/>
  <c r="BT52" i="6" s="1"/>
  <c r="BT8" i="6"/>
  <c r="BT9" i="6" s="1"/>
  <c r="D69" i="7"/>
  <c r="BU37" i="6" s="1"/>
  <c r="F69" i="7"/>
  <c r="BU58" i="6"/>
  <c r="BU60" i="6" s="1"/>
  <c r="HF28" i="6"/>
  <c r="HH20" i="6"/>
  <c r="HG25" i="6"/>
  <c r="HG34" i="6" s="1"/>
  <c r="HU51" i="6"/>
  <c r="HV22" i="6"/>
  <c r="I202" i="7"/>
  <c r="HI38" i="6" s="1"/>
  <c r="K202" i="7"/>
  <c r="H203" i="7"/>
  <c r="HJ59" i="6"/>
  <c r="HK1" i="6"/>
  <c r="HJ30" i="6"/>
  <c r="HT68" i="6"/>
  <c r="HS69" i="6"/>
  <c r="HS70" i="6" s="1"/>
  <c r="HR70" i="6"/>
  <c r="HI10" i="6"/>
  <c r="HJ55" i="6"/>
  <c r="GC65" i="6"/>
  <c r="GD64" i="6" s="1"/>
  <c r="HH31" i="6"/>
  <c r="HG32" i="6"/>
  <c r="J201" i="7"/>
  <c r="HH49" i="6" s="1"/>
  <c r="HH73" i="6"/>
  <c r="HF34" i="6"/>
  <c r="HI16" i="6"/>
  <c r="HH17" i="6"/>
  <c r="HH18" i="6" s="1"/>
  <c r="I202" i="4"/>
  <c r="A202" i="4"/>
  <c r="B203" i="4"/>
  <c r="E107" i="4"/>
  <c r="D107" i="4"/>
  <c r="HG27" i="6" l="1"/>
  <c r="HG28" i="6" s="1"/>
  <c r="B204" i="7"/>
  <c r="A203" i="7"/>
  <c r="BU39" i="6"/>
  <c r="BU42" i="6"/>
  <c r="BU72" i="6"/>
  <c r="BU78" i="6" s="1"/>
  <c r="BU80" i="6" s="1"/>
  <c r="BU82" i="6" s="1"/>
  <c r="E69" i="7"/>
  <c r="BT5" i="6"/>
  <c r="BT7" i="6" s="1"/>
  <c r="BT4" i="6"/>
  <c r="BT56" i="6"/>
  <c r="GD65" i="6"/>
  <c r="GE64" i="6" s="1"/>
  <c r="J202" i="7"/>
  <c r="HI49" i="6" s="1"/>
  <c r="HI73" i="6"/>
  <c r="HG35" i="6"/>
  <c r="HJ16" i="6"/>
  <c r="HI17" i="6"/>
  <c r="HI18" i="6" s="1"/>
  <c r="HI31" i="6"/>
  <c r="HH32" i="6"/>
  <c r="HT69" i="6"/>
  <c r="HT70" i="6" s="1"/>
  <c r="HU68" i="6"/>
  <c r="HJ10" i="6"/>
  <c r="HK55" i="6"/>
  <c r="HF35" i="6"/>
  <c r="HV51" i="6"/>
  <c r="HW22" i="6"/>
  <c r="HK30" i="6"/>
  <c r="HK59" i="6"/>
  <c r="HL1" i="6"/>
  <c r="HI20" i="6"/>
  <c r="HH25" i="6"/>
  <c r="K203" i="7"/>
  <c r="I203" i="7"/>
  <c r="HJ38" i="6" s="1"/>
  <c r="H204" i="7"/>
  <c r="F107" i="4"/>
  <c r="G107" i="4" s="1"/>
  <c r="L107" i="4"/>
  <c r="A203" i="4"/>
  <c r="B204" i="4"/>
  <c r="I203" i="4"/>
  <c r="K203" i="4"/>
  <c r="K204" i="4" s="1"/>
  <c r="HH34" i="6" l="1"/>
  <c r="HH35" i="6" s="1"/>
  <c r="B205" i="7"/>
  <c r="A204" i="7"/>
  <c r="BT6" i="6"/>
  <c r="BT57" i="6"/>
  <c r="BT61" i="6" s="1"/>
  <c r="BT11" i="6" s="1"/>
  <c r="BU48" i="6"/>
  <c r="C70" i="7"/>
  <c r="BU40" i="6"/>
  <c r="BU43" i="6"/>
  <c r="HJ17" i="6"/>
  <c r="HJ18" i="6" s="1"/>
  <c r="HK16" i="6"/>
  <c r="HJ20" i="6"/>
  <c r="HI25" i="6"/>
  <c r="HI34" i="6" s="1"/>
  <c r="HU69" i="6"/>
  <c r="HU70" i="6" s="1"/>
  <c r="HV68" i="6"/>
  <c r="HX22" i="6"/>
  <c r="HW51" i="6"/>
  <c r="HJ31" i="6"/>
  <c r="HI32" i="6"/>
  <c r="HM1" i="6"/>
  <c r="K204" i="7"/>
  <c r="I204" i="7"/>
  <c r="HK38" i="6" s="1"/>
  <c r="H205" i="7"/>
  <c r="HL59" i="6" s="1"/>
  <c r="GE65" i="6"/>
  <c r="GF64" i="6" s="1"/>
  <c r="J203" i="7"/>
  <c r="HJ49" i="6" s="1"/>
  <c r="HJ73" i="6"/>
  <c r="HH27" i="6"/>
  <c r="HL30" i="6"/>
  <c r="HL55" i="6"/>
  <c r="HK10" i="6"/>
  <c r="I204" i="4"/>
  <c r="B205" i="4"/>
  <c r="A204" i="4"/>
  <c r="E108" i="4"/>
  <c r="D108" i="4"/>
  <c r="HI27" i="6" l="1"/>
  <c r="HI28" i="6" s="1"/>
  <c r="B206" i="7"/>
  <c r="A205" i="7"/>
  <c r="BU47" i="6"/>
  <c r="BU52" i="6" s="1"/>
  <c r="BU44" i="6"/>
  <c r="BU8" i="6"/>
  <c r="BU9" i="6" s="1"/>
  <c r="F70" i="7"/>
  <c r="D70" i="7"/>
  <c r="BV37" i="6" s="1"/>
  <c r="BV58" i="6"/>
  <c r="BV60" i="6" s="1"/>
  <c r="HI35" i="6"/>
  <c r="HM30" i="6"/>
  <c r="J204" i="7"/>
  <c r="HK49" i="6" s="1"/>
  <c r="HK73" i="6"/>
  <c r="HK31" i="6"/>
  <c r="HJ32" i="6"/>
  <c r="HO1" i="6"/>
  <c r="HN1" i="6"/>
  <c r="HW68" i="6"/>
  <c r="HV69" i="6"/>
  <c r="HV70" i="6" s="1"/>
  <c r="HH28" i="6"/>
  <c r="GF65" i="6"/>
  <c r="GG64" i="6" s="1"/>
  <c r="HK20" i="6"/>
  <c r="HJ25" i="6"/>
  <c r="HJ34" i="6" s="1"/>
  <c r="HX51" i="6"/>
  <c r="HY22" i="6"/>
  <c r="HL16" i="6"/>
  <c r="HK17" i="6"/>
  <c r="HK18" i="6" s="1"/>
  <c r="HM55" i="6"/>
  <c r="HL10" i="6"/>
  <c r="H206" i="7"/>
  <c r="HM59" i="6" s="1"/>
  <c r="HN59" i="6" s="1"/>
  <c r="K205" i="7"/>
  <c r="I205" i="7"/>
  <c r="HL38" i="6" s="1"/>
  <c r="F108" i="4"/>
  <c r="G108" i="4" s="1"/>
  <c r="L108" i="4"/>
  <c r="A205" i="4"/>
  <c r="B206" i="4"/>
  <c r="I205" i="4"/>
  <c r="K205" i="4"/>
  <c r="K206" i="4" s="1"/>
  <c r="B207" i="7" l="1"/>
  <c r="A206" i="7"/>
  <c r="E70" i="7"/>
  <c r="BV72" i="6"/>
  <c r="BV78" i="6" s="1"/>
  <c r="BV80" i="6" s="1"/>
  <c r="BV82" i="6" s="1"/>
  <c r="BV42" i="6"/>
  <c r="BV39" i="6"/>
  <c r="BU5" i="6"/>
  <c r="BU7" i="6" s="1"/>
  <c r="BU4" i="6"/>
  <c r="BU56" i="6"/>
  <c r="GG65" i="6"/>
  <c r="GH64" i="6" s="1"/>
  <c r="HJ35" i="6"/>
  <c r="HO59" i="6"/>
  <c r="HP1" i="6"/>
  <c r="HJ27" i="6"/>
  <c r="HJ28" i="6" s="1"/>
  <c r="HO30" i="6"/>
  <c r="HN30" i="6"/>
  <c r="J205" i="7"/>
  <c r="HL49" i="6" s="1"/>
  <c r="HL73" i="6"/>
  <c r="HK25" i="6"/>
  <c r="HL20" i="6"/>
  <c r="H207" i="7"/>
  <c r="K206" i="7"/>
  <c r="I206" i="7"/>
  <c r="HM38" i="6" s="1"/>
  <c r="HN38" i="6" s="1"/>
  <c r="HW69" i="6"/>
  <c r="HW70" i="6" s="1"/>
  <c r="HX68" i="6"/>
  <c r="HM16" i="6"/>
  <c r="HL17" i="6"/>
  <c r="HL18" i="6" s="1"/>
  <c r="HY51" i="6"/>
  <c r="HZ22" i="6"/>
  <c r="HL31" i="6"/>
  <c r="HK32" i="6"/>
  <c r="HO55" i="6"/>
  <c r="HM10" i="6"/>
  <c r="HN10" i="6" s="1"/>
  <c r="HN55" i="6"/>
  <c r="I206" i="4"/>
  <c r="B207" i="4"/>
  <c r="A206" i="4"/>
  <c r="E109" i="4"/>
  <c r="D109" i="4"/>
  <c r="HK34" i="6" l="1"/>
  <c r="HK35" i="6" s="1"/>
  <c r="B208" i="7"/>
  <c r="A207" i="7"/>
  <c r="BV43" i="6"/>
  <c r="BV40" i="6"/>
  <c r="BU57" i="6"/>
  <c r="BU61" i="6" s="1"/>
  <c r="BU11" i="6" s="1"/>
  <c r="BU6" i="6"/>
  <c r="BV48" i="6"/>
  <c r="C71" i="7"/>
  <c r="HK27" i="6"/>
  <c r="HK28" i="6" s="1"/>
  <c r="HM31" i="6"/>
  <c r="HL32" i="6"/>
  <c r="HZ51" i="6"/>
  <c r="IA51" i="6" s="1"/>
  <c r="IB22" i="6"/>
  <c r="IA22" i="6"/>
  <c r="HP30" i="6"/>
  <c r="HY68" i="6"/>
  <c r="HX69" i="6"/>
  <c r="HX70" i="6" s="1"/>
  <c r="J206" i="7"/>
  <c r="HM49" i="6" s="1"/>
  <c r="HN49" i="6" s="1"/>
  <c r="HM73" i="6"/>
  <c r="HN73" i="6" s="1"/>
  <c r="GH65" i="6"/>
  <c r="GI64" i="6" s="1"/>
  <c r="HO16" i="6"/>
  <c r="HM17" i="6"/>
  <c r="HN17" i="6" s="1"/>
  <c r="HN16" i="6"/>
  <c r="K207" i="7"/>
  <c r="H208" i="7"/>
  <c r="HP59" i="6" s="1"/>
  <c r="I207" i="7"/>
  <c r="HO38" i="6" s="1"/>
  <c r="HP55" i="6"/>
  <c r="HO10" i="6"/>
  <c r="HM20" i="6"/>
  <c r="HL25" i="6"/>
  <c r="HL27" i="6" s="1"/>
  <c r="HL28" i="6" s="1"/>
  <c r="HQ1" i="6"/>
  <c r="F109" i="4"/>
  <c r="G109" i="4" s="1"/>
  <c r="L109" i="4"/>
  <c r="A207" i="4"/>
  <c r="B208" i="4"/>
  <c r="I207" i="4"/>
  <c r="K207" i="4"/>
  <c r="K208" i="4" s="1"/>
  <c r="HM18" i="6" l="1"/>
  <c r="B209" i="7"/>
  <c r="A208" i="7"/>
  <c r="D71" i="7"/>
  <c r="BW37" i="6" s="1"/>
  <c r="BW58" i="6"/>
  <c r="BW60" i="6" s="1"/>
  <c r="F71" i="7"/>
  <c r="BV8" i="6"/>
  <c r="BV9" i="6" s="1"/>
  <c r="BV47" i="6"/>
  <c r="BV52" i="6" s="1"/>
  <c r="BV44" i="6"/>
  <c r="GI65" i="6"/>
  <c r="GJ64" i="6" s="1"/>
  <c r="HO31" i="6"/>
  <c r="HN31" i="6"/>
  <c r="HM32" i="6"/>
  <c r="HN32" i="6" s="1"/>
  <c r="HO17" i="6"/>
  <c r="HO18" i="6" s="1"/>
  <c r="HP16" i="6"/>
  <c r="H209" i="7"/>
  <c r="K208" i="7"/>
  <c r="I208" i="7"/>
  <c r="HP38" i="6" s="1"/>
  <c r="HY69" i="6"/>
  <c r="HY70" i="6" s="1"/>
  <c r="HZ68" i="6"/>
  <c r="HM25" i="6"/>
  <c r="HN25" i="6" s="1"/>
  <c r="HO20" i="6"/>
  <c r="HN20" i="6"/>
  <c r="HQ55" i="6"/>
  <c r="HP10" i="6"/>
  <c r="HQ30" i="6"/>
  <c r="J207" i="7"/>
  <c r="HO49" i="6" s="1"/>
  <c r="HO73" i="6"/>
  <c r="IB51" i="6"/>
  <c r="IC22" i="6"/>
  <c r="HL34" i="6"/>
  <c r="HR1" i="6"/>
  <c r="I208" i="4"/>
  <c r="A208" i="4"/>
  <c r="B209" i="4"/>
  <c r="D110" i="4"/>
  <c r="E110" i="4"/>
  <c r="HM27" i="6" l="1"/>
  <c r="HM28" i="6" s="1"/>
  <c r="HN18" i="6"/>
  <c r="HQ59" i="6"/>
  <c r="B210" i="7"/>
  <c r="A209" i="7"/>
  <c r="BW42" i="6"/>
  <c r="BW39" i="6"/>
  <c r="BV5" i="6"/>
  <c r="BV7" i="6" s="1"/>
  <c r="BV4" i="6"/>
  <c r="BV56" i="6"/>
  <c r="E71" i="7"/>
  <c r="BW72" i="6"/>
  <c r="BW78" i="6" s="1"/>
  <c r="BW80" i="6" s="1"/>
  <c r="BW82" i="6" s="1"/>
  <c r="HO25" i="6"/>
  <c r="HO34" i="6" s="1"/>
  <c r="HP20" i="6"/>
  <c r="HR55" i="6"/>
  <c r="HQ10" i="6"/>
  <c r="ID22" i="6"/>
  <c r="IC51" i="6"/>
  <c r="HR30" i="6"/>
  <c r="IB68" i="6"/>
  <c r="HZ69" i="6"/>
  <c r="IA69" i="6" s="1"/>
  <c r="IA68" i="6"/>
  <c r="HS1" i="6"/>
  <c r="HP31" i="6"/>
  <c r="HO32" i="6"/>
  <c r="HM34" i="6"/>
  <c r="J208" i="7"/>
  <c r="HP49" i="6" s="1"/>
  <c r="HP73" i="6"/>
  <c r="K209" i="7"/>
  <c r="H210" i="7"/>
  <c r="HR59" i="6" s="1"/>
  <c r="I209" i="7"/>
  <c r="HQ38" i="6" s="1"/>
  <c r="GJ65" i="6"/>
  <c r="GK64" i="6" s="1"/>
  <c r="HL35" i="6"/>
  <c r="HQ16" i="6"/>
  <c r="HP17" i="6"/>
  <c r="F110" i="4"/>
  <c r="G110" i="4" s="1"/>
  <c r="L110" i="4"/>
  <c r="B210" i="4"/>
  <c r="A209" i="4"/>
  <c r="I209" i="4"/>
  <c r="K209" i="4"/>
  <c r="K210" i="4" s="1"/>
  <c r="HN27" i="6" l="1"/>
  <c r="HN28" i="6" s="1"/>
  <c r="B211" i="7"/>
  <c r="A210" i="7"/>
  <c r="BW48" i="6"/>
  <c r="C72" i="7"/>
  <c r="BV6" i="6"/>
  <c r="BV57" i="6"/>
  <c r="BV61" i="6" s="1"/>
  <c r="BV11" i="6" s="1"/>
  <c r="BW43" i="6"/>
  <c r="BW40" i="6"/>
  <c r="HO35" i="6"/>
  <c r="HP18" i="6"/>
  <c r="HZ70" i="6"/>
  <c r="IB69" i="6"/>
  <c r="IB70" i="6" s="1"/>
  <c r="IC68" i="6"/>
  <c r="HS55" i="6"/>
  <c r="HR10" i="6"/>
  <c r="GK65" i="6"/>
  <c r="GL64" i="6" s="1"/>
  <c r="HS30" i="6"/>
  <c r="HO27" i="6"/>
  <c r="H211" i="7"/>
  <c r="HS59" i="6" s="1"/>
  <c r="K210" i="7"/>
  <c r="I210" i="7"/>
  <c r="HR38" i="6" s="1"/>
  <c r="HM35" i="6"/>
  <c r="HN34" i="6"/>
  <c r="HN35" i="6" s="1"/>
  <c r="HQ17" i="6"/>
  <c r="HR16" i="6"/>
  <c r="HQ31" i="6"/>
  <c r="HP32" i="6"/>
  <c r="HP25" i="6"/>
  <c r="HQ20" i="6"/>
  <c r="HT1" i="6"/>
  <c r="J209" i="7"/>
  <c r="HQ49" i="6" s="1"/>
  <c r="HQ73" i="6"/>
  <c r="IE22" i="6"/>
  <c r="ID51" i="6"/>
  <c r="I210" i="4"/>
  <c r="B211" i="4"/>
  <c r="A210" i="4"/>
  <c r="D111" i="4"/>
  <c r="E111" i="4"/>
  <c r="B212" i="7" l="1"/>
  <c r="A211" i="7"/>
  <c r="BW8" i="6"/>
  <c r="BW9" i="6" s="1"/>
  <c r="BW47" i="6"/>
  <c r="BW52" i="6" s="1"/>
  <c r="BW44" i="6"/>
  <c r="F72" i="7"/>
  <c r="D72" i="7"/>
  <c r="BX37" i="6" s="1"/>
  <c r="BX58" i="6"/>
  <c r="BX60" i="6" s="1"/>
  <c r="GL65" i="6"/>
  <c r="GM64" i="6" s="1"/>
  <c r="IC69" i="6"/>
  <c r="IC70" i="6" s="1"/>
  <c r="ID68" i="6"/>
  <c r="HT55" i="6"/>
  <c r="HS10" i="6"/>
  <c r="HR31" i="6"/>
  <c r="HQ32" i="6"/>
  <c r="IA70" i="6"/>
  <c r="IE51" i="6"/>
  <c r="IF22" i="6"/>
  <c r="HT30" i="6"/>
  <c r="HP27" i="6"/>
  <c r="HP28" i="6" s="1"/>
  <c r="HP34" i="6"/>
  <c r="HQ25" i="6"/>
  <c r="HR20" i="6"/>
  <c r="J210" i="7"/>
  <c r="HR49" i="6" s="1"/>
  <c r="HR73" i="6"/>
  <c r="K211" i="7"/>
  <c r="I211" i="7"/>
  <c r="HS38" i="6" s="1"/>
  <c r="H212" i="7"/>
  <c r="HT59" i="6" s="1"/>
  <c r="HU1" i="6"/>
  <c r="HQ18" i="6"/>
  <c r="HS16" i="6"/>
  <c r="HR17" i="6"/>
  <c r="HR18" i="6" s="1"/>
  <c r="HO28" i="6"/>
  <c r="F111" i="4"/>
  <c r="G111" i="4" s="1"/>
  <c r="L111" i="4"/>
  <c r="B212" i="4"/>
  <c r="A211" i="4"/>
  <c r="K211" i="4"/>
  <c r="K212" i="4" s="1"/>
  <c r="I211" i="4"/>
  <c r="B213" i="7" l="1"/>
  <c r="A212" i="7"/>
  <c r="BX42" i="6"/>
  <c r="BX39" i="6"/>
  <c r="BX72" i="6"/>
  <c r="BX78" i="6" s="1"/>
  <c r="BX80" i="6" s="1"/>
  <c r="BX82" i="6" s="1"/>
  <c r="E72" i="7"/>
  <c r="BW5" i="6"/>
  <c r="BW7" i="6" s="1"/>
  <c r="BW4" i="6"/>
  <c r="BW56" i="6"/>
  <c r="HR25" i="6"/>
  <c r="HS20" i="6"/>
  <c r="HU55" i="6"/>
  <c r="HT10" i="6"/>
  <c r="HV1" i="6"/>
  <c r="I212" i="7"/>
  <c r="HT38" i="6" s="1"/>
  <c r="H213" i="7"/>
  <c r="K212" i="7"/>
  <c r="J211" i="7"/>
  <c r="HS49" i="6" s="1"/>
  <c r="HS73" i="6"/>
  <c r="ID69" i="6"/>
  <c r="ID70" i="6" s="1"/>
  <c r="IE68" i="6"/>
  <c r="GM65" i="6"/>
  <c r="GN65" i="6" s="1"/>
  <c r="GN64" i="6"/>
  <c r="HT16" i="6"/>
  <c r="HS17" i="6"/>
  <c r="HS18" i="6" s="1"/>
  <c r="HU30" i="6"/>
  <c r="HS31" i="6"/>
  <c r="HR32" i="6"/>
  <c r="HP35" i="6"/>
  <c r="HQ34" i="6"/>
  <c r="HQ27" i="6"/>
  <c r="HQ28" i="6" s="1"/>
  <c r="IF51" i="6"/>
  <c r="IG22" i="6"/>
  <c r="I212" i="4"/>
  <c r="B213" i="4"/>
  <c r="A212" i="4"/>
  <c r="D112" i="4"/>
  <c r="E112" i="4"/>
  <c r="HR34" i="6" l="1"/>
  <c r="HR35" i="6" s="1"/>
  <c r="GO64" i="6"/>
  <c r="GO65" i="6" s="1"/>
  <c r="B214" i="7"/>
  <c r="A213" i="7"/>
  <c r="BW6" i="6"/>
  <c r="BW57" i="6"/>
  <c r="BW61" i="6" s="1"/>
  <c r="BW11" i="6" s="1"/>
  <c r="BX48" i="6"/>
  <c r="C73" i="7"/>
  <c r="BX40" i="6"/>
  <c r="BX43" i="6"/>
  <c r="J212" i="7"/>
  <c r="HT49" i="6" s="1"/>
  <c r="HT73" i="6"/>
  <c r="HT17" i="6"/>
  <c r="HT18" i="6" s="1"/>
  <c r="HU16" i="6"/>
  <c r="H214" i="7"/>
  <c r="I213" i="7"/>
  <c r="HU38" i="6" s="1"/>
  <c r="K213" i="7"/>
  <c r="HT31" i="6"/>
  <c r="HS32" i="6"/>
  <c r="IG51" i="6"/>
  <c r="IH22" i="6"/>
  <c r="HQ35" i="6"/>
  <c r="IE69" i="6"/>
  <c r="IE70" i="6" s="1"/>
  <c r="IF68" i="6"/>
  <c r="HU59" i="6"/>
  <c r="HR27" i="6"/>
  <c r="HV55" i="6"/>
  <c r="HU10" i="6"/>
  <c r="HT20" i="6"/>
  <c r="HS25" i="6"/>
  <c r="HV30" i="6"/>
  <c r="HV59" i="6"/>
  <c r="HW1" i="6"/>
  <c r="F112" i="4"/>
  <c r="G112" i="4" s="1"/>
  <c r="L112" i="4"/>
  <c r="A213" i="4"/>
  <c r="B214" i="4"/>
  <c r="K213" i="4"/>
  <c r="K214" i="4" s="1"/>
  <c r="I213" i="4"/>
  <c r="GP64" i="6" l="1"/>
  <c r="GP65" i="6" s="1"/>
  <c r="GQ64" i="6" s="1"/>
  <c r="B215" i="7"/>
  <c r="A214" i="7"/>
  <c r="D73" i="7"/>
  <c r="BY37" i="6" s="1"/>
  <c r="F73" i="7"/>
  <c r="BY58" i="6"/>
  <c r="BY60" i="6" s="1"/>
  <c r="BX47" i="6"/>
  <c r="BX52" i="6" s="1"/>
  <c r="BX8" i="6"/>
  <c r="BX9" i="6" s="1"/>
  <c r="BX44" i="6"/>
  <c r="HW30" i="6"/>
  <c r="HU31" i="6"/>
  <c r="HT32" i="6"/>
  <c r="HW55" i="6"/>
  <c r="HV10" i="6"/>
  <c r="IF69" i="6"/>
  <c r="IF70" i="6" s="1"/>
  <c r="IG68" i="6"/>
  <c r="HS34" i="6"/>
  <c r="HU17" i="6"/>
  <c r="HU18" i="6" s="1"/>
  <c r="HV16" i="6"/>
  <c r="HX1" i="6"/>
  <c r="HU20" i="6"/>
  <c r="HT25" i="6"/>
  <c r="HT27" i="6" s="1"/>
  <c r="J213" i="7"/>
  <c r="HU49" i="6" s="1"/>
  <c r="HU73" i="6"/>
  <c r="HS27" i="6"/>
  <c r="HS28" i="6" s="1"/>
  <c r="IH51" i="6"/>
  <c r="II22" i="6"/>
  <c r="HR28" i="6"/>
  <c r="K214" i="7"/>
  <c r="I214" i="7"/>
  <c r="HV38" i="6" s="1"/>
  <c r="H215" i="7"/>
  <c r="I214" i="4"/>
  <c r="A214" i="4"/>
  <c r="B215" i="4"/>
  <c r="E113" i="4"/>
  <c r="D113" i="4"/>
  <c r="B216" i="7" l="1"/>
  <c r="A215" i="7"/>
  <c r="BX56" i="6"/>
  <c r="BX5" i="6"/>
  <c r="BX7" i="6" s="1"/>
  <c r="BX4" i="6"/>
  <c r="E73" i="7"/>
  <c r="BY72" i="6"/>
  <c r="BY78" i="6" s="1"/>
  <c r="BY80" i="6" s="1"/>
  <c r="BY82" i="6" s="1"/>
  <c r="BY42" i="6"/>
  <c r="BY39" i="6"/>
  <c r="HT28" i="6"/>
  <c r="GQ65" i="6"/>
  <c r="GR64" i="6" s="1"/>
  <c r="HV31" i="6"/>
  <c r="HU32" i="6"/>
  <c r="H216" i="7"/>
  <c r="HX59" i="6" s="1"/>
  <c r="I215" i="7"/>
  <c r="HW38" i="6" s="1"/>
  <c r="K215" i="7"/>
  <c r="II51" i="6"/>
  <c r="IJ22" i="6"/>
  <c r="HY1" i="6"/>
  <c r="HW59" i="6"/>
  <c r="J214" i="7"/>
  <c r="HV49" i="6" s="1"/>
  <c r="HV73" i="6"/>
  <c r="IH68" i="6"/>
  <c r="IG69" i="6"/>
  <c r="IG70" i="6" s="1"/>
  <c r="HS35" i="6"/>
  <c r="HX55" i="6"/>
  <c r="HW10" i="6"/>
  <c r="HX30" i="6"/>
  <c r="HV17" i="6"/>
  <c r="HV18" i="6" s="1"/>
  <c r="HW16" i="6"/>
  <c r="HT34" i="6"/>
  <c r="HV20" i="6"/>
  <c r="HU25" i="6"/>
  <c r="HU27" i="6" s="1"/>
  <c r="HU28" i="6" s="1"/>
  <c r="F113" i="4"/>
  <c r="G113" i="4" s="1"/>
  <c r="L113" i="4"/>
  <c r="A215" i="4"/>
  <c r="B216" i="4"/>
  <c r="K215" i="4"/>
  <c r="K216" i="4" s="1"/>
  <c r="I215" i="4"/>
  <c r="HU34" i="6" l="1"/>
  <c r="HU35" i="6" s="1"/>
  <c r="B217" i="7"/>
  <c r="A216" i="7"/>
  <c r="BY43" i="6"/>
  <c r="BY40" i="6"/>
  <c r="BY48" i="6"/>
  <c r="C74" i="7"/>
  <c r="BX57" i="6"/>
  <c r="BX61" i="6" s="1"/>
  <c r="BX11" i="6" s="1"/>
  <c r="BX6" i="6"/>
  <c r="GR65" i="6"/>
  <c r="GS64" i="6" s="1"/>
  <c r="HW17" i="6"/>
  <c r="HW18" i="6" s="1"/>
  <c r="HX16" i="6"/>
  <c r="IJ51" i="6"/>
  <c r="IK22" i="6"/>
  <c r="J215" i="7"/>
  <c r="HW49" i="6" s="1"/>
  <c r="HW73" i="6"/>
  <c r="II68" i="6"/>
  <c r="IH69" i="6"/>
  <c r="IH70" i="6" s="1"/>
  <c r="HX10" i="6"/>
  <c r="HY55" i="6"/>
  <c r="HZ1" i="6"/>
  <c r="HY30" i="6"/>
  <c r="K216" i="7"/>
  <c r="I216" i="7"/>
  <c r="HX38" i="6" s="1"/>
  <c r="H217" i="7"/>
  <c r="HY59" i="6" s="1"/>
  <c r="HW31" i="6"/>
  <c r="HV32" i="6"/>
  <c r="HW20" i="6"/>
  <c r="HV25" i="6"/>
  <c r="HT35" i="6"/>
  <c r="I216" i="4"/>
  <c r="B217" i="4"/>
  <c r="A216" i="4"/>
  <c r="D114" i="4"/>
  <c r="E114" i="4"/>
  <c r="HV34" i="6" l="1"/>
  <c r="HV35" i="6" s="1"/>
  <c r="B218" i="7"/>
  <c r="A217" i="7"/>
  <c r="F74" i="7"/>
  <c r="D74" i="7"/>
  <c r="BZ37" i="6" s="1"/>
  <c r="BZ58" i="6"/>
  <c r="BY47" i="6"/>
  <c r="BY52" i="6" s="1"/>
  <c r="BY44" i="6"/>
  <c r="BY8" i="6"/>
  <c r="BY9" i="6" s="1"/>
  <c r="GS65" i="6"/>
  <c r="GT64" i="6" s="1"/>
  <c r="HZ30" i="6"/>
  <c r="IB1" i="6"/>
  <c r="IA1" i="6"/>
  <c r="HX31" i="6"/>
  <c r="HW32" i="6"/>
  <c r="IK51" i="6"/>
  <c r="IL22" i="6"/>
  <c r="I217" i="7"/>
  <c r="HY38" i="6" s="1"/>
  <c r="H218" i="7"/>
  <c r="HZ59" i="6" s="1"/>
  <c r="IA59" i="6" s="1"/>
  <c r="K217" i="7"/>
  <c r="HV27" i="6"/>
  <c r="HV28" i="6" s="1"/>
  <c r="HX17" i="6"/>
  <c r="HX18" i="6" s="1"/>
  <c r="HY16" i="6"/>
  <c r="HZ55" i="6"/>
  <c r="HY10" i="6"/>
  <c r="IJ68" i="6"/>
  <c r="II69" i="6"/>
  <c r="II70" i="6" s="1"/>
  <c r="HW25" i="6"/>
  <c r="HW27" i="6" s="1"/>
  <c r="HW28" i="6" s="1"/>
  <c r="HX20" i="6"/>
  <c r="J216" i="7"/>
  <c r="HX49" i="6" s="1"/>
  <c r="HX73" i="6"/>
  <c r="F114" i="4"/>
  <c r="G114" i="4" s="1"/>
  <c r="L114" i="4"/>
  <c r="B218" i="4"/>
  <c r="A217" i="4"/>
  <c r="K217" i="4"/>
  <c r="K218" i="4" s="1"/>
  <c r="I217" i="4"/>
  <c r="B219" i="7" l="1"/>
  <c r="A218" i="7"/>
  <c r="BY4" i="6"/>
  <c r="BY5" i="6"/>
  <c r="BY7" i="6" s="1"/>
  <c r="BY56" i="6"/>
  <c r="CA58" i="6"/>
  <c r="BZ60" i="6"/>
  <c r="CA60" i="6" s="1"/>
  <c r="BZ42" i="6"/>
  <c r="CA42" i="6" s="1"/>
  <c r="BZ39" i="6"/>
  <c r="CA37" i="6"/>
  <c r="BZ72" i="6"/>
  <c r="E74" i="7"/>
  <c r="HW34" i="6"/>
  <c r="IA55" i="6"/>
  <c r="HZ10" i="6"/>
  <c r="IA10" i="6" s="1"/>
  <c r="IB55" i="6"/>
  <c r="HY31" i="6"/>
  <c r="HX32" i="6"/>
  <c r="HY17" i="6"/>
  <c r="HY18" i="6" s="1"/>
  <c r="HZ16" i="6"/>
  <c r="J217" i="7"/>
  <c r="HY49" i="6" s="1"/>
  <c r="HY73" i="6"/>
  <c r="HY20" i="6"/>
  <c r="HX25" i="6"/>
  <c r="HX27" i="6" s="1"/>
  <c r="HX28" i="6" s="1"/>
  <c r="IB30" i="6"/>
  <c r="IA30" i="6"/>
  <c r="IC1" i="6"/>
  <c r="K218" i="7"/>
  <c r="H219" i="7"/>
  <c r="IB59" i="6" s="1"/>
  <c r="I218" i="7"/>
  <c r="HZ38" i="6" s="1"/>
  <c r="IA38" i="6" s="1"/>
  <c r="IM22" i="6"/>
  <c r="IL51" i="6"/>
  <c r="GT65" i="6"/>
  <c r="GU64" i="6" s="1"/>
  <c r="IJ69" i="6"/>
  <c r="IJ70" i="6" s="1"/>
  <c r="IK68" i="6"/>
  <c r="I218" i="4"/>
  <c r="B219" i="4"/>
  <c r="K219" i="4" s="1"/>
  <c r="A218" i="4"/>
  <c r="D115" i="4"/>
  <c r="E115" i="4"/>
  <c r="B220" i="7" l="1"/>
  <c r="A219" i="7"/>
  <c r="BZ48" i="6"/>
  <c r="CA48" i="6" s="1"/>
  <c r="C75" i="7"/>
  <c r="G36" i="3" s="1"/>
  <c r="H36" i="3" s="1"/>
  <c r="BZ78" i="6"/>
  <c r="CA72" i="6"/>
  <c r="BZ43" i="6"/>
  <c r="BZ40" i="6"/>
  <c r="CA39" i="6"/>
  <c r="CA40" i="6" s="1"/>
  <c r="BY6" i="6"/>
  <c r="BY57" i="6"/>
  <c r="BY61" i="6" s="1"/>
  <c r="BY11" i="6" s="1"/>
  <c r="GU65" i="6"/>
  <c r="GV64" i="6" s="1"/>
  <c r="IB16" i="6"/>
  <c r="HZ17" i="6"/>
  <c r="IA17" i="6" s="1"/>
  <c r="IA16" i="6"/>
  <c r="ID1" i="6"/>
  <c r="HZ31" i="6"/>
  <c r="HY32" i="6"/>
  <c r="HX34" i="6"/>
  <c r="IC55" i="6"/>
  <c r="IB10" i="6"/>
  <c r="IM51" i="6"/>
  <c r="IN51" i="6" s="1"/>
  <c r="IO22" i="6"/>
  <c r="IN22" i="6"/>
  <c r="IC30" i="6"/>
  <c r="HW35" i="6"/>
  <c r="J218" i="7"/>
  <c r="HZ49" i="6" s="1"/>
  <c r="IA49" i="6" s="1"/>
  <c r="HZ73" i="6"/>
  <c r="IA73" i="6" s="1"/>
  <c r="IK69" i="6"/>
  <c r="IK70" i="6" s="1"/>
  <c r="IL68" i="6"/>
  <c r="HY25" i="6"/>
  <c r="HZ20" i="6"/>
  <c r="K219" i="7"/>
  <c r="H220" i="7"/>
  <c r="IC59" i="6" s="1"/>
  <c r="I219" i="7"/>
  <c r="IB38" i="6" s="1"/>
  <c r="F115" i="4"/>
  <c r="G115" i="4" s="1"/>
  <c r="L115" i="4"/>
  <c r="A219" i="4"/>
  <c r="B220" i="4"/>
  <c r="I219" i="4"/>
  <c r="HY34" i="6" l="1"/>
  <c r="HY35" i="6" s="1"/>
  <c r="HZ18" i="6"/>
  <c r="IA18" i="6" s="1"/>
  <c r="B221" i="7"/>
  <c r="A220" i="7"/>
  <c r="BZ44" i="6"/>
  <c r="BZ47" i="6"/>
  <c r="BZ8" i="6"/>
  <c r="CA43" i="6"/>
  <c r="CA44" i="6" s="1"/>
  <c r="BZ80" i="6"/>
  <c r="CA78" i="6"/>
  <c r="F75" i="7"/>
  <c r="D75" i="7"/>
  <c r="CB37" i="6" s="1"/>
  <c r="CB58" i="6"/>
  <c r="CB60" i="6" s="1"/>
  <c r="GV65" i="6"/>
  <c r="GW64" i="6" s="1"/>
  <c r="H221" i="7"/>
  <c r="ID59" i="6" s="1"/>
  <c r="I220" i="7"/>
  <c r="IC38" i="6" s="1"/>
  <c r="K220" i="7"/>
  <c r="HX35" i="6"/>
  <c r="ID30" i="6"/>
  <c r="IM68" i="6"/>
  <c r="IL69" i="6"/>
  <c r="IL70" i="6" s="1"/>
  <c r="IE1" i="6"/>
  <c r="HY27" i="6"/>
  <c r="HY28" i="6" s="1"/>
  <c r="ID55" i="6"/>
  <c r="IC10" i="6"/>
  <c r="J219" i="7"/>
  <c r="IB49" i="6" s="1"/>
  <c r="IB73" i="6"/>
  <c r="IC16" i="6"/>
  <c r="IB17" i="6"/>
  <c r="IB18" i="6" s="1"/>
  <c r="IB20" i="6"/>
  <c r="HZ25" i="6"/>
  <c r="IA25" i="6" s="1"/>
  <c r="IA20" i="6"/>
  <c r="IB31" i="6"/>
  <c r="IA31" i="6"/>
  <c r="HZ32" i="6"/>
  <c r="IA32" i="6" s="1"/>
  <c r="IP22" i="6"/>
  <c r="IO51" i="6"/>
  <c r="I220" i="4"/>
  <c r="B221" i="4"/>
  <c r="A220" i="4"/>
  <c r="D116" i="4"/>
  <c r="E116" i="4"/>
  <c r="K220" i="4"/>
  <c r="K221" i="4" s="1"/>
  <c r="B222" i="7" l="1"/>
  <c r="A221" i="7"/>
  <c r="CB72" i="6"/>
  <c r="E75" i="7"/>
  <c r="CB42" i="6"/>
  <c r="CB39" i="6"/>
  <c r="BZ82" i="6"/>
  <c r="CA82" i="6" s="1"/>
  <c r="CA80" i="6"/>
  <c r="E35" i="3" s="1"/>
  <c r="BZ9" i="6"/>
  <c r="CA9" i="6" s="1"/>
  <c r="CA8" i="6"/>
  <c r="BZ52" i="6"/>
  <c r="CA47" i="6"/>
  <c r="IB25" i="6"/>
  <c r="IC20" i="6"/>
  <c r="HZ27" i="6"/>
  <c r="IC17" i="6"/>
  <c r="IC18" i="6" s="1"/>
  <c r="ID16" i="6"/>
  <c r="J220" i="7"/>
  <c r="IC49" i="6" s="1"/>
  <c r="IC73" i="6"/>
  <c r="IO68" i="6"/>
  <c r="IM69" i="6"/>
  <c r="IN69" i="6" s="1"/>
  <c r="IN68" i="6"/>
  <c r="IC31" i="6"/>
  <c r="IB32" i="6"/>
  <c r="IE30" i="6"/>
  <c r="IF1" i="6"/>
  <c r="HZ34" i="6"/>
  <c r="GW65" i="6"/>
  <c r="GX64" i="6" s="1"/>
  <c r="IP51" i="6"/>
  <c r="IQ22" i="6"/>
  <c r="IE55" i="6"/>
  <c r="ID10" i="6"/>
  <c r="H222" i="7"/>
  <c r="K221" i="7"/>
  <c r="I221" i="7"/>
  <c r="ID38" i="6" s="1"/>
  <c r="F116" i="4"/>
  <c r="G116" i="4" s="1"/>
  <c r="L116" i="4"/>
  <c r="B222" i="4"/>
  <c r="A221" i="4"/>
  <c r="I221" i="4"/>
  <c r="IB34" i="6" l="1"/>
  <c r="IB35" i="6" s="1"/>
  <c r="IB27" i="6"/>
  <c r="IB28" i="6" s="1"/>
  <c r="K35" i="3"/>
  <c r="L35" i="3"/>
  <c r="B223" i="7"/>
  <c r="A222" i="7"/>
  <c r="BZ5" i="6"/>
  <c r="BZ4" i="6"/>
  <c r="CA4" i="6" s="1"/>
  <c r="CA52" i="6"/>
  <c r="BZ56" i="6"/>
  <c r="CB40" i="6"/>
  <c r="CB43" i="6"/>
  <c r="CB48" i="6"/>
  <c r="C76" i="7"/>
  <c r="CB78" i="6"/>
  <c r="IG1" i="6"/>
  <c r="IO69" i="6"/>
  <c r="IO70" i="6" s="1"/>
  <c r="IP68" i="6"/>
  <c r="IC25" i="6"/>
  <c r="IC27" i="6" s="1"/>
  <c r="IC28" i="6" s="1"/>
  <c r="ID20" i="6"/>
  <c r="IF30" i="6"/>
  <c r="GX65" i="6"/>
  <c r="GY64" i="6" s="1"/>
  <c r="ID17" i="6"/>
  <c r="IE16" i="6"/>
  <c r="J221" i="7"/>
  <c r="ID49" i="6" s="1"/>
  <c r="ID73" i="6"/>
  <c r="H223" i="7"/>
  <c r="I222" i="7"/>
  <c r="IE38" i="6" s="1"/>
  <c r="K222" i="7"/>
  <c r="IE59" i="6"/>
  <c r="HZ28" i="6"/>
  <c r="IA27" i="6"/>
  <c r="IA28" i="6" s="1"/>
  <c r="IM70" i="6"/>
  <c r="IR22" i="6"/>
  <c r="IQ51" i="6"/>
  <c r="HZ35" i="6"/>
  <c r="IA34" i="6"/>
  <c r="IA35" i="6" s="1"/>
  <c r="ID31" i="6"/>
  <c r="IC32" i="6"/>
  <c r="IF55" i="6"/>
  <c r="IE10" i="6"/>
  <c r="I222" i="4"/>
  <c r="B223" i="4"/>
  <c r="A222" i="4"/>
  <c r="E117" i="4"/>
  <c r="D117" i="4"/>
  <c r="K222" i="4"/>
  <c r="K223" i="4" s="1"/>
  <c r="IC34" i="6" l="1"/>
  <c r="IC35" i="6" s="1"/>
  <c r="B224" i="7"/>
  <c r="A223" i="7"/>
  <c r="CC58" i="6"/>
  <c r="CC60" i="6" s="1"/>
  <c r="D76" i="7"/>
  <c r="CC37" i="6" s="1"/>
  <c r="F76" i="7"/>
  <c r="CB80" i="6"/>
  <c r="CB44" i="6"/>
  <c r="CB47" i="6"/>
  <c r="CB8" i="6"/>
  <c r="CA56" i="6"/>
  <c r="BZ6" i="6"/>
  <c r="BZ57" i="6"/>
  <c r="BZ61" i="6" s="1"/>
  <c r="CA5" i="6"/>
  <c r="BZ7" i="6"/>
  <c r="ID18" i="6"/>
  <c r="K223" i="7"/>
  <c r="H224" i="7"/>
  <c r="IG59" i="6" s="1"/>
  <c r="I223" i="7"/>
  <c r="IF38" i="6" s="1"/>
  <c r="J222" i="7"/>
  <c r="IE49" i="6" s="1"/>
  <c r="IE73" i="6"/>
  <c r="IF59" i="6"/>
  <c r="IP69" i="6"/>
  <c r="IP70" i="6" s="1"/>
  <c r="IQ68" i="6"/>
  <c r="IG55" i="6"/>
  <c r="IF10" i="6"/>
  <c r="IE31" i="6"/>
  <c r="ID32" i="6"/>
  <c r="IN70" i="6"/>
  <c r="GY65" i="6"/>
  <c r="GZ64" i="6" s="1"/>
  <c r="IH1" i="6"/>
  <c r="IG30" i="6"/>
  <c r="ID25" i="6"/>
  <c r="IE20" i="6"/>
  <c r="IS22" i="6"/>
  <c r="IR51" i="6"/>
  <c r="IF16" i="6"/>
  <c r="IE17" i="6"/>
  <c r="IE18" i="6" s="1"/>
  <c r="F117" i="4"/>
  <c r="G117" i="4" s="1"/>
  <c r="L117" i="4"/>
  <c r="B224" i="4"/>
  <c r="A223" i="4"/>
  <c r="I223" i="4"/>
  <c r="B225" i="7" l="1"/>
  <c r="A224" i="7"/>
  <c r="CB82" i="6"/>
  <c r="BZ11" i="6"/>
  <c r="CA61" i="6"/>
  <c r="CA11" i="6" s="1"/>
  <c r="CA12" i="6" s="1"/>
  <c r="CB9" i="6"/>
  <c r="E76" i="7"/>
  <c r="CC72" i="6"/>
  <c r="CC42" i="6"/>
  <c r="CC39" i="6"/>
  <c r="CA6" i="6"/>
  <c r="CA57" i="6"/>
  <c r="CB52" i="6"/>
  <c r="CB56" i="6" s="1"/>
  <c r="CA7" i="6"/>
  <c r="CA13" i="6" s="1"/>
  <c r="GZ65" i="6"/>
  <c r="HA65" i="6" s="1"/>
  <c r="HA64" i="6"/>
  <c r="II1" i="6"/>
  <c r="IF31" i="6"/>
  <c r="IE32" i="6"/>
  <c r="ID27" i="6"/>
  <c r="ID34" i="6"/>
  <c r="IE25" i="6"/>
  <c r="IE27" i="6" s="1"/>
  <c r="IE28" i="6" s="1"/>
  <c r="IF20" i="6"/>
  <c r="IF17" i="6"/>
  <c r="IF18" i="6" s="1"/>
  <c r="IG16" i="6"/>
  <c r="IQ69" i="6"/>
  <c r="IQ70" i="6" s="1"/>
  <c r="IR68" i="6"/>
  <c r="J223" i="7"/>
  <c r="IF49" i="6" s="1"/>
  <c r="IF73" i="6"/>
  <c r="IS51" i="6"/>
  <c r="IT22" i="6"/>
  <c r="IH30" i="6"/>
  <c r="IH55" i="6"/>
  <c r="IG10" i="6"/>
  <c r="K224" i="7"/>
  <c r="I224" i="7"/>
  <c r="IG38" i="6" s="1"/>
  <c r="H225" i="7"/>
  <c r="I224" i="4"/>
  <c r="A224" i="4"/>
  <c r="B225" i="4"/>
  <c r="K224" i="4"/>
  <c r="K225" i="4" s="1"/>
  <c r="E118" i="4"/>
  <c r="D118" i="4"/>
  <c r="B226" i="7" l="1"/>
  <c r="A225" i="7"/>
  <c r="CB6" i="6"/>
  <c r="CB57" i="6"/>
  <c r="CB61" i="6" s="1"/>
  <c r="CB11" i="6" s="1"/>
  <c r="CC43" i="6"/>
  <c r="CC40" i="6"/>
  <c r="CC78" i="6"/>
  <c r="CC48" i="6"/>
  <c r="C77" i="7"/>
  <c r="CB5" i="6"/>
  <c r="CB4" i="6"/>
  <c r="H226" i="7"/>
  <c r="II59" i="6" s="1"/>
  <c r="K225" i="7"/>
  <c r="I225" i="7"/>
  <c r="IH38" i="6" s="1"/>
  <c r="ID28" i="6"/>
  <c r="II30" i="6"/>
  <c r="IH59" i="6"/>
  <c r="HB64" i="6"/>
  <c r="ID35" i="6"/>
  <c r="IE34" i="6"/>
  <c r="IJ1" i="6"/>
  <c r="IG31" i="6"/>
  <c r="IF32" i="6"/>
  <c r="IG17" i="6"/>
  <c r="IG18" i="6" s="1"/>
  <c r="IH16" i="6"/>
  <c r="II55" i="6"/>
  <c r="IH10" i="6"/>
  <c r="IR69" i="6"/>
  <c r="IR70" i="6" s="1"/>
  <c r="IS68" i="6"/>
  <c r="J224" i="7"/>
  <c r="IG49" i="6" s="1"/>
  <c r="IG73" i="6"/>
  <c r="IT51" i="6"/>
  <c r="IU22" i="6"/>
  <c r="IG20" i="6"/>
  <c r="IF25" i="6"/>
  <c r="F118" i="4"/>
  <c r="G118" i="4" s="1"/>
  <c r="L118" i="4"/>
  <c r="A225" i="4"/>
  <c r="B226" i="4"/>
  <c r="I225" i="4"/>
  <c r="IF34" i="6" l="1"/>
  <c r="IF35" i="6" s="1"/>
  <c r="B227" i="7"/>
  <c r="A226" i="7"/>
  <c r="CC80" i="6"/>
  <c r="CC47" i="6"/>
  <c r="CC44" i="6"/>
  <c r="CC8" i="6"/>
  <c r="F77" i="7"/>
  <c r="D77" i="7"/>
  <c r="CD37" i="6" s="1"/>
  <c r="CD58" i="6"/>
  <c r="CD60" i="6" s="1"/>
  <c r="CB7" i="6"/>
  <c r="IV22" i="6"/>
  <c r="IU51" i="6"/>
  <c r="IJ30" i="6"/>
  <c r="IE35" i="6"/>
  <c r="IG25" i="6"/>
  <c r="IG27" i="6" s="1"/>
  <c r="IG28" i="6" s="1"/>
  <c r="IH20" i="6"/>
  <c r="IF27" i="6"/>
  <c r="IH31" i="6"/>
  <c r="IG32" i="6"/>
  <c r="IK1" i="6"/>
  <c r="IT68" i="6"/>
  <c r="IS69" i="6"/>
  <c r="IS70" i="6" s="1"/>
  <c r="HB65" i="6"/>
  <c r="HC64" i="6" s="1"/>
  <c r="J225" i="7"/>
  <c r="IH49" i="6" s="1"/>
  <c r="IH73" i="6"/>
  <c r="I226" i="7"/>
  <c r="II38" i="6" s="1"/>
  <c r="K226" i="7"/>
  <c r="H227" i="7"/>
  <c r="IJ59" i="6" s="1"/>
  <c r="II16" i="6"/>
  <c r="IH17" i="6"/>
  <c r="IH18" i="6" s="1"/>
  <c r="IJ55" i="6"/>
  <c r="II10" i="6"/>
  <c r="I226" i="4"/>
  <c r="B227" i="4"/>
  <c r="A226" i="4"/>
  <c r="K226" i="4"/>
  <c r="K227" i="4" s="1"/>
  <c r="D119" i="4"/>
  <c r="E119" i="4"/>
  <c r="B228" i="7" l="1"/>
  <c r="A227" i="7"/>
  <c r="CD39" i="6"/>
  <c r="CD42" i="6"/>
  <c r="CD72" i="6"/>
  <c r="E77" i="7"/>
  <c r="CC9" i="6"/>
  <c r="CC52" i="6"/>
  <c r="CC82" i="6"/>
  <c r="IK55" i="6"/>
  <c r="IJ10" i="6"/>
  <c r="II31" i="6"/>
  <c r="IH32" i="6"/>
  <c r="IK30" i="6"/>
  <c r="IV51" i="6"/>
  <c r="IW22" i="6"/>
  <c r="IT69" i="6"/>
  <c r="IT70" i="6" s="1"/>
  <c r="IU68" i="6"/>
  <c r="IJ16" i="6"/>
  <c r="II17" i="6"/>
  <c r="II18" i="6" s="1"/>
  <c r="K227" i="7"/>
  <c r="H228" i="7"/>
  <c r="I227" i="7"/>
  <c r="IJ38" i="6" s="1"/>
  <c r="IL1" i="6"/>
  <c r="HC65" i="6"/>
  <c r="IF28" i="6"/>
  <c r="IG34" i="6"/>
  <c r="J226" i="7"/>
  <c r="II49" i="6" s="1"/>
  <c r="II73" i="6"/>
  <c r="II20" i="6"/>
  <c r="IH25" i="6"/>
  <c r="IH27" i="6" s="1"/>
  <c r="F119" i="4"/>
  <c r="G119" i="4" s="1"/>
  <c r="L119" i="4"/>
  <c r="A227" i="4"/>
  <c r="B228" i="4"/>
  <c r="I227" i="4"/>
  <c r="B229" i="7" l="1"/>
  <c r="A228" i="7"/>
  <c r="CC5" i="6"/>
  <c r="CC4" i="6"/>
  <c r="CC56" i="6"/>
  <c r="CD48" i="6"/>
  <c r="C78" i="7"/>
  <c r="CD78" i="6"/>
  <c r="CD43" i="6"/>
  <c r="CD40" i="6"/>
  <c r="IH28" i="6"/>
  <c r="K228" i="7"/>
  <c r="I228" i="7"/>
  <c r="IK38" i="6" s="1"/>
  <c r="H229" i="7"/>
  <c r="HD64" i="6"/>
  <c r="IJ31" i="6"/>
  <c r="II32" i="6"/>
  <c r="IJ20" i="6"/>
  <c r="II25" i="6"/>
  <c r="II27" i="6" s="1"/>
  <c r="II28" i="6" s="1"/>
  <c r="IU69" i="6"/>
  <c r="IU70" i="6" s="1"/>
  <c r="IV68" i="6"/>
  <c r="IK59" i="6"/>
  <c r="IK16" i="6"/>
  <c r="IJ17" i="6"/>
  <c r="IJ18" i="6" s="1"/>
  <c r="IW51" i="6"/>
  <c r="IX22" i="6"/>
  <c r="IL30" i="6"/>
  <c r="IH34" i="6"/>
  <c r="J227" i="7"/>
  <c r="IJ49" i="6" s="1"/>
  <c r="IJ73" i="6"/>
  <c r="IM1" i="6"/>
  <c r="IG35" i="6"/>
  <c r="IL55" i="6"/>
  <c r="IK10" i="6"/>
  <c r="I228" i="4"/>
  <c r="A228" i="4"/>
  <c r="B229" i="4"/>
  <c r="K228" i="4"/>
  <c r="K229" i="4" s="1"/>
  <c r="E120" i="4"/>
  <c r="D120" i="4"/>
  <c r="II34" i="6" l="1"/>
  <c r="II35" i="6" s="1"/>
  <c r="B230" i="7"/>
  <c r="A229" i="7"/>
  <c r="CD80" i="6"/>
  <c r="D78" i="7"/>
  <c r="CE37" i="6" s="1"/>
  <c r="F78" i="7"/>
  <c r="CE58" i="6"/>
  <c r="CE60" i="6" s="1"/>
  <c r="CD8" i="6"/>
  <c r="CD44" i="6"/>
  <c r="CD47" i="6"/>
  <c r="CC6" i="6"/>
  <c r="CC57" i="6"/>
  <c r="CC61" i="6" s="1"/>
  <c r="CC11" i="6" s="1"/>
  <c r="CC7" i="6"/>
  <c r="IK31" i="6"/>
  <c r="IJ32" i="6"/>
  <c r="HD65" i="6"/>
  <c r="HE64" i="6" s="1"/>
  <c r="IK17" i="6"/>
  <c r="IK18" i="6" s="1"/>
  <c r="IL16" i="6"/>
  <c r="J228" i="7"/>
  <c r="IK49" i="6" s="1"/>
  <c r="IK73" i="6"/>
  <c r="IH35" i="6"/>
  <c r="IV69" i="6"/>
  <c r="IV70" i="6" s="1"/>
  <c r="IW68" i="6"/>
  <c r="I229" i="7"/>
  <c r="IL38" i="6" s="1"/>
  <c r="H230" i="7"/>
  <c r="IM59" i="6" s="1"/>
  <c r="IN59" i="6" s="1"/>
  <c r="K229" i="7"/>
  <c r="IL59" i="6"/>
  <c r="IK20" i="6"/>
  <c r="IJ25" i="6"/>
  <c r="IJ27" i="6" s="1"/>
  <c r="IJ28" i="6" s="1"/>
  <c r="IM55" i="6"/>
  <c r="IL10" i="6"/>
  <c r="IM30" i="6"/>
  <c r="IO1" i="6"/>
  <c r="IN1" i="6"/>
  <c r="IX51" i="6"/>
  <c r="IY22" i="6"/>
  <c r="F120" i="4"/>
  <c r="G120" i="4" s="1"/>
  <c r="L120" i="4"/>
  <c r="B230" i="4"/>
  <c r="A229" i="4"/>
  <c r="I229" i="4"/>
  <c r="B231" i="7" l="1"/>
  <c r="A230" i="7"/>
  <c r="E78" i="7"/>
  <c r="CE72" i="6"/>
  <c r="CD52" i="6"/>
  <c r="CD9" i="6"/>
  <c r="CE39" i="6"/>
  <c r="CE42" i="6"/>
  <c r="CD82" i="6"/>
  <c r="IL17" i="6"/>
  <c r="IL18" i="6" s="1"/>
  <c r="IM16" i="6"/>
  <c r="IM10" i="6"/>
  <c r="IN10" i="6" s="1"/>
  <c r="IO55" i="6"/>
  <c r="IN55" i="6"/>
  <c r="IJ34" i="6"/>
  <c r="IX68" i="6"/>
  <c r="IW69" i="6"/>
  <c r="IW70" i="6" s="1"/>
  <c r="HE65" i="6"/>
  <c r="HF64" i="6" s="1"/>
  <c r="IL20" i="6"/>
  <c r="IK25" i="6"/>
  <c r="IL31" i="6"/>
  <c r="IK32" i="6"/>
  <c r="IO59" i="6"/>
  <c r="IP1" i="6"/>
  <c r="IO30" i="6"/>
  <c r="IN30" i="6"/>
  <c r="J229" i="7"/>
  <c r="IL49" i="6" s="1"/>
  <c r="IL73" i="6"/>
  <c r="IY51" i="6"/>
  <c r="IZ22" i="6"/>
  <c r="H231" i="7"/>
  <c r="K230" i="7"/>
  <c r="I230" i="7"/>
  <c r="IM38" i="6" s="1"/>
  <c r="IN38" i="6" s="1"/>
  <c r="I230" i="4"/>
  <c r="A230" i="4"/>
  <c r="B231" i="4"/>
  <c r="K230" i="4"/>
  <c r="E121" i="4"/>
  <c r="D121" i="4"/>
  <c r="IK34" i="6" l="1"/>
  <c r="IK35" i="6" s="1"/>
  <c r="IK27" i="6"/>
  <c r="IK28" i="6" s="1"/>
  <c r="B232" i="7"/>
  <c r="A231" i="7"/>
  <c r="CE43" i="6"/>
  <c r="CE40" i="6"/>
  <c r="CD4" i="6"/>
  <c r="CD5" i="6"/>
  <c r="CD56" i="6"/>
  <c r="CE78" i="6"/>
  <c r="CE48" i="6"/>
  <c r="C79" i="7"/>
  <c r="IP55" i="6"/>
  <c r="IO10" i="6"/>
  <c r="HF65" i="6"/>
  <c r="HG64" i="6" s="1"/>
  <c r="JB22" i="6"/>
  <c r="IZ51" i="6"/>
  <c r="JA51" i="6" s="1"/>
  <c r="JA22" i="6"/>
  <c r="IP30" i="6"/>
  <c r="IQ1" i="6"/>
  <c r="IY68" i="6"/>
  <c r="IX69" i="6"/>
  <c r="IX70" i="6" s="1"/>
  <c r="IJ35" i="6"/>
  <c r="IM31" i="6"/>
  <c r="IL32" i="6"/>
  <c r="IM20" i="6"/>
  <c r="IL25" i="6"/>
  <c r="IL27" i="6" s="1"/>
  <c r="IL28" i="6" s="1"/>
  <c r="IO16" i="6"/>
  <c r="IM17" i="6"/>
  <c r="IN17" i="6" s="1"/>
  <c r="IN16" i="6"/>
  <c r="J230" i="7"/>
  <c r="IM49" i="6" s="1"/>
  <c r="IN49" i="6" s="1"/>
  <c r="IM73" i="6"/>
  <c r="IN73" i="6" s="1"/>
  <c r="I231" i="7"/>
  <c r="IO38" i="6" s="1"/>
  <c r="K231" i="7"/>
  <c r="H232" i="7"/>
  <c r="K231" i="4"/>
  <c r="I231" i="4"/>
  <c r="F121" i="4"/>
  <c r="G121" i="4" s="1"/>
  <c r="L121" i="4"/>
  <c r="B232" i="4"/>
  <c r="A231" i="4"/>
  <c r="B233" i="7" l="1"/>
  <c r="A232" i="7"/>
  <c r="CD6" i="6"/>
  <c r="CD57" i="6"/>
  <c r="CD61" i="6" s="1"/>
  <c r="CD11" i="6" s="1"/>
  <c r="CF58" i="6"/>
  <c r="CF60" i="6" s="1"/>
  <c r="D79" i="7"/>
  <c r="CF37" i="6" s="1"/>
  <c r="F79" i="7"/>
  <c r="CE80" i="6"/>
  <c r="CD7" i="6"/>
  <c r="CE47" i="6"/>
  <c r="CE44" i="6"/>
  <c r="CE8" i="6"/>
  <c r="HG65" i="6"/>
  <c r="HH64" i="6" s="1"/>
  <c r="IQ30" i="6"/>
  <c r="IY69" i="6"/>
  <c r="IY70" i="6" s="1"/>
  <c r="IZ68" i="6"/>
  <c r="K232" i="7"/>
  <c r="H233" i="7"/>
  <c r="IQ59" i="6" s="1"/>
  <c r="I232" i="7"/>
  <c r="IP38" i="6" s="1"/>
  <c r="IO17" i="6"/>
  <c r="IO18" i="6" s="1"/>
  <c r="IP16" i="6"/>
  <c r="JB51" i="6"/>
  <c r="JC22" i="6"/>
  <c r="IO20" i="6"/>
  <c r="IM25" i="6"/>
  <c r="IN25" i="6" s="1"/>
  <c r="IN20" i="6"/>
  <c r="J231" i="7"/>
  <c r="IO49" i="6" s="1"/>
  <c r="IO73" i="6"/>
  <c r="IP59" i="6"/>
  <c r="IR1" i="6"/>
  <c r="IM18" i="6"/>
  <c r="IO31" i="6"/>
  <c r="IN31" i="6"/>
  <c r="IM32" i="6"/>
  <c r="IN32" i="6" s="1"/>
  <c r="IP10" i="6"/>
  <c r="IQ55" i="6"/>
  <c r="IL34" i="6"/>
  <c r="B233" i="4"/>
  <c r="A232" i="4"/>
  <c r="D122" i="4"/>
  <c r="E122" i="4"/>
  <c r="I232" i="4"/>
  <c r="K232" i="4"/>
  <c r="K233" i="4" s="1"/>
  <c r="B234" i="7" l="1"/>
  <c r="A233" i="7"/>
  <c r="CE52" i="6"/>
  <c r="CE9" i="6"/>
  <c r="CE82" i="6"/>
  <c r="E79" i="7"/>
  <c r="CF72" i="6"/>
  <c r="CF42" i="6"/>
  <c r="CF39" i="6"/>
  <c r="HH65" i="6"/>
  <c r="HI64" i="6" s="1"/>
  <c r="J232" i="7"/>
  <c r="IP49" i="6" s="1"/>
  <c r="IP73" i="6"/>
  <c r="IR55" i="6"/>
  <c r="IQ10" i="6"/>
  <c r="IP17" i="6"/>
  <c r="IQ16" i="6"/>
  <c r="IR30" i="6"/>
  <c r="IL35" i="6"/>
  <c r="IS1" i="6"/>
  <c r="IP20" i="6"/>
  <c r="IO25" i="6"/>
  <c r="IO27" i="6" s="1"/>
  <c r="H234" i="7"/>
  <c r="IR59" i="6" s="1"/>
  <c r="I233" i="7"/>
  <c r="IQ38" i="6" s="1"/>
  <c r="K233" i="7"/>
  <c r="JB68" i="6"/>
  <c r="IZ69" i="6"/>
  <c r="JA69" i="6" s="1"/>
  <c r="JA68" i="6"/>
  <c r="JC51" i="6"/>
  <c r="JD22" i="6"/>
  <c r="IP31" i="6"/>
  <c r="IO32" i="6"/>
  <c r="IM34" i="6"/>
  <c r="IM27" i="6"/>
  <c r="IN18" i="6"/>
  <c r="I233" i="4"/>
  <c r="F122" i="4"/>
  <c r="G122" i="4" s="1"/>
  <c r="L122" i="4"/>
  <c r="A233" i="4"/>
  <c r="B234" i="4"/>
  <c r="B235" i="7" l="1"/>
  <c r="A234" i="7"/>
  <c r="CF48" i="6"/>
  <c r="C80" i="7"/>
  <c r="CF43" i="6"/>
  <c r="CF40" i="6"/>
  <c r="CF78" i="6"/>
  <c r="CE5" i="6"/>
  <c r="CE4" i="6"/>
  <c r="CE56" i="6"/>
  <c r="IO28" i="6"/>
  <c r="IP18" i="6"/>
  <c r="J233" i="7"/>
  <c r="IQ49" i="6" s="1"/>
  <c r="IQ73" i="6"/>
  <c r="IQ31" i="6"/>
  <c r="IP32" i="6"/>
  <c r="IS55" i="6"/>
  <c r="IR10" i="6"/>
  <c r="HI65" i="6"/>
  <c r="HJ64" i="6" s="1"/>
  <c r="JD51" i="6"/>
  <c r="JE22" i="6"/>
  <c r="IQ20" i="6"/>
  <c r="IP25" i="6"/>
  <c r="IR16" i="6"/>
  <c r="IQ17" i="6"/>
  <c r="IQ18" i="6" s="1"/>
  <c r="JC68" i="6"/>
  <c r="JB69" i="6"/>
  <c r="H235" i="7"/>
  <c r="IS59" i="6" s="1"/>
  <c r="K234" i="7"/>
  <c r="I234" i="7"/>
  <c r="IR38" i="6" s="1"/>
  <c r="IS30" i="6"/>
  <c r="IT1" i="6"/>
  <c r="IZ70" i="6"/>
  <c r="IO34" i="6"/>
  <c r="IM28" i="6"/>
  <c r="IN27" i="6"/>
  <c r="IN28" i="6" s="1"/>
  <c r="IM35" i="6"/>
  <c r="IN34" i="6"/>
  <c r="IN35" i="6" s="1"/>
  <c r="B235" i="4"/>
  <c r="A234" i="4"/>
  <c r="D123" i="4"/>
  <c r="E123" i="4"/>
  <c r="I234" i="4"/>
  <c r="K234" i="4"/>
  <c r="K235" i="4" s="1"/>
  <c r="B236" i="7" l="1"/>
  <c r="A235" i="7"/>
  <c r="CE7" i="6"/>
  <c r="CF80" i="6"/>
  <c r="CF44" i="6"/>
  <c r="CF47" i="6"/>
  <c r="CF8" i="6"/>
  <c r="D80" i="7"/>
  <c r="CG37" i="6" s="1"/>
  <c r="CG58" i="6"/>
  <c r="CG60" i="6" s="1"/>
  <c r="F80" i="7"/>
  <c r="CE6" i="6"/>
  <c r="CE57" i="6"/>
  <c r="CE61" i="6" s="1"/>
  <c r="CE11" i="6" s="1"/>
  <c r="J234" i="7"/>
  <c r="IR49" i="6" s="1"/>
  <c r="IR73" i="6"/>
  <c r="IU1" i="6"/>
  <c r="IP34" i="6"/>
  <c r="IP27" i="6"/>
  <c r="IT30" i="6"/>
  <c r="IR17" i="6"/>
  <c r="IR18" i="6" s="1"/>
  <c r="IS16" i="6"/>
  <c r="HJ65" i="6"/>
  <c r="HK64" i="6" s="1"/>
  <c r="IO35" i="6"/>
  <c r="H236" i="7"/>
  <c r="IT59" i="6" s="1"/>
  <c r="K235" i="7"/>
  <c r="I235" i="7"/>
  <c r="IS38" i="6" s="1"/>
  <c r="JF22" i="6"/>
  <c r="JE51" i="6"/>
  <c r="JB70" i="6"/>
  <c r="JD68" i="6"/>
  <c r="JC69" i="6"/>
  <c r="IT55" i="6"/>
  <c r="IS10" i="6"/>
  <c r="JA70" i="6"/>
  <c r="IQ25" i="6"/>
  <c r="IR20" i="6"/>
  <c r="IR31" i="6"/>
  <c r="IQ32" i="6"/>
  <c r="K236" i="4"/>
  <c r="F123" i="4"/>
  <c r="G123" i="4" s="1"/>
  <c r="L123" i="4"/>
  <c r="I235" i="4"/>
  <c r="B236" i="4"/>
  <c r="A235" i="4"/>
  <c r="B237" i="7" l="1"/>
  <c r="A236" i="7"/>
  <c r="CG72" i="6"/>
  <c r="CG78" i="6" s="1"/>
  <c r="CG80" i="6" s="1"/>
  <c r="E80" i="7"/>
  <c r="CG39" i="6"/>
  <c r="CG42" i="6"/>
  <c r="CF9" i="6"/>
  <c r="CF52" i="6"/>
  <c r="CF82" i="6"/>
  <c r="HK65" i="6"/>
  <c r="HL64" i="6" s="1"/>
  <c r="JE68" i="6"/>
  <c r="JD69" i="6"/>
  <c r="JD70" i="6" s="1"/>
  <c r="JC70" i="6"/>
  <c r="IV1" i="6"/>
  <c r="IS31" i="6"/>
  <c r="IR32" i="6"/>
  <c r="IT16" i="6"/>
  <c r="IS17" i="6"/>
  <c r="IS18" i="6" s="1"/>
  <c r="IU30" i="6"/>
  <c r="IQ34" i="6"/>
  <c r="IP28" i="6"/>
  <c r="J235" i="7"/>
  <c r="IS49" i="6" s="1"/>
  <c r="IS73" i="6"/>
  <c r="H237" i="7"/>
  <c r="IU59" i="6" s="1"/>
  <c r="I236" i="7"/>
  <c r="IT38" i="6" s="1"/>
  <c r="K236" i="7"/>
  <c r="IR25" i="6"/>
  <c r="IS20" i="6"/>
  <c r="IQ27" i="6"/>
  <c r="IQ28" i="6" s="1"/>
  <c r="IT10" i="6"/>
  <c r="IU55" i="6"/>
  <c r="JG22" i="6"/>
  <c r="JF51" i="6"/>
  <c r="IP35" i="6"/>
  <c r="A236" i="4"/>
  <c r="B237" i="4"/>
  <c r="I236" i="4"/>
  <c r="E124" i="4"/>
  <c r="D124" i="4"/>
  <c r="IR34" i="6" l="1"/>
  <c r="IR35" i="6" s="1"/>
  <c r="CG82" i="6"/>
  <c r="B238" i="7"/>
  <c r="A237" i="7"/>
  <c r="CF56" i="6"/>
  <c r="CF4" i="6"/>
  <c r="CF5" i="6"/>
  <c r="CG43" i="6"/>
  <c r="CG40" i="6"/>
  <c r="CG48" i="6"/>
  <c r="C81" i="7"/>
  <c r="HL65" i="6"/>
  <c r="HM64" i="6" s="1"/>
  <c r="IQ35" i="6"/>
  <c r="IV30" i="6"/>
  <c r="H238" i="7"/>
  <c r="IV59" i="6" s="1"/>
  <c r="K237" i="7"/>
  <c r="I237" i="7"/>
  <c r="IU38" i="6" s="1"/>
  <c r="IR27" i="6"/>
  <c r="IR28" i="6" s="1"/>
  <c r="IU16" i="6"/>
  <c r="IT17" i="6"/>
  <c r="IT18" i="6" s="1"/>
  <c r="IS25" i="6"/>
  <c r="IS27" i="6" s="1"/>
  <c r="IS28" i="6" s="1"/>
  <c r="IT20" i="6"/>
  <c r="IT31" i="6"/>
  <c r="IS32" i="6"/>
  <c r="JG51" i="6"/>
  <c r="JH22" i="6"/>
  <c r="J236" i="7"/>
  <c r="IT49" i="6" s="1"/>
  <c r="IT73" i="6"/>
  <c r="JE69" i="6"/>
  <c r="JE70" i="6" s="1"/>
  <c r="JF68" i="6"/>
  <c r="IW1" i="6"/>
  <c r="IV55" i="6"/>
  <c r="IU10" i="6"/>
  <c r="F124" i="4"/>
  <c r="G124" i="4" s="1"/>
  <c r="L124" i="4"/>
  <c r="I237" i="4"/>
  <c r="A237" i="4"/>
  <c r="B238" i="4"/>
  <c r="K237" i="4"/>
  <c r="K238" i="4" s="1"/>
  <c r="IS34" i="6" l="1"/>
  <c r="IS35" i="6" s="1"/>
  <c r="B239" i="7"/>
  <c r="A238" i="7"/>
  <c r="F81" i="7"/>
  <c r="CH58" i="6"/>
  <c r="CH60" i="6" s="1"/>
  <c r="D81" i="7"/>
  <c r="CH37" i="6" s="1"/>
  <c r="CG44" i="6"/>
  <c r="CG8" i="6"/>
  <c r="CG9" i="6" s="1"/>
  <c r="CG47" i="6"/>
  <c r="CG52" i="6" s="1"/>
  <c r="CG56" i="6" s="1"/>
  <c r="CF7" i="6"/>
  <c r="CF6" i="6"/>
  <c r="CF57" i="6"/>
  <c r="CF61" i="6" s="1"/>
  <c r="CF11" i="6" s="1"/>
  <c r="HN64" i="6"/>
  <c r="HM65" i="6"/>
  <c r="HN65" i="6" s="1"/>
  <c r="JH51" i="6"/>
  <c r="JI22" i="6"/>
  <c r="J237" i="7"/>
  <c r="IU49" i="6" s="1"/>
  <c r="IU73" i="6"/>
  <c r="H239" i="7"/>
  <c r="IW59" i="6" s="1"/>
  <c r="K238" i="7"/>
  <c r="I238" i="7"/>
  <c r="IV38" i="6" s="1"/>
  <c r="IW30" i="6"/>
  <c r="IW55" i="6"/>
  <c r="IV10" i="6"/>
  <c r="IU31" i="6"/>
  <c r="IT32" i="6"/>
  <c r="IT25" i="6"/>
  <c r="IT34" i="6" s="1"/>
  <c r="IU20" i="6"/>
  <c r="IX1" i="6"/>
  <c r="JF69" i="6"/>
  <c r="JF70" i="6" s="1"/>
  <c r="JG68" i="6"/>
  <c r="IV16" i="6"/>
  <c r="IU17" i="6"/>
  <c r="IU18" i="6" s="1"/>
  <c r="B239" i="4"/>
  <c r="A238" i="4"/>
  <c r="K239" i="4"/>
  <c r="I238" i="4"/>
  <c r="E125" i="4"/>
  <c r="D125" i="4"/>
  <c r="B240" i="7" l="1"/>
  <c r="A239" i="7"/>
  <c r="CG4" i="6"/>
  <c r="CG5" i="6"/>
  <c r="CG7" i="6" s="1"/>
  <c r="CG57" i="6"/>
  <c r="CG61" i="6" s="1"/>
  <c r="CG11" i="6" s="1"/>
  <c r="CG6" i="6"/>
  <c r="CH42" i="6"/>
  <c r="CH39" i="6"/>
  <c r="E81" i="7"/>
  <c r="CH72" i="6"/>
  <c r="CH78" i="6" s="1"/>
  <c r="CH80" i="6" s="1"/>
  <c r="CH82" i="6" s="1"/>
  <c r="IT35" i="6"/>
  <c r="IT27" i="6"/>
  <c r="HO64" i="6"/>
  <c r="IX55" i="6"/>
  <c r="IW10" i="6"/>
  <c r="J238" i="7"/>
  <c r="IV49" i="6" s="1"/>
  <c r="IV73" i="6"/>
  <c r="H240" i="7"/>
  <c r="IX59" i="6" s="1"/>
  <c r="I239" i="7"/>
  <c r="IW38" i="6" s="1"/>
  <c r="K239" i="7"/>
  <c r="IV31" i="6"/>
  <c r="IU32" i="6"/>
  <c r="IW16" i="6"/>
  <c r="IV17" i="6"/>
  <c r="IV18" i="6" s="1"/>
  <c r="JJ22" i="6"/>
  <c r="JI51" i="6"/>
  <c r="IU25" i="6"/>
  <c r="IU27" i="6" s="1"/>
  <c r="IU28" i="6" s="1"/>
  <c r="IV20" i="6"/>
  <c r="JH68" i="6"/>
  <c r="JG69" i="6"/>
  <c r="JG70" i="6" s="1"/>
  <c r="IX30" i="6"/>
  <c r="IY1" i="6"/>
  <c r="I239" i="4"/>
  <c r="F125" i="4"/>
  <c r="G125" i="4" s="1"/>
  <c r="L125" i="4"/>
  <c r="A239" i="4"/>
  <c r="B240" i="4"/>
  <c r="B241" i="7" l="1"/>
  <c r="A240" i="7"/>
  <c r="CH48" i="6"/>
  <c r="C82" i="7"/>
  <c r="CH40" i="6"/>
  <c r="CH43" i="6"/>
  <c r="IW31" i="6"/>
  <c r="IV32" i="6"/>
  <c r="IT28" i="6"/>
  <c r="IV25" i="6"/>
  <c r="IV27" i="6" s="1"/>
  <c r="IV28" i="6" s="1"/>
  <c r="IW20" i="6"/>
  <c r="JJ51" i="6"/>
  <c r="JK22" i="6"/>
  <c r="HO65" i="6"/>
  <c r="HP64" i="6" s="1"/>
  <c r="IZ1" i="6"/>
  <c r="JH69" i="6"/>
  <c r="JH70" i="6" s="1"/>
  <c r="JI68" i="6"/>
  <c r="J239" i="7"/>
  <c r="IW49" i="6" s="1"/>
  <c r="IW73" i="6"/>
  <c r="I240" i="7"/>
  <c r="IX38" i="6" s="1"/>
  <c r="H241" i="7"/>
  <c r="K240" i="7"/>
  <c r="IY30" i="6"/>
  <c r="IW17" i="6"/>
  <c r="IW18" i="6" s="1"/>
  <c r="IX16" i="6"/>
  <c r="IY55" i="6"/>
  <c r="IX10" i="6"/>
  <c r="IU34" i="6"/>
  <c r="B241" i="4"/>
  <c r="A240" i="4"/>
  <c r="K240" i="4"/>
  <c r="K241" i="4" s="1"/>
  <c r="E126" i="4"/>
  <c r="D126" i="4"/>
  <c r="I240" i="4"/>
  <c r="B242" i="7" l="1"/>
  <c r="A241" i="7"/>
  <c r="F82" i="7"/>
  <c r="D82" i="7"/>
  <c r="CI37" i="6" s="1"/>
  <c r="CI58" i="6"/>
  <c r="CI60" i="6" s="1"/>
  <c r="CH8" i="6"/>
  <c r="CH9" i="6" s="1"/>
  <c r="CH47" i="6"/>
  <c r="CH52" i="6" s="1"/>
  <c r="CH44" i="6"/>
  <c r="IZ30" i="6"/>
  <c r="JK51" i="6"/>
  <c r="JL22" i="6"/>
  <c r="IX31" i="6"/>
  <c r="IW32" i="6"/>
  <c r="J240" i="7"/>
  <c r="IX49" i="6" s="1"/>
  <c r="IX73" i="6"/>
  <c r="JA1" i="6"/>
  <c r="JB1" i="6"/>
  <c r="IU35" i="6"/>
  <c r="I241" i="7"/>
  <c r="IY38" i="6" s="1"/>
  <c r="K241" i="7"/>
  <c r="H242" i="7"/>
  <c r="IX20" i="6"/>
  <c r="IW25" i="6"/>
  <c r="IZ55" i="6"/>
  <c r="IY10" i="6"/>
  <c r="HP65" i="6"/>
  <c r="HQ64" i="6" s="1"/>
  <c r="IX17" i="6"/>
  <c r="IX18" i="6" s="1"/>
  <c r="IY16" i="6"/>
  <c r="JI69" i="6"/>
  <c r="JI70" i="6" s="1"/>
  <c r="JJ68" i="6"/>
  <c r="IY59" i="6"/>
  <c r="IV34" i="6"/>
  <c r="I241" i="4"/>
  <c r="F126" i="4"/>
  <c r="G126" i="4" s="1"/>
  <c r="L126" i="4"/>
  <c r="B242" i="4"/>
  <c r="A241" i="4"/>
  <c r="IW34" i="6" l="1"/>
  <c r="IW35" i="6" s="1"/>
  <c r="IW27" i="6"/>
  <c r="IW28" i="6" s="1"/>
  <c r="B243" i="7"/>
  <c r="A242" i="7"/>
  <c r="CH5" i="6"/>
  <c r="CH7" i="6" s="1"/>
  <c r="CH4" i="6"/>
  <c r="CH56" i="6"/>
  <c r="CI39" i="6"/>
  <c r="CI42" i="6"/>
  <c r="E82" i="7"/>
  <c r="CI72" i="6"/>
  <c r="CI78" i="6" s="1"/>
  <c r="CI80" i="6" s="1"/>
  <c r="CI82" i="6" s="1"/>
  <c r="HQ65" i="6"/>
  <c r="HR64" i="6" s="1"/>
  <c r="JJ69" i="6"/>
  <c r="JJ70" i="6" s="1"/>
  <c r="JK68" i="6"/>
  <c r="IY31" i="6"/>
  <c r="IX32" i="6"/>
  <c r="IX25" i="6"/>
  <c r="IX34" i="6" s="1"/>
  <c r="IY20" i="6"/>
  <c r="JB30" i="6"/>
  <c r="JA30" i="6"/>
  <c r="IV35" i="6"/>
  <c r="K242" i="7"/>
  <c r="H243" i="7"/>
  <c r="I242" i="7"/>
  <c r="IZ38" i="6" s="1"/>
  <c r="JA38" i="6" s="1"/>
  <c r="IZ59" i="6"/>
  <c r="JA59" i="6" s="1"/>
  <c r="IZ16" i="6"/>
  <c r="IY17" i="6"/>
  <c r="IY18" i="6" s="1"/>
  <c r="JM22" i="6"/>
  <c r="JL51" i="6"/>
  <c r="JA55" i="6"/>
  <c r="JB55" i="6"/>
  <c r="IZ10" i="6"/>
  <c r="JA10" i="6" s="1"/>
  <c r="J241" i="7"/>
  <c r="IY49" i="6" s="1"/>
  <c r="IY73" i="6"/>
  <c r="JC1" i="6"/>
  <c r="A242" i="4"/>
  <c r="B243" i="4"/>
  <c r="K242" i="4"/>
  <c r="K243" i="4" s="1"/>
  <c r="D127" i="4"/>
  <c r="E127" i="4"/>
  <c r="I242" i="4"/>
  <c r="B244" i="7" l="1"/>
  <c r="A243" i="7"/>
  <c r="CI43" i="6"/>
  <c r="CI40" i="6"/>
  <c r="CI48" i="6"/>
  <c r="C83" i="7"/>
  <c r="CH57" i="6"/>
  <c r="CH61" i="6" s="1"/>
  <c r="CH11" i="6" s="1"/>
  <c r="CH6" i="6"/>
  <c r="IX35" i="6"/>
  <c r="JD1" i="6"/>
  <c r="I243" i="7"/>
  <c r="JB38" i="6" s="1"/>
  <c r="K243" i="7"/>
  <c r="H244" i="7"/>
  <c r="JC59" i="6" s="1"/>
  <c r="IX27" i="6"/>
  <c r="IX28" i="6" s="1"/>
  <c r="JB59" i="6"/>
  <c r="IZ17" i="6"/>
  <c r="JA17" i="6" s="1"/>
  <c r="JB16" i="6"/>
  <c r="JA16" i="6"/>
  <c r="IY25" i="6"/>
  <c r="IY27" i="6" s="1"/>
  <c r="IY28" i="6" s="1"/>
  <c r="IZ20" i="6"/>
  <c r="JK69" i="6"/>
  <c r="JK70" i="6" s="1"/>
  <c r="JL68" i="6"/>
  <c r="JC55" i="6"/>
  <c r="JB10" i="6"/>
  <c r="HR65" i="6"/>
  <c r="HS64" i="6" s="1"/>
  <c r="IZ31" i="6"/>
  <c r="IY32" i="6"/>
  <c r="J242" i="7"/>
  <c r="IZ49" i="6" s="1"/>
  <c r="JA49" i="6" s="1"/>
  <c r="IZ73" i="6"/>
  <c r="JA73" i="6" s="1"/>
  <c r="JM51" i="6"/>
  <c r="JN51" i="6" s="1"/>
  <c r="JO22" i="6"/>
  <c r="JN22" i="6"/>
  <c r="JC30" i="6"/>
  <c r="I243" i="4"/>
  <c r="F127" i="4"/>
  <c r="G127" i="4" s="1"/>
  <c r="L127" i="4"/>
  <c r="B244" i="4"/>
  <c r="A243" i="4"/>
  <c r="IY34" i="6" l="1"/>
  <c r="IY35" i="6" s="1"/>
  <c r="B245" i="7"/>
  <c r="A244" i="7"/>
  <c r="D83" i="7"/>
  <c r="CJ37" i="6" s="1"/>
  <c r="F83" i="7"/>
  <c r="CJ58" i="6"/>
  <c r="CJ60" i="6" s="1"/>
  <c r="CI47" i="6"/>
  <c r="CI52" i="6" s="1"/>
  <c r="CI44" i="6"/>
  <c r="CI8" i="6"/>
  <c r="CI9" i="6" s="1"/>
  <c r="HS65" i="6"/>
  <c r="HT64" i="6" s="1"/>
  <c r="JC10" i="6"/>
  <c r="JD55" i="6"/>
  <c r="JD30" i="6"/>
  <c r="H245" i="7"/>
  <c r="JD59" i="6" s="1"/>
  <c r="K244" i="7"/>
  <c r="I244" i="7"/>
  <c r="JC38" i="6" s="1"/>
  <c r="JC16" i="6"/>
  <c r="JB17" i="6"/>
  <c r="J243" i="7"/>
  <c r="JB49" i="6" s="1"/>
  <c r="JB73" i="6"/>
  <c r="JO51" i="6"/>
  <c r="JP22" i="6"/>
  <c r="JE1" i="6"/>
  <c r="JL69" i="6"/>
  <c r="JL70" i="6" s="1"/>
  <c r="JM68" i="6"/>
  <c r="JB31" i="6"/>
  <c r="JA31" i="6"/>
  <c r="IZ32" i="6"/>
  <c r="JA32" i="6" s="1"/>
  <c r="IZ25" i="6"/>
  <c r="JA25" i="6" s="1"/>
  <c r="JB20" i="6"/>
  <c r="JA20" i="6"/>
  <c r="IZ18" i="6"/>
  <c r="A244" i="4"/>
  <c r="B245" i="4"/>
  <c r="K244" i="4"/>
  <c r="E128" i="4"/>
  <c r="D128" i="4"/>
  <c r="I244" i="4"/>
  <c r="B246" i="7" l="1"/>
  <c r="A245" i="7"/>
  <c r="CI56" i="6"/>
  <c r="CI5" i="6"/>
  <c r="CI7" i="6" s="1"/>
  <c r="CI4" i="6"/>
  <c r="E83" i="7"/>
  <c r="CJ72" i="6"/>
  <c r="CJ78" i="6" s="1"/>
  <c r="CJ80" i="6" s="1"/>
  <c r="CJ82" i="6" s="1"/>
  <c r="CJ39" i="6"/>
  <c r="CJ42" i="6"/>
  <c r="IZ27" i="6"/>
  <c r="IZ34" i="6"/>
  <c r="JA18" i="6"/>
  <c r="JC17" i="6"/>
  <c r="JD16" i="6"/>
  <c r="JF1" i="6"/>
  <c r="JB18" i="6"/>
  <c r="JC20" i="6"/>
  <c r="JB25" i="6"/>
  <c r="J244" i="7"/>
  <c r="JC49" i="6" s="1"/>
  <c r="JC73" i="6"/>
  <c r="JE30" i="6"/>
  <c r="JE55" i="6"/>
  <c r="JD10" i="6"/>
  <c r="JP51" i="6"/>
  <c r="JQ22" i="6"/>
  <c r="JC31" i="6"/>
  <c r="JB32" i="6"/>
  <c r="K245" i="7"/>
  <c r="H246" i="7"/>
  <c r="JE59" i="6" s="1"/>
  <c r="I245" i="7"/>
  <c r="JD38" i="6" s="1"/>
  <c r="JM69" i="6"/>
  <c r="JN69" i="6" s="1"/>
  <c r="JO68" i="6"/>
  <c r="JN68" i="6"/>
  <c r="HT65" i="6"/>
  <c r="HU64" i="6" s="1"/>
  <c r="I245" i="4"/>
  <c r="F128" i="4"/>
  <c r="G128" i="4" s="1"/>
  <c r="L128" i="4"/>
  <c r="K245" i="4"/>
  <c r="B246" i="4"/>
  <c r="A245" i="4"/>
  <c r="B247" i="7" l="1"/>
  <c r="A246" i="7"/>
  <c r="CJ40" i="6"/>
  <c r="CJ43" i="6"/>
  <c r="CJ48" i="6"/>
  <c r="C84" i="7"/>
  <c r="CI6" i="6"/>
  <c r="CI57" i="6"/>
  <c r="CI61" i="6" s="1"/>
  <c r="CI11" i="6" s="1"/>
  <c r="HU65" i="6"/>
  <c r="HV64" i="6" s="1"/>
  <c r="J245" i="7"/>
  <c r="JD49" i="6" s="1"/>
  <c r="JD73" i="6"/>
  <c r="JQ51" i="6"/>
  <c r="JR22" i="6"/>
  <c r="JE16" i="6"/>
  <c r="JD17" i="6"/>
  <c r="JB27" i="6"/>
  <c r="JB34" i="6"/>
  <c r="JG1" i="6"/>
  <c r="JC18" i="6"/>
  <c r="IZ28" i="6"/>
  <c r="JA27" i="6"/>
  <c r="JA28" i="6" s="1"/>
  <c r="JM70" i="6"/>
  <c r="JF30" i="6"/>
  <c r="JD31" i="6"/>
  <c r="JC32" i="6"/>
  <c r="JD20" i="6"/>
  <c r="JC25" i="6"/>
  <c r="JE10" i="6"/>
  <c r="JF55" i="6"/>
  <c r="IZ35" i="6"/>
  <c r="JA34" i="6"/>
  <c r="JA35" i="6" s="1"/>
  <c r="JO69" i="6"/>
  <c r="JP68" i="6"/>
  <c r="K246" i="7"/>
  <c r="I246" i="7"/>
  <c r="JE38" i="6" s="1"/>
  <c r="H247" i="7"/>
  <c r="JF59" i="6" s="1"/>
  <c r="B247" i="4"/>
  <c r="A246" i="4"/>
  <c r="K246" i="4"/>
  <c r="K247" i="4" s="1"/>
  <c r="D129" i="4"/>
  <c r="E129" i="4"/>
  <c r="I246" i="4"/>
  <c r="B248" i="7" l="1"/>
  <c r="A247" i="7"/>
  <c r="D84" i="7"/>
  <c r="CK37" i="6" s="1"/>
  <c r="F84" i="7"/>
  <c r="CK58" i="6"/>
  <c r="CK60" i="6" s="1"/>
  <c r="CJ8" i="6"/>
  <c r="CJ9" i="6" s="1"/>
  <c r="CJ47" i="6"/>
  <c r="CJ52" i="6" s="1"/>
  <c r="CJ44" i="6"/>
  <c r="HV65" i="6"/>
  <c r="HW64" i="6" s="1"/>
  <c r="JC34" i="6"/>
  <c r="JC27" i="6"/>
  <c r="JC28" i="6" s="1"/>
  <c r="JD18" i="6"/>
  <c r="JB35" i="6"/>
  <c r="J246" i="7"/>
  <c r="JE49" i="6" s="1"/>
  <c r="JE73" i="6"/>
  <c r="JB28" i="6"/>
  <c r="JF16" i="6"/>
  <c r="JE17" i="6"/>
  <c r="JE18" i="6" s="1"/>
  <c r="JQ68" i="6"/>
  <c r="JP69" i="6"/>
  <c r="JE31" i="6"/>
  <c r="JD32" i="6"/>
  <c r="JH1" i="6"/>
  <c r="JR51" i="6"/>
  <c r="JS22" i="6"/>
  <c r="JO70" i="6"/>
  <c r="JG30" i="6"/>
  <c r="JN70" i="6"/>
  <c r="H248" i="7"/>
  <c r="K247" i="7"/>
  <c r="I247" i="7"/>
  <c r="JF38" i="6" s="1"/>
  <c r="JF10" i="6"/>
  <c r="JG55" i="6"/>
  <c r="JE20" i="6"/>
  <c r="JD25" i="6"/>
  <c r="F129" i="4"/>
  <c r="G129" i="4" s="1"/>
  <c r="L129" i="4"/>
  <c r="I247" i="4"/>
  <c r="B248" i="4"/>
  <c r="K248" i="4" s="1"/>
  <c r="A247" i="4"/>
  <c r="B249" i="7" l="1"/>
  <c r="A248" i="7"/>
  <c r="CJ4" i="6"/>
  <c r="CJ5" i="6"/>
  <c r="CJ7" i="6" s="1"/>
  <c r="CJ56" i="6"/>
  <c r="E84" i="7"/>
  <c r="CK72" i="6"/>
  <c r="CK78" i="6" s="1"/>
  <c r="CK80" i="6" s="1"/>
  <c r="CK82" i="6" s="1"/>
  <c r="CK39" i="6"/>
  <c r="CK42" i="6"/>
  <c r="JT22" i="6"/>
  <c r="JS51" i="6"/>
  <c r="JG10" i="6"/>
  <c r="JH55" i="6"/>
  <c r="JH30" i="6"/>
  <c r="HW65" i="6"/>
  <c r="HX64" i="6" s="1"/>
  <c r="J247" i="7"/>
  <c r="JF49" i="6" s="1"/>
  <c r="JF73" i="6"/>
  <c r="I248" i="7"/>
  <c r="JG38" i="6" s="1"/>
  <c r="K248" i="7"/>
  <c r="H249" i="7"/>
  <c r="JG59" i="6"/>
  <c r="JR68" i="6"/>
  <c r="JQ69" i="6"/>
  <c r="JQ70" i="6" s="1"/>
  <c r="JD27" i="6"/>
  <c r="JD28" i="6" s="1"/>
  <c r="JD34" i="6"/>
  <c r="JP70" i="6"/>
  <c r="JC35" i="6"/>
  <c r="JH59" i="6"/>
  <c r="JI1" i="6"/>
  <c r="JG16" i="6"/>
  <c r="JF17" i="6"/>
  <c r="JF18" i="6" s="1"/>
  <c r="JE25" i="6"/>
  <c r="JF20" i="6"/>
  <c r="JF31" i="6"/>
  <c r="JE32" i="6"/>
  <c r="B249" i="4"/>
  <c r="A248" i="4"/>
  <c r="I248" i="4"/>
  <c r="E130" i="4"/>
  <c r="D130" i="4"/>
  <c r="JE34" i="6" l="1"/>
  <c r="JE35" i="6" s="1"/>
  <c r="B250" i="7"/>
  <c r="A249" i="7"/>
  <c r="CK40" i="6"/>
  <c r="CK43" i="6"/>
  <c r="CK48" i="6"/>
  <c r="C85" i="7"/>
  <c r="CJ57" i="6"/>
  <c r="CJ61" i="6" s="1"/>
  <c r="CJ11" i="6" s="1"/>
  <c r="CJ6" i="6"/>
  <c r="JH10" i="6"/>
  <c r="JI55" i="6"/>
  <c r="H250" i="7"/>
  <c r="K249" i="7"/>
  <c r="I249" i="7"/>
  <c r="JH38" i="6" s="1"/>
  <c r="J248" i="7"/>
  <c r="JG49" i="6" s="1"/>
  <c r="JG73" i="6"/>
  <c r="JJ1" i="6"/>
  <c r="JG20" i="6"/>
  <c r="JF25" i="6"/>
  <c r="JE27" i="6"/>
  <c r="HX65" i="6"/>
  <c r="HY64" i="6" s="1"/>
  <c r="JH16" i="6"/>
  <c r="JG17" i="6"/>
  <c r="JG18" i="6" s="1"/>
  <c r="JI30" i="6"/>
  <c r="JG31" i="6"/>
  <c r="JF32" i="6"/>
  <c r="JD35" i="6"/>
  <c r="JT51" i="6"/>
  <c r="JU22" i="6"/>
  <c r="JS68" i="6"/>
  <c r="JR69" i="6"/>
  <c r="JR70" i="6" s="1"/>
  <c r="F130" i="4"/>
  <c r="G130" i="4" s="1"/>
  <c r="L130" i="4"/>
  <c r="I249" i="4"/>
  <c r="A249" i="4"/>
  <c r="B250" i="4"/>
  <c r="K249" i="4"/>
  <c r="JF34" i="6" l="1"/>
  <c r="JF35" i="6" s="1"/>
  <c r="B251" i="7"/>
  <c r="A250" i="7"/>
  <c r="F85" i="7"/>
  <c r="D85" i="7"/>
  <c r="CL37" i="6" s="1"/>
  <c r="CL58" i="6"/>
  <c r="CL60" i="6" s="1"/>
  <c r="CK47" i="6"/>
  <c r="CK52" i="6" s="1"/>
  <c r="CK8" i="6"/>
  <c r="CK9" i="6" s="1"/>
  <c r="CK44" i="6"/>
  <c r="JU51" i="6"/>
  <c r="JV22" i="6"/>
  <c r="JH17" i="6"/>
  <c r="JH18" i="6" s="1"/>
  <c r="JI16" i="6"/>
  <c r="JK1" i="6"/>
  <c r="JF27" i="6"/>
  <c r="JF28" i="6" s="1"/>
  <c r="J249" i="7"/>
  <c r="JH49" i="6" s="1"/>
  <c r="JH73" i="6"/>
  <c r="JT68" i="6"/>
  <c r="JS69" i="6"/>
  <c r="JS70" i="6" s="1"/>
  <c r="JI10" i="6"/>
  <c r="JJ55" i="6"/>
  <c r="HY65" i="6"/>
  <c r="HZ64" i="6" s="1"/>
  <c r="JH31" i="6"/>
  <c r="JG32" i="6"/>
  <c r="H251" i="7"/>
  <c r="I250" i="7"/>
  <c r="JI38" i="6" s="1"/>
  <c r="K250" i="7"/>
  <c r="JG25" i="6"/>
  <c r="JH20" i="6"/>
  <c r="JE28" i="6"/>
  <c r="JJ30" i="6"/>
  <c r="JI59" i="6"/>
  <c r="A250" i="4"/>
  <c r="B251" i="4"/>
  <c r="K250" i="4"/>
  <c r="K251" i="4" s="1"/>
  <c r="I250" i="4"/>
  <c r="E131" i="4"/>
  <c r="D131" i="4"/>
  <c r="JG34" i="6" l="1"/>
  <c r="JG35" i="6" s="1"/>
  <c r="B252" i="7"/>
  <c r="A251" i="7"/>
  <c r="CK5" i="6"/>
  <c r="CK7" i="6" s="1"/>
  <c r="CK4" i="6"/>
  <c r="CK56" i="6"/>
  <c r="CL42" i="6"/>
  <c r="CL39" i="6"/>
  <c r="E85" i="7"/>
  <c r="CL72" i="6"/>
  <c r="CL78" i="6" s="1"/>
  <c r="CL80" i="6" s="1"/>
  <c r="CL82" i="6" s="1"/>
  <c r="JK55" i="6"/>
  <c r="JJ10" i="6"/>
  <c r="K251" i="7"/>
  <c r="H252" i="7"/>
  <c r="I251" i="7"/>
  <c r="JJ38" i="6" s="1"/>
  <c r="JJ16" i="6"/>
  <c r="JI17" i="6"/>
  <c r="JI18" i="6" s="1"/>
  <c r="JH25" i="6"/>
  <c r="JH27" i="6" s="1"/>
  <c r="JH28" i="6" s="1"/>
  <c r="JI20" i="6"/>
  <c r="JK30" i="6"/>
  <c r="JI31" i="6"/>
  <c r="JH32" i="6"/>
  <c r="JG27" i="6"/>
  <c r="JL1" i="6"/>
  <c r="JU68" i="6"/>
  <c r="JT69" i="6"/>
  <c r="JT70" i="6" s="1"/>
  <c r="J250" i="7"/>
  <c r="JI49" i="6" s="1"/>
  <c r="JI73" i="6"/>
  <c r="JJ59" i="6"/>
  <c r="IA64" i="6"/>
  <c r="HZ65" i="6"/>
  <c r="IA65" i="6" s="1"/>
  <c r="JV51" i="6"/>
  <c r="JW22" i="6"/>
  <c r="F131" i="4"/>
  <c r="G131" i="4" s="1"/>
  <c r="L131" i="4"/>
  <c r="I251" i="4"/>
  <c r="B252" i="4"/>
  <c r="A251" i="4"/>
  <c r="B253" i="7" l="1"/>
  <c r="A252" i="7"/>
  <c r="JK59" i="6"/>
  <c r="CL48" i="6"/>
  <c r="C86" i="7"/>
  <c r="CL43" i="6"/>
  <c r="CL40" i="6"/>
  <c r="CK6" i="6"/>
  <c r="CK57" i="6"/>
  <c r="CK61" i="6" s="1"/>
  <c r="CK11" i="6" s="1"/>
  <c r="JK10" i="6"/>
  <c r="JL55" i="6"/>
  <c r="JL30" i="6"/>
  <c r="JH34" i="6"/>
  <c r="JJ17" i="6"/>
  <c r="JJ18" i="6" s="1"/>
  <c r="JK16" i="6"/>
  <c r="JJ20" i="6"/>
  <c r="JI25" i="6"/>
  <c r="JI27" i="6" s="1"/>
  <c r="JM1" i="6"/>
  <c r="IB64" i="6"/>
  <c r="JJ31" i="6"/>
  <c r="JI32" i="6"/>
  <c r="JV68" i="6"/>
  <c r="JU69" i="6"/>
  <c r="JU70" i="6" s="1"/>
  <c r="I252" i="7"/>
  <c r="JK38" i="6" s="1"/>
  <c r="H253" i="7"/>
  <c r="JL59" i="6" s="1"/>
  <c r="K252" i="7"/>
  <c r="JW51" i="6"/>
  <c r="JX22" i="6"/>
  <c r="JG28" i="6"/>
  <c r="J251" i="7"/>
  <c r="JJ49" i="6" s="1"/>
  <c r="JJ73" i="6"/>
  <c r="A252" i="4"/>
  <c r="B253" i="4"/>
  <c r="I252" i="4"/>
  <c r="E132" i="4"/>
  <c r="D132" i="4"/>
  <c r="K252" i="4"/>
  <c r="K253" i="4" s="1"/>
  <c r="B254" i="7" l="1"/>
  <c r="A253" i="7"/>
  <c r="CL8" i="6"/>
  <c r="CL9" i="6" s="1"/>
  <c r="CL44" i="6"/>
  <c r="CL47" i="6"/>
  <c r="CL52" i="6" s="1"/>
  <c r="F86" i="7"/>
  <c r="D86" i="7"/>
  <c r="CM37" i="6" s="1"/>
  <c r="CM58" i="6"/>
  <c r="JI28" i="6"/>
  <c r="JW68" i="6"/>
  <c r="JV69" i="6"/>
  <c r="JV70" i="6" s="1"/>
  <c r="K253" i="7"/>
  <c r="I253" i="7"/>
  <c r="JL38" i="6" s="1"/>
  <c r="H254" i="7"/>
  <c r="J252" i="7"/>
  <c r="JK49" i="6" s="1"/>
  <c r="JK73" i="6"/>
  <c r="JO1" i="6"/>
  <c r="JN1" i="6"/>
  <c r="JI34" i="6"/>
  <c r="JK31" i="6"/>
  <c r="JJ32" i="6"/>
  <c r="JK20" i="6"/>
  <c r="JJ25" i="6"/>
  <c r="JJ34" i="6" s="1"/>
  <c r="JM30" i="6"/>
  <c r="IB65" i="6"/>
  <c r="JM55" i="6"/>
  <c r="JL10" i="6"/>
  <c r="JK17" i="6"/>
  <c r="JK18" i="6" s="1"/>
  <c r="JL16" i="6"/>
  <c r="JX51" i="6"/>
  <c r="JY22" i="6"/>
  <c r="JH35" i="6"/>
  <c r="F132" i="4"/>
  <c r="G132" i="4" s="1"/>
  <c r="L132" i="4"/>
  <c r="I253" i="4"/>
  <c r="A253" i="4"/>
  <c r="B254" i="4"/>
  <c r="B255" i="7" l="1"/>
  <c r="A254" i="7"/>
  <c r="JM59" i="6"/>
  <c r="JN59" i="6" s="1"/>
  <c r="CM60" i="6"/>
  <c r="CN60" i="6" s="1"/>
  <c r="CN58" i="6"/>
  <c r="CM42" i="6"/>
  <c r="CN42" i="6" s="1"/>
  <c r="CM39" i="6"/>
  <c r="CN37" i="6"/>
  <c r="CM72" i="6"/>
  <c r="E86" i="7"/>
  <c r="CL5" i="6"/>
  <c r="CL7" i="6" s="1"/>
  <c r="CL4" i="6"/>
  <c r="CL56" i="6"/>
  <c r="JJ35" i="6"/>
  <c r="JN55" i="6"/>
  <c r="JO55" i="6"/>
  <c r="JM10" i="6"/>
  <c r="JN10" i="6" s="1"/>
  <c r="IC64" i="6"/>
  <c r="JI35" i="6"/>
  <c r="K254" i="7"/>
  <c r="I254" i="7"/>
  <c r="JM38" i="6" s="1"/>
  <c r="JN38" i="6" s="1"/>
  <c r="H255" i="7"/>
  <c r="JJ27" i="6"/>
  <c r="JJ28" i="6" s="1"/>
  <c r="JO30" i="6"/>
  <c r="JN30" i="6"/>
  <c r="JP1" i="6"/>
  <c r="JK25" i="6"/>
  <c r="JK34" i="6" s="1"/>
  <c r="JL20" i="6"/>
  <c r="JZ22" i="6"/>
  <c r="JY51" i="6"/>
  <c r="JX68" i="6"/>
  <c r="JW69" i="6"/>
  <c r="JW70" i="6" s="1"/>
  <c r="JL31" i="6"/>
  <c r="JK32" i="6"/>
  <c r="JL17" i="6"/>
  <c r="JL18" i="6" s="1"/>
  <c r="JM16" i="6"/>
  <c r="J253" i="7"/>
  <c r="JL49" i="6" s="1"/>
  <c r="JL73" i="6"/>
  <c r="B255" i="4"/>
  <c r="A254" i="4"/>
  <c r="I254" i="4"/>
  <c r="E133" i="4"/>
  <c r="D133" i="4"/>
  <c r="K254" i="4"/>
  <c r="K255" i="4" s="1"/>
  <c r="B256" i="7" l="1"/>
  <c r="A255" i="7"/>
  <c r="JO59" i="6"/>
  <c r="CM48" i="6"/>
  <c r="CN48" i="6" s="1"/>
  <c r="C87" i="7"/>
  <c r="G37" i="3" s="1"/>
  <c r="H37" i="3" s="1"/>
  <c r="CM43" i="6"/>
  <c r="CM40" i="6"/>
  <c r="CN39" i="6"/>
  <c r="CN40" i="6" s="1"/>
  <c r="CM78" i="6"/>
  <c r="CN72" i="6"/>
  <c r="CL6" i="6"/>
  <c r="CL57" i="6"/>
  <c r="CL61" i="6" s="1"/>
  <c r="CL11" i="6" s="1"/>
  <c r="JK35" i="6"/>
  <c r="JK27" i="6"/>
  <c r="JK28" i="6" s="1"/>
  <c r="JZ51" i="6"/>
  <c r="KA51" i="6" s="1"/>
  <c r="KB22" i="6"/>
  <c r="KA22" i="6"/>
  <c r="JL25" i="6"/>
  <c r="JL27" i="6" s="1"/>
  <c r="JL28" i="6" s="1"/>
  <c r="JM20" i="6"/>
  <c r="K255" i="7"/>
  <c r="H256" i="7"/>
  <c r="I255" i="7"/>
  <c r="JO38" i="6" s="1"/>
  <c r="JM17" i="6"/>
  <c r="JN17" i="6" s="1"/>
  <c r="JO16" i="6"/>
  <c r="JN16" i="6"/>
  <c r="JQ1" i="6"/>
  <c r="JP55" i="6"/>
  <c r="JO10" i="6"/>
  <c r="JM31" i="6"/>
  <c r="JL32" i="6"/>
  <c r="JX69" i="6"/>
  <c r="JX70" i="6" s="1"/>
  <c r="JY68" i="6"/>
  <c r="IC65" i="6"/>
  <c r="JP30" i="6"/>
  <c r="J254" i="7"/>
  <c r="JM49" i="6" s="1"/>
  <c r="JN49" i="6" s="1"/>
  <c r="JM73" i="6"/>
  <c r="JN73" i="6" s="1"/>
  <c r="F133" i="4"/>
  <c r="G133" i="4" s="1"/>
  <c r="L133" i="4"/>
  <c r="I255" i="4"/>
  <c r="A255" i="4"/>
  <c r="B256" i="4"/>
  <c r="JM18" i="6" l="1"/>
  <c r="JN18" i="6" s="1"/>
  <c r="B257" i="7"/>
  <c r="A256" i="7"/>
  <c r="JP59" i="6"/>
  <c r="CM80" i="6"/>
  <c r="CN78" i="6"/>
  <c r="CM8" i="6"/>
  <c r="CM47" i="6"/>
  <c r="CM44" i="6"/>
  <c r="CN43" i="6"/>
  <c r="CN44" i="6" s="1"/>
  <c r="D87" i="7"/>
  <c r="CO37" i="6" s="1"/>
  <c r="F87" i="7"/>
  <c r="CO58" i="6"/>
  <c r="CO60" i="6" s="1"/>
  <c r="JY69" i="6"/>
  <c r="JY70" i="6" s="1"/>
  <c r="JZ68" i="6"/>
  <c r="JO31" i="6"/>
  <c r="JN31" i="6"/>
  <c r="JM32" i="6"/>
  <c r="JN32" i="6" s="1"/>
  <c r="JR1" i="6"/>
  <c r="JL34" i="6"/>
  <c r="JP16" i="6"/>
  <c r="JO17" i="6"/>
  <c r="JO18" i="6" s="1"/>
  <c r="KC22" i="6"/>
  <c r="KB51" i="6"/>
  <c r="JQ55" i="6"/>
  <c r="JP10" i="6"/>
  <c r="K256" i="7"/>
  <c r="I256" i="7"/>
  <c r="JP38" i="6" s="1"/>
  <c r="H257" i="7"/>
  <c r="JQ30" i="6"/>
  <c r="J255" i="7"/>
  <c r="JO49" i="6" s="1"/>
  <c r="JO73" i="6"/>
  <c r="ID64" i="6"/>
  <c r="JM25" i="6"/>
  <c r="JN25" i="6" s="1"/>
  <c r="JO20" i="6"/>
  <c r="JN20" i="6"/>
  <c r="A256" i="4"/>
  <c r="B257" i="4"/>
  <c r="I256" i="4"/>
  <c r="E134" i="4"/>
  <c r="D134" i="4"/>
  <c r="K256" i="4"/>
  <c r="K257" i="4" s="1"/>
  <c r="B258" i="7" l="1"/>
  <c r="A257" i="7"/>
  <c r="JQ59" i="6"/>
  <c r="E87" i="7"/>
  <c r="CO72" i="6"/>
  <c r="CO42" i="6"/>
  <c r="CO39" i="6"/>
  <c r="CM52" i="6"/>
  <c r="CN47" i="6"/>
  <c r="CM9" i="6"/>
  <c r="CN9" i="6" s="1"/>
  <c r="CN8" i="6"/>
  <c r="CM82" i="6"/>
  <c r="CN82" i="6" s="1"/>
  <c r="CN80" i="6"/>
  <c r="E36" i="3" s="1"/>
  <c r="J256" i="7"/>
  <c r="JP49" i="6" s="1"/>
  <c r="JP73" i="6"/>
  <c r="JO25" i="6"/>
  <c r="JP20" i="6"/>
  <c r="JP31" i="6"/>
  <c r="JO32" i="6"/>
  <c r="JQ10" i="6"/>
  <c r="JR55" i="6"/>
  <c r="ID65" i="6"/>
  <c r="IE64" i="6" s="1"/>
  <c r="JM34" i="6"/>
  <c r="JS1" i="6"/>
  <c r="I257" i="7"/>
  <c r="JQ38" i="6" s="1"/>
  <c r="K257" i="7"/>
  <c r="H258" i="7"/>
  <c r="JL35" i="6"/>
  <c r="JP17" i="6"/>
  <c r="JP18" i="6" s="1"/>
  <c r="JQ16" i="6"/>
  <c r="JM27" i="6"/>
  <c r="KB68" i="6"/>
  <c r="JZ69" i="6"/>
  <c r="KA69" i="6" s="1"/>
  <c r="KA68" i="6"/>
  <c r="JR30" i="6"/>
  <c r="KD22" i="6"/>
  <c r="KC51" i="6"/>
  <c r="F134" i="4"/>
  <c r="G134" i="4" s="1"/>
  <c r="L134" i="4"/>
  <c r="I257" i="4"/>
  <c r="B258" i="4"/>
  <c r="A257" i="4"/>
  <c r="JO34" i="6" l="1"/>
  <c r="JO35" i="6" s="1"/>
  <c r="K36" i="3"/>
  <c r="L36" i="3"/>
  <c r="B259" i="7"/>
  <c r="A258" i="7"/>
  <c r="JR59" i="6"/>
  <c r="CM5" i="6"/>
  <c r="CM4" i="6"/>
  <c r="CN4" i="6" s="1"/>
  <c r="CN52" i="6"/>
  <c r="CM56" i="6"/>
  <c r="CO40" i="6"/>
  <c r="CO43" i="6"/>
  <c r="CO78" i="6"/>
  <c r="CO48" i="6"/>
  <c r="C88" i="7"/>
  <c r="IE65" i="6"/>
  <c r="IF64" i="6" s="1"/>
  <c r="JP25" i="6"/>
  <c r="JQ20" i="6"/>
  <c r="JS30" i="6"/>
  <c r="JM35" i="6"/>
  <c r="JN34" i="6"/>
  <c r="JN35" i="6" s="1"/>
  <c r="JT1" i="6"/>
  <c r="H259" i="7"/>
  <c r="I258" i="7"/>
  <c r="JR38" i="6" s="1"/>
  <c r="K258" i="7"/>
  <c r="KC68" i="6"/>
  <c r="KB69" i="6"/>
  <c r="KB70" i="6" s="1"/>
  <c r="JZ70" i="6"/>
  <c r="JO27" i="6"/>
  <c r="J257" i="7"/>
  <c r="JQ49" i="6" s="1"/>
  <c r="JQ73" i="6"/>
  <c r="JQ17" i="6"/>
  <c r="JR16" i="6"/>
  <c r="JS55" i="6"/>
  <c r="JR10" i="6"/>
  <c r="KD51" i="6"/>
  <c r="KE22" i="6"/>
  <c r="JQ31" i="6"/>
  <c r="JP32" i="6"/>
  <c r="JM28" i="6"/>
  <c r="JN27" i="6"/>
  <c r="JN28" i="6" s="1"/>
  <c r="B259" i="4"/>
  <c r="A258" i="4"/>
  <c r="I258" i="4"/>
  <c r="K258" i="4"/>
  <c r="K259" i="4" s="1"/>
  <c r="E135" i="4"/>
  <c r="D135" i="4"/>
  <c r="B260" i="7" l="1"/>
  <c r="A259" i="7"/>
  <c r="JS59" i="6"/>
  <c r="CN56" i="6"/>
  <c r="CM6" i="6"/>
  <c r="CM57" i="6"/>
  <c r="CM61" i="6" s="1"/>
  <c r="CO80" i="6"/>
  <c r="CO44" i="6"/>
  <c r="CO8" i="6"/>
  <c r="CO47" i="6"/>
  <c r="D88" i="7"/>
  <c r="CP37" i="6" s="1"/>
  <c r="F88" i="7"/>
  <c r="CP58" i="6"/>
  <c r="CP60" i="6" s="1"/>
  <c r="CN5" i="6"/>
  <c r="CM7" i="6"/>
  <c r="IF65" i="6"/>
  <c r="IG64" i="6" s="1"/>
  <c r="JT55" i="6"/>
  <c r="JS10" i="6"/>
  <c r="JP27" i="6"/>
  <c r="JP28" i="6" s="1"/>
  <c r="KC69" i="6"/>
  <c r="KC70" i="6" s="1"/>
  <c r="KD68" i="6"/>
  <c r="JQ18" i="6"/>
  <c r="JP34" i="6"/>
  <c r="JS16" i="6"/>
  <c r="JR17" i="6"/>
  <c r="JR18" i="6" s="1"/>
  <c r="K259" i="7"/>
  <c r="I259" i="7"/>
  <c r="JS38" i="6" s="1"/>
  <c r="H260" i="7"/>
  <c r="JU1" i="6"/>
  <c r="JR31" i="6"/>
  <c r="JQ32" i="6"/>
  <c r="KA70" i="6"/>
  <c r="JR20" i="6"/>
  <c r="JQ25" i="6"/>
  <c r="JT30" i="6"/>
  <c r="J258" i="7"/>
  <c r="JR49" i="6" s="1"/>
  <c r="JR73" i="6"/>
  <c r="KF22" i="6"/>
  <c r="KE51" i="6"/>
  <c r="JO28" i="6"/>
  <c r="F135" i="4"/>
  <c r="G135" i="4" s="1"/>
  <c r="L135" i="4"/>
  <c r="I259" i="4"/>
  <c r="B260" i="4"/>
  <c r="A259" i="4"/>
  <c r="B261" i="7" l="1"/>
  <c r="A260" i="7"/>
  <c r="CO52" i="6"/>
  <c r="CO56" i="6" s="1"/>
  <c r="CO9" i="6"/>
  <c r="E88" i="7"/>
  <c r="CP72" i="6"/>
  <c r="CO82" i="6"/>
  <c r="CP39" i="6"/>
  <c r="CP42" i="6"/>
  <c r="CN61" i="6"/>
  <c r="CN11" i="6" s="1"/>
  <c r="CN12" i="6" s="1"/>
  <c r="CM11" i="6"/>
  <c r="CN7" i="6"/>
  <c r="CN13" i="6" s="1"/>
  <c r="CN6" i="6"/>
  <c r="CN57" i="6"/>
  <c r="IG65" i="6"/>
  <c r="IH64" i="6" s="1"/>
  <c r="KD69" i="6"/>
  <c r="KD70" i="6" s="1"/>
  <c r="KE68" i="6"/>
  <c r="KF51" i="6"/>
  <c r="KG22" i="6"/>
  <c r="JS20" i="6"/>
  <c r="JR25" i="6"/>
  <c r="H261" i="7"/>
  <c r="K260" i="7"/>
  <c r="I260" i="7"/>
  <c r="JT38" i="6" s="1"/>
  <c r="JT16" i="6"/>
  <c r="JS17" i="6"/>
  <c r="JS18" i="6" s="1"/>
  <c r="JV1" i="6"/>
  <c r="JP35" i="6"/>
  <c r="J259" i="7"/>
  <c r="JS49" i="6" s="1"/>
  <c r="JS73" i="6"/>
  <c r="JS31" i="6"/>
  <c r="JR32" i="6"/>
  <c r="JU55" i="6"/>
  <c r="JT10" i="6"/>
  <c r="JU30" i="6"/>
  <c r="JQ34" i="6"/>
  <c r="JQ27" i="6"/>
  <c r="JT59" i="6"/>
  <c r="B261" i="4"/>
  <c r="A260" i="4"/>
  <c r="I260" i="4"/>
  <c r="K260" i="4"/>
  <c r="K261" i="4" s="1"/>
  <c r="E136" i="4"/>
  <c r="D136" i="4"/>
  <c r="JR34" i="6" l="1"/>
  <c r="JR35" i="6" s="1"/>
  <c r="B262" i="7"/>
  <c r="A261" i="7"/>
  <c r="JU59" i="6"/>
  <c r="CP43" i="6"/>
  <c r="CP40" i="6"/>
  <c r="CP78" i="6"/>
  <c r="CP48" i="6"/>
  <c r="C89" i="7"/>
  <c r="CO57" i="6"/>
  <c r="CO61" i="6" s="1"/>
  <c r="CO11" i="6" s="1"/>
  <c r="CO6" i="6"/>
  <c r="CO4" i="6"/>
  <c r="CO5" i="6"/>
  <c r="JV30" i="6"/>
  <c r="KH22" i="6"/>
  <c r="KG51" i="6"/>
  <c r="JU10" i="6"/>
  <c r="JV55" i="6"/>
  <c r="IH65" i="6"/>
  <c r="II64" i="6" s="1"/>
  <c r="JS25" i="6"/>
  <c r="JS27" i="6" s="1"/>
  <c r="JS28" i="6" s="1"/>
  <c r="JT20" i="6"/>
  <c r="KF68" i="6"/>
  <c r="KE69" i="6"/>
  <c r="KE70" i="6" s="1"/>
  <c r="JQ28" i="6"/>
  <c r="J260" i="7"/>
  <c r="JT49" i="6" s="1"/>
  <c r="JT73" i="6"/>
  <c r="JU16" i="6"/>
  <c r="JT17" i="6"/>
  <c r="JT18" i="6" s="1"/>
  <c r="JQ35" i="6"/>
  <c r="JW1" i="6"/>
  <c r="I261" i="7"/>
  <c r="JU38" i="6" s="1"/>
  <c r="K261" i="7"/>
  <c r="H262" i="7"/>
  <c r="JR27" i="6"/>
  <c r="JR28" i="6" s="1"/>
  <c r="JT31" i="6"/>
  <c r="JS32" i="6"/>
  <c r="F136" i="4"/>
  <c r="G136" i="4" s="1"/>
  <c r="L136" i="4"/>
  <c r="I261" i="4"/>
  <c r="A261" i="4"/>
  <c r="B262" i="4"/>
  <c r="JS34" i="6" l="1"/>
  <c r="JS35" i="6" s="1"/>
  <c r="B263" i="7"/>
  <c r="A262" i="7"/>
  <c r="JV59" i="6"/>
  <c r="CO7" i="6"/>
  <c r="D89" i="7"/>
  <c r="CQ37" i="6" s="1"/>
  <c r="F89" i="7"/>
  <c r="CQ58" i="6"/>
  <c r="CQ60" i="6" s="1"/>
  <c r="CP80" i="6"/>
  <c r="CP44" i="6"/>
  <c r="CP8" i="6"/>
  <c r="CP47" i="6"/>
  <c r="II65" i="6"/>
  <c r="IJ64" i="6" s="1"/>
  <c r="JX1" i="6"/>
  <c r="JU31" i="6"/>
  <c r="JT32" i="6"/>
  <c r="KF69" i="6"/>
  <c r="KF70" i="6" s="1"/>
  <c r="KG68" i="6"/>
  <c r="JT25" i="6"/>
  <c r="JT27" i="6" s="1"/>
  <c r="JU20" i="6"/>
  <c r="I262" i="7"/>
  <c r="JV38" i="6" s="1"/>
  <c r="H263" i="7"/>
  <c r="K262" i="7"/>
  <c r="JW30" i="6"/>
  <c r="J261" i="7"/>
  <c r="JU49" i="6" s="1"/>
  <c r="JU73" i="6"/>
  <c r="JW55" i="6"/>
  <c r="JV10" i="6"/>
  <c r="KH51" i="6"/>
  <c r="KI22" i="6"/>
  <c r="JV16" i="6"/>
  <c r="JU17" i="6"/>
  <c r="JU18" i="6" s="1"/>
  <c r="B263" i="4"/>
  <c r="A262" i="4"/>
  <c r="I262" i="4"/>
  <c r="K262" i="4"/>
  <c r="K263" i="4" s="1"/>
  <c r="E137" i="4"/>
  <c r="D137" i="4"/>
  <c r="JT34" i="6" l="1"/>
  <c r="JT35" i="6" s="1"/>
  <c r="B264" i="7"/>
  <c r="A263" i="7"/>
  <c r="JW59" i="6"/>
  <c r="CP82" i="6"/>
  <c r="CP9" i="6"/>
  <c r="CP52" i="6"/>
  <c r="CQ72" i="6"/>
  <c r="E89" i="7"/>
  <c r="CQ39" i="6"/>
  <c r="CQ42" i="6"/>
  <c r="IJ65" i="6"/>
  <c r="IK64" i="6" s="1"/>
  <c r="JW16" i="6"/>
  <c r="JV17" i="6"/>
  <c r="JV18" i="6" s="1"/>
  <c r="J262" i="7"/>
  <c r="JV49" i="6" s="1"/>
  <c r="JV73" i="6"/>
  <c r="JV31" i="6"/>
  <c r="JU32" i="6"/>
  <c r="JX30" i="6"/>
  <c r="KI51" i="6"/>
  <c r="KJ22" i="6"/>
  <c r="JX55" i="6"/>
  <c r="JW10" i="6"/>
  <c r="JU25" i="6"/>
  <c r="JU27" i="6" s="1"/>
  <c r="JU28" i="6" s="1"/>
  <c r="JV20" i="6"/>
  <c r="KG69" i="6"/>
  <c r="KG70" i="6" s="1"/>
  <c r="KH68" i="6"/>
  <c r="JT28" i="6"/>
  <c r="I263" i="7"/>
  <c r="JW38" i="6" s="1"/>
  <c r="K263" i="7"/>
  <c r="H264" i="7"/>
  <c r="JY1" i="6"/>
  <c r="F137" i="4"/>
  <c r="G137" i="4" s="1"/>
  <c r="L137" i="4"/>
  <c r="I263" i="4"/>
  <c r="B264" i="4"/>
  <c r="A263" i="4"/>
  <c r="JU34" i="6" l="1"/>
  <c r="JU35" i="6" s="1"/>
  <c r="B265" i="7"/>
  <c r="A264" i="7"/>
  <c r="JX59" i="6"/>
  <c r="CQ48" i="6"/>
  <c r="C90" i="7"/>
  <c r="CQ40" i="6"/>
  <c r="CQ43" i="6"/>
  <c r="CQ78" i="6"/>
  <c r="CP4" i="6"/>
  <c r="CP5" i="6"/>
  <c r="CP56" i="6"/>
  <c r="IK65" i="6"/>
  <c r="IL64" i="6" s="1"/>
  <c r="KJ51" i="6"/>
  <c r="KK22" i="6"/>
  <c r="JY30" i="6"/>
  <c r="JX16" i="6"/>
  <c r="JW17" i="6"/>
  <c r="JW18" i="6" s="1"/>
  <c r="K264" i="7"/>
  <c r="H265" i="7"/>
  <c r="I264" i="7"/>
  <c r="JX38" i="6" s="1"/>
  <c r="JW31" i="6"/>
  <c r="JV32" i="6"/>
  <c r="J263" i="7"/>
  <c r="JW49" i="6" s="1"/>
  <c r="JW73" i="6"/>
  <c r="JV25" i="6"/>
  <c r="JV27" i="6" s="1"/>
  <c r="JW20" i="6"/>
  <c r="KI68" i="6"/>
  <c r="KH69" i="6"/>
  <c r="KH70" i="6" s="1"/>
  <c r="JZ1" i="6"/>
  <c r="JY55" i="6"/>
  <c r="JX10" i="6"/>
  <c r="A264" i="4"/>
  <c r="B265" i="4"/>
  <c r="K264" i="4"/>
  <c r="K265" i="4" s="1"/>
  <c r="I264" i="4"/>
  <c r="D138" i="4"/>
  <c r="E138" i="4"/>
  <c r="B266" i="7" l="1"/>
  <c r="A265" i="7"/>
  <c r="CP6" i="6"/>
  <c r="CP57" i="6"/>
  <c r="CP61" i="6" s="1"/>
  <c r="CP11" i="6" s="1"/>
  <c r="CP7" i="6"/>
  <c r="CQ47" i="6"/>
  <c r="CQ44" i="6"/>
  <c r="CQ8" i="6"/>
  <c r="CQ80" i="6"/>
  <c r="CR58" i="6"/>
  <c r="CR60" i="6" s="1"/>
  <c r="D90" i="7"/>
  <c r="CR37" i="6" s="1"/>
  <c r="F90" i="7"/>
  <c r="JV28" i="6"/>
  <c r="KK51" i="6"/>
  <c r="KL22" i="6"/>
  <c r="K265" i="7"/>
  <c r="H266" i="7"/>
  <c r="I265" i="7"/>
  <c r="JY38" i="6" s="1"/>
  <c r="KB1" i="6"/>
  <c r="KA1" i="6"/>
  <c r="JX31" i="6"/>
  <c r="JW32" i="6"/>
  <c r="JZ30" i="6"/>
  <c r="JV34" i="6"/>
  <c r="JY59" i="6"/>
  <c r="KI69" i="6"/>
  <c r="KI70" i="6" s="1"/>
  <c r="KJ68" i="6"/>
  <c r="JW25" i="6"/>
  <c r="JW27" i="6" s="1"/>
  <c r="JW28" i="6" s="1"/>
  <c r="JX20" i="6"/>
  <c r="J264" i="7"/>
  <c r="JX49" i="6" s="1"/>
  <c r="JX73" i="6"/>
  <c r="JY16" i="6"/>
  <c r="JX17" i="6"/>
  <c r="JX18" i="6" s="1"/>
  <c r="IL65" i="6"/>
  <c r="IM64" i="6" s="1"/>
  <c r="JZ55" i="6"/>
  <c r="JY10" i="6"/>
  <c r="F138" i="4"/>
  <c r="G138" i="4" s="1"/>
  <c r="L138" i="4"/>
  <c r="I265" i="4"/>
  <c r="A265" i="4"/>
  <c r="B266" i="4"/>
  <c r="B267" i="7" l="1"/>
  <c r="A266" i="7"/>
  <c r="CQ52" i="6"/>
  <c r="CR39" i="6"/>
  <c r="CR42" i="6"/>
  <c r="CR72" i="6"/>
  <c r="E90" i="7"/>
  <c r="CQ82" i="6"/>
  <c r="CQ9" i="6"/>
  <c r="KA55" i="6"/>
  <c r="KB55" i="6"/>
  <c r="JZ10" i="6"/>
  <c r="KA10" i="6" s="1"/>
  <c r="I266" i="7"/>
  <c r="JZ38" i="6" s="1"/>
  <c r="KA38" i="6" s="1"/>
  <c r="H267" i="7"/>
  <c r="K266" i="7"/>
  <c r="JY17" i="6"/>
  <c r="JY18" i="6" s="1"/>
  <c r="JZ16" i="6"/>
  <c r="KM22" i="6"/>
  <c r="KL51" i="6"/>
  <c r="J265" i="7"/>
  <c r="JY49" i="6" s="1"/>
  <c r="JY73" i="6"/>
  <c r="JY20" i="6"/>
  <c r="JX25" i="6"/>
  <c r="JZ59" i="6"/>
  <c r="KA59" i="6" s="1"/>
  <c r="IM65" i="6"/>
  <c r="IN65" i="6" s="1"/>
  <c r="IN64" i="6"/>
  <c r="JW34" i="6"/>
  <c r="JY31" i="6"/>
  <c r="JX32" i="6"/>
  <c r="KC1" i="6"/>
  <c r="JV35" i="6"/>
  <c r="KJ69" i="6"/>
  <c r="KJ70" i="6" s="1"/>
  <c r="KK68" i="6"/>
  <c r="KB30" i="6"/>
  <c r="KA30" i="6"/>
  <c r="B267" i="4"/>
  <c r="A266" i="4"/>
  <c r="K266" i="4"/>
  <c r="K267" i="4" s="1"/>
  <c r="I266" i="4"/>
  <c r="E139" i="4"/>
  <c r="D139" i="4"/>
  <c r="JX34" i="6" l="1"/>
  <c r="JX35" i="6" s="1"/>
  <c r="IO64" i="6"/>
  <c r="IO65" i="6" s="1"/>
  <c r="B268" i="7"/>
  <c r="A267" i="7"/>
  <c r="CR48" i="6"/>
  <c r="C91" i="7"/>
  <c r="CR40" i="6"/>
  <c r="CR43" i="6"/>
  <c r="CR78" i="6"/>
  <c r="CQ4" i="6"/>
  <c r="CQ5" i="6"/>
  <c r="CQ56" i="6"/>
  <c r="J266" i="7"/>
  <c r="JZ49" i="6" s="1"/>
  <c r="KA49" i="6" s="1"/>
  <c r="JZ73" i="6"/>
  <c r="KA73" i="6" s="1"/>
  <c r="K267" i="7"/>
  <c r="H268" i="7"/>
  <c r="I267" i="7"/>
  <c r="KB38" i="6" s="1"/>
  <c r="JZ31" i="6"/>
  <c r="JY32" i="6"/>
  <c r="KC30" i="6"/>
  <c r="KB59" i="6"/>
  <c r="JX27" i="6"/>
  <c r="JX28" i="6" s="1"/>
  <c r="KM51" i="6"/>
  <c r="KN51" i="6" s="1"/>
  <c r="KO22" i="6"/>
  <c r="KN22" i="6"/>
  <c r="JW35" i="6"/>
  <c r="KD1" i="6"/>
  <c r="JZ20" i="6"/>
  <c r="JY25" i="6"/>
  <c r="JY27" i="6" s="1"/>
  <c r="JY28" i="6" s="1"/>
  <c r="KL68" i="6"/>
  <c r="KK69" i="6"/>
  <c r="KK70" i="6" s="1"/>
  <c r="JZ17" i="6"/>
  <c r="KA17" i="6" s="1"/>
  <c r="KB16" i="6"/>
  <c r="KA16" i="6"/>
  <c r="KC55" i="6"/>
  <c r="KB10" i="6"/>
  <c r="F139" i="4"/>
  <c r="G139" i="4" s="1"/>
  <c r="L139" i="4"/>
  <c r="I267" i="4"/>
  <c r="A267" i="4"/>
  <c r="B268" i="4"/>
  <c r="JZ18" i="6" l="1"/>
  <c r="KA18" i="6" s="1"/>
  <c r="B269" i="7"/>
  <c r="A268" i="7"/>
  <c r="CR80" i="6"/>
  <c r="D91" i="7"/>
  <c r="CS37" i="6" s="1"/>
  <c r="F91" i="7"/>
  <c r="CS58" i="6"/>
  <c r="CS60" i="6" s="1"/>
  <c r="CQ6" i="6"/>
  <c r="CQ57" i="6"/>
  <c r="CQ61" i="6" s="1"/>
  <c r="CQ11" i="6" s="1"/>
  <c r="CQ7" i="6"/>
  <c r="CR44" i="6"/>
  <c r="CR47" i="6"/>
  <c r="CR8" i="6"/>
  <c r="KB17" i="6"/>
  <c r="KB18" i="6" s="1"/>
  <c r="KC16" i="6"/>
  <c r="KB31" i="6"/>
  <c r="KA31" i="6"/>
  <c r="JZ32" i="6"/>
  <c r="KA32" i="6" s="1"/>
  <c r="IP64" i="6"/>
  <c r="KD55" i="6"/>
  <c r="KC10" i="6"/>
  <c r="J267" i="7"/>
  <c r="KB49" i="6" s="1"/>
  <c r="KB73" i="6"/>
  <c r="KO51" i="6"/>
  <c r="KP22" i="6"/>
  <c r="JY34" i="6"/>
  <c r="K268" i="7"/>
  <c r="H269" i="7"/>
  <c r="KD59" i="6" s="1"/>
  <c r="I268" i="7"/>
  <c r="KC38" i="6" s="1"/>
  <c r="KC59" i="6"/>
  <c r="KB20" i="6"/>
  <c r="JZ25" i="6"/>
  <c r="KA25" i="6" s="1"/>
  <c r="KA20" i="6"/>
  <c r="KM68" i="6"/>
  <c r="KL69" i="6"/>
  <c r="KL70" i="6" s="1"/>
  <c r="KE1" i="6"/>
  <c r="KD30" i="6"/>
  <c r="B269" i="4"/>
  <c r="A268" i="4"/>
  <c r="I268" i="4"/>
  <c r="E140" i="4"/>
  <c r="D140" i="4"/>
  <c r="K268" i="4"/>
  <c r="K269" i="4" s="1"/>
  <c r="B270" i="7" l="1"/>
  <c r="A269" i="7"/>
  <c r="CR9" i="6"/>
  <c r="E91" i="7"/>
  <c r="CS72" i="6"/>
  <c r="CS39" i="6"/>
  <c r="CS42" i="6"/>
  <c r="CR52" i="6"/>
  <c r="CR82" i="6"/>
  <c r="J268" i="7"/>
  <c r="KC49" i="6" s="1"/>
  <c r="KC73" i="6"/>
  <c r="KC31" i="6"/>
  <c r="KB32" i="6"/>
  <c r="KM69" i="6"/>
  <c r="KN69" i="6" s="1"/>
  <c r="KO68" i="6"/>
  <c r="KN68" i="6"/>
  <c r="KC17" i="6"/>
  <c r="KC18" i="6" s="1"/>
  <c r="KD16" i="6"/>
  <c r="JZ27" i="6"/>
  <c r="IP65" i="6"/>
  <c r="IQ64" i="6" s="1"/>
  <c r="KB25" i="6"/>
  <c r="KC20" i="6"/>
  <c r="JZ34" i="6"/>
  <c r="JY35" i="6"/>
  <c r="KE55" i="6"/>
  <c r="KD10" i="6"/>
  <c r="KP51" i="6"/>
  <c r="KQ22" i="6"/>
  <c r="KE30" i="6"/>
  <c r="KF1" i="6"/>
  <c r="H270" i="7"/>
  <c r="KE59" i="6" s="1"/>
  <c r="K269" i="7"/>
  <c r="I269" i="7"/>
  <c r="KD38" i="6" s="1"/>
  <c r="F140" i="4"/>
  <c r="G140" i="4" s="1"/>
  <c r="L140" i="4"/>
  <c r="I269" i="4"/>
  <c r="B270" i="4"/>
  <c r="A269" i="4"/>
  <c r="B271" i="7" l="1"/>
  <c r="A270" i="7"/>
  <c r="CR5" i="6"/>
  <c r="CR4" i="6"/>
  <c r="CR56" i="6"/>
  <c r="CS48" i="6"/>
  <c r="C92" i="7"/>
  <c r="CS78" i="6"/>
  <c r="CS43" i="6"/>
  <c r="CS40" i="6"/>
  <c r="KC25" i="6"/>
  <c r="KC34" i="6" s="1"/>
  <c r="KD20" i="6"/>
  <c r="KG1" i="6"/>
  <c r="KB27" i="6"/>
  <c r="KO69" i="6"/>
  <c r="KO70" i="6" s="1"/>
  <c r="KP68" i="6"/>
  <c r="JZ35" i="6"/>
  <c r="KA34" i="6"/>
  <c r="KA35" i="6" s="1"/>
  <c r="KM70" i="6"/>
  <c r="KD31" i="6"/>
  <c r="KC32" i="6"/>
  <c r="KF30" i="6"/>
  <c r="KE16" i="6"/>
  <c r="KD17" i="6"/>
  <c r="KD18" i="6" s="1"/>
  <c r="IQ65" i="6"/>
  <c r="JZ28" i="6"/>
  <c r="KA27" i="6"/>
  <c r="KA28" i="6" s="1"/>
  <c r="KQ51" i="6"/>
  <c r="KR22" i="6"/>
  <c r="KE10" i="6"/>
  <c r="KF55" i="6"/>
  <c r="J269" i="7"/>
  <c r="KD49" i="6" s="1"/>
  <c r="KD73" i="6"/>
  <c r="I270" i="7"/>
  <c r="KE38" i="6" s="1"/>
  <c r="H271" i="7"/>
  <c r="KF59" i="6" s="1"/>
  <c r="K270" i="7"/>
  <c r="KB34" i="6"/>
  <c r="A270" i="4"/>
  <c r="B271" i="4"/>
  <c r="I270" i="4"/>
  <c r="K270" i="4"/>
  <c r="K271" i="4" s="1"/>
  <c r="E141" i="4"/>
  <c r="D141" i="4"/>
  <c r="B272" i="7" l="1"/>
  <c r="A271" i="7"/>
  <c r="CS8" i="6"/>
  <c r="CS47" i="6"/>
  <c r="CS44" i="6"/>
  <c r="CS80" i="6"/>
  <c r="CR57" i="6"/>
  <c r="CR61" i="6" s="1"/>
  <c r="CR11" i="6" s="1"/>
  <c r="CR6" i="6"/>
  <c r="D92" i="7"/>
  <c r="CT37" i="6" s="1"/>
  <c r="CT58" i="6"/>
  <c r="CT60" i="6" s="1"/>
  <c r="F92" i="7"/>
  <c r="CR7" i="6"/>
  <c r="KC35" i="6"/>
  <c r="KE31" i="6"/>
  <c r="KD32" i="6"/>
  <c r="KR51" i="6"/>
  <c r="KS22" i="6"/>
  <c r="KG30" i="6"/>
  <c r="KD25" i="6"/>
  <c r="KD27" i="6" s="1"/>
  <c r="KD28" i="6" s="1"/>
  <c r="KE20" i="6"/>
  <c r="KB28" i="6"/>
  <c r="KB35" i="6"/>
  <c r="IR64" i="6"/>
  <c r="KN70" i="6"/>
  <c r="K271" i="7"/>
  <c r="H272" i="7"/>
  <c r="KG59" i="6" s="1"/>
  <c r="I271" i="7"/>
  <c r="KF38" i="6" s="1"/>
  <c r="KE17" i="6"/>
  <c r="KE18" i="6" s="1"/>
  <c r="KF16" i="6"/>
  <c r="KP69" i="6"/>
  <c r="KP70" i="6" s="1"/>
  <c r="KQ68" i="6"/>
  <c r="KC27" i="6"/>
  <c r="KC28" i="6" s="1"/>
  <c r="KH1" i="6"/>
  <c r="KG55" i="6"/>
  <c r="KF10" i="6"/>
  <c r="J270" i="7"/>
  <c r="KE49" i="6" s="1"/>
  <c r="KE73" i="6"/>
  <c r="F141" i="4"/>
  <c r="G141" i="4" s="1"/>
  <c r="L141" i="4"/>
  <c r="I271" i="4"/>
  <c r="A271" i="4"/>
  <c r="B272" i="4"/>
  <c r="KD34" i="6" l="1"/>
  <c r="KD35" i="6" s="1"/>
  <c r="B273" i="7"/>
  <c r="A272" i="7"/>
  <c r="CT42" i="6"/>
  <c r="CT39" i="6"/>
  <c r="CT72" i="6"/>
  <c r="CT78" i="6" s="1"/>
  <c r="CT80" i="6" s="1"/>
  <c r="E92" i="7"/>
  <c r="CS52" i="6"/>
  <c r="CS82" i="6"/>
  <c r="CS9" i="6"/>
  <c r="KR68" i="6"/>
  <c r="KQ69" i="6"/>
  <c r="KQ70" i="6" s="1"/>
  <c r="KH59" i="6"/>
  <c r="KI1" i="6"/>
  <c r="KH30" i="6"/>
  <c r="IR65" i="6"/>
  <c r="IS64" i="6" s="1"/>
  <c r="KF17" i="6"/>
  <c r="KF18" i="6" s="1"/>
  <c r="KG16" i="6"/>
  <c r="KS51" i="6"/>
  <c r="KT22" i="6"/>
  <c r="KH55" i="6"/>
  <c r="KG10" i="6"/>
  <c r="H273" i="7"/>
  <c r="K272" i="7"/>
  <c r="I272" i="7"/>
  <c r="KG38" i="6" s="1"/>
  <c r="KF20" i="6"/>
  <c r="KE25" i="6"/>
  <c r="KE34" i="6" s="1"/>
  <c r="J271" i="7"/>
  <c r="KF49" i="6" s="1"/>
  <c r="KF73" i="6"/>
  <c r="KF31" i="6"/>
  <c r="KE32" i="6"/>
  <c r="B273" i="4"/>
  <c r="A272" i="4"/>
  <c r="I272" i="4"/>
  <c r="K272" i="4"/>
  <c r="K273" i="4" s="1"/>
  <c r="E142" i="4"/>
  <c r="D142" i="4"/>
  <c r="KE27" i="6" l="1"/>
  <c r="KE28" i="6" s="1"/>
  <c r="CT82" i="6"/>
  <c r="B274" i="7"/>
  <c r="A273" i="7"/>
  <c r="CT40" i="6"/>
  <c r="CT43" i="6"/>
  <c r="CS4" i="6"/>
  <c r="CS5" i="6"/>
  <c r="CS56" i="6"/>
  <c r="CT48" i="6"/>
  <c r="C93" i="7"/>
  <c r="IS65" i="6"/>
  <c r="IT64" i="6" s="1"/>
  <c r="KI55" i="6"/>
  <c r="KH10" i="6"/>
  <c r="KU22" i="6"/>
  <c r="KT51" i="6"/>
  <c r="KI30" i="6"/>
  <c r="KG20" i="6"/>
  <c r="KF25" i="6"/>
  <c r="KE35" i="6"/>
  <c r="KH16" i="6"/>
  <c r="KG17" i="6"/>
  <c r="KG18" i="6" s="1"/>
  <c r="KS68" i="6"/>
  <c r="KR69" i="6"/>
  <c r="KR70" i="6" s="1"/>
  <c r="KG31" i="6"/>
  <c r="KF32" i="6"/>
  <c r="J272" i="7"/>
  <c r="KG49" i="6" s="1"/>
  <c r="KG73" i="6"/>
  <c r="KJ1" i="6"/>
  <c r="K273" i="7"/>
  <c r="H274" i="7"/>
  <c r="I273" i="7"/>
  <c r="KH38" i="6" s="1"/>
  <c r="F142" i="4"/>
  <c r="G142" i="4" s="1"/>
  <c r="L142" i="4"/>
  <c r="I273" i="4"/>
  <c r="B274" i="4"/>
  <c r="A273" i="4"/>
  <c r="KF34" i="6" l="1"/>
  <c r="KF35" i="6" s="1"/>
  <c r="B275" i="7"/>
  <c r="A274" i="7"/>
  <c r="F93" i="7"/>
  <c r="D93" i="7"/>
  <c r="CU37" i="6" s="1"/>
  <c r="CU58" i="6"/>
  <c r="CU60" i="6" s="1"/>
  <c r="CS6" i="6"/>
  <c r="CS57" i="6"/>
  <c r="CS61" i="6" s="1"/>
  <c r="CS11" i="6" s="1"/>
  <c r="CS7" i="6"/>
  <c r="CT47" i="6"/>
  <c r="CT52" i="6" s="1"/>
  <c r="CT44" i="6"/>
  <c r="CT8" i="6"/>
  <c r="CT9" i="6" s="1"/>
  <c r="KH17" i="6"/>
  <c r="KH18" i="6" s="1"/>
  <c r="KI16" i="6"/>
  <c r="KU51" i="6"/>
  <c r="KV22" i="6"/>
  <c r="KF27" i="6"/>
  <c r="KG25" i="6"/>
  <c r="KG27" i="6" s="1"/>
  <c r="KG28" i="6" s="1"/>
  <c r="KH20" i="6"/>
  <c r="KK1" i="6"/>
  <c r="KJ55" i="6"/>
  <c r="KI10" i="6"/>
  <c r="H275" i="7"/>
  <c r="KJ59" i="6" s="1"/>
  <c r="K274" i="7"/>
  <c r="I274" i="7"/>
  <c r="KI38" i="6" s="1"/>
  <c r="KT68" i="6"/>
  <c r="KS69" i="6"/>
  <c r="KS70" i="6" s="1"/>
  <c r="IT65" i="6"/>
  <c r="IU64" i="6" s="1"/>
  <c r="KH31" i="6"/>
  <c r="KG32" i="6"/>
  <c r="KI59" i="6"/>
  <c r="KJ30" i="6"/>
  <c r="J273" i="7"/>
  <c r="KH49" i="6" s="1"/>
  <c r="KH73" i="6"/>
  <c r="A274" i="4"/>
  <c r="B275" i="4"/>
  <c r="K274" i="4"/>
  <c r="K275" i="4" s="1"/>
  <c r="I274" i="4"/>
  <c r="D143" i="4"/>
  <c r="E143" i="4"/>
  <c r="KG34" i="6" l="1"/>
  <c r="KG35" i="6" s="1"/>
  <c r="B276" i="7"/>
  <c r="A275" i="7"/>
  <c r="CT4" i="6"/>
  <c r="CT5" i="6"/>
  <c r="CT7" i="6" s="1"/>
  <c r="CT56" i="6"/>
  <c r="CU39" i="6"/>
  <c r="CU42" i="6"/>
  <c r="CU72" i="6"/>
  <c r="CU78" i="6" s="1"/>
  <c r="CU80" i="6" s="1"/>
  <c r="CU82" i="6" s="1"/>
  <c r="E93" i="7"/>
  <c r="KU68" i="6"/>
  <c r="KT69" i="6"/>
  <c r="KT70" i="6" s="1"/>
  <c r="KJ10" i="6"/>
  <c r="KK55" i="6"/>
  <c r="KK30" i="6"/>
  <c r="IU65" i="6"/>
  <c r="IV64" i="6" s="1"/>
  <c r="KJ16" i="6"/>
  <c r="KI17" i="6"/>
  <c r="KI18" i="6" s="1"/>
  <c r="J274" i="7"/>
  <c r="KI49" i="6" s="1"/>
  <c r="KI73" i="6"/>
  <c r="KI31" i="6"/>
  <c r="KH32" i="6"/>
  <c r="KW22" i="6"/>
  <c r="KV51" i="6"/>
  <c r="I275" i="7"/>
  <c r="KJ38" i="6" s="1"/>
  <c r="K275" i="7"/>
  <c r="H276" i="7"/>
  <c r="KK59" i="6" s="1"/>
  <c r="KH25" i="6"/>
  <c r="KH34" i="6" s="1"/>
  <c r="KI20" i="6"/>
  <c r="KF28" i="6"/>
  <c r="KL1" i="6"/>
  <c r="F143" i="4"/>
  <c r="G143" i="4" s="1"/>
  <c r="L143" i="4"/>
  <c r="I275" i="4"/>
  <c r="B276" i="4"/>
  <c r="A275" i="4"/>
  <c r="B277" i="7" l="1"/>
  <c r="A276" i="7"/>
  <c r="CT6" i="6"/>
  <c r="CT57" i="6"/>
  <c r="CT61" i="6" s="1"/>
  <c r="CT11" i="6" s="1"/>
  <c r="CU48" i="6"/>
  <c r="C94" i="7"/>
  <c r="CU40" i="6"/>
  <c r="CU43" i="6"/>
  <c r="KH35" i="6"/>
  <c r="IV65" i="6"/>
  <c r="IW64" i="6" s="1"/>
  <c r="KL55" i="6"/>
  <c r="KK10" i="6"/>
  <c r="I276" i="7"/>
  <c r="KK38" i="6" s="1"/>
  <c r="H277" i="7"/>
  <c r="K276" i="7"/>
  <c r="J275" i="7"/>
  <c r="KJ49" i="6" s="1"/>
  <c r="KJ73" i="6"/>
  <c r="KH27" i="6"/>
  <c r="KU69" i="6"/>
  <c r="KU70" i="6" s="1"/>
  <c r="KV68" i="6"/>
  <c r="KW51" i="6"/>
  <c r="KX22" i="6"/>
  <c r="KM1" i="6"/>
  <c r="KK16" i="6"/>
  <c r="KJ17" i="6"/>
  <c r="KJ18" i="6" s="1"/>
  <c r="KJ31" i="6"/>
  <c r="KI32" i="6"/>
  <c r="KL30" i="6"/>
  <c r="KI25" i="6"/>
  <c r="KJ20" i="6"/>
  <c r="A276" i="4"/>
  <c r="B277" i="4"/>
  <c r="I276" i="4"/>
  <c r="E144" i="4"/>
  <c r="D144" i="4"/>
  <c r="K276" i="4"/>
  <c r="K277" i="4" s="1"/>
  <c r="KI34" i="6" l="1"/>
  <c r="KI35" i="6" s="1"/>
  <c r="KI27" i="6"/>
  <c r="KI28" i="6" s="1"/>
  <c r="B278" i="7"/>
  <c r="A277" i="7"/>
  <c r="KL59" i="6"/>
  <c r="CU47" i="6"/>
  <c r="CU52" i="6" s="1"/>
  <c r="CU8" i="6"/>
  <c r="CU9" i="6" s="1"/>
  <c r="CU44" i="6"/>
  <c r="CV58" i="6"/>
  <c r="CV60" i="6" s="1"/>
  <c r="F94" i="7"/>
  <c r="D94" i="7"/>
  <c r="CV37" i="6" s="1"/>
  <c r="IW65" i="6"/>
  <c r="IX64" i="6" s="1"/>
  <c r="KX51" i="6"/>
  <c r="KY22" i="6"/>
  <c r="KV69" i="6"/>
  <c r="KV70" i="6" s="1"/>
  <c r="KW68" i="6"/>
  <c r="KO1" i="6"/>
  <c r="KN1" i="6"/>
  <c r="J276" i="7"/>
  <c r="KK49" i="6" s="1"/>
  <c r="KK73" i="6"/>
  <c r="KM55" i="6"/>
  <c r="KL10" i="6"/>
  <c r="KH28" i="6"/>
  <c r="KJ25" i="6"/>
  <c r="KJ34" i="6" s="1"/>
  <c r="KK20" i="6"/>
  <c r="K277" i="7"/>
  <c r="H278" i="7"/>
  <c r="KM59" i="6" s="1"/>
  <c r="KN59" i="6" s="1"/>
  <c r="I277" i="7"/>
  <c r="KL38" i="6" s="1"/>
  <c r="KK31" i="6"/>
  <c r="KJ32" i="6"/>
  <c r="KL16" i="6"/>
  <c r="KK17" i="6"/>
  <c r="KK18" i="6" s="1"/>
  <c r="KM30" i="6"/>
  <c r="F144" i="4"/>
  <c r="G144" i="4" s="1"/>
  <c r="L144" i="4"/>
  <c r="I277" i="4"/>
  <c r="A277" i="4"/>
  <c r="B278" i="4"/>
  <c r="B279" i="7" l="1"/>
  <c r="A278" i="7"/>
  <c r="E94" i="7"/>
  <c r="CV72" i="6"/>
  <c r="CV78" i="6" s="1"/>
  <c r="CV80" i="6" s="1"/>
  <c r="CV82" i="6" s="1"/>
  <c r="CV42" i="6"/>
  <c r="CV39" i="6"/>
  <c r="CU4" i="6"/>
  <c r="CU5" i="6"/>
  <c r="CU7" i="6" s="1"/>
  <c r="CU56" i="6"/>
  <c r="KJ35" i="6"/>
  <c r="KM16" i="6"/>
  <c r="KL17" i="6"/>
  <c r="KL18" i="6" s="1"/>
  <c r="KO30" i="6"/>
  <c r="KN30" i="6"/>
  <c r="KL31" i="6"/>
  <c r="KK32" i="6"/>
  <c r="KK25" i="6"/>
  <c r="KK27" i="6" s="1"/>
  <c r="KK28" i="6" s="1"/>
  <c r="KL20" i="6"/>
  <c r="IX65" i="6"/>
  <c r="IY64" i="6" s="1"/>
  <c r="KJ27" i="6"/>
  <c r="KP1" i="6"/>
  <c r="J277" i="7"/>
  <c r="KL49" i="6" s="1"/>
  <c r="KL73" i="6"/>
  <c r="K278" i="7"/>
  <c r="H279" i="7"/>
  <c r="I278" i="7"/>
  <c r="KM38" i="6" s="1"/>
  <c r="KN38" i="6" s="1"/>
  <c r="KX68" i="6"/>
  <c r="KW69" i="6"/>
  <c r="KW70" i="6" s="1"/>
  <c r="KY51" i="6"/>
  <c r="KZ22" i="6"/>
  <c r="KM10" i="6"/>
  <c r="KN10" i="6" s="1"/>
  <c r="KO55" i="6"/>
  <c r="KN55" i="6"/>
  <c r="B279" i="4"/>
  <c r="A278" i="4"/>
  <c r="I278" i="4"/>
  <c r="E145" i="4"/>
  <c r="D145" i="4"/>
  <c r="K278" i="4"/>
  <c r="K279" i="4" s="1"/>
  <c r="KK34" i="6" l="1"/>
  <c r="KK35" i="6" s="1"/>
  <c r="B280" i="7"/>
  <c r="A279" i="7"/>
  <c r="CU6" i="6"/>
  <c r="CU57" i="6"/>
  <c r="CU61" i="6" s="1"/>
  <c r="CU11" i="6" s="1"/>
  <c r="CV40" i="6"/>
  <c r="CV43" i="6"/>
  <c r="CV48" i="6"/>
  <c r="C95" i="7"/>
  <c r="KO16" i="6"/>
  <c r="KM17" i="6"/>
  <c r="KN17" i="6" s="1"/>
  <c r="KN16" i="6"/>
  <c r="KZ51" i="6"/>
  <c r="LA51" i="6" s="1"/>
  <c r="LB22" i="6"/>
  <c r="LA22" i="6"/>
  <c r="KP55" i="6"/>
  <c r="KO10" i="6"/>
  <c r="KP30" i="6"/>
  <c r="KQ1" i="6"/>
  <c r="KL25" i="6"/>
  <c r="KM20" i="6"/>
  <c r="J278" i="7"/>
  <c r="KM49" i="6" s="1"/>
  <c r="KN49" i="6" s="1"/>
  <c r="KM73" i="6"/>
  <c r="KN73" i="6" s="1"/>
  <c r="KM31" i="6"/>
  <c r="KL32" i="6"/>
  <c r="KJ28" i="6"/>
  <c r="IY65" i="6"/>
  <c r="IZ64" i="6" s="1"/>
  <c r="KY68" i="6"/>
  <c r="KX69" i="6"/>
  <c r="KX70" i="6" s="1"/>
  <c r="H280" i="7"/>
  <c r="I279" i="7"/>
  <c r="KO38" i="6" s="1"/>
  <c r="K279" i="7"/>
  <c r="KO59" i="6"/>
  <c r="F145" i="4"/>
  <c r="G145" i="4" s="1"/>
  <c r="L145" i="4"/>
  <c r="I279" i="4"/>
  <c r="A279" i="4"/>
  <c r="B280" i="4"/>
  <c r="KL34" i="6" l="1"/>
  <c r="KL35" i="6" s="1"/>
  <c r="B281" i="7"/>
  <c r="A280" i="7"/>
  <c r="CW58" i="6"/>
  <c r="CW60" i="6" s="1"/>
  <c r="F95" i="7"/>
  <c r="D95" i="7"/>
  <c r="CW37" i="6" s="1"/>
  <c r="CV47" i="6"/>
  <c r="CV52" i="6" s="1"/>
  <c r="CV44" i="6"/>
  <c r="CV8" i="6"/>
  <c r="CV9" i="6" s="1"/>
  <c r="KQ30" i="6"/>
  <c r="KO17" i="6"/>
  <c r="KP16" i="6"/>
  <c r="KY69" i="6"/>
  <c r="KY70" i="6" s="1"/>
  <c r="KZ68" i="6"/>
  <c r="KL27" i="6"/>
  <c r="KL28" i="6" s="1"/>
  <c r="J279" i="7"/>
  <c r="KO49" i="6" s="1"/>
  <c r="KO73" i="6"/>
  <c r="KM25" i="6"/>
  <c r="KN25" i="6" s="1"/>
  <c r="KO20" i="6"/>
  <c r="KN20" i="6"/>
  <c r="I280" i="7"/>
  <c r="KP38" i="6" s="1"/>
  <c r="K280" i="7"/>
  <c r="H281" i="7"/>
  <c r="KQ55" i="6"/>
  <c r="KP10" i="6"/>
  <c r="KM18" i="6"/>
  <c r="KR1" i="6"/>
  <c r="IZ65" i="6"/>
  <c r="JA65" i="6" s="1"/>
  <c r="JA64" i="6"/>
  <c r="KP59" i="6"/>
  <c r="KO31" i="6"/>
  <c r="KN31" i="6"/>
  <c r="KM32" i="6"/>
  <c r="KN32" i="6" s="1"/>
  <c r="LB51" i="6"/>
  <c r="LC22" i="6"/>
  <c r="B281" i="4"/>
  <c r="A280" i="4"/>
  <c r="I280" i="4"/>
  <c r="K280" i="4"/>
  <c r="K281" i="4" s="1"/>
  <c r="E146" i="4"/>
  <c r="D146" i="4"/>
  <c r="JB64" i="6" l="1"/>
  <c r="JB65" i="6" s="1"/>
  <c r="B282" i="7"/>
  <c r="A281" i="7"/>
  <c r="CV4" i="6"/>
  <c r="CV5" i="6"/>
  <c r="CV7" i="6" s="1"/>
  <c r="CV56" i="6"/>
  <c r="E95" i="7"/>
  <c r="CW72" i="6"/>
  <c r="CW78" i="6" s="1"/>
  <c r="CW80" i="6" s="1"/>
  <c r="CW82" i="6" s="1"/>
  <c r="CW39" i="6"/>
  <c r="CW42" i="6"/>
  <c r="KS1" i="6"/>
  <c r="KR59" i="6"/>
  <c r="KP31" i="6"/>
  <c r="KO32" i="6"/>
  <c r="K281" i="7"/>
  <c r="H282" i="7"/>
  <c r="I281" i="7"/>
  <c r="KQ38" i="6" s="1"/>
  <c r="J280" i="7"/>
  <c r="KP49" i="6" s="1"/>
  <c r="KP73" i="6"/>
  <c r="KQ59" i="6"/>
  <c r="KR30" i="6"/>
  <c r="KP17" i="6"/>
  <c r="KP18" i="6" s="1"/>
  <c r="KQ16" i="6"/>
  <c r="KP20" i="6"/>
  <c r="KO25" i="6"/>
  <c r="KZ69" i="6"/>
  <c r="LA69" i="6" s="1"/>
  <c r="LB68" i="6"/>
  <c r="LA68" i="6"/>
  <c r="LC51" i="6"/>
  <c r="LD22" i="6"/>
  <c r="KO18" i="6"/>
  <c r="KM27" i="6"/>
  <c r="KM34" i="6"/>
  <c r="KN18" i="6"/>
  <c r="KQ10" i="6"/>
  <c r="KR55" i="6"/>
  <c r="F146" i="4"/>
  <c r="G146" i="4" s="1"/>
  <c r="L146" i="4"/>
  <c r="I281" i="4"/>
  <c r="A281" i="4"/>
  <c r="B282" i="4"/>
  <c r="JC64" i="6" l="1"/>
  <c r="JC65" i="6" s="1"/>
  <c r="JD64" i="6" s="1"/>
  <c r="KZ70" i="6"/>
  <c r="LA70" i="6" s="1"/>
  <c r="B283" i="7"/>
  <c r="A282" i="7"/>
  <c r="CW40" i="6"/>
  <c r="CW43" i="6"/>
  <c r="CW48" i="6"/>
  <c r="C96" i="7"/>
  <c r="CV6" i="6"/>
  <c r="CV57" i="6"/>
  <c r="CV61" i="6" s="1"/>
  <c r="CV11" i="6" s="1"/>
  <c r="KS59" i="6"/>
  <c r="KT1" i="6"/>
  <c r="KM28" i="6"/>
  <c r="KN27" i="6"/>
  <c r="KN28" i="6" s="1"/>
  <c r="K282" i="7"/>
  <c r="H283" i="7"/>
  <c r="I282" i="7"/>
  <c r="KR38" i="6" s="1"/>
  <c r="KM35" i="6"/>
  <c r="KN34" i="6"/>
  <c r="KN35" i="6" s="1"/>
  <c r="KO27" i="6"/>
  <c r="KO34" i="6"/>
  <c r="KR16" i="6"/>
  <c r="KQ17" i="6"/>
  <c r="KQ18" i="6" s="1"/>
  <c r="KS55" i="6"/>
  <c r="KR10" i="6"/>
  <c r="LB69" i="6"/>
  <c r="LC68" i="6"/>
  <c r="KQ31" i="6"/>
  <c r="KP32" i="6"/>
  <c r="KQ20" i="6"/>
  <c r="KP25" i="6"/>
  <c r="KP27" i="6" s="1"/>
  <c r="KP28" i="6" s="1"/>
  <c r="J281" i="7"/>
  <c r="KQ49" i="6" s="1"/>
  <c r="KQ73" i="6"/>
  <c r="LD51" i="6"/>
  <c r="LE22" i="6"/>
  <c r="KS30" i="6"/>
  <c r="A282" i="4"/>
  <c r="B283" i="4"/>
  <c r="I282" i="4"/>
  <c r="E147" i="4"/>
  <c r="D147" i="4"/>
  <c r="K282" i="4"/>
  <c r="K283" i="4" s="1"/>
  <c r="KP34" i="6" l="1"/>
  <c r="KP35" i="6" s="1"/>
  <c r="B284" i="7"/>
  <c r="A283" i="7"/>
  <c r="CX58" i="6"/>
  <c r="CX60" i="6" s="1"/>
  <c r="F96" i="7"/>
  <c r="D96" i="7"/>
  <c r="CX37" i="6" s="1"/>
  <c r="CW44" i="6"/>
  <c r="CW47" i="6"/>
  <c r="CW52" i="6" s="1"/>
  <c r="CW8" i="6"/>
  <c r="CW9" i="6" s="1"/>
  <c r="JD65" i="6"/>
  <c r="JE64" i="6" s="1"/>
  <c r="KT55" i="6"/>
  <c r="KS10" i="6"/>
  <c r="KO28" i="6"/>
  <c r="KS16" i="6"/>
  <c r="KR17" i="6"/>
  <c r="KR18" i="6" s="1"/>
  <c r="K283" i="7"/>
  <c r="H284" i="7"/>
  <c r="I283" i="7"/>
  <c r="KS38" i="6" s="1"/>
  <c r="LC69" i="6"/>
  <c r="LC70" i="6" s="1"/>
  <c r="LD68" i="6"/>
  <c r="KU1" i="6"/>
  <c r="LF22" i="6"/>
  <c r="LE51" i="6"/>
  <c r="KT30" i="6"/>
  <c r="KR20" i="6"/>
  <c r="KQ25" i="6"/>
  <c r="KQ27" i="6" s="1"/>
  <c r="KR31" i="6"/>
  <c r="KQ32" i="6"/>
  <c r="J282" i="7"/>
  <c r="KR49" i="6" s="1"/>
  <c r="KR73" i="6"/>
  <c r="LB70" i="6"/>
  <c r="KO35" i="6"/>
  <c r="F147" i="4"/>
  <c r="G147" i="4" s="1"/>
  <c r="L147" i="4"/>
  <c r="I283" i="4"/>
  <c r="A283" i="4"/>
  <c r="B284" i="4"/>
  <c r="B285" i="7" l="1"/>
  <c r="A284" i="7"/>
  <c r="CW4" i="6"/>
  <c r="CW5" i="6"/>
  <c r="CW7" i="6" s="1"/>
  <c r="CW56" i="6"/>
  <c r="E96" i="7"/>
  <c r="CX72" i="6"/>
  <c r="CX78" i="6" s="1"/>
  <c r="CX80" i="6" s="1"/>
  <c r="CX82" i="6" s="1"/>
  <c r="CX39" i="6"/>
  <c r="CX42" i="6"/>
  <c r="KQ28" i="6"/>
  <c r="KU55" i="6"/>
  <c r="KT10" i="6"/>
  <c r="KV1" i="6"/>
  <c r="KS17" i="6"/>
  <c r="KS18" i="6" s="1"/>
  <c r="KT16" i="6"/>
  <c r="KS20" i="6"/>
  <c r="KR25" i="6"/>
  <c r="KR27" i="6" s="1"/>
  <c r="KR28" i="6" s="1"/>
  <c r="KU30" i="6"/>
  <c r="H285" i="7"/>
  <c r="K284" i="7"/>
  <c r="I284" i="7"/>
  <c r="KT38" i="6" s="1"/>
  <c r="J283" i="7"/>
  <c r="KS49" i="6" s="1"/>
  <c r="KS73" i="6"/>
  <c r="KQ34" i="6"/>
  <c r="LE68" i="6"/>
  <c r="LD69" i="6"/>
  <c r="LD70" i="6" s="1"/>
  <c r="KT59" i="6"/>
  <c r="JE65" i="6"/>
  <c r="JF64" i="6" s="1"/>
  <c r="KS31" i="6"/>
  <c r="KR32" i="6"/>
  <c r="LG22" i="6"/>
  <c r="LF51" i="6"/>
  <c r="B285" i="4"/>
  <c r="A284" i="4"/>
  <c r="I284" i="4"/>
  <c r="E148" i="4"/>
  <c r="D148" i="4"/>
  <c r="K284" i="4"/>
  <c r="K285" i="4" s="1"/>
  <c r="KR34" i="6" l="1"/>
  <c r="KR35" i="6" s="1"/>
  <c r="B286" i="7"/>
  <c r="A285" i="7"/>
  <c r="CX40" i="6"/>
  <c r="CX43" i="6"/>
  <c r="CX48" i="6"/>
  <c r="C97" i="7"/>
  <c r="CW57" i="6"/>
  <c r="CW61" i="6" s="1"/>
  <c r="CW11" i="6" s="1"/>
  <c r="CW6" i="6"/>
  <c r="KT17" i="6"/>
  <c r="KT18" i="6" s="1"/>
  <c r="KU16" i="6"/>
  <c r="JF65" i="6"/>
  <c r="JG64" i="6" s="1"/>
  <c r="LG51" i="6"/>
  <c r="LH22" i="6"/>
  <c r="KV30" i="6"/>
  <c r="LF68" i="6"/>
  <c r="LE69" i="6"/>
  <c r="LE70" i="6" s="1"/>
  <c r="KQ35" i="6"/>
  <c r="KU10" i="6"/>
  <c r="KV55" i="6"/>
  <c r="H286" i="7"/>
  <c r="KV59" i="6" s="1"/>
  <c r="I285" i="7"/>
  <c r="KU38" i="6" s="1"/>
  <c r="K285" i="7"/>
  <c r="KU59" i="6"/>
  <c r="J284" i="7"/>
  <c r="KT49" i="6" s="1"/>
  <c r="KT73" i="6"/>
  <c r="KT31" i="6"/>
  <c r="KS32" i="6"/>
  <c r="KT20" i="6"/>
  <c r="KS25" i="6"/>
  <c r="KW1" i="6"/>
  <c r="F148" i="4"/>
  <c r="G148" i="4" s="1"/>
  <c r="L148" i="4"/>
  <c r="I285" i="4"/>
  <c r="A285" i="4"/>
  <c r="B286" i="4"/>
  <c r="KS34" i="6" l="1"/>
  <c r="KS35" i="6" s="1"/>
  <c r="B287" i="7"/>
  <c r="A286" i="7"/>
  <c r="D97" i="7"/>
  <c r="CY37" i="6" s="1"/>
  <c r="CY58" i="6"/>
  <c r="CY60" i="6" s="1"/>
  <c r="F97" i="7"/>
  <c r="CX47" i="6"/>
  <c r="CX52" i="6" s="1"/>
  <c r="CX8" i="6"/>
  <c r="CX9" i="6" s="1"/>
  <c r="CX44" i="6"/>
  <c r="LH51" i="6"/>
  <c r="LI22" i="6"/>
  <c r="KX1" i="6"/>
  <c r="KW55" i="6"/>
  <c r="KV10" i="6"/>
  <c r="KU31" i="6"/>
  <c r="KT32" i="6"/>
  <c r="KW30" i="6"/>
  <c r="KS27" i="6"/>
  <c r="JG65" i="6"/>
  <c r="JH64" i="6" s="1"/>
  <c r="J285" i="7"/>
  <c r="KU49" i="6" s="1"/>
  <c r="KU73" i="6"/>
  <c r="LF69" i="6"/>
  <c r="LF70" i="6" s="1"/>
  <c r="LG68" i="6"/>
  <c r="H287" i="7"/>
  <c r="KW59" i="6" s="1"/>
  <c r="K286" i="7"/>
  <c r="I286" i="7"/>
  <c r="KV38" i="6" s="1"/>
  <c r="KU20" i="6"/>
  <c r="KT25" i="6"/>
  <c r="KU17" i="6"/>
  <c r="KU18" i="6" s="1"/>
  <c r="KV16" i="6"/>
  <c r="B287" i="4"/>
  <c r="A286" i="4"/>
  <c r="I286" i="4"/>
  <c r="D149" i="4"/>
  <c r="E149" i="4"/>
  <c r="K286" i="4"/>
  <c r="K287" i="4" s="1"/>
  <c r="KT34" i="6" l="1"/>
  <c r="KT35" i="6" s="1"/>
  <c r="B288" i="7"/>
  <c r="A287" i="7"/>
  <c r="CX56" i="6"/>
  <c r="CX5" i="6"/>
  <c r="CX7" i="6" s="1"/>
  <c r="CX4" i="6"/>
  <c r="CY72" i="6"/>
  <c r="CY78" i="6" s="1"/>
  <c r="CY80" i="6" s="1"/>
  <c r="CY82" i="6" s="1"/>
  <c r="E97" i="7"/>
  <c r="CY39" i="6"/>
  <c r="CY42" i="6"/>
  <c r="JH65" i="6"/>
  <c r="JI64" i="6" s="1"/>
  <c r="KS28" i="6"/>
  <c r="KX59" i="6"/>
  <c r="KY1" i="6"/>
  <c r="KT27" i="6"/>
  <c r="KT28" i="6" s="1"/>
  <c r="J286" i="7"/>
  <c r="KV49" i="6" s="1"/>
  <c r="KV73" i="6"/>
  <c r="LH68" i="6"/>
  <c r="LG69" i="6"/>
  <c r="LG70" i="6" s="1"/>
  <c r="LJ22" i="6"/>
  <c r="LI51" i="6"/>
  <c r="KV17" i="6"/>
  <c r="KV18" i="6" s="1"/>
  <c r="KW16" i="6"/>
  <c r="H288" i="7"/>
  <c r="K287" i="7"/>
  <c r="I287" i="7"/>
  <c r="KW38" i="6" s="1"/>
  <c r="KV31" i="6"/>
  <c r="KU32" i="6"/>
  <c r="KX55" i="6"/>
  <c r="KW10" i="6"/>
  <c r="KU25" i="6"/>
  <c r="KV20" i="6"/>
  <c r="KX30" i="6"/>
  <c r="F149" i="4"/>
  <c r="G149" i="4" s="1"/>
  <c r="L149" i="4"/>
  <c r="I287" i="4"/>
  <c r="B288" i="4"/>
  <c r="A287" i="4"/>
  <c r="KU34" i="6" l="1"/>
  <c r="KU35" i="6" s="1"/>
  <c r="B289" i="7"/>
  <c r="A288" i="7"/>
  <c r="CY43" i="6"/>
  <c r="CY40" i="6"/>
  <c r="CY48" i="6"/>
  <c r="C98" i="7"/>
  <c r="CX6" i="6"/>
  <c r="CX57" i="6"/>
  <c r="CX61" i="6" s="1"/>
  <c r="CX11" i="6" s="1"/>
  <c r="JI65" i="6"/>
  <c r="JJ64" i="6" s="1"/>
  <c r="KY59" i="6"/>
  <c r="KZ1" i="6"/>
  <c r="LJ51" i="6"/>
  <c r="LK22" i="6"/>
  <c r="KW20" i="6"/>
  <c r="KV25" i="6"/>
  <c r="KV27" i="6" s="1"/>
  <c r="KV28" i="6" s="1"/>
  <c r="KY55" i="6"/>
  <c r="KX10" i="6"/>
  <c r="J287" i="7"/>
  <c r="KW49" i="6" s="1"/>
  <c r="KW73" i="6"/>
  <c r="LI68" i="6"/>
  <c r="LH69" i="6"/>
  <c r="LH70" i="6" s="1"/>
  <c r="KY30" i="6"/>
  <c r="KW17" i="6"/>
  <c r="KW18" i="6" s="1"/>
  <c r="KX16" i="6"/>
  <c r="KU27" i="6"/>
  <c r="KU28" i="6" s="1"/>
  <c r="KW31" i="6"/>
  <c r="KV32" i="6"/>
  <c r="K288" i="7"/>
  <c r="I288" i="7"/>
  <c r="KX38" i="6" s="1"/>
  <c r="H289" i="7"/>
  <c r="A288" i="4"/>
  <c r="B289" i="4"/>
  <c r="I288" i="4"/>
  <c r="K288" i="4"/>
  <c r="K289" i="4" s="1"/>
  <c r="E150" i="4"/>
  <c r="D150" i="4"/>
  <c r="B290" i="7" l="1"/>
  <c r="A289" i="7"/>
  <c r="F98" i="7"/>
  <c r="D98" i="7"/>
  <c r="CZ37" i="6" s="1"/>
  <c r="CZ58" i="6"/>
  <c r="CY44" i="6"/>
  <c r="CY47" i="6"/>
  <c r="CY52" i="6" s="1"/>
  <c r="CY8" i="6"/>
  <c r="CY9" i="6" s="1"/>
  <c r="KV34" i="6"/>
  <c r="KY16" i="6"/>
  <c r="KX17" i="6"/>
  <c r="KX18" i="6" s="1"/>
  <c r="J288" i="7"/>
  <c r="KX49" i="6" s="1"/>
  <c r="KX73" i="6"/>
  <c r="LA1" i="6"/>
  <c r="LB1" i="6"/>
  <c r="KZ55" i="6"/>
  <c r="KY10" i="6"/>
  <c r="JJ65" i="6"/>
  <c r="JK64" i="6" s="1"/>
  <c r="KW25" i="6"/>
  <c r="KW27" i="6" s="1"/>
  <c r="KW28" i="6" s="1"/>
  <c r="KX20" i="6"/>
  <c r="KZ30" i="6"/>
  <c r="H290" i="7"/>
  <c r="KZ59" i="6" s="1"/>
  <c r="LA59" i="6" s="1"/>
  <c r="I289" i="7"/>
  <c r="KY38" i="6" s="1"/>
  <c r="K289" i="7"/>
  <c r="LK51" i="6"/>
  <c r="LL22" i="6"/>
  <c r="LJ68" i="6"/>
  <c r="LI69" i="6"/>
  <c r="LI70" i="6" s="1"/>
  <c r="KX31" i="6"/>
  <c r="KW32" i="6"/>
  <c r="I289" i="4"/>
  <c r="F150" i="4"/>
  <c r="G150" i="4" s="1"/>
  <c r="L150" i="4"/>
  <c r="B290" i="4"/>
  <c r="K290" i="4" s="1"/>
  <c r="A289" i="4"/>
  <c r="KW34" i="6" l="1"/>
  <c r="KW35" i="6" s="1"/>
  <c r="B291" i="7"/>
  <c r="A290" i="7"/>
  <c r="CZ39" i="6"/>
  <c r="CZ42" i="6"/>
  <c r="DA42" i="6" s="1"/>
  <c r="DA37" i="6"/>
  <c r="CY5" i="6"/>
  <c r="CY7" i="6" s="1"/>
  <c r="CY4" i="6"/>
  <c r="CY56" i="6"/>
  <c r="DA58" i="6"/>
  <c r="CZ60" i="6"/>
  <c r="DA60" i="6" s="1"/>
  <c r="E98" i="7"/>
  <c r="CZ72" i="6"/>
  <c r="JK65" i="6"/>
  <c r="JL64" i="6" s="1"/>
  <c r="I290" i="7"/>
  <c r="KZ38" i="6" s="1"/>
  <c r="LA38" i="6" s="1"/>
  <c r="K290" i="7"/>
  <c r="H291" i="7"/>
  <c r="LB30" i="6"/>
  <c r="LA30" i="6"/>
  <c r="LK68" i="6"/>
  <c r="LJ69" i="6"/>
  <c r="LJ70" i="6" s="1"/>
  <c r="LL51" i="6"/>
  <c r="LM22" i="6"/>
  <c r="KY17" i="6"/>
  <c r="KY18" i="6" s="1"/>
  <c r="KZ16" i="6"/>
  <c r="LC1" i="6"/>
  <c r="KV35" i="6"/>
  <c r="KY31" i="6"/>
  <c r="KX32" i="6"/>
  <c r="LA55" i="6"/>
  <c r="LB55" i="6"/>
  <c r="KZ10" i="6"/>
  <c r="LA10" i="6" s="1"/>
  <c r="KY20" i="6"/>
  <c r="KX25" i="6"/>
  <c r="J289" i="7"/>
  <c r="KY49" i="6" s="1"/>
  <c r="KY73" i="6"/>
  <c r="B291" i="4"/>
  <c r="A290" i="4"/>
  <c r="E151" i="4"/>
  <c r="D151" i="4"/>
  <c r="I290" i="4"/>
  <c r="KX34" i="6" l="1"/>
  <c r="KX35" i="6" s="1"/>
  <c r="KX27" i="6"/>
  <c r="KX28" i="6" s="1"/>
  <c r="B292" i="7"/>
  <c r="A291" i="7"/>
  <c r="CZ78" i="6"/>
  <c r="DA72" i="6"/>
  <c r="CZ48" i="6"/>
  <c r="DA48" i="6" s="1"/>
  <c r="C99" i="7"/>
  <c r="G38" i="3" s="1"/>
  <c r="H38" i="3" s="1"/>
  <c r="CY57" i="6"/>
  <c r="CY61" i="6" s="1"/>
  <c r="CY11" i="6" s="1"/>
  <c r="CY6" i="6"/>
  <c r="CZ43" i="6"/>
  <c r="CZ40" i="6"/>
  <c r="DA39" i="6"/>
  <c r="DA40" i="6" s="1"/>
  <c r="KY25" i="6"/>
  <c r="KZ20" i="6"/>
  <c r="LD1" i="6"/>
  <c r="LL68" i="6"/>
  <c r="LK69" i="6"/>
  <c r="LK70" i="6" s="1"/>
  <c r="LB10" i="6"/>
  <c r="LC55" i="6"/>
  <c r="JL65" i="6"/>
  <c r="JM64" i="6" s="1"/>
  <c r="LC30" i="6"/>
  <c r="LB16" i="6"/>
  <c r="KZ17" i="6"/>
  <c r="LA17" i="6" s="1"/>
  <c r="LA16" i="6"/>
  <c r="KZ31" i="6"/>
  <c r="KY32" i="6"/>
  <c r="J290" i="7"/>
  <c r="KZ49" i="6" s="1"/>
  <c r="LA49" i="6" s="1"/>
  <c r="KZ73" i="6"/>
  <c r="LA73" i="6" s="1"/>
  <c r="LO22" i="6"/>
  <c r="LM51" i="6"/>
  <c r="LN51" i="6" s="1"/>
  <c r="LN22" i="6"/>
  <c r="K291" i="7"/>
  <c r="H292" i="7"/>
  <c r="LC59" i="6" s="1"/>
  <c r="I291" i="7"/>
  <c r="LB38" i="6" s="1"/>
  <c r="LB59" i="6"/>
  <c r="I291" i="4"/>
  <c r="F151" i="4"/>
  <c r="G151" i="4" s="1"/>
  <c r="L151" i="4"/>
  <c r="B292" i="4"/>
  <c r="A291" i="4"/>
  <c r="K291" i="4"/>
  <c r="K292" i="4" s="1"/>
  <c r="KY34" i="6" l="1"/>
  <c r="KY35" i="6" s="1"/>
  <c r="KZ18" i="6"/>
  <c r="LA18" i="6" s="1"/>
  <c r="B293" i="7"/>
  <c r="A292" i="7"/>
  <c r="CZ47" i="6"/>
  <c r="CZ44" i="6"/>
  <c r="CZ8" i="6"/>
  <c r="DA43" i="6"/>
  <c r="DA44" i="6" s="1"/>
  <c r="F99" i="7"/>
  <c r="DB58" i="6"/>
  <c r="DB60" i="6" s="1"/>
  <c r="D99" i="7"/>
  <c r="DB37" i="6" s="1"/>
  <c r="CZ80" i="6"/>
  <c r="DA78" i="6"/>
  <c r="JM65" i="6"/>
  <c r="JN65" i="6" s="1"/>
  <c r="JN64" i="6"/>
  <c r="LE1" i="6"/>
  <c r="KZ25" i="6"/>
  <c r="LA25" i="6" s="1"/>
  <c r="LB20" i="6"/>
  <c r="LA20" i="6"/>
  <c r="LD55" i="6"/>
  <c r="LC10" i="6"/>
  <c r="J291" i="7"/>
  <c r="LB49" i="6" s="1"/>
  <c r="LB73" i="6"/>
  <c r="LL69" i="6"/>
  <c r="LL70" i="6" s="1"/>
  <c r="LM68" i="6"/>
  <c r="KY27" i="6"/>
  <c r="KY28" i="6" s="1"/>
  <c r="LD30" i="6"/>
  <c r="H293" i="7"/>
  <c r="LD59" i="6" s="1"/>
  <c r="K292" i="7"/>
  <c r="I292" i="7"/>
  <c r="LC38" i="6" s="1"/>
  <c r="LB31" i="6"/>
  <c r="LA31" i="6"/>
  <c r="KZ32" i="6"/>
  <c r="LA32" i="6" s="1"/>
  <c r="LO51" i="6"/>
  <c r="LP22" i="6"/>
  <c r="LC16" i="6"/>
  <c r="LB17" i="6"/>
  <c r="B293" i="4"/>
  <c r="A292" i="4"/>
  <c r="E152" i="4"/>
  <c r="D152" i="4"/>
  <c r="I292" i="4"/>
  <c r="JO64" i="6" l="1"/>
  <c r="JO65" i="6" s="1"/>
  <c r="JP64" i="6" s="1"/>
  <c r="KZ27" i="6"/>
  <c r="KZ28" i="6" s="1"/>
  <c r="B294" i="7"/>
  <c r="A293" i="7"/>
  <c r="CZ82" i="6"/>
  <c r="DA82" i="6" s="1"/>
  <c r="DA80" i="6"/>
  <c r="E37" i="3" s="1"/>
  <c r="CZ9" i="6"/>
  <c r="DA9" i="6" s="1"/>
  <c r="DA8" i="6"/>
  <c r="DB42" i="6"/>
  <c r="DB39" i="6"/>
  <c r="E99" i="7"/>
  <c r="DB72" i="6"/>
  <c r="CZ52" i="6"/>
  <c r="DA47" i="6"/>
  <c r="LF1" i="6"/>
  <c r="LP51" i="6"/>
  <c r="LQ22" i="6"/>
  <c r="KZ34" i="6"/>
  <c r="LD10" i="6"/>
  <c r="LE55" i="6"/>
  <c r="I293" i="7"/>
  <c r="LD38" i="6" s="1"/>
  <c r="K293" i="7"/>
  <c r="H294" i="7"/>
  <c r="LE59" i="6" s="1"/>
  <c r="LC31" i="6"/>
  <c r="LB32" i="6"/>
  <c r="J292" i="7"/>
  <c r="LC49" i="6" s="1"/>
  <c r="LC73" i="6"/>
  <c r="LO68" i="6"/>
  <c r="LM69" i="6"/>
  <c r="LN69" i="6" s="1"/>
  <c r="LN68" i="6"/>
  <c r="LD16" i="6"/>
  <c r="LC17" i="6"/>
  <c r="LC18" i="6" s="1"/>
  <c r="LE30" i="6"/>
  <c r="LB25" i="6"/>
  <c r="LC20" i="6"/>
  <c r="LB18" i="6"/>
  <c r="I293" i="4"/>
  <c r="F152" i="4"/>
  <c r="G152" i="4" s="1"/>
  <c r="L152" i="4"/>
  <c r="B294" i="4"/>
  <c r="A293" i="4"/>
  <c r="K293" i="4"/>
  <c r="K294" i="4" s="1"/>
  <c r="LA27" i="6" l="1"/>
  <c r="LA28" i="6" s="1"/>
  <c r="K37" i="3"/>
  <c r="L37" i="3"/>
  <c r="B295" i="7"/>
  <c r="A294" i="7"/>
  <c r="DB78" i="6"/>
  <c r="DB48" i="6"/>
  <c r="C100" i="7"/>
  <c r="CZ5" i="6"/>
  <c r="CZ4" i="6"/>
  <c r="DA4" i="6" s="1"/>
  <c r="DA52" i="6"/>
  <c r="CZ56" i="6"/>
  <c r="DB40" i="6"/>
  <c r="DB43" i="6"/>
  <c r="LD17" i="6"/>
  <c r="LD18" i="6" s="1"/>
  <c r="LE16" i="6"/>
  <c r="KZ35" i="6"/>
  <c r="LA34" i="6"/>
  <c r="LA35" i="6" s="1"/>
  <c r="LP68" i="6"/>
  <c r="LO69" i="6"/>
  <c r="LO70" i="6" s="1"/>
  <c r="LQ51" i="6"/>
  <c r="LR22" i="6"/>
  <c r="J293" i="7"/>
  <c r="LD49" i="6" s="1"/>
  <c r="LD73" i="6"/>
  <c r="JP65" i="6"/>
  <c r="JQ64" i="6" s="1"/>
  <c r="H295" i="7"/>
  <c r="LF59" i="6" s="1"/>
  <c r="I294" i="7"/>
  <c r="LE38" i="6" s="1"/>
  <c r="K294" i="7"/>
  <c r="LB27" i="6"/>
  <c r="LB34" i="6"/>
  <c r="LG1" i="6"/>
  <c r="LC25" i="6"/>
  <c r="LD20" i="6"/>
  <c r="LF55" i="6"/>
  <c r="LE10" i="6"/>
  <c r="LF30" i="6"/>
  <c r="LM70" i="6"/>
  <c r="LD31" i="6"/>
  <c r="LC32" i="6"/>
  <c r="A294" i="4"/>
  <c r="B295" i="4"/>
  <c r="E153" i="4"/>
  <c r="D153" i="4"/>
  <c r="I294" i="4"/>
  <c r="B296" i="7" l="1"/>
  <c r="A295" i="7"/>
  <c r="D100" i="7"/>
  <c r="DC37" i="6" s="1"/>
  <c r="DC58" i="6"/>
  <c r="DC60" i="6" s="1"/>
  <c r="F100" i="7"/>
  <c r="DB44" i="6"/>
  <c r="DB8" i="6"/>
  <c r="DB47" i="6"/>
  <c r="DA56" i="6"/>
  <c r="CZ57" i="6"/>
  <c r="CZ61" i="6" s="1"/>
  <c r="CZ6" i="6"/>
  <c r="DA5" i="6"/>
  <c r="CZ7" i="6"/>
  <c r="DB80" i="6"/>
  <c r="LN70" i="6"/>
  <c r="LC34" i="6"/>
  <c r="LG30" i="6"/>
  <c r="I295" i="7"/>
  <c r="LF38" i="6" s="1"/>
  <c r="H296" i="7"/>
  <c r="K295" i="7"/>
  <c r="LH1" i="6"/>
  <c r="LC27" i="6"/>
  <c r="LC28" i="6" s="1"/>
  <c r="LG55" i="6"/>
  <c r="LF10" i="6"/>
  <c r="LD25" i="6"/>
  <c r="LD27" i="6" s="1"/>
  <c r="LD28" i="6" s="1"/>
  <c r="LE20" i="6"/>
  <c r="J294" i="7"/>
  <c r="LE49" i="6" s="1"/>
  <c r="LE73" i="6"/>
  <c r="JQ65" i="6"/>
  <c r="JR64" i="6" s="1"/>
  <c r="LF16" i="6"/>
  <c r="LE17" i="6"/>
  <c r="LE31" i="6"/>
  <c r="LD32" i="6"/>
  <c r="LR51" i="6"/>
  <c r="LS22" i="6"/>
  <c r="LP69" i="6"/>
  <c r="LQ68" i="6"/>
  <c r="LB35" i="6"/>
  <c r="LB28" i="6"/>
  <c r="I295" i="4"/>
  <c r="F153" i="4"/>
  <c r="G153" i="4" s="1"/>
  <c r="L153" i="4"/>
  <c r="B296" i="4"/>
  <c r="A295" i="4"/>
  <c r="K295" i="4"/>
  <c r="K296" i="4" s="1"/>
  <c r="LD34" i="6" l="1"/>
  <c r="LD35" i="6" s="1"/>
  <c r="B297" i="7"/>
  <c r="A296" i="7"/>
  <c r="DA7" i="6"/>
  <c r="DA13" i="6" s="1"/>
  <c r="DB52" i="6"/>
  <c r="DB56" i="6" s="1"/>
  <c r="DB82" i="6"/>
  <c r="CZ11" i="6"/>
  <c r="DA61" i="6"/>
  <c r="DA11" i="6" s="1"/>
  <c r="DA12" i="6" s="1"/>
  <c r="DA57" i="6"/>
  <c r="DA6" i="6"/>
  <c r="DB9" i="6"/>
  <c r="E100" i="7"/>
  <c r="DC72" i="6"/>
  <c r="DC39" i="6"/>
  <c r="DC42" i="6"/>
  <c r="JR65" i="6"/>
  <c r="JS64" i="6" s="1"/>
  <c r="LG16" i="6"/>
  <c r="LF17" i="6"/>
  <c r="LF18" i="6" s="1"/>
  <c r="LP70" i="6"/>
  <c r="LT22" i="6"/>
  <c r="LS51" i="6"/>
  <c r="LF20" i="6"/>
  <c r="LE25" i="6"/>
  <c r="LG10" i="6"/>
  <c r="LH55" i="6"/>
  <c r="K296" i="7"/>
  <c r="I296" i="7"/>
  <c r="LG38" i="6" s="1"/>
  <c r="H297" i="7"/>
  <c r="LH59" i="6" s="1"/>
  <c r="LF31" i="6"/>
  <c r="LE32" i="6"/>
  <c r="J295" i="7"/>
  <c r="LF49" i="6" s="1"/>
  <c r="LF73" i="6"/>
  <c r="LQ69" i="6"/>
  <c r="LQ70" i="6" s="1"/>
  <c r="LR68" i="6"/>
  <c r="LI1" i="6"/>
  <c r="LC35" i="6"/>
  <c r="LE18" i="6"/>
  <c r="LG59" i="6"/>
  <c r="LH30" i="6"/>
  <c r="A296" i="4"/>
  <c r="B297" i="4"/>
  <c r="E154" i="4"/>
  <c r="D154" i="4"/>
  <c r="I296" i="4"/>
  <c r="B298" i="7" l="1"/>
  <c r="A297" i="7"/>
  <c r="DB6" i="6"/>
  <c r="DB57" i="6"/>
  <c r="DB61" i="6" s="1"/>
  <c r="DB11" i="6" s="1"/>
  <c r="DC40" i="6"/>
  <c r="DC43" i="6"/>
  <c r="DC48" i="6"/>
  <c r="C101" i="7"/>
  <c r="DB5" i="6"/>
  <c r="DB4" i="6"/>
  <c r="DC78" i="6"/>
  <c r="JS65" i="6"/>
  <c r="LE27" i="6"/>
  <c r="LE34" i="6"/>
  <c r="J296" i="7"/>
  <c r="LG49" i="6" s="1"/>
  <c r="LG73" i="6"/>
  <c r="LI30" i="6"/>
  <c r="LG17" i="6"/>
  <c r="LG18" i="6" s="1"/>
  <c r="LH16" i="6"/>
  <c r="LR69" i="6"/>
  <c r="LR70" i="6" s="1"/>
  <c r="LS68" i="6"/>
  <c r="LF25" i="6"/>
  <c r="LF27" i="6" s="1"/>
  <c r="LF28" i="6" s="1"/>
  <c r="LG20" i="6"/>
  <c r="H298" i="7"/>
  <c r="LI59" i="6" s="1"/>
  <c r="I297" i="7"/>
  <c r="LH38" i="6" s="1"/>
  <c r="K297" i="7"/>
  <c r="LI55" i="6"/>
  <c r="LH10" i="6"/>
  <c r="LJ1" i="6"/>
  <c r="LG31" i="6"/>
  <c r="LF32" i="6"/>
  <c r="LT51" i="6"/>
  <c r="LU22" i="6"/>
  <c r="I297" i="4"/>
  <c r="F154" i="4"/>
  <c r="G154" i="4" s="1"/>
  <c r="L154" i="4"/>
  <c r="A297" i="4"/>
  <c r="B298" i="4"/>
  <c r="K297" i="4"/>
  <c r="K298" i="4" s="1"/>
  <c r="B299" i="7" l="1"/>
  <c r="A298" i="7"/>
  <c r="F101" i="7"/>
  <c r="D101" i="7"/>
  <c r="DD37" i="6" s="1"/>
  <c r="DD58" i="6"/>
  <c r="DD60" i="6" s="1"/>
  <c r="DC80" i="6"/>
  <c r="DB7" i="6"/>
  <c r="DC8" i="6"/>
  <c r="DC47" i="6"/>
  <c r="DC44" i="6"/>
  <c r="LE35" i="6"/>
  <c r="LS69" i="6"/>
  <c r="LS70" i="6" s="1"/>
  <c r="LT68" i="6"/>
  <c r="J297" i="7"/>
  <c r="LH49" i="6" s="1"/>
  <c r="LH73" i="6"/>
  <c r="LU51" i="6"/>
  <c r="LV22" i="6"/>
  <c r="LJ55" i="6"/>
  <c r="LI10" i="6"/>
  <c r="JT64" i="6"/>
  <c r="LE28" i="6"/>
  <c r="LH31" i="6"/>
  <c r="LG32" i="6"/>
  <c r="LI16" i="6"/>
  <c r="LH17" i="6"/>
  <c r="LH18" i="6" s="1"/>
  <c r="K298" i="7"/>
  <c r="H299" i="7"/>
  <c r="LJ59" i="6" s="1"/>
  <c r="I298" i="7"/>
  <c r="LI38" i="6" s="1"/>
  <c r="LF34" i="6"/>
  <c r="LK1" i="6"/>
  <c r="LJ30" i="6"/>
  <c r="LH20" i="6"/>
  <c r="LG25" i="6"/>
  <c r="E155" i="4"/>
  <c r="D155" i="4"/>
  <c r="A298" i="4"/>
  <c r="B299" i="4"/>
  <c r="I298" i="4"/>
  <c r="LG34" i="6" l="1"/>
  <c r="LG35" i="6" s="1"/>
  <c r="B300" i="7"/>
  <c r="A299" i="7"/>
  <c r="DC52" i="6"/>
  <c r="DC82" i="6"/>
  <c r="DD39" i="6"/>
  <c r="DD42" i="6"/>
  <c r="DC9" i="6"/>
  <c r="DD72" i="6"/>
  <c r="E101" i="7"/>
  <c r="LI17" i="6"/>
  <c r="LI18" i="6" s="1"/>
  <c r="LJ16" i="6"/>
  <c r="LV51" i="6"/>
  <c r="LW22" i="6"/>
  <c r="LF35" i="6"/>
  <c r="LK55" i="6"/>
  <c r="LJ10" i="6"/>
  <c r="K299" i="7"/>
  <c r="H300" i="7"/>
  <c r="LK59" i="6" s="1"/>
  <c r="I299" i="7"/>
  <c r="LJ38" i="6" s="1"/>
  <c r="LG27" i="6"/>
  <c r="LL1" i="6"/>
  <c r="LU68" i="6"/>
  <c r="LT69" i="6"/>
  <c r="LT70" i="6" s="1"/>
  <c r="LI20" i="6"/>
  <c r="LH25" i="6"/>
  <c r="LH27" i="6" s="1"/>
  <c r="LH28" i="6" s="1"/>
  <c r="LI31" i="6"/>
  <c r="LH32" i="6"/>
  <c r="LK30" i="6"/>
  <c r="JT65" i="6"/>
  <c r="JU64" i="6" s="1"/>
  <c r="J298" i="7"/>
  <c r="LI49" i="6" s="1"/>
  <c r="LI73" i="6"/>
  <c r="I299" i="4"/>
  <c r="B300" i="4"/>
  <c r="A299" i="4"/>
  <c r="F155" i="4"/>
  <c r="G155" i="4" s="1"/>
  <c r="L155" i="4"/>
  <c r="K299" i="4"/>
  <c r="K300" i="4" s="1"/>
  <c r="B301" i="7" l="1"/>
  <c r="A300" i="7"/>
  <c r="DD48" i="6"/>
  <c r="C102" i="7"/>
  <c r="DD40" i="6"/>
  <c r="DD43" i="6"/>
  <c r="DD78" i="6"/>
  <c r="DC4" i="6"/>
  <c r="DC5" i="6"/>
  <c r="DC56" i="6"/>
  <c r="H301" i="7"/>
  <c r="LL59" i="6" s="1"/>
  <c r="I300" i="7"/>
  <c r="LK38" i="6" s="1"/>
  <c r="K300" i="7"/>
  <c r="LM1" i="6"/>
  <c r="LV68" i="6"/>
  <c r="LU69" i="6"/>
  <c r="LU70" i="6" s="1"/>
  <c r="LL30" i="6"/>
  <c r="J299" i="7"/>
  <c r="LJ49" i="6" s="1"/>
  <c r="LJ73" i="6"/>
  <c r="LG28" i="6"/>
  <c r="LH34" i="6"/>
  <c r="LX22" i="6"/>
  <c r="LW51" i="6"/>
  <c r="LK16" i="6"/>
  <c r="LJ17" i="6"/>
  <c r="LJ18" i="6" s="1"/>
  <c r="JU65" i="6"/>
  <c r="JV64" i="6" s="1"/>
  <c r="LL55" i="6"/>
  <c r="LK10" i="6"/>
  <c r="LJ31" i="6"/>
  <c r="LI32" i="6"/>
  <c r="LI25" i="6"/>
  <c r="LI27" i="6" s="1"/>
  <c r="LJ20" i="6"/>
  <c r="A300" i="4"/>
  <c r="B301" i="4"/>
  <c r="K301" i="4"/>
  <c r="D156" i="4"/>
  <c r="E156" i="4"/>
  <c r="I300" i="4"/>
  <c r="B302" i="7" l="1"/>
  <c r="A301" i="7"/>
  <c r="DC6" i="6"/>
  <c r="DC57" i="6"/>
  <c r="DC61" i="6" s="1"/>
  <c r="DC11" i="6" s="1"/>
  <c r="D102" i="7"/>
  <c r="DE37" i="6" s="1"/>
  <c r="DE58" i="6"/>
  <c r="DE60" i="6" s="1"/>
  <c r="F102" i="7"/>
  <c r="DC7" i="6"/>
  <c r="DD80" i="6"/>
  <c r="DD44" i="6"/>
  <c r="DD8" i="6"/>
  <c r="DD47" i="6"/>
  <c r="JV65" i="6"/>
  <c r="JW64" i="6" s="1"/>
  <c r="LI28" i="6"/>
  <c r="LK20" i="6"/>
  <c r="LJ25" i="6"/>
  <c r="LI34" i="6"/>
  <c r="J300" i="7"/>
  <c r="LK49" i="6" s="1"/>
  <c r="LK73" i="6"/>
  <c r="LY22" i="6"/>
  <c r="LX51" i="6"/>
  <c r="LO1" i="6"/>
  <c r="LN1" i="6"/>
  <c r="LM30" i="6"/>
  <c r="LH35" i="6"/>
  <c r="LK31" i="6"/>
  <c r="LJ32" i="6"/>
  <c r="LM55" i="6"/>
  <c r="LL10" i="6"/>
  <c r="LV69" i="6"/>
  <c r="LV70" i="6" s="1"/>
  <c r="LW68" i="6"/>
  <c r="LK17" i="6"/>
  <c r="LK18" i="6" s="1"/>
  <c r="LL16" i="6"/>
  <c r="I301" i="7"/>
  <c r="LL38" i="6" s="1"/>
  <c r="H302" i="7"/>
  <c r="K301" i="7"/>
  <c r="I301" i="4"/>
  <c r="F156" i="4"/>
  <c r="G156" i="4" s="1"/>
  <c r="L156" i="4"/>
  <c r="B302" i="4"/>
  <c r="A301" i="4"/>
  <c r="LJ34" i="6" l="1"/>
  <c r="LJ35" i="6" s="1"/>
  <c r="B303" i="7"/>
  <c r="A302" i="7"/>
  <c r="DE42" i="6"/>
  <c r="DE39" i="6"/>
  <c r="DD52" i="6"/>
  <c r="DD9" i="6"/>
  <c r="DD82" i="6"/>
  <c r="E102" i="7"/>
  <c r="DE72" i="6"/>
  <c r="LJ27" i="6"/>
  <c r="LJ28" i="6" s="1"/>
  <c r="J301" i="7"/>
  <c r="LL49" i="6" s="1"/>
  <c r="LL73" i="6"/>
  <c r="LO30" i="6"/>
  <c r="LN30" i="6"/>
  <c r="LI35" i="6"/>
  <c r="LP1" i="6"/>
  <c r="LL17" i="6"/>
  <c r="LL18" i="6" s="1"/>
  <c r="LM16" i="6"/>
  <c r="LL31" i="6"/>
  <c r="LK32" i="6"/>
  <c r="LX68" i="6"/>
  <c r="LW69" i="6"/>
  <c r="LW70" i="6" s="1"/>
  <c r="LL20" i="6"/>
  <c r="LK25" i="6"/>
  <c r="LK27" i="6" s="1"/>
  <c r="LK28" i="6" s="1"/>
  <c r="LY51" i="6"/>
  <c r="LZ22" i="6"/>
  <c r="I302" i="7"/>
  <c r="LM38" i="6" s="1"/>
  <c r="LN38" i="6" s="1"/>
  <c r="H303" i="7"/>
  <c r="LO59" i="6" s="1"/>
  <c r="K302" i="7"/>
  <c r="LO55" i="6"/>
  <c r="LN55" i="6"/>
  <c r="LM10" i="6"/>
  <c r="LN10" i="6" s="1"/>
  <c r="LM59" i="6"/>
  <c r="LN59" i="6" s="1"/>
  <c r="JW65" i="6"/>
  <c r="JX64" i="6" s="1"/>
  <c r="E157" i="4"/>
  <c r="D157" i="4"/>
  <c r="A302" i="4"/>
  <c r="B303" i="4"/>
  <c r="K302" i="4"/>
  <c r="K303" i="4" s="1"/>
  <c r="I302" i="4"/>
  <c r="B304" i="7" l="1"/>
  <c r="A303" i="7"/>
  <c r="DD5" i="6"/>
  <c r="DD4" i="6"/>
  <c r="DD56" i="6"/>
  <c r="DE78" i="6"/>
  <c r="DE48" i="6"/>
  <c r="C103" i="7"/>
  <c r="DE43" i="6"/>
  <c r="DE40" i="6"/>
  <c r="JX65" i="6"/>
  <c r="JY64" i="6" s="1"/>
  <c r="LM20" i="6"/>
  <c r="LL25" i="6"/>
  <c r="LL27" i="6" s="1"/>
  <c r="LL28" i="6" s="1"/>
  <c r="LQ1" i="6"/>
  <c r="LY68" i="6"/>
  <c r="LX69" i="6"/>
  <c r="LX70" i="6" s="1"/>
  <c r="LP30" i="6"/>
  <c r="LP55" i="6"/>
  <c r="LO10" i="6"/>
  <c r="J302" i="7"/>
  <c r="LM49" i="6" s="1"/>
  <c r="LN49" i="6" s="1"/>
  <c r="LM73" i="6"/>
  <c r="LN73" i="6" s="1"/>
  <c r="H304" i="7"/>
  <c r="K303" i="7"/>
  <c r="I303" i="7"/>
  <c r="LO38" i="6" s="1"/>
  <c r="LZ51" i="6"/>
  <c r="MA51" i="6" s="1"/>
  <c r="MB22" i="6"/>
  <c r="MA22" i="6"/>
  <c r="LK34" i="6"/>
  <c r="LM31" i="6"/>
  <c r="LL32" i="6"/>
  <c r="LM17" i="6"/>
  <c r="LN17" i="6" s="1"/>
  <c r="LO16" i="6"/>
  <c r="LN16" i="6"/>
  <c r="I303" i="4"/>
  <c r="B304" i="4"/>
  <c r="A303" i="4"/>
  <c r="F157" i="4"/>
  <c r="G157" i="4" s="1"/>
  <c r="L157" i="4"/>
  <c r="K304" i="4"/>
  <c r="B305" i="7" l="1"/>
  <c r="A304" i="7"/>
  <c r="DE47" i="6"/>
  <c r="DE8" i="6"/>
  <c r="DE44" i="6"/>
  <c r="F103" i="7"/>
  <c r="D103" i="7"/>
  <c r="DF37" i="6" s="1"/>
  <c r="DF58" i="6"/>
  <c r="DF60" i="6" s="1"/>
  <c r="DE80" i="6"/>
  <c r="DD6" i="6"/>
  <c r="DD57" i="6"/>
  <c r="DD61" i="6" s="1"/>
  <c r="DD11" i="6" s="1"/>
  <c r="DD7" i="6"/>
  <c r="LQ30" i="6"/>
  <c r="J303" i="7"/>
  <c r="LO49" i="6" s="1"/>
  <c r="LO73" i="6"/>
  <c r="LM25" i="6"/>
  <c r="LN25" i="6" s="1"/>
  <c r="LO20" i="6"/>
  <c r="LN20" i="6"/>
  <c r="MB51" i="6"/>
  <c r="MC22" i="6"/>
  <c r="I304" i="7"/>
  <c r="LP38" i="6" s="1"/>
  <c r="H305" i="7"/>
  <c r="K304" i="7"/>
  <c r="LO17" i="6"/>
  <c r="LO18" i="6" s="1"/>
  <c r="LP16" i="6"/>
  <c r="LQ55" i="6"/>
  <c r="LP10" i="6"/>
  <c r="LM18" i="6"/>
  <c r="LO31" i="6"/>
  <c r="LN31" i="6"/>
  <c r="LM32" i="6"/>
  <c r="LN32" i="6" s="1"/>
  <c r="LK35" i="6"/>
  <c r="JY65" i="6"/>
  <c r="JZ64" i="6" s="1"/>
  <c r="LY69" i="6"/>
  <c r="LY70" i="6" s="1"/>
  <c r="LZ68" i="6"/>
  <c r="LQ59" i="6"/>
  <c r="LR1" i="6"/>
  <c r="LL34" i="6"/>
  <c r="LP59" i="6"/>
  <c r="E158" i="4"/>
  <c r="D158" i="4"/>
  <c r="B305" i="4"/>
  <c r="A304" i="4"/>
  <c r="I304" i="4"/>
  <c r="B306" i="7" l="1"/>
  <c r="A305" i="7"/>
  <c r="DE82" i="6"/>
  <c r="DF42" i="6"/>
  <c r="DF39" i="6"/>
  <c r="DF72" i="6"/>
  <c r="E103" i="7"/>
  <c r="DE9" i="6"/>
  <c r="DE52" i="6"/>
  <c r="JZ65" i="6"/>
  <c r="KA65" i="6" s="1"/>
  <c r="KA64" i="6"/>
  <c r="LP31" i="6"/>
  <c r="LO32" i="6"/>
  <c r="LS1" i="6"/>
  <c r="MC51" i="6"/>
  <c r="MD22" i="6"/>
  <c r="LP17" i="6"/>
  <c r="LP18" i="6" s="1"/>
  <c r="LQ16" i="6"/>
  <c r="LO25" i="6"/>
  <c r="LP20" i="6"/>
  <c r="MB68" i="6"/>
  <c r="LZ69" i="6"/>
  <c r="MA69" i="6" s="1"/>
  <c r="MA68" i="6"/>
  <c r="LR30" i="6"/>
  <c r="LM34" i="6"/>
  <c r="LM27" i="6"/>
  <c r="LN18" i="6"/>
  <c r="J304" i="7"/>
  <c r="LP49" i="6" s="1"/>
  <c r="LP73" i="6"/>
  <c r="LL35" i="6"/>
  <c r="LR55" i="6"/>
  <c r="LQ10" i="6"/>
  <c r="I305" i="7"/>
  <c r="LQ38" i="6" s="1"/>
  <c r="H306" i="7"/>
  <c r="LR59" i="6" s="1"/>
  <c r="K305" i="7"/>
  <c r="I305" i="4"/>
  <c r="A305" i="4"/>
  <c r="B306" i="4"/>
  <c r="K305" i="4"/>
  <c r="K306" i="4" s="1"/>
  <c r="F158" i="4"/>
  <c r="G158" i="4" s="1"/>
  <c r="L158" i="4"/>
  <c r="LO34" i="6" l="1"/>
  <c r="LO35" i="6" s="1"/>
  <c r="LO27" i="6"/>
  <c r="LO28" i="6" s="1"/>
  <c r="B307" i="7"/>
  <c r="A306" i="7"/>
  <c r="DE5" i="6"/>
  <c r="DE4" i="6"/>
  <c r="DE56" i="6"/>
  <c r="DF48" i="6"/>
  <c r="C104" i="7"/>
  <c r="DF78" i="6"/>
  <c r="DF40" i="6"/>
  <c r="DF43" i="6"/>
  <c r="LR16" i="6"/>
  <c r="LQ17" i="6"/>
  <c r="J305" i="7"/>
  <c r="LQ49" i="6" s="1"/>
  <c r="LQ73" i="6"/>
  <c r="LR10" i="6"/>
  <c r="LS55" i="6"/>
  <c r="LS30" i="6"/>
  <c r="MC68" i="6"/>
  <c r="MB69" i="6"/>
  <c r="MB70" i="6" s="1"/>
  <c r="MD51" i="6"/>
  <c r="ME22" i="6"/>
  <c r="LZ70" i="6"/>
  <c r="LP25" i="6"/>
  <c r="LQ20" i="6"/>
  <c r="LQ31" i="6"/>
  <c r="LP32" i="6"/>
  <c r="H307" i="7"/>
  <c r="LS59" i="6" s="1"/>
  <c r="I306" i="7"/>
  <c r="LR38" i="6" s="1"/>
  <c r="K306" i="7"/>
  <c r="LM28" i="6"/>
  <c r="LN27" i="6"/>
  <c r="LN28" i="6" s="1"/>
  <c r="LT1" i="6"/>
  <c r="KB64" i="6"/>
  <c r="LM35" i="6"/>
  <c r="LN34" i="6"/>
  <c r="LN35" i="6" s="1"/>
  <c r="D159" i="4"/>
  <c r="E159" i="4"/>
  <c r="A306" i="4"/>
  <c r="B307" i="4"/>
  <c r="I306" i="4"/>
  <c r="LP34" i="6" l="1"/>
  <c r="LP35" i="6" s="1"/>
  <c r="B308" i="7"/>
  <c r="A307" i="7"/>
  <c r="DF8" i="6"/>
  <c r="DF44" i="6"/>
  <c r="DF47" i="6"/>
  <c r="DF80" i="6"/>
  <c r="F104" i="7"/>
  <c r="D104" i="7"/>
  <c r="DG37" i="6" s="1"/>
  <c r="DG58" i="6"/>
  <c r="DG60" i="6" s="1"/>
  <c r="DE6" i="6"/>
  <c r="DE57" i="6"/>
  <c r="DE61" i="6" s="1"/>
  <c r="DE11" i="6" s="1"/>
  <c r="DE7" i="6"/>
  <c r="J306" i="7"/>
  <c r="LR49" i="6" s="1"/>
  <c r="LR73" i="6"/>
  <c r="KB65" i="6"/>
  <c r="KC64" i="6" s="1"/>
  <c r="MA70" i="6"/>
  <c r="LU1" i="6"/>
  <c r="ME51" i="6"/>
  <c r="MF22" i="6"/>
  <c r="LQ25" i="6"/>
  <c r="LR20" i="6"/>
  <c r="MC69" i="6"/>
  <c r="MC70" i="6" s="1"/>
  <c r="MD68" i="6"/>
  <c r="LP27" i="6"/>
  <c r="H308" i="7"/>
  <c r="I307" i="7"/>
  <c r="LS38" i="6" s="1"/>
  <c r="K307" i="7"/>
  <c r="LT30" i="6"/>
  <c r="LT55" i="6"/>
  <c r="LS10" i="6"/>
  <c r="LR17" i="6"/>
  <c r="LR18" i="6" s="1"/>
  <c r="LS16" i="6"/>
  <c r="LQ18" i="6"/>
  <c r="LR31" i="6"/>
  <c r="LQ32" i="6"/>
  <c r="I307" i="4"/>
  <c r="A307" i="4"/>
  <c r="B308" i="4"/>
  <c r="F159" i="4"/>
  <c r="G159" i="4" s="1"/>
  <c r="L159" i="4"/>
  <c r="K307" i="4"/>
  <c r="K308" i="4" s="1"/>
  <c r="B309" i="7" l="1"/>
  <c r="A308" i="7"/>
  <c r="DG42" i="6"/>
  <c r="DG39" i="6"/>
  <c r="E104" i="7"/>
  <c r="DG72" i="6"/>
  <c r="DG78" i="6" s="1"/>
  <c r="DG80" i="6" s="1"/>
  <c r="DF82" i="6"/>
  <c r="DF52" i="6"/>
  <c r="DF9" i="6"/>
  <c r="LS31" i="6"/>
  <c r="LR32" i="6"/>
  <c r="LQ27" i="6"/>
  <c r="LQ28" i="6" s="1"/>
  <c r="LQ34" i="6"/>
  <c r="LP28" i="6"/>
  <c r="LT16" i="6"/>
  <c r="LS17" i="6"/>
  <c r="LS18" i="6" s="1"/>
  <c r="ME68" i="6"/>
  <c r="MD69" i="6"/>
  <c r="MD70" i="6" s="1"/>
  <c r="LR25" i="6"/>
  <c r="LR27" i="6" s="1"/>
  <c r="LR28" i="6" s="1"/>
  <c r="LS20" i="6"/>
  <c r="KC65" i="6"/>
  <c r="MF51" i="6"/>
  <c r="MG22" i="6"/>
  <c r="LU30" i="6"/>
  <c r="J307" i="7"/>
  <c r="LS49" i="6" s="1"/>
  <c r="LS73" i="6"/>
  <c r="K308" i="7"/>
  <c r="H309" i="7"/>
  <c r="LU59" i="6" s="1"/>
  <c r="I308" i="7"/>
  <c r="LT38" i="6" s="1"/>
  <c r="LT59" i="6"/>
  <c r="LT10" i="6"/>
  <c r="LU55" i="6"/>
  <c r="LV1" i="6"/>
  <c r="E160" i="4"/>
  <c r="D160" i="4"/>
  <c r="A308" i="4"/>
  <c r="B309" i="4"/>
  <c r="I308" i="4"/>
  <c r="DG82" i="6" l="1"/>
  <c r="LR34" i="6"/>
  <c r="LR35" i="6" s="1"/>
  <c r="B310" i="7"/>
  <c r="A309" i="7"/>
  <c r="DF5" i="6"/>
  <c r="DF4" i="6"/>
  <c r="DF56" i="6"/>
  <c r="DG43" i="6"/>
  <c r="DG40" i="6"/>
  <c r="DG48" i="6"/>
  <c r="C105" i="7"/>
  <c r="J308" i="7"/>
  <c r="LT49" i="6" s="1"/>
  <c r="LT73" i="6"/>
  <c r="KD64" i="6"/>
  <c r="LU10" i="6"/>
  <c r="LV55" i="6"/>
  <c r="LQ35" i="6"/>
  <c r="MG51" i="6"/>
  <c r="MH22" i="6"/>
  <c r="LU16" i="6"/>
  <c r="LT17" i="6"/>
  <c r="LT18" i="6" s="1"/>
  <c r="LV30" i="6"/>
  <c r="LS25" i="6"/>
  <c r="LT20" i="6"/>
  <c r="LW1" i="6"/>
  <c r="ME69" i="6"/>
  <c r="ME70" i="6" s="1"/>
  <c r="MF68" i="6"/>
  <c r="LT31" i="6"/>
  <c r="LS32" i="6"/>
  <c r="I309" i="7"/>
  <c r="LU38" i="6" s="1"/>
  <c r="H310" i="7"/>
  <c r="LV59" i="6" s="1"/>
  <c r="K309" i="7"/>
  <c r="I309" i="4"/>
  <c r="A309" i="4"/>
  <c r="B310" i="4"/>
  <c r="K309" i="4"/>
  <c r="K310" i="4" s="1"/>
  <c r="F160" i="4"/>
  <c r="G160" i="4" s="1"/>
  <c r="L160" i="4"/>
  <c r="LS34" i="6" l="1"/>
  <c r="LS35" i="6" s="1"/>
  <c r="B311" i="7"/>
  <c r="A310" i="7"/>
  <c r="DG47" i="6"/>
  <c r="DG52" i="6" s="1"/>
  <c r="DG56" i="6" s="1"/>
  <c r="DG8" i="6"/>
  <c r="DG9" i="6" s="1"/>
  <c r="DG44" i="6"/>
  <c r="DF6" i="6"/>
  <c r="DF57" i="6"/>
  <c r="DF61" i="6" s="1"/>
  <c r="DF11" i="6" s="1"/>
  <c r="D105" i="7"/>
  <c r="DH37" i="6" s="1"/>
  <c r="DH58" i="6"/>
  <c r="DH60" i="6" s="1"/>
  <c r="F105" i="7"/>
  <c r="DF7" i="6"/>
  <c r="LU31" i="6"/>
  <c r="LT32" i="6"/>
  <c r="LS27" i="6"/>
  <c r="J309" i="7"/>
  <c r="LU49" i="6" s="1"/>
  <c r="LU73" i="6"/>
  <c r="MG68" i="6"/>
  <c r="MF69" i="6"/>
  <c r="MF70" i="6" s="1"/>
  <c r="MH51" i="6"/>
  <c r="MI22" i="6"/>
  <c r="LW30" i="6"/>
  <c r="LX1" i="6"/>
  <c r="K310" i="7"/>
  <c r="I310" i="7"/>
  <c r="LV38" i="6" s="1"/>
  <c r="H311" i="7"/>
  <c r="KD65" i="6"/>
  <c r="LT25" i="6"/>
  <c r="LT27" i="6" s="1"/>
  <c r="LT28" i="6" s="1"/>
  <c r="LU20" i="6"/>
  <c r="LW55" i="6"/>
  <c r="LV10" i="6"/>
  <c r="LV16" i="6"/>
  <c r="LU17" i="6"/>
  <c r="LU18" i="6" s="1"/>
  <c r="D161" i="4"/>
  <c r="E161" i="4"/>
  <c r="B311" i="4"/>
  <c r="A310" i="4"/>
  <c r="I310" i="4"/>
  <c r="B312" i="7" l="1"/>
  <c r="A311" i="7"/>
  <c r="E105" i="7"/>
  <c r="DH72" i="6"/>
  <c r="DH78" i="6" s="1"/>
  <c r="DH80" i="6" s="1"/>
  <c r="DH82" i="6" s="1"/>
  <c r="DG6" i="6"/>
  <c r="DG57" i="6"/>
  <c r="DG61" i="6" s="1"/>
  <c r="DG11" i="6" s="1"/>
  <c r="DH42" i="6"/>
  <c r="DH39" i="6"/>
  <c r="DG4" i="6"/>
  <c r="DG5" i="6"/>
  <c r="DG7" i="6" s="1"/>
  <c r="LX55" i="6"/>
  <c r="LW10" i="6"/>
  <c r="LV31" i="6"/>
  <c r="LU32" i="6"/>
  <c r="LV20" i="6"/>
  <c r="LU25" i="6"/>
  <c r="MG69" i="6"/>
  <c r="MG70" i="6" s="1"/>
  <c r="MH68" i="6"/>
  <c r="LT34" i="6"/>
  <c r="LW16" i="6"/>
  <c r="LV17" i="6"/>
  <c r="LV18" i="6" s="1"/>
  <c r="I311" i="7"/>
  <c r="LW38" i="6" s="1"/>
  <c r="K311" i="7"/>
  <c r="H312" i="7"/>
  <c r="MI51" i="6"/>
  <c r="MJ22" i="6"/>
  <c r="J310" i="7"/>
  <c r="LV49" i="6" s="1"/>
  <c r="LV73" i="6"/>
  <c r="LY1" i="6"/>
  <c r="LS28" i="6"/>
  <c r="LW59" i="6"/>
  <c r="KE64" i="6"/>
  <c r="LX30" i="6"/>
  <c r="A311" i="4"/>
  <c r="B312" i="4"/>
  <c r="I311" i="4"/>
  <c r="F161" i="4"/>
  <c r="G161" i="4" s="1"/>
  <c r="L161" i="4"/>
  <c r="K311" i="4"/>
  <c r="K312" i="4" s="1"/>
  <c r="LU34" i="6" l="1"/>
  <c r="LU35" i="6" s="1"/>
  <c r="LU27" i="6"/>
  <c r="LU28" i="6" s="1"/>
  <c r="B313" i="7"/>
  <c r="A312" i="7"/>
  <c r="DH40" i="6"/>
  <c r="DH43" i="6"/>
  <c r="DH48" i="6"/>
  <c r="C106" i="7"/>
  <c r="MJ51" i="6"/>
  <c r="MK22" i="6"/>
  <c r="LW20" i="6"/>
  <c r="LV25" i="6"/>
  <c r="LV27" i="6" s="1"/>
  <c r="LV28" i="6" s="1"/>
  <c r="LW31" i="6"/>
  <c r="LV32" i="6"/>
  <c r="LW17" i="6"/>
  <c r="LW18" i="6" s="1"/>
  <c r="LX16" i="6"/>
  <c r="LT35" i="6"/>
  <c r="MI68" i="6"/>
  <c r="MH69" i="6"/>
  <c r="MH70" i="6" s="1"/>
  <c r="LY30" i="6"/>
  <c r="KE65" i="6"/>
  <c r="KF64" i="6" s="1"/>
  <c r="H313" i="7"/>
  <c r="I312" i="7"/>
  <c r="LX38" i="6" s="1"/>
  <c r="K312" i="7"/>
  <c r="LZ1" i="6"/>
  <c r="J311" i="7"/>
  <c r="LW49" i="6" s="1"/>
  <c r="LW73" i="6"/>
  <c r="LX59" i="6"/>
  <c r="LY55" i="6"/>
  <c r="LX10" i="6"/>
  <c r="D162" i="4"/>
  <c r="E162" i="4"/>
  <c r="I312" i="4"/>
  <c r="B313" i="4"/>
  <c r="A312" i="4"/>
  <c r="LV34" i="6" l="1"/>
  <c r="LV35" i="6" s="1"/>
  <c r="B314" i="7"/>
  <c r="A313" i="7"/>
  <c r="F106" i="7"/>
  <c r="D106" i="7"/>
  <c r="DI37" i="6" s="1"/>
  <c r="DI58" i="6"/>
  <c r="DI60" i="6" s="1"/>
  <c r="DH47" i="6"/>
  <c r="DH52" i="6" s="1"/>
  <c r="DH44" i="6"/>
  <c r="DH8" i="6"/>
  <c r="DH9" i="6" s="1"/>
  <c r="KF65" i="6"/>
  <c r="KG64" i="6" s="1"/>
  <c r="MA1" i="6"/>
  <c r="MB1" i="6"/>
  <c r="LW25" i="6"/>
  <c r="LX20" i="6"/>
  <c r="J312" i="7"/>
  <c r="LX49" i="6" s="1"/>
  <c r="LX73" i="6"/>
  <c r="LX17" i="6"/>
  <c r="LX18" i="6" s="1"/>
  <c r="LY16" i="6"/>
  <c r="H314" i="7"/>
  <c r="I313" i="7"/>
  <c r="LY38" i="6" s="1"/>
  <c r="K313" i="7"/>
  <c r="LZ30" i="6"/>
  <c r="ML22" i="6"/>
  <c r="MK51" i="6"/>
  <c r="MJ68" i="6"/>
  <c r="MI69" i="6"/>
  <c r="MI70" i="6" s="1"/>
  <c r="LX31" i="6"/>
  <c r="LW32" i="6"/>
  <c r="LZ55" i="6"/>
  <c r="LY10" i="6"/>
  <c r="LY59" i="6"/>
  <c r="A313" i="4"/>
  <c r="B314" i="4"/>
  <c r="I313" i="4"/>
  <c r="F162" i="4"/>
  <c r="G162" i="4" s="1"/>
  <c r="L162" i="4"/>
  <c r="K313" i="4"/>
  <c r="K314" i="4" s="1"/>
  <c r="LW34" i="6" l="1"/>
  <c r="LW35" i="6" s="1"/>
  <c r="B315" i="7"/>
  <c r="A314" i="7"/>
  <c r="DH4" i="6"/>
  <c r="DH5" i="6"/>
  <c r="DH7" i="6" s="1"/>
  <c r="DH56" i="6"/>
  <c r="DI39" i="6"/>
  <c r="DI42" i="6"/>
  <c r="DI72" i="6"/>
  <c r="DI78" i="6" s="1"/>
  <c r="DI80" i="6" s="1"/>
  <c r="DI82" i="6" s="1"/>
  <c r="E106" i="7"/>
  <c r="MB30" i="6"/>
  <c r="MA30" i="6"/>
  <c r="LX25" i="6"/>
  <c r="LY20" i="6"/>
  <c r="H315" i="7"/>
  <c r="MB59" i="6" s="1"/>
  <c r="I314" i="7"/>
  <c r="LZ38" i="6" s="1"/>
  <c r="MA38" i="6" s="1"/>
  <c r="K314" i="7"/>
  <c r="MJ69" i="6"/>
  <c r="MJ70" i="6" s="1"/>
  <c r="MK68" i="6"/>
  <c r="LW27" i="6"/>
  <c r="LW28" i="6" s="1"/>
  <c r="MB55" i="6"/>
  <c r="LZ10" i="6"/>
  <c r="MA10" i="6" s="1"/>
  <c r="MA55" i="6"/>
  <c r="LY17" i="6"/>
  <c r="LY18" i="6" s="1"/>
  <c r="LZ16" i="6"/>
  <c r="LY31" i="6"/>
  <c r="LX32" i="6"/>
  <c r="MC1" i="6"/>
  <c r="LZ59" i="6"/>
  <c r="MA59" i="6" s="1"/>
  <c r="KG65" i="6"/>
  <c r="KH64" i="6" s="1"/>
  <c r="J313" i="7"/>
  <c r="LY49" i="6" s="1"/>
  <c r="LY73" i="6"/>
  <c r="ML51" i="6"/>
  <c r="MM22" i="6"/>
  <c r="D163" i="4"/>
  <c r="E163" i="4"/>
  <c r="I314" i="4"/>
  <c r="A314" i="4"/>
  <c r="B315" i="4"/>
  <c r="LX34" i="6" l="1"/>
  <c r="LX35" i="6" s="1"/>
  <c r="B316" i="7"/>
  <c r="A315" i="7"/>
  <c r="DH57" i="6"/>
  <c r="DH61" i="6" s="1"/>
  <c r="DH11" i="6" s="1"/>
  <c r="DH6" i="6"/>
  <c r="DI48" i="6"/>
  <c r="C107" i="7"/>
  <c r="DI43" i="6"/>
  <c r="DI40" i="6"/>
  <c r="LZ17" i="6"/>
  <c r="MA17" i="6" s="1"/>
  <c r="MB16" i="6"/>
  <c r="MA16" i="6"/>
  <c r="LY25" i="6"/>
  <c r="LY34" i="6" s="1"/>
  <c r="LZ20" i="6"/>
  <c r="MD1" i="6"/>
  <c r="KH65" i="6"/>
  <c r="KI64" i="6" s="1"/>
  <c r="J314" i="7"/>
  <c r="LZ49" i="6" s="1"/>
  <c r="MA49" i="6" s="1"/>
  <c r="LZ73" i="6"/>
  <c r="MA73" i="6" s="1"/>
  <c r="LZ31" i="6"/>
  <c r="LY32" i="6"/>
  <c r="I315" i="7"/>
  <c r="MB38" i="6" s="1"/>
  <c r="K315" i="7"/>
  <c r="H316" i="7"/>
  <c r="MC59" i="6" s="1"/>
  <c r="MM51" i="6"/>
  <c r="MN51" i="6" s="1"/>
  <c r="MO22" i="6"/>
  <c r="MN22" i="6"/>
  <c r="MC30" i="6"/>
  <c r="MC55" i="6"/>
  <c r="MB10" i="6"/>
  <c r="LX27" i="6"/>
  <c r="LX28" i="6" s="1"/>
  <c r="ML68" i="6"/>
  <c r="MK69" i="6"/>
  <c r="MK70" i="6" s="1"/>
  <c r="B316" i="4"/>
  <c r="A315" i="4"/>
  <c r="I315" i="4"/>
  <c r="K315" i="4"/>
  <c r="K316" i="4" s="1"/>
  <c r="F163" i="4"/>
  <c r="G163" i="4" s="1"/>
  <c r="L163" i="4"/>
  <c r="LZ18" i="6" l="1"/>
  <c r="MA18" i="6" s="1"/>
  <c r="B317" i="7"/>
  <c r="A316" i="7"/>
  <c r="DI44" i="6"/>
  <c r="DI8" i="6"/>
  <c r="DI9" i="6" s="1"/>
  <c r="DI47" i="6"/>
  <c r="DI52" i="6" s="1"/>
  <c r="F107" i="7"/>
  <c r="D107" i="7"/>
  <c r="DJ37" i="6" s="1"/>
  <c r="DJ58" i="6"/>
  <c r="DJ60" i="6" s="1"/>
  <c r="KI65" i="6"/>
  <c r="KJ64" i="6" s="1"/>
  <c r="LY35" i="6"/>
  <c r="MD30" i="6"/>
  <c r="LZ25" i="6"/>
  <c r="MA25" i="6" s="1"/>
  <c r="MB20" i="6"/>
  <c r="MA20" i="6"/>
  <c r="MC16" i="6"/>
  <c r="MB17" i="6"/>
  <c r="MO51" i="6"/>
  <c r="MP22" i="6"/>
  <c r="ME1" i="6"/>
  <c r="J315" i="7"/>
  <c r="MB49" i="6" s="1"/>
  <c r="MB73" i="6"/>
  <c r="ML69" i="6"/>
  <c r="ML70" i="6" s="1"/>
  <c r="MM68" i="6"/>
  <c r="K316" i="7"/>
  <c r="H317" i="7"/>
  <c r="MD59" i="6" s="1"/>
  <c r="I316" i="7"/>
  <c r="MC38" i="6" s="1"/>
  <c r="MD55" i="6"/>
  <c r="MC10" i="6"/>
  <c r="LY27" i="6"/>
  <c r="LY28" i="6" s="1"/>
  <c r="MB31" i="6"/>
  <c r="MA31" i="6"/>
  <c r="LZ32" i="6"/>
  <c r="MA32" i="6" s="1"/>
  <c r="E164" i="4"/>
  <c r="D164" i="4"/>
  <c r="I316" i="4"/>
  <c r="A316" i="4"/>
  <c r="B317" i="4"/>
  <c r="B318" i="7" l="1"/>
  <c r="A317" i="7"/>
  <c r="DJ39" i="6"/>
  <c r="DJ42" i="6"/>
  <c r="E107" i="7"/>
  <c r="DJ72" i="6"/>
  <c r="DJ78" i="6" s="1"/>
  <c r="DJ80" i="6" s="1"/>
  <c r="DJ82" i="6" s="1"/>
  <c r="DI4" i="6"/>
  <c r="DI5" i="6"/>
  <c r="DI7" i="6" s="1"/>
  <c r="DI56" i="6"/>
  <c r="KJ65" i="6"/>
  <c r="KK64" i="6" s="1"/>
  <c r="MC31" i="6"/>
  <c r="MB32" i="6"/>
  <c r="MC20" i="6"/>
  <c r="MB25" i="6"/>
  <c r="LZ34" i="6"/>
  <c r="ME30" i="6"/>
  <c r="MF1" i="6"/>
  <c r="J316" i="7"/>
  <c r="MC49" i="6" s="1"/>
  <c r="MC73" i="6"/>
  <c r="LZ27" i="6"/>
  <c r="ME55" i="6"/>
  <c r="MD10" i="6"/>
  <c r="MM69" i="6"/>
  <c r="MN69" i="6" s="1"/>
  <c r="MO68" i="6"/>
  <c r="MN68" i="6"/>
  <c r="MP51" i="6"/>
  <c r="MQ22" i="6"/>
  <c r="K317" i="7"/>
  <c r="I317" i="7"/>
  <c r="MD38" i="6" s="1"/>
  <c r="H318" i="7"/>
  <c r="ME59" i="6" s="1"/>
  <c r="MD16" i="6"/>
  <c r="MC17" i="6"/>
  <c r="MC18" i="6" s="1"/>
  <c r="MB18" i="6"/>
  <c r="B318" i="4"/>
  <c r="A317" i="4"/>
  <c r="I317" i="4"/>
  <c r="F164" i="4"/>
  <c r="G164" i="4" s="1"/>
  <c r="L164" i="4"/>
  <c r="K317" i="4"/>
  <c r="K318" i="4" s="1"/>
  <c r="B319" i="7" l="1"/>
  <c r="A318" i="7"/>
  <c r="DI6" i="6"/>
  <c r="DI57" i="6"/>
  <c r="DI61" i="6" s="1"/>
  <c r="DI11" i="6" s="1"/>
  <c r="DJ48" i="6"/>
  <c r="C108" i="7"/>
  <c r="DJ43" i="6"/>
  <c r="DJ40" i="6"/>
  <c r="KK65" i="6"/>
  <c r="KL64" i="6" s="1"/>
  <c r="LZ35" i="6"/>
  <c r="MA34" i="6"/>
  <c r="MA35" i="6" s="1"/>
  <c r="MD17" i="6"/>
  <c r="MD18" i="6" s="1"/>
  <c r="ME16" i="6"/>
  <c r="MQ51" i="6"/>
  <c r="MR22" i="6"/>
  <c r="MD20" i="6"/>
  <c r="MC25" i="6"/>
  <c r="MG1" i="6"/>
  <c r="MO69" i="6"/>
  <c r="MO70" i="6" s="1"/>
  <c r="MP68" i="6"/>
  <c r="MM70" i="6"/>
  <c r="MB27" i="6"/>
  <c r="MB34" i="6"/>
  <c r="I318" i="7"/>
  <c r="ME38" i="6" s="1"/>
  <c r="H319" i="7"/>
  <c r="K318" i="7"/>
  <c r="MD31" i="6"/>
  <c r="MC32" i="6"/>
  <c r="MF55" i="6"/>
  <c r="ME10" i="6"/>
  <c r="MF30" i="6"/>
  <c r="J317" i="7"/>
  <c r="MD49" i="6" s="1"/>
  <c r="MD73" i="6"/>
  <c r="LZ28" i="6"/>
  <c r="MA27" i="6"/>
  <c r="MA28" i="6" s="1"/>
  <c r="E165" i="4"/>
  <c r="D165" i="4"/>
  <c r="I318" i="4"/>
  <c r="A318" i="4"/>
  <c r="B319" i="4"/>
  <c r="MC34" i="6" l="1"/>
  <c r="MC35" i="6" s="1"/>
  <c r="MC27" i="6"/>
  <c r="MC28" i="6" s="1"/>
  <c r="B320" i="7"/>
  <c r="A319" i="7"/>
  <c r="DJ44" i="6"/>
  <c r="DJ47" i="6"/>
  <c r="DJ52" i="6" s="1"/>
  <c r="DJ8" i="6"/>
  <c r="DJ9" i="6" s="1"/>
  <c r="DK58" i="6"/>
  <c r="DK60" i="6" s="1"/>
  <c r="F108" i="7"/>
  <c r="D108" i="7"/>
  <c r="DK37" i="6" s="1"/>
  <c r="K319" i="7"/>
  <c r="I319" i="7"/>
  <c r="MF38" i="6" s="1"/>
  <c r="H320" i="7"/>
  <c r="MG59" i="6" s="1"/>
  <c r="MG30" i="6"/>
  <c r="MN70" i="6"/>
  <c r="MP69" i="6"/>
  <c r="MQ68" i="6"/>
  <c r="MF59" i="6"/>
  <c r="ME31" i="6"/>
  <c r="MD32" i="6"/>
  <c r="MB35" i="6"/>
  <c r="MH1" i="6"/>
  <c r="MD25" i="6"/>
  <c r="MD34" i="6" s="1"/>
  <c r="ME20" i="6"/>
  <c r="ME17" i="6"/>
  <c r="ME18" i="6" s="1"/>
  <c r="MF16" i="6"/>
  <c r="J318" i="7"/>
  <c r="ME49" i="6" s="1"/>
  <c r="ME73" i="6"/>
  <c r="MB28" i="6"/>
  <c r="MS22" i="6"/>
  <c r="MR51" i="6"/>
  <c r="KL65" i="6"/>
  <c r="KM64" i="6" s="1"/>
  <c r="MG55" i="6"/>
  <c r="MF10" i="6"/>
  <c r="B320" i="4"/>
  <c r="A319" i="4"/>
  <c r="I319" i="4"/>
  <c r="K319" i="4"/>
  <c r="K320" i="4" s="1"/>
  <c r="F165" i="4"/>
  <c r="G165" i="4" s="1"/>
  <c r="L165" i="4"/>
  <c r="B321" i="7" l="1"/>
  <c r="A320" i="7"/>
  <c r="DK39" i="6"/>
  <c r="DK42" i="6"/>
  <c r="DK72" i="6"/>
  <c r="DK78" i="6" s="1"/>
  <c r="DK80" i="6" s="1"/>
  <c r="DK82" i="6" s="1"/>
  <c r="E108" i="7"/>
  <c r="DJ5" i="6"/>
  <c r="DJ7" i="6" s="1"/>
  <c r="DJ4" i="6"/>
  <c r="DJ56" i="6"/>
  <c r="MD35" i="6"/>
  <c r="MS51" i="6"/>
  <c r="MT22" i="6"/>
  <c r="MH30" i="6"/>
  <c r="MP70" i="6"/>
  <c r="KN64" i="6"/>
  <c r="KM65" i="6"/>
  <c r="KN65" i="6" s="1"/>
  <c r="ME25" i="6"/>
  <c r="MF20" i="6"/>
  <c r="MQ69" i="6"/>
  <c r="MR68" i="6"/>
  <c r="J319" i="7"/>
  <c r="MF49" i="6" s="1"/>
  <c r="MF73" i="6"/>
  <c r="MH55" i="6"/>
  <c r="MG10" i="6"/>
  <c r="MF17" i="6"/>
  <c r="MF18" i="6" s="1"/>
  <c r="MG16" i="6"/>
  <c r="MD27" i="6"/>
  <c r="MH59" i="6"/>
  <c r="MI1" i="6"/>
  <c r="MF31" i="6"/>
  <c r="ME32" i="6"/>
  <c r="K320" i="7"/>
  <c r="H321" i="7"/>
  <c r="I320" i="7"/>
  <c r="MG38" i="6" s="1"/>
  <c r="E166" i="4"/>
  <c r="D166" i="4"/>
  <c r="I320" i="4"/>
  <c r="A320" i="4"/>
  <c r="B321" i="4"/>
  <c r="ME34" i="6" l="1"/>
  <c r="ME35" i="6" s="1"/>
  <c r="ME27" i="6"/>
  <c r="ME28" i="6" s="1"/>
  <c r="B322" i="7"/>
  <c r="A321" i="7"/>
  <c r="DK48" i="6"/>
  <c r="C109" i="7"/>
  <c r="DJ6" i="6"/>
  <c r="DJ57" i="6"/>
  <c r="DJ61" i="6" s="1"/>
  <c r="DJ11" i="6" s="1"/>
  <c r="DK40" i="6"/>
  <c r="DK43" i="6"/>
  <c r="MG17" i="6"/>
  <c r="MG18" i="6" s="1"/>
  <c r="MH16" i="6"/>
  <c r="K321" i="7"/>
  <c r="H322" i="7"/>
  <c r="I321" i="7"/>
  <c r="MH38" i="6" s="1"/>
  <c r="MG31" i="6"/>
  <c r="MF32" i="6"/>
  <c r="J320" i="7"/>
  <c r="MG49" i="6" s="1"/>
  <c r="MG73" i="6"/>
  <c r="MR69" i="6"/>
  <c r="MR70" i="6" s="1"/>
  <c r="MS68" i="6"/>
  <c r="MF25" i="6"/>
  <c r="MF27" i="6" s="1"/>
  <c r="MG20" i="6"/>
  <c r="MJ1" i="6"/>
  <c r="MI55" i="6"/>
  <c r="MH10" i="6"/>
  <c r="KO64" i="6"/>
  <c r="MQ70" i="6"/>
  <c r="MD28" i="6"/>
  <c r="MI30" i="6"/>
  <c r="MU22" i="6"/>
  <c r="MT51" i="6"/>
  <c r="A321" i="4"/>
  <c r="B322" i="4"/>
  <c r="I321" i="4"/>
  <c r="F166" i="4"/>
  <c r="G166" i="4" s="1"/>
  <c r="L166" i="4"/>
  <c r="K321" i="4"/>
  <c r="K322" i="4" s="1"/>
  <c r="B323" i="7" l="1"/>
  <c r="A322" i="7"/>
  <c r="DK44" i="6"/>
  <c r="DK47" i="6"/>
  <c r="DK52" i="6" s="1"/>
  <c r="DK8" i="6"/>
  <c r="DK9" i="6" s="1"/>
  <c r="F109" i="7"/>
  <c r="D109" i="7"/>
  <c r="DL37" i="6" s="1"/>
  <c r="DL58" i="6"/>
  <c r="DL60" i="6" s="1"/>
  <c r="MF28" i="6"/>
  <c r="MS69" i="6"/>
  <c r="MS70" i="6" s="1"/>
  <c r="MT68" i="6"/>
  <c r="MI16" i="6"/>
  <c r="MH17" i="6"/>
  <c r="MH18" i="6" s="1"/>
  <c r="MK1" i="6"/>
  <c r="MU51" i="6"/>
  <c r="MV22" i="6"/>
  <c r="KO65" i="6"/>
  <c r="KP64" i="6" s="1"/>
  <c r="MG25" i="6"/>
  <c r="MG27" i="6" s="1"/>
  <c r="MH20" i="6"/>
  <c r="I322" i="7"/>
  <c r="MI38" i="6" s="1"/>
  <c r="K322" i="7"/>
  <c r="H323" i="7"/>
  <c r="J321" i="7"/>
  <c r="MH49" i="6" s="1"/>
  <c r="MH73" i="6"/>
  <c r="MI10" i="6"/>
  <c r="MJ55" i="6"/>
  <c r="MJ30" i="6"/>
  <c r="MH31" i="6"/>
  <c r="MG32" i="6"/>
  <c r="MF34" i="6"/>
  <c r="MI59" i="6"/>
  <c r="D167" i="4"/>
  <c r="E167" i="4"/>
  <c r="I322" i="4"/>
  <c r="B323" i="4"/>
  <c r="A322" i="4"/>
  <c r="B324" i="7" l="1"/>
  <c r="A323" i="7"/>
  <c r="DL39" i="6"/>
  <c r="DL42" i="6"/>
  <c r="E109" i="7"/>
  <c r="DL72" i="6"/>
  <c r="DL78" i="6" s="1"/>
  <c r="DL80" i="6" s="1"/>
  <c r="DL82" i="6" s="1"/>
  <c r="DK5" i="6"/>
  <c r="DK7" i="6" s="1"/>
  <c r="DK4" i="6"/>
  <c r="DK56" i="6"/>
  <c r="MG28" i="6"/>
  <c r="KP65" i="6"/>
  <c r="MF35" i="6"/>
  <c r="MG34" i="6"/>
  <c r="K323" i="7"/>
  <c r="I323" i="7"/>
  <c r="MJ38" i="6" s="1"/>
  <c r="H324" i="7"/>
  <c r="MK59" i="6"/>
  <c r="ML1" i="6"/>
  <c r="J322" i="7"/>
  <c r="MI49" i="6" s="1"/>
  <c r="MI73" i="6"/>
  <c r="MW22" i="6"/>
  <c r="MV51" i="6"/>
  <c r="MI31" i="6"/>
  <c r="MH32" i="6"/>
  <c r="MK30" i="6"/>
  <c r="MI20" i="6"/>
  <c r="MH25" i="6"/>
  <c r="MI17" i="6"/>
  <c r="MI18" i="6" s="1"/>
  <c r="MJ16" i="6"/>
  <c r="MT69" i="6"/>
  <c r="MT70" i="6" s="1"/>
  <c r="MU68" i="6"/>
  <c r="MJ10" i="6"/>
  <c r="MK55" i="6"/>
  <c r="MJ59" i="6"/>
  <c r="B324" i="4"/>
  <c r="A323" i="4"/>
  <c r="I323" i="4"/>
  <c r="K323" i="4"/>
  <c r="K324" i="4" s="1"/>
  <c r="F167" i="4"/>
  <c r="G167" i="4" s="1"/>
  <c r="L167" i="4"/>
  <c r="MH34" i="6" l="1"/>
  <c r="MH35" i="6" s="1"/>
  <c r="B325" i="7"/>
  <c r="A324" i="7"/>
  <c r="DK57" i="6"/>
  <c r="DK61" i="6" s="1"/>
  <c r="DK11" i="6" s="1"/>
  <c r="DK6" i="6"/>
  <c r="DL48" i="6"/>
  <c r="C110" i="7"/>
  <c r="DL43" i="6"/>
  <c r="DL40" i="6"/>
  <c r="MH27" i="6"/>
  <c r="MK16" i="6"/>
  <c r="MJ17" i="6"/>
  <c r="MJ18" i="6" s="1"/>
  <c r="K324" i="7"/>
  <c r="I324" i="7"/>
  <c r="MK38" i="6" s="1"/>
  <c r="H325" i="7"/>
  <c r="KQ64" i="6"/>
  <c r="MV68" i="6"/>
  <c r="MU69" i="6"/>
  <c r="MU70" i="6" s="1"/>
  <c r="MJ31" i="6"/>
  <c r="MI32" i="6"/>
  <c r="MW51" i="6"/>
  <c r="MX22" i="6"/>
  <c r="MK10" i="6"/>
  <c r="ML55" i="6"/>
  <c r="J323" i="7"/>
  <c r="MJ49" i="6" s="1"/>
  <c r="MJ73" i="6"/>
  <c r="MJ20" i="6"/>
  <c r="MI25" i="6"/>
  <c r="ML30" i="6"/>
  <c r="ML59" i="6"/>
  <c r="MM1" i="6"/>
  <c r="MG35" i="6"/>
  <c r="E168" i="4"/>
  <c r="D168" i="4"/>
  <c r="I324" i="4"/>
  <c r="A324" i="4"/>
  <c r="B325" i="4"/>
  <c r="MI34" i="6" l="1"/>
  <c r="MI35" i="6" s="1"/>
  <c r="B326" i="7"/>
  <c r="A325" i="7"/>
  <c r="DL47" i="6"/>
  <c r="DL52" i="6" s="1"/>
  <c r="DL8" i="6"/>
  <c r="DL9" i="6" s="1"/>
  <c r="DL44" i="6"/>
  <c r="DM58" i="6"/>
  <c r="F110" i="7"/>
  <c r="D110" i="7"/>
  <c r="DM37" i="6" s="1"/>
  <c r="MO1" i="6"/>
  <c r="MN1" i="6"/>
  <c r="MM59" i="6"/>
  <c r="MN59" i="6" s="1"/>
  <c r="ML16" i="6"/>
  <c r="MK17" i="6"/>
  <c r="MK18" i="6" s="1"/>
  <c r="MK31" i="6"/>
  <c r="MJ32" i="6"/>
  <c r="MH28" i="6"/>
  <c r="KQ65" i="6"/>
  <c r="KR64" i="6" s="1"/>
  <c r="I325" i="7"/>
  <c r="ML38" i="6" s="1"/>
  <c r="H326" i="7"/>
  <c r="K325" i="7"/>
  <c r="MM55" i="6"/>
  <c r="ML10" i="6"/>
  <c r="MM30" i="6"/>
  <c r="J324" i="7"/>
  <c r="MK49" i="6" s="1"/>
  <c r="MK73" i="6"/>
  <c r="MK20" i="6"/>
  <c r="MJ25" i="6"/>
  <c r="MJ27" i="6" s="1"/>
  <c r="MJ28" i="6" s="1"/>
  <c r="MI27" i="6"/>
  <c r="MI28" i="6" s="1"/>
  <c r="MV69" i="6"/>
  <c r="MV70" i="6" s="1"/>
  <c r="MW68" i="6"/>
  <c r="MX51" i="6"/>
  <c r="MY22" i="6"/>
  <c r="A325" i="4"/>
  <c r="B326" i="4"/>
  <c r="I325" i="4"/>
  <c r="K325" i="4"/>
  <c r="K326" i="4" s="1"/>
  <c r="F168" i="4"/>
  <c r="G168" i="4" s="1"/>
  <c r="L168" i="4"/>
  <c r="B327" i="7" l="1"/>
  <c r="A326" i="7"/>
  <c r="DM60" i="6"/>
  <c r="DN60" i="6" s="1"/>
  <c r="DN58" i="6"/>
  <c r="E110" i="7"/>
  <c r="DM72" i="6"/>
  <c r="DM39" i="6"/>
  <c r="DM42" i="6"/>
  <c r="DN42" i="6" s="1"/>
  <c r="DN37" i="6"/>
  <c r="DL4" i="6"/>
  <c r="DL5" i="6"/>
  <c r="DL7" i="6" s="1"/>
  <c r="DL56" i="6"/>
  <c r="MM16" i="6"/>
  <c r="ML17" i="6"/>
  <c r="ML18" i="6" s="1"/>
  <c r="MZ22" i="6"/>
  <c r="MY51" i="6"/>
  <c r="MO30" i="6"/>
  <c r="MN30" i="6"/>
  <c r="J325" i="7"/>
  <c r="ML49" i="6" s="1"/>
  <c r="ML73" i="6"/>
  <c r="MP1" i="6"/>
  <c r="MO59" i="6"/>
  <c r="MK25" i="6"/>
  <c r="MK27" i="6" s="1"/>
  <c r="MK28" i="6" s="1"/>
  <c r="ML20" i="6"/>
  <c r="MX68" i="6"/>
  <c r="MW69" i="6"/>
  <c r="MW70" i="6" s="1"/>
  <c r="ML31" i="6"/>
  <c r="MK32" i="6"/>
  <c r="KR65" i="6"/>
  <c r="KS64" i="6" s="1"/>
  <c r="K326" i="7"/>
  <c r="H327" i="7"/>
  <c r="I326" i="7"/>
  <c r="MM38" i="6" s="1"/>
  <c r="MN38" i="6" s="1"/>
  <c r="MO55" i="6"/>
  <c r="MN55" i="6"/>
  <c r="MM10" i="6"/>
  <c r="MN10" i="6" s="1"/>
  <c r="MJ34" i="6"/>
  <c r="E169" i="4"/>
  <c r="D169" i="4"/>
  <c r="A326" i="4"/>
  <c r="B327" i="4"/>
  <c r="K327" i="4"/>
  <c r="I326" i="4"/>
  <c r="B328" i="7" l="1"/>
  <c r="A327" i="7"/>
  <c r="DM78" i="6"/>
  <c r="DN72" i="6"/>
  <c r="DL6" i="6"/>
  <c r="DL57" i="6"/>
  <c r="DL61" i="6" s="1"/>
  <c r="DL11" i="6" s="1"/>
  <c r="DM40" i="6"/>
  <c r="DM43" i="6"/>
  <c r="DN39" i="6"/>
  <c r="DN40" i="6" s="1"/>
  <c r="DM48" i="6"/>
  <c r="DN48" i="6" s="1"/>
  <c r="C111" i="7"/>
  <c r="G39" i="3" s="1"/>
  <c r="H39" i="3" s="1"/>
  <c r="MY68" i="6"/>
  <c r="MX69" i="6"/>
  <c r="MX70" i="6" s="1"/>
  <c r="MQ1" i="6"/>
  <c r="MM17" i="6"/>
  <c r="MN17" i="6" s="1"/>
  <c r="MO16" i="6"/>
  <c r="MN16" i="6"/>
  <c r="MP30" i="6"/>
  <c r="MP55" i="6"/>
  <c r="MO10" i="6"/>
  <c r="MM31" i="6"/>
  <c r="ML32" i="6"/>
  <c r="MJ35" i="6"/>
  <c r="MM20" i="6"/>
  <c r="ML25" i="6"/>
  <c r="ML27" i="6" s="1"/>
  <c r="ML28" i="6" s="1"/>
  <c r="MZ51" i="6"/>
  <c r="NA51" i="6" s="1"/>
  <c r="NB22" i="6"/>
  <c r="NA22" i="6"/>
  <c r="KS65" i="6"/>
  <c r="KT64" i="6" s="1"/>
  <c r="MK34" i="6"/>
  <c r="I327" i="7"/>
  <c r="MO38" i="6" s="1"/>
  <c r="H328" i="7"/>
  <c r="K327" i="7"/>
  <c r="J326" i="7"/>
  <c r="MM49" i="6" s="1"/>
  <c r="MN49" i="6" s="1"/>
  <c r="MM73" i="6"/>
  <c r="MN73" i="6" s="1"/>
  <c r="I327" i="4"/>
  <c r="B328" i="4"/>
  <c r="A327" i="4"/>
  <c r="F169" i="4"/>
  <c r="G169" i="4" s="1"/>
  <c r="L169" i="4"/>
  <c r="MM18" i="6" l="1"/>
  <c r="MN18" i="6" s="1"/>
  <c r="B329" i="7"/>
  <c r="A328" i="7"/>
  <c r="DO58" i="6"/>
  <c r="DO60" i="6" s="1"/>
  <c r="D111" i="7"/>
  <c r="DO37" i="6" s="1"/>
  <c r="F111" i="7"/>
  <c r="DM47" i="6"/>
  <c r="DM8" i="6"/>
  <c r="DM44" i="6"/>
  <c r="DN43" i="6"/>
  <c r="DN44" i="6" s="1"/>
  <c r="DM80" i="6"/>
  <c r="DN78" i="6"/>
  <c r="KT65" i="6"/>
  <c r="KU64" i="6" s="1"/>
  <c r="MO20" i="6"/>
  <c r="MM25" i="6"/>
  <c r="MN25" i="6" s="1"/>
  <c r="MN20" i="6"/>
  <c r="NC22" i="6"/>
  <c r="NB51" i="6"/>
  <c r="J327" i="7"/>
  <c r="MO49" i="6" s="1"/>
  <c r="MO73" i="6"/>
  <c r="H329" i="7"/>
  <c r="MQ59" i="6" s="1"/>
  <c r="K328" i="7"/>
  <c r="I328" i="7"/>
  <c r="MP38" i="6" s="1"/>
  <c r="MQ55" i="6"/>
  <c r="MP10" i="6"/>
  <c r="MZ68" i="6"/>
  <c r="MY69" i="6"/>
  <c r="MY70" i="6" s="1"/>
  <c r="MP16" i="6"/>
  <c r="MO17" i="6"/>
  <c r="MP59" i="6"/>
  <c r="MK35" i="6"/>
  <c r="MO31" i="6"/>
  <c r="MN31" i="6"/>
  <c r="MM32" i="6"/>
  <c r="MN32" i="6" s="1"/>
  <c r="ML34" i="6"/>
  <c r="MQ30" i="6"/>
  <c r="MR1" i="6"/>
  <c r="B329" i="4"/>
  <c r="A328" i="4"/>
  <c r="K328" i="4"/>
  <c r="E170" i="4"/>
  <c r="D170" i="4"/>
  <c r="I328" i="4"/>
  <c r="MM34" i="6" l="1"/>
  <c r="MN34" i="6" s="1"/>
  <c r="MN35" i="6" s="1"/>
  <c r="MM27" i="6"/>
  <c r="MM28" i="6" s="1"/>
  <c r="B330" i="7"/>
  <c r="A329" i="7"/>
  <c r="DM82" i="6"/>
  <c r="DN82" i="6" s="1"/>
  <c r="DN80" i="6"/>
  <c r="E38" i="3" s="1"/>
  <c r="DM9" i="6"/>
  <c r="DN9" i="6" s="1"/>
  <c r="DN8" i="6"/>
  <c r="DM52" i="6"/>
  <c r="DN47" i="6"/>
  <c r="DO42" i="6"/>
  <c r="DO39" i="6"/>
  <c r="E111" i="7"/>
  <c r="DO72" i="6"/>
  <c r="NB68" i="6"/>
  <c r="MZ69" i="6"/>
  <c r="NA69" i="6" s="1"/>
  <c r="NA68" i="6"/>
  <c r="K329" i="7"/>
  <c r="I329" i="7"/>
  <c r="MQ38" i="6" s="1"/>
  <c r="H330" i="7"/>
  <c r="MR59" i="6" s="1"/>
  <c r="MP31" i="6"/>
  <c r="MO32" i="6"/>
  <c r="MP20" i="6"/>
  <c r="MO25" i="6"/>
  <c r="MR30" i="6"/>
  <c r="MR55" i="6"/>
  <c r="MQ10" i="6"/>
  <c r="ML35" i="6"/>
  <c r="MS1" i="6"/>
  <c r="MO18" i="6"/>
  <c r="KU65" i="6"/>
  <c r="KV64" i="6" s="1"/>
  <c r="J328" i="7"/>
  <c r="MP49" i="6" s="1"/>
  <c r="MP73" i="6"/>
  <c r="MQ16" i="6"/>
  <c r="MP17" i="6"/>
  <c r="ND22" i="6"/>
  <c r="NC51" i="6"/>
  <c r="F170" i="4"/>
  <c r="G170" i="4" s="1"/>
  <c r="L170" i="4"/>
  <c r="B330" i="4"/>
  <c r="A329" i="4"/>
  <c r="I329" i="4"/>
  <c r="K329" i="4"/>
  <c r="K330" i="4" s="1"/>
  <c r="MN27" i="6" l="1"/>
  <c r="MN28" i="6" s="1"/>
  <c r="MM35" i="6"/>
  <c r="MZ70" i="6"/>
  <c r="NA70" i="6" s="1"/>
  <c r="K38" i="3"/>
  <c r="L38" i="3"/>
  <c r="B331" i="7"/>
  <c r="A330" i="7"/>
  <c r="DO78" i="6"/>
  <c r="DO48" i="6"/>
  <c r="C112" i="7"/>
  <c r="DO43" i="6"/>
  <c r="DO40" i="6"/>
  <c r="DM4" i="6"/>
  <c r="DN4" i="6" s="1"/>
  <c r="DM5" i="6"/>
  <c r="DN52" i="6"/>
  <c r="DM56" i="6"/>
  <c r="MQ17" i="6"/>
  <c r="MQ18" i="6" s="1"/>
  <c r="MR16" i="6"/>
  <c r="MQ31" i="6"/>
  <c r="MP32" i="6"/>
  <c r="MT1" i="6"/>
  <c r="MS30" i="6"/>
  <c r="MP18" i="6"/>
  <c r="H331" i="7"/>
  <c r="MS59" i="6" s="1"/>
  <c r="I330" i="7"/>
  <c r="MR38" i="6" s="1"/>
  <c r="K330" i="7"/>
  <c r="KV65" i="6"/>
  <c r="KW64" i="6" s="1"/>
  <c r="J329" i="7"/>
  <c r="MQ49" i="6" s="1"/>
  <c r="MQ73" i="6"/>
  <c r="MO27" i="6"/>
  <c r="MO34" i="6"/>
  <c r="ND51" i="6"/>
  <c r="NE22" i="6"/>
  <c r="MS55" i="6"/>
  <c r="MR10" i="6"/>
  <c r="MP25" i="6"/>
  <c r="MQ20" i="6"/>
  <c r="NB69" i="6"/>
  <c r="NC68" i="6"/>
  <c r="I330" i="4"/>
  <c r="A330" i="4"/>
  <c r="B331" i="4"/>
  <c r="E171" i="4"/>
  <c r="D171" i="4"/>
  <c r="B332" i="7" l="1"/>
  <c r="A331" i="7"/>
  <c r="DN5" i="6"/>
  <c r="DM7" i="6"/>
  <c r="DM57" i="6"/>
  <c r="DM61" i="6" s="1"/>
  <c r="DN56" i="6"/>
  <c r="DM6" i="6"/>
  <c r="DO47" i="6"/>
  <c r="DO44" i="6"/>
  <c r="DO8" i="6"/>
  <c r="F112" i="7"/>
  <c r="D112" i="7"/>
  <c r="DP37" i="6" s="1"/>
  <c r="DP58" i="6"/>
  <c r="DP60" i="6" s="1"/>
  <c r="DO80" i="6"/>
  <c r="KW65" i="6"/>
  <c r="KX64" i="6" s="1"/>
  <c r="MR31" i="6"/>
  <c r="MQ32" i="6"/>
  <c r="J330" i="7"/>
  <c r="MR49" i="6" s="1"/>
  <c r="MR73" i="6"/>
  <c r="I331" i="7"/>
  <c r="MS38" i="6" s="1"/>
  <c r="H332" i="7"/>
  <c r="MT59" i="6" s="1"/>
  <c r="K331" i="7"/>
  <c r="MP27" i="6"/>
  <c r="MP28" i="6" s="1"/>
  <c r="MP34" i="6"/>
  <c r="NF22" i="6"/>
  <c r="NE51" i="6"/>
  <c r="MT55" i="6"/>
  <c r="MS10" i="6"/>
  <c r="ND68" i="6"/>
  <c r="NC69" i="6"/>
  <c r="NC70" i="6" s="1"/>
  <c r="MT30" i="6"/>
  <c r="MU1" i="6"/>
  <c r="MO28" i="6"/>
  <c r="MQ25" i="6"/>
  <c r="MQ27" i="6" s="1"/>
  <c r="MQ28" i="6" s="1"/>
  <c r="MR20" i="6"/>
  <c r="MS16" i="6"/>
  <c r="MR17" i="6"/>
  <c r="MR18" i="6" s="1"/>
  <c r="NB70" i="6"/>
  <c r="MO35" i="6"/>
  <c r="B332" i="4"/>
  <c r="A331" i="4"/>
  <c r="F171" i="4"/>
  <c r="G171" i="4" s="1"/>
  <c r="L171" i="4"/>
  <c r="K331" i="4"/>
  <c r="K332" i="4" s="1"/>
  <c r="I331" i="4"/>
  <c r="MQ34" i="6" l="1"/>
  <c r="MQ35" i="6" s="1"/>
  <c r="B333" i="7"/>
  <c r="A332" i="7"/>
  <c r="DO82" i="6"/>
  <c r="DO9" i="6"/>
  <c r="DM11" i="6"/>
  <c r="DN61" i="6"/>
  <c r="DN11" i="6" s="1"/>
  <c r="DN12" i="6" s="1"/>
  <c r="DN7" i="6"/>
  <c r="DN13" i="6" s="1"/>
  <c r="DP42" i="6"/>
  <c r="DP39" i="6"/>
  <c r="E112" i="7"/>
  <c r="DP72" i="6"/>
  <c r="DO52" i="6"/>
  <c r="DN6" i="6"/>
  <c r="DN57" i="6"/>
  <c r="MS17" i="6"/>
  <c r="MS18" i="6" s="1"/>
  <c r="MT16" i="6"/>
  <c r="NE68" i="6"/>
  <c r="ND69" i="6"/>
  <c r="ND70" i="6" s="1"/>
  <c r="MP35" i="6"/>
  <c r="MS31" i="6"/>
  <c r="MR32" i="6"/>
  <c r="MU30" i="6"/>
  <c r="KX65" i="6"/>
  <c r="KY64" i="6" s="1"/>
  <c r="MR25" i="6"/>
  <c r="MS20" i="6"/>
  <c r="J331" i="7"/>
  <c r="MS49" i="6" s="1"/>
  <c r="MS73" i="6"/>
  <c r="MV1" i="6"/>
  <c r="NF51" i="6"/>
  <c r="NG22" i="6"/>
  <c r="MU55" i="6"/>
  <c r="MT10" i="6"/>
  <c r="I332" i="7"/>
  <c r="MT38" i="6" s="1"/>
  <c r="H333" i="7"/>
  <c r="K332" i="7"/>
  <c r="I332" i="4"/>
  <c r="E172" i="4"/>
  <c r="D172" i="4"/>
  <c r="A332" i="4"/>
  <c r="B333" i="4"/>
  <c r="B334" i="7" l="1"/>
  <c r="A333" i="7"/>
  <c r="DO5" i="6"/>
  <c r="DO4" i="6"/>
  <c r="DO56" i="6"/>
  <c r="DP78" i="6"/>
  <c r="DP48" i="6"/>
  <c r="C113" i="7"/>
  <c r="DP40" i="6"/>
  <c r="DP43" i="6"/>
  <c r="NF68" i="6"/>
  <c r="NE69" i="6"/>
  <c r="NE70" i="6" s="1"/>
  <c r="MS25" i="6"/>
  <c r="MS34" i="6" s="1"/>
  <c r="MT20" i="6"/>
  <c r="NH22" i="6"/>
  <c r="NG51" i="6"/>
  <c r="MV30" i="6"/>
  <c r="MT17" i="6"/>
  <c r="MT18" i="6" s="1"/>
  <c r="MU16" i="6"/>
  <c r="MW1" i="6"/>
  <c r="K333" i="7"/>
  <c r="H334" i="7"/>
  <c r="MV59" i="6" s="1"/>
  <c r="I333" i="7"/>
  <c r="MU38" i="6" s="1"/>
  <c r="MU10" i="6"/>
  <c r="MV55" i="6"/>
  <c r="J332" i="7"/>
  <c r="MT49" i="6" s="1"/>
  <c r="MT73" i="6"/>
  <c r="KY65" i="6"/>
  <c r="KZ64" i="6" s="1"/>
  <c r="MR27" i="6"/>
  <c r="MR34" i="6"/>
  <c r="MU59" i="6"/>
  <c r="MT31" i="6"/>
  <c r="MS32" i="6"/>
  <c r="B334" i="4"/>
  <c r="A333" i="4"/>
  <c r="F172" i="4"/>
  <c r="G172" i="4" s="1"/>
  <c r="L172" i="4"/>
  <c r="K333" i="4"/>
  <c r="K334" i="4" s="1"/>
  <c r="I333" i="4"/>
  <c r="B335" i="7" l="1"/>
  <c r="A334" i="7"/>
  <c r="D113" i="7"/>
  <c r="DQ37" i="6" s="1"/>
  <c r="DQ58" i="6"/>
  <c r="DQ60" i="6" s="1"/>
  <c r="F113" i="7"/>
  <c r="DP44" i="6"/>
  <c r="DP47" i="6"/>
  <c r="DP8" i="6"/>
  <c r="DO57" i="6"/>
  <c r="DO61" i="6" s="1"/>
  <c r="DO11" i="6" s="1"/>
  <c r="DO6" i="6"/>
  <c r="DP80" i="6"/>
  <c r="DO7" i="6"/>
  <c r="LA64" i="6"/>
  <c r="KZ65" i="6"/>
  <c r="LA65" i="6" s="1"/>
  <c r="MS35" i="6"/>
  <c r="MV16" i="6"/>
  <c r="MU17" i="6"/>
  <c r="MU18" i="6" s="1"/>
  <c r="MS27" i="6"/>
  <c r="MS28" i="6" s="1"/>
  <c r="MT25" i="6"/>
  <c r="MT27" i="6" s="1"/>
  <c r="MT28" i="6" s="1"/>
  <c r="MU20" i="6"/>
  <c r="MR35" i="6"/>
  <c r="MX1" i="6"/>
  <c r="K334" i="7"/>
  <c r="I334" i="7"/>
  <c r="MV38" i="6" s="1"/>
  <c r="H335" i="7"/>
  <c r="MW59" i="6" s="1"/>
  <c r="J333" i="7"/>
  <c r="MU49" i="6" s="1"/>
  <c r="MU73" i="6"/>
  <c r="MR28" i="6"/>
  <c r="MW30" i="6"/>
  <c r="NH51" i="6"/>
  <c r="NI22" i="6"/>
  <c r="NF69" i="6"/>
  <c r="NG68" i="6"/>
  <c r="MU31" i="6"/>
  <c r="MT32" i="6"/>
  <c r="MV10" i="6"/>
  <c r="MW55" i="6"/>
  <c r="I334" i="4"/>
  <c r="D173" i="4"/>
  <c r="E173" i="4"/>
  <c r="A334" i="4"/>
  <c r="B335" i="4"/>
  <c r="MT34" i="6" l="1"/>
  <c r="MT35" i="6" s="1"/>
  <c r="B336" i="7"/>
  <c r="A335" i="7"/>
  <c r="DP9" i="6"/>
  <c r="DP52" i="6"/>
  <c r="DP82" i="6"/>
  <c r="E113" i="7"/>
  <c r="DQ72" i="6"/>
  <c r="DQ42" i="6"/>
  <c r="DQ39" i="6"/>
  <c r="MX30" i="6"/>
  <c r="MW10" i="6"/>
  <c r="MX55" i="6"/>
  <c r="NI51" i="6"/>
  <c r="NJ22" i="6"/>
  <c r="K335" i="7"/>
  <c r="H336" i="7"/>
  <c r="I335" i="7"/>
  <c r="MW38" i="6" s="1"/>
  <c r="J334" i="7"/>
  <c r="MV49" i="6" s="1"/>
  <c r="MV73" i="6"/>
  <c r="MW16" i="6"/>
  <c r="MV17" i="6"/>
  <c r="MV18" i="6" s="1"/>
  <c r="MY1" i="6"/>
  <c r="MV31" i="6"/>
  <c r="MU32" i="6"/>
  <c r="NF70" i="6"/>
  <c r="NG69" i="6"/>
  <c r="NG70" i="6" s="1"/>
  <c r="NH68" i="6"/>
  <c r="MV20" i="6"/>
  <c r="MU25" i="6"/>
  <c r="MU27" i="6" s="1"/>
  <c r="LB64" i="6"/>
  <c r="A335" i="4"/>
  <c r="B336" i="4"/>
  <c r="I335" i="4"/>
  <c r="F173" i="4"/>
  <c r="G173" i="4" s="1"/>
  <c r="L173" i="4"/>
  <c r="K335" i="4"/>
  <c r="K336" i="4" s="1"/>
  <c r="B337" i="7" l="1"/>
  <c r="A336" i="7"/>
  <c r="DQ78" i="6"/>
  <c r="DQ43" i="6"/>
  <c r="DQ40" i="6"/>
  <c r="DQ48" i="6"/>
  <c r="C114" i="7"/>
  <c r="DP5" i="6"/>
  <c r="DP4" i="6"/>
  <c r="DP56" i="6"/>
  <c r="MU28" i="6"/>
  <c r="MY30" i="6"/>
  <c r="LB65" i="6"/>
  <c r="MW20" i="6"/>
  <c r="MV25" i="6"/>
  <c r="MV27" i="6" s="1"/>
  <c r="J335" i="7"/>
  <c r="MW49" i="6" s="1"/>
  <c r="MW73" i="6"/>
  <c r="MU34" i="6"/>
  <c r="NI68" i="6"/>
  <c r="NH69" i="6"/>
  <c r="NH70" i="6" s="1"/>
  <c r="H337" i="7"/>
  <c r="MY59" i="6" s="1"/>
  <c r="K336" i="7"/>
  <c r="I336" i="7"/>
  <c r="MX38" i="6" s="1"/>
  <c r="NK22" i="6"/>
  <c r="NJ51" i="6"/>
  <c r="MW17" i="6"/>
  <c r="MW18" i="6" s="1"/>
  <c r="MX16" i="6"/>
  <c r="MZ1" i="6"/>
  <c r="MX59" i="6"/>
  <c r="MW31" i="6"/>
  <c r="MV32" i="6"/>
  <c r="MY55" i="6"/>
  <c r="MX10" i="6"/>
  <c r="B337" i="4"/>
  <c r="A336" i="4"/>
  <c r="E174" i="4"/>
  <c r="D174" i="4"/>
  <c r="I336" i="4"/>
  <c r="B338" i="7" l="1"/>
  <c r="A337" i="7"/>
  <c r="D114" i="7"/>
  <c r="DR37" i="6" s="1"/>
  <c r="F114" i="7"/>
  <c r="DR58" i="6"/>
  <c r="DR60" i="6" s="1"/>
  <c r="DP6" i="6"/>
  <c r="DP57" i="6"/>
  <c r="DP61" i="6" s="1"/>
  <c r="DP11" i="6" s="1"/>
  <c r="DQ47" i="6"/>
  <c r="DQ44" i="6"/>
  <c r="DQ8" i="6"/>
  <c r="DP7" i="6"/>
  <c r="DQ80" i="6"/>
  <c r="MV28" i="6"/>
  <c r="MZ55" i="6"/>
  <c r="MY10" i="6"/>
  <c r="MU35" i="6"/>
  <c r="MZ30" i="6"/>
  <c r="LC64" i="6"/>
  <c r="MX17" i="6"/>
  <c r="MX18" i="6" s="1"/>
  <c r="MY16" i="6"/>
  <c r="NI69" i="6"/>
  <c r="NI70" i="6" s="1"/>
  <c r="NJ68" i="6"/>
  <c r="MX20" i="6"/>
  <c r="MW25" i="6"/>
  <c r="NK51" i="6"/>
  <c r="NL22" i="6"/>
  <c r="MX31" i="6"/>
  <c r="MW32" i="6"/>
  <c r="I337" i="7"/>
  <c r="MY38" i="6" s="1"/>
  <c r="H338" i="7"/>
  <c r="K337" i="7"/>
  <c r="MZ59" i="6"/>
  <c r="NA59" i="6" s="1"/>
  <c r="NA1" i="6"/>
  <c r="NB1" i="6"/>
  <c r="J336" i="7"/>
  <c r="MX49" i="6" s="1"/>
  <c r="MX73" i="6"/>
  <c r="MV34" i="6"/>
  <c r="I337" i="4"/>
  <c r="F174" i="4"/>
  <c r="G174" i="4" s="1"/>
  <c r="L174" i="4"/>
  <c r="A337" i="4"/>
  <c r="B338" i="4"/>
  <c r="K337" i="4"/>
  <c r="K338" i="4" s="1"/>
  <c r="MW34" i="6" l="1"/>
  <c r="MW35" i="6" s="1"/>
  <c r="B339" i="7"/>
  <c r="A338" i="7"/>
  <c r="DR42" i="6"/>
  <c r="DR39" i="6"/>
  <c r="DQ82" i="6"/>
  <c r="DQ9" i="6"/>
  <c r="DQ52" i="6"/>
  <c r="E114" i="7"/>
  <c r="DR72" i="6"/>
  <c r="LC65" i="6"/>
  <c r="LD64" i="6" s="1"/>
  <c r="MW27" i="6"/>
  <c r="MW28" i="6" s="1"/>
  <c r="J337" i="7"/>
  <c r="MY49" i="6" s="1"/>
  <c r="MY73" i="6"/>
  <c r="NK68" i="6"/>
  <c r="NJ69" i="6"/>
  <c r="NJ70" i="6" s="1"/>
  <c r="NB30" i="6"/>
  <c r="NA30" i="6"/>
  <c r="MY31" i="6"/>
  <c r="MX32" i="6"/>
  <c r="NL51" i="6"/>
  <c r="NM22" i="6"/>
  <c r="NA55" i="6"/>
  <c r="MZ10" i="6"/>
  <c r="NA10" i="6" s="1"/>
  <c r="NB55" i="6"/>
  <c r="MV35" i="6"/>
  <c r="K338" i="7"/>
  <c r="I338" i="7"/>
  <c r="MZ38" i="6" s="1"/>
  <c r="NA38" i="6" s="1"/>
  <c r="H339" i="7"/>
  <c r="NC1" i="6"/>
  <c r="MY17" i="6"/>
  <c r="MY18" i="6" s="1"/>
  <c r="MZ16" i="6"/>
  <c r="MY20" i="6"/>
  <c r="MX25" i="6"/>
  <c r="MX27" i="6" s="1"/>
  <c r="MX28" i="6" s="1"/>
  <c r="I338" i="4"/>
  <c r="B339" i="4"/>
  <c r="A338" i="4"/>
  <c r="E175" i="4"/>
  <c r="D175" i="4"/>
  <c r="B340" i="7" l="1"/>
  <c r="A339" i="7"/>
  <c r="DR78" i="6"/>
  <c r="DQ56" i="6"/>
  <c r="DQ5" i="6"/>
  <c r="DQ4" i="6"/>
  <c r="DR48" i="6"/>
  <c r="C115" i="7"/>
  <c r="DR43" i="6"/>
  <c r="DR40" i="6"/>
  <c r="J338" i="7"/>
  <c r="MZ49" i="6" s="1"/>
  <c r="NA49" i="6" s="1"/>
  <c r="MZ73" i="6"/>
  <c r="NA73" i="6" s="1"/>
  <c r="MZ31" i="6"/>
  <c r="MY32" i="6"/>
  <c r="NC30" i="6"/>
  <c r="I339" i="7"/>
  <c r="NB38" i="6" s="1"/>
  <c r="H340" i="7"/>
  <c r="K339" i="7"/>
  <c r="ND1" i="6"/>
  <c r="LD65" i="6"/>
  <c r="LE64" i="6" s="1"/>
  <c r="NB16" i="6"/>
  <c r="MZ17" i="6"/>
  <c r="NA17" i="6" s="1"/>
  <c r="NA16" i="6"/>
  <c r="NB59" i="6"/>
  <c r="MY25" i="6"/>
  <c r="MZ20" i="6"/>
  <c r="MX34" i="6"/>
  <c r="NO22" i="6"/>
  <c r="NM51" i="6"/>
  <c r="NN51" i="6" s="1"/>
  <c r="NN22" i="6"/>
  <c r="NC55" i="6"/>
  <c r="NB10" i="6"/>
  <c r="NL68" i="6"/>
  <c r="NK69" i="6"/>
  <c r="NK70" i="6" s="1"/>
  <c r="F175" i="4"/>
  <c r="G175" i="4" s="1"/>
  <c r="L175" i="4"/>
  <c r="A339" i="4"/>
  <c r="B340" i="4"/>
  <c r="K339" i="4"/>
  <c r="K340" i="4" s="1"/>
  <c r="I339" i="4"/>
  <c r="MY34" i="6" l="1"/>
  <c r="MY35" i="6" s="1"/>
  <c r="MZ18" i="6"/>
  <c r="NA18" i="6" s="1"/>
  <c r="B341" i="7"/>
  <c r="A340" i="7"/>
  <c r="DR47" i="6"/>
  <c r="DR44" i="6"/>
  <c r="DR8" i="6"/>
  <c r="DQ7" i="6"/>
  <c r="F115" i="7"/>
  <c r="D115" i="7"/>
  <c r="DS37" i="6" s="1"/>
  <c r="DS58" i="6"/>
  <c r="DS60" i="6" s="1"/>
  <c r="DQ6" i="6"/>
  <c r="DQ57" i="6"/>
  <c r="DQ61" i="6" s="1"/>
  <c r="DQ11" i="6" s="1"/>
  <c r="DR80" i="6"/>
  <c r="LE65" i="6"/>
  <c r="NO51" i="6"/>
  <c r="NP22" i="6"/>
  <c r="MX35" i="6"/>
  <c r="ND55" i="6"/>
  <c r="NC10" i="6"/>
  <c r="ND30" i="6"/>
  <c r="NB31" i="6"/>
  <c r="NA31" i="6"/>
  <c r="MZ32" i="6"/>
  <c r="NA32" i="6" s="1"/>
  <c r="K340" i="7"/>
  <c r="I340" i="7"/>
  <c r="NC38" i="6" s="1"/>
  <c r="H341" i="7"/>
  <c r="ND59" i="6" s="1"/>
  <c r="NE1" i="6"/>
  <c r="NC59" i="6"/>
  <c r="MY27" i="6"/>
  <c r="MY28" i="6" s="1"/>
  <c r="MZ25" i="6"/>
  <c r="NA25" i="6" s="1"/>
  <c r="NB20" i="6"/>
  <c r="NA20" i="6"/>
  <c r="J339" i="7"/>
  <c r="NB49" i="6" s="1"/>
  <c r="NB73" i="6"/>
  <c r="NM68" i="6"/>
  <c r="NL69" i="6"/>
  <c r="NL70" i="6" s="1"/>
  <c r="NB17" i="6"/>
  <c r="NB18" i="6" s="1"/>
  <c r="NC16" i="6"/>
  <c r="I340" i="4"/>
  <c r="A340" i="4"/>
  <c r="B341" i="4"/>
  <c r="E176" i="4"/>
  <c r="D176" i="4"/>
  <c r="B342" i="7" l="1"/>
  <c r="A341" i="7"/>
  <c r="DR82" i="6"/>
  <c r="DS39" i="6"/>
  <c r="DS42" i="6"/>
  <c r="E115" i="7"/>
  <c r="DS72" i="6"/>
  <c r="DR9" i="6"/>
  <c r="DR52" i="6"/>
  <c r="NC31" i="6"/>
  <c r="NB32" i="6"/>
  <c r="NF1" i="6"/>
  <c r="NE30" i="6"/>
  <c r="MZ34" i="6"/>
  <c r="H342" i="7"/>
  <c r="K341" i="7"/>
  <c r="I341" i="7"/>
  <c r="ND38" i="6" s="1"/>
  <c r="NE55" i="6"/>
  <c r="ND10" i="6"/>
  <c r="NC20" i="6"/>
  <c r="NB25" i="6"/>
  <c r="NP51" i="6"/>
  <c r="NQ22" i="6"/>
  <c r="NM69" i="6"/>
  <c r="NN69" i="6" s="1"/>
  <c r="NO68" i="6"/>
  <c r="NN68" i="6"/>
  <c r="MZ27" i="6"/>
  <c r="LF64" i="6"/>
  <c r="ND16" i="6"/>
  <c r="NC17" i="6"/>
  <c r="NC18" i="6" s="1"/>
  <c r="J340" i="7"/>
  <c r="NC49" i="6" s="1"/>
  <c r="NC73" i="6"/>
  <c r="I341" i="4"/>
  <c r="F176" i="4"/>
  <c r="G176" i="4" s="1"/>
  <c r="L176" i="4"/>
  <c r="A341" i="4"/>
  <c r="B342" i="4"/>
  <c r="K341" i="4"/>
  <c r="K342" i="4" s="1"/>
  <c r="NB34" i="6" l="1"/>
  <c r="NB35" i="6" s="1"/>
  <c r="NM70" i="6"/>
  <c r="NN70" i="6" s="1"/>
  <c r="NB27" i="6"/>
  <c r="NB28" i="6" s="1"/>
  <c r="B343" i="7"/>
  <c r="A342" i="7"/>
  <c r="DS78" i="6"/>
  <c r="DS48" i="6"/>
  <c r="C116" i="7"/>
  <c r="DR5" i="6"/>
  <c r="DR4" i="6"/>
  <c r="DR56" i="6"/>
  <c r="DS40" i="6"/>
  <c r="DS43" i="6"/>
  <c r="NE16" i="6"/>
  <c r="ND17" i="6"/>
  <c r="MZ35" i="6"/>
  <c r="NA34" i="6"/>
  <c r="NA35" i="6" s="1"/>
  <c r="ND31" i="6"/>
  <c r="NC32" i="6"/>
  <c r="H343" i="7"/>
  <c r="K342" i="7"/>
  <c r="I342" i="7"/>
  <c r="NE38" i="6" s="1"/>
  <c r="NP68" i="6"/>
  <c r="NO69" i="6"/>
  <c r="NO70" i="6" s="1"/>
  <c r="NQ51" i="6"/>
  <c r="NR22" i="6"/>
  <c r="NF55" i="6"/>
  <c r="NE10" i="6"/>
  <c r="NG1" i="6"/>
  <c r="LF65" i="6"/>
  <c r="LG64" i="6" s="1"/>
  <c r="NF30" i="6"/>
  <c r="MZ28" i="6"/>
  <c r="NA27" i="6"/>
  <c r="NA28" i="6" s="1"/>
  <c r="NC25" i="6"/>
  <c r="ND20" i="6"/>
  <c r="J341" i="7"/>
  <c r="ND49" i="6" s="1"/>
  <c r="ND73" i="6"/>
  <c r="NE59" i="6"/>
  <c r="I342" i="4"/>
  <c r="A342" i="4"/>
  <c r="B343" i="4"/>
  <c r="D177" i="4"/>
  <c r="E177" i="4"/>
  <c r="B344" i="7" l="1"/>
  <c r="A343" i="7"/>
  <c r="D116" i="7"/>
  <c r="DT37" i="6" s="1"/>
  <c r="F116" i="7"/>
  <c r="DT58" i="6"/>
  <c r="DT60" i="6" s="1"/>
  <c r="DS47" i="6"/>
  <c r="DS44" i="6"/>
  <c r="DS8" i="6"/>
  <c r="DR57" i="6"/>
  <c r="DR61" i="6" s="1"/>
  <c r="DR11" i="6" s="1"/>
  <c r="DR6" i="6"/>
  <c r="DR7" i="6"/>
  <c r="DS80" i="6"/>
  <c r="NG30" i="6"/>
  <c r="NE17" i="6"/>
  <c r="NE18" i="6" s="1"/>
  <c r="NF16" i="6"/>
  <c r="LG65" i="6"/>
  <c r="LH64" i="6" s="1"/>
  <c r="NR51" i="6"/>
  <c r="NS22" i="6"/>
  <c r="NC27" i="6"/>
  <c r="J342" i="7"/>
  <c r="NE49" i="6" s="1"/>
  <c r="NE73" i="6"/>
  <c r="I343" i="7"/>
  <c r="NF38" i="6" s="1"/>
  <c r="H344" i="7"/>
  <c r="K343" i="7"/>
  <c r="NE31" i="6"/>
  <c r="ND32" i="6"/>
  <c r="NC34" i="6"/>
  <c r="NE20" i="6"/>
  <c r="ND25" i="6"/>
  <c r="NH1" i="6"/>
  <c r="NQ68" i="6"/>
  <c r="NP69" i="6"/>
  <c r="NF59" i="6"/>
  <c r="ND18" i="6"/>
  <c r="NG55" i="6"/>
  <c r="NF10" i="6"/>
  <c r="I343" i="4"/>
  <c r="F177" i="4"/>
  <c r="G177" i="4" s="1"/>
  <c r="L177" i="4"/>
  <c r="B344" i="4"/>
  <c r="A343" i="4"/>
  <c r="K343" i="4"/>
  <c r="K344" i="4" s="1"/>
  <c r="B345" i="7" l="1"/>
  <c r="A344" i="7"/>
  <c r="E116" i="7"/>
  <c r="DT72" i="6"/>
  <c r="DT78" i="6" s="1"/>
  <c r="DT80" i="6" s="1"/>
  <c r="DT39" i="6"/>
  <c r="DT42" i="6"/>
  <c r="DS9" i="6"/>
  <c r="DS52" i="6"/>
  <c r="DS82" i="6"/>
  <c r="NH30" i="6"/>
  <c r="I344" i="7"/>
  <c r="NG38" i="6" s="1"/>
  <c r="H345" i="7"/>
  <c r="NH59" i="6" s="1"/>
  <c r="K344" i="7"/>
  <c r="NR68" i="6"/>
  <c r="NQ69" i="6"/>
  <c r="NQ70" i="6" s="1"/>
  <c r="NG59" i="6"/>
  <c r="LH65" i="6"/>
  <c r="LI64" i="6" s="1"/>
  <c r="NI1" i="6"/>
  <c r="ND34" i="6"/>
  <c r="ND27" i="6"/>
  <c r="ND28" i="6" s="1"/>
  <c r="J343" i="7"/>
  <c r="NF49" i="6" s="1"/>
  <c r="NF73" i="6"/>
  <c r="NE25" i="6"/>
  <c r="NE34" i="6" s="1"/>
  <c r="NF20" i="6"/>
  <c r="NC35" i="6"/>
  <c r="NC28" i="6"/>
  <c r="NP70" i="6"/>
  <c r="NS51" i="6"/>
  <c r="NT22" i="6"/>
  <c r="NH55" i="6"/>
  <c r="NG10" i="6"/>
  <c r="NF31" i="6"/>
  <c r="NE32" i="6"/>
  <c r="NF17" i="6"/>
  <c r="NF18" i="6" s="1"/>
  <c r="NG16" i="6"/>
  <c r="B345" i="4"/>
  <c r="A344" i="4"/>
  <c r="E178" i="4"/>
  <c r="D178" i="4"/>
  <c r="I344" i="4"/>
  <c r="NE27" i="6" l="1"/>
  <c r="NE28" i="6" s="1"/>
  <c r="DT82" i="6"/>
  <c r="B346" i="7"/>
  <c r="A345" i="7"/>
  <c r="DT48" i="6"/>
  <c r="C117" i="7"/>
  <c r="DS5" i="6"/>
  <c r="DS4" i="6"/>
  <c r="DS56" i="6"/>
  <c r="DT40" i="6"/>
  <c r="DT43" i="6"/>
  <c r="NE35" i="6"/>
  <c r="K345" i="7"/>
  <c r="I345" i="7"/>
  <c r="NH38" i="6" s="1"/>
  <c r="H346" i="7"/>
  <c r="NJ1" i="6"/>
  <c r="J344" i="7"/>
  <c r="NG49" i="6" s="1"/>
  <c r="NG73" i="6"/>
  <c r="NT51" i="6"/>
  <c r="NU22" i="6"/>
  <c r="LI65" i="6"/>
  <c r="LJ64" i="6" s="1"/>
  <c r="NI30" i="6"/>
  <c r="ND35" i="6"/>
  <c r="NR69" i="6"/>
  <c r="NR70" i="6" s="1"/>
  <c r="NS68" i="6"/>
  <c r="NG17" i="6"/>
  <c r="NG18" i="6" s="1"/>
  <c r="NH16" i="6"/>
  <c r="NG31" i="6"/>
  <c r="NF32" i="6"/>
  <c r="NG20" i="6"/>
  <c r="NF25" i="6"/>
  <c r="NF34" i="6" s="1"/>
  <c r="NH10" i="6"/>
  <c r="NI55" i="6"/>
  <c r="I345" i="4"/>
  <c r="B346" i="4"/>
  <c r="A345" i="4"/>
  <c r="F178" i="4"/>
  <c r="G178" i="4" s="1"/>
  <c r="L178" i="4"/>
  <c r="K345" i="4"/>
  <c r="K346" i="4" s="1"/>
  <c r="NF27" i="6" l="1"/>
  <c r="NF28" i="6" s="1"/>
  <c r="B347" i="7"/>
  <c r="A346" i="7"/>
  <c r="NI59" i="6"/>
  <c r="DS6" i="6"/>
  <c r="DS57" i="6"/>
  <c r="DS61" i="6" s="1"/>
  <c r="DS11" i="6" s="1"/>
  <c r="F117" i="7"/>
  <c r="D117" i="7"/>
  <c r="DU37" i="6" s="1"/>
  <c r="DU58" i="6"/>
  <c r="DU60" i="6" s="1"/>
  <c r="DT8" i="6"/>
  <c r="DT9" i="6" s="1"/>
  <c r="DT47" i="6"/>
  <c r="DT52" i="6" s="1"/>
  <c r="DT44" i="6"/>
  <c r="DS7" i="6"/>
  <c r="NF35" i="6"/>
  <c r="NI10" i="6"/>
  <c r="NJ55" i="6"/>
  <c r="NH17" i="6"/>
  <c r="NH18" i="6" s="1"/>
  <c r="NI16" i="6"/>
  <c r="NH31" i="6"/>
  <c r="NG32" i="6"/>
  <c r="NJ30" i="6"/>
  <c r="NK1" i="6"/>
  <c r="LJ65" i="6"/>
  <c r="LK64" i="6" s="1"/>
  <c r="J345" i="7"/>
  <c r="NH49" i="6" s="1"/>
  <c r="NH73" i="6"/>
  <c r="NU51" i="6"/>
  <c r="NV22" i="6"/>
  <c r="I346" i="7"/>
  <c r="NI38" i="6" s="1"/>
  <c r="H347" i="7"/>
  <c r="NJ59" i="6" s="1"/>
  <c r="K346" i="7"/>
  <c r="NT68" i="6"/>
  <c r="NS69" i="6"/>
  <c r="NS70" i="6" s="1"/>
  <c r="NG25" i="6"/>
  <c r="NG27" i="6" s="1"/>
  <c r="NH20" i="6"/>
  <c r="I346" i="4"/>
  <c r="E179" i="4"/>
  <c r="D179" i="4"/>
  <c r="A346" i="4"/>
  <c r="B347" i="4"/>
  <c r="B348" i="7" l="1"/>
  <c r="A347" i="7"/>
  <c r="DT4" i="6"/>
  <c r="DT5" i="6"/>
  <c r="DT7" i="6" s="1"/>
  <c r="DU72" i="6"/>
  <c r="DU78" i="6" s="1"/>
  <c r="DU80" i="6" s="1"/>
  <c r="DU82" i="6" s="1"/>
  <c r="E117" i="7"/>
  <c r="DU39" i="6"/>
  <c r="DU42" i="6"/>
  <c r="DT56" i="6"/>
  <c r="NG28" i="6"/>
  <c r="NK30" i="6"/>
  <c r="NW22" i="6"/>
  <c r="NV51" i="6"/>
  <c r="J346" i="7"/>
  <c r="NI49" i="6" s="1"/>
  <c r="NI73" i="6"/>
  <c r="NH25" i="6"/>
  <c r="NH27" i="6" s="1"/>
  <c r="NI20" i="6"/>
  <c r="NG34" i="6"/>
  <c r="NI31" i="6"/>
  <c r="NH32" i="6"/>
  <c r="NJ16" i="6"/>
  <c r="NI17" i="6"/>
  <c r="NI18" i="6" s="1"/>
  <c r="K347" i="7"/>
  <c r="H348" i="7"/>
  <c r="I347" i="7"/>
  <c r="NJ38" i="6" s="1"/>
  <c r="NK55" i="6"/>
  <c r="NJ10" i="6"/>
  <c r="NL1" i="6"/>
  <c r="NU68" i="6"/>
  <c r="NT69" i="6"/>
  <c r="NT70" i="6" s="1"/>
  <c r="LK65" i="6"/>
  <c r="LL64" i="6" s="1"/>
  <c r="B348" i="4"/>
  <c r="A347" i="4"/>
  <c r="F179" i="4"/>
  <c r="G179" i="4" s="1"/>
  <c r="L179" i="4"/>
  <c r="I347" i="4"/>
  <c r="K347" i="4"/>
  <c r="K348" i="4" s="1"/>
  <c r="B349" i="7" l="1"/>
  <c r="A348" i="7"/>
  <c r="DT6" i="6"/>
  <c r="DT57" i="6"/>
  <c r="DT61" i="6" s="1"/>
  <c r="DT11" i="6" s="1"/>
  <c r="DU48" i="6"/>
  <c r="C118" i="7"/>
  <c r="DU43" i="6"/>
  <c r="DU40" i="6"/>
  <c r="NH28" i="6"/>
  <c r="NG35" i="6"/>
  <c r="NH34" i="6"/>
  <c r="H349" i="7"/>
  <c r="NL59" i="6" s="1"/>
  <c r="I348" i="7"/>
  <c r="NK38" i="6" s="1"/>
  <c r="K348" i="7"/>
  <c r="NI25" i="6"/>
  <c r="NI27" i="6" s="1"/>
  <c r="NI28" i="6" s="1"/>
  <c r="NJ20" i="6"/>
  <c r="NJ31" i="6"/>
  <c r="NI32" i="6"/>
  <c r="NX22" i="6"/>
  <c r="NW51" i="6"/>
  <c r="NU69" i="6"/>
  <c r="NU70" i="6" s="1"/>
  <c r="NV68" i="6"/>
  <c r="NK10" i="6"/>
  <c r="NL55" i="6"/>
  <c r="J347" i="7"/>
  <c r="NJ49" i="6" s="1"/>
  <c r="NJ73" i="6"/>
  <c r="NK59" i="6"/>
  <c r="NK16" i="6"/>
  <c r="NJ17" i="6"/>
  <c r="NJ18" i="6" s="1"/>
  <c r="LL65" i="6"/>
  <c r="LM64" i="6" s="1"/>
  <c r="NL30" i="6"/>
  <c r="NM1" i="6"/>
  <c r="I348" i="4"/>
  <c r="E180" i="4"/>
  <c r="D180" i="4"/>
  <c r="B349" i="4"/>
  <c r="A348" i="4"/>
  <c r="B350" i="7" l="1"/>
  <c r="A349" i="7"/>
  <c r="DU47" i="6"/>
  <c r="DU52" i="6" s="1"/>
  <c r="DU44" i="6"/>
  <c r="DU8" i="6"/>
  <c r="DU9" i="6" s="1"/>
  <c r="F118" i="7"/>
  <c r="DV58" i="6"/>
  <c r="DV60" i="6" s="1"/>
  <c r="D118" i="7"/>
  <c r="DV37" i="6" s="1"/>
  <c r="NL16" i="6"/>
  <c r="NK17" i="6"/>
  <c r="NK18" i="6" s="1"/>
  <c r="NY22" i="6"/>
  <c r="NX51" i="6"/>
  <c r="NM59" i="6"/>
  <c r="NN59" i="6" s="1"/>
  <c r="NO1" i="6"/>
  <c r="NN1" i="6"/>
  <c r="LM65" i="6"/>
  <c r="LN65" i="6" s="1"/>
  <c r="LN64" i="6"/>
  <c r="NV69" i="6"/>
  <c r="NV70" i="6" s="1"/>
  <c r="NW68" i="6"/>
  <c r="NJ25" i="6"/>
  <c r="NJ27" i="6" s="1"/>
  <c r="NJ28" i="6" s="1"/>
  <c r="NK20" i="6"/>
  <c r="J348" i="7"/>
  <c r="NK49" i="6" s="1"/>
  <c r="NK73" i="6"/>
  <c r="I349" i="7"/>
  <c r="NL38" i="6" s="1"/>
  <c r="H350" i="7"/>
  <c r="K349" i="7"/>
  <c r="NM55" i="6"/>
  <c r="NL10" i="6"/>
  <c r="NK31" i="6"/>
  <c r="NJ32" i="6"/>
  <c r="NI34" i="6"/>
  <c r="NH35" i="6"/>
  <c r="NM30" i="6"/>
  <c r="I349" i="4"/>
  <c r="A349" i="4"/>
  <c r="B350" i="4"/>
  <c r="F180" i="4"/>
  <c r="G180" i="4" s="1"/>
  <c r="L180" i="4"/>
  <c r="K349" i="4"/>
  <c r="K350" i="4" s="1"/>
  <c r="LO64" i="6" l="1"/>
  <c r="LO65" i="6" s="1"/>
  <c r="LP64" i="6" s="1"/>
  <c r="B351" i="7"/>
  <c r="A350" i="7"/>
  <c r="DV39" i="6"/>
  <c r="DV42" i="6"/>
  <c r="E118" i="7"/>
  <c r="DV72" i="6"/>
  <c r="DV78" i="6" s="1"/>
  <c r="DV80" i="6" s="1"/>
  <c r="DV82" i="6" s="1"/>
  <c r="DU4" i="6"/>
  <c r="DU5" i="6"/>
  <c r="DU7" i="6" s="1"/>
  <c r="DU56" i="6"/>
  <c r="K350" i="7"/>
  <c r="H351" i="7"/>
  <c r="NO59" i="6" s="1"/>
  <c r="I350" i="7"/>
  <c r="NM38" i="6" s="1"/>
  <c r="NN38" i="6" s="1"/>
  <c r="NO30" i="6"/>
  <c r="NN30" i="6"/>
  <c r="NO55" i="6"/>
  <c r="NM10" i="6"/>
  <c r="NN10" i="6" s="1"/>
  <c r="NN55" i="6"/>
  <c r="NZ22" i="6"/>
  <c r="NY51" i="6"/>
  <c r="NP1" i="6"/>
  <c r="NL20" i="6"/>
  <c r="NK25" i="6"/>
  <c r="NK27" i="6" s="1"/>
  <c r="NK28" i="6" s="1"/>
  <c r="NI35" i="6"/>
  <c r="NX68" i="6"/>
  <c r="NW69" i="6"/>
  <c r="NW70" i="6" s="1"/>
  <c r="NJ34" i="6"/>
  <c r="J349" i="7"/>
  <c r="NL49" i="6" s="1"/>
  <c r="NL73" i="6"/>
  <c r="NM16" i="6"/>
  <c r="NL17" i="6"/>
  <c r="NL18" i="6" s="1"/>
  <c r="NL31" i="6"/>
  <c r="NK32" i="6"/>
  <c r="E181" i="4"/>
  <c r="D181" i="4"/>
  <c r="B351" i="4"/>
  <c r="A350" i="4"/>
  <c r="I350" i="4"/>
  <c r="NK34" i="6" l="1"/>
  <c r="NK35" i="6" s="1"/>
  <c r="B352" i="7"/>
  <c r="A351" i="7"/>
  <c r="DV40" i="6"/>
  <c r="DV43" i="6"/>
  <c r="DU6" i="6"/>
  <c r="DU57" i="6"/>
  <c r="DU61" i="6" s="1"/>
  <c r="DU11" i="6" s="1"/>
  <c r="DV48" i="6"/>
  <c r="C119" i="7"/>
  <c r="NX69" i="6"/>
  <c r="NX70" i="6" s="1"/>
  <c r="NY68" i="6"/>
  <c r="NP30" i="6"/>
  <c r="NM31" i="6"/>
  <c r="NL32" i="6"/>
  <c r="OB22" i="6"/>
  <c r="NZ51" i="6"/>
  <c r="OA51" i="6" s="1"/>
  <c r="OA22" i="6"/>
  <c r="NO16" i="6"/>
  <c r="NM17" i="6"/>
  <c r="NN17" i="6" s="1"/>
  <c r="NN16" i="6"/>
  <c r="H352" i="7"/>
  <c r="K351" i="7"/>
  <c r="I351" i="7"/>
  <c r="NO38" i="6" s="1"/>
  <c r="LP65" i="6"/>
  <c r="LQ64" i="6" s="1"/>
  <c r="J350" i="7"/>
  <c r="NM49" i="6" s="1"/>
  <c r="NN49" i="6" s="1"/>
  <c r="NM73" i="6"/>
  <c r="NN73" i="6" s="1"/>
  <c r="NL25" i="6"/>
  <c r="NM20" i="6"/>
  <c r="NQ1" i="6"/>
  <c r="NP55" i="6"/>
  <c r="NO10" i="6"/>
  <c r="NJ35" i="6"/>
  <c r="I351" i="4"/>
  <c r="B352" i="4"/>
  <c r="A351" i="4"/>
  <c r="F181" i="4"/>
  <c r="G181" i="4" s="1"/>
  <c r="L181" i="4"/>
  <c r="K351" i="4"/>
  <c r="K352" i="4" s="1"/>
  <c r="NL34" i="6" l="1"/>
  <c r="NL35" i="6" s="1"/>
  <c r="B353" i="7"/>
  <c r="A352" i="7"/>
  <c r="F119" i="7"/>
  <c r="D119" i="7"/>
  <c r="DW37" i="6" s="1"/>
  <c r="DW58" i="6"/>
  <c r="DW60" i="6" s="1"/>
  <c r="DV47" i="6"/>
  <c r="DV52" i="6" s="1"/>
  <c r="DV44" i="6"/>
  <c r="DV8" i="6"/>
  <c r="DV9" i="6" s="1"/>
  <c r="J351" i="7"/>
  <c r="NO49" i="6" s="1"/>
  <c r="NO73" i="6"/>
  <c r="K352" i="7"/>
  <c r="H353" i="7"/>
  <c r="NQ59" i="6" s="1"/>
  <c r="I352" i="7"/>
  <c r="NP38" i="6" s="1"/>
  <c r="NQ55" i="6"/>
  <c r="NP10" i="6"/>
  <c r="NO17" i="6"/>
  <c r="NO18" i="6" s="1"/>
  <c r="NP16" i="6"/>
  <c r="NM18" i="6"/>
  <c r="OB51" i="6"/>
  <c r="OC22" i="6"/>
  <c r="NM25" i="6"/>
  <c r="NN25" i="6" s="1"/>
  <c r="NO20" i="6"/>
  <c r="NN20" i="6"/>
  <c r="NZ68" i="6"/>
  <c r="NY69" i="6"/>
  <c r="NY70" i="6" s="1"/>
  <c r="LQ65" i="6"/>
  <c r="NO31" i="6"/>
  <c r="NN31" i="6"/>
  <c r="NM32" i="6"/>
  <c r="NN32" i="6" s="1"/>
  <c r="NR1" i="6"/>
  <c r="NL27" i="6"/>
  <c r="NL28" i="6" s="1"/>
  <c r="NP59" i="6"/>
  <c r="NQ30" i="6"/>
  <c r="E182" i="4"/>
  <c r="D182" i="4"/>
  <c r="I352" i="4"/>
  <c r="B353" i="4"/>
  <c r="A352" i="4"/>
  <c r="B354" i="7" l="1"/>
  <c r="A353" i="7"/>
  <c r="DW39" i="6"/>
  <c r="DW42" i="6"/>
  <c r="DV5" i="6"/>
  <c r="DV7" i="6" s="1"/>
  <c r="DV4" i="6"/>
  <c r="DV56" i="6"/>
  <c r="DW72" i="6"/>
  <c r="DW78" i="6" s="1"/>
  <c r="DW80" i="6" s="1"/>
  <c r="DW82" i="6" s="1"/>
  <c r="E119" i="7"/>
  <c r="J352" i="7"/>
  <c r="NP49" i="6" s="1"/>
  <c r="NP73" i="6"/>
  <c r="NS1" i="6"/>
  <c r="NR59" i="6"/>
  <c r="OC51" i="6"/>
  <c r="OD22" i="6"/>
  <c r="LR64" i="6"/>
  <c r="NP17" i="6"/>
  <c r="NP18" i="6" s="1"/>
  <c r="NQ16" i="6"/>
  <c r="NZ69" i="6"/>
  <c r="OA69" i="6" s="1"/>
  <c r="OB68" i="6"/>
  <c r="OA68" i="6"/>
  <c r="NP31" i="6"/>
  <c r="NO32" i="6"/>
  <c r="NO25" i="6"/>
  <c r="NO34" i="6" s="1"/>
  <c r="NP20" i="6"/>
  <c r="NR30" i="6"/>
  <c r="NQ10" i="6"/>
  <c r="NR55" i="6"/>
  <c r="I353" i="7"/>
  <c r="NQ38" i="6" s="1"/>
  <c r="H354" i="7"/>
  <c r="K353" i="7"/>
  <c r="NM34" i="6"/>
  <c r="NM27" i="6"/>
  <c r="NN18" i="6"/>
  <c r="A353" i="4"/>
  <c r="B354" i="4"/>
  <c r="I353" i="4"/>
  <c r="F182" i="4"/>
  <c r="G182" i="4" s="1"/>
  <c r="L182" i="4"/>
  <c r="K353" i="4"/>
  <c r="K354" i="4" s="1"/>
  <c r="NZ70" i="6" l="1"/>
  <c r="OA70" i="6" s="1"/>
  <c r="B355" i="7"/>
  <c r="A354" i="7"/>
  <c r="DW48" i="6"/>
  <c r="C120" i="7"/>
  <c r="DV6" i="6"/>
  <c r="DV57" i="6"/>
  <c r="DV61" i="6" s="1"/>
  <c r="DV11" i="6" s="1"/>
  <c r="DW40" i="6"/>
  <c r="DW43" i="6"/>
  <c r="OC68" i="6"/>
  <c r="OB69" i="6"/>
  <c r="OB70" i="6" s="1"/>
  <c r="J353" i="7"/>
  <c r="NQ49" i="6" s="1"/>
  <c r="NQ73" i="6"/>
  <c r="NM35" i="6"/>
  <c r="NN34" i="6"/>
  <c r="NN35" i="6" s="1"/>
  <c r="NS30" i="6"/>
  <c r="NT1" i="6"/>
  <c r="LR65" i="6"/>
  <c r="LS64" i="6" s="1"/>
  <c r="NS55" i="6"/>
  <c r="NR10" i="6"/>
  <c r="NQ20" i="6"/>
  <c r="NP25" i="6"/>
  <c r="NM28" i="6"/>
  <c r="NN27" i="6"/>
  <c r="NN28" i="6" s="1"/>
  <c r="NQ17" i="6"/>
  <c r="NQ18" i="6" s="1"/>
  <c r="NR16" i="6"/>
  <c r="NQ31" i="6"/>
  <c r="NP32" i="6"/>
  <c r="OD51" i="6"/>
  <c r="OE22" i="6"/>
  <c r="NO35" i="6"/>
  <c r="K354" i="7"/>
  <c r="H355" i="7"/>
  <c r="I354" i="7"/>
  <c r="NR38" i="6" s="1"/>
  <c r="NO27" i="6"/>
  <c r="A354" i="4"/>
  <c r="B355" i="4"/>
  <c r="E183" i="4"/>
  <c r="D183" i="4"/>
  <c r="I354" i="4"/>
  <c r="NP34" i="6" l="1"/>
  <c r="NP35" i="6" s="1"/>
  <c r="NP27" i="6"/>
  <c r="NP28" i="6" s="1"/>
  <c r="B356" i="7"/>
  <c r="A355" i="7"/>
  <c r="DW47" i="6"/>
  <c r="DW52" i="6" s="1"/>
  <c r="DW44" i="6"/>
  <c r="DW8" i="6"/>
  <c r="DW9" i="6" s="1"/>
  <c r="D120" i="7"/>
  <c r="DX37" i="6" s="1"/>
  <c r="DX58" i="6"/>
  <c r="DX60" i="6" s="1"/>
  <c r="F120" i="7"/>
  <c r="OF22" i="6"/>
  <c r="OE51" i="6"/>
  <c r="J354" i="7"/>
  <c r="NR49" i="6" s="1"/>
  <c r="NR73" i="6"/>
  <c r="OC69" i="6"/>
  <c r="OC70" i="6" s="1"/>
  <c r="OD68" i="6"/>
  <c r="K355" i="7"/>
  <c r="I355" i="7"/>
  <c r="NS38" i="6" s="1"/>
  <c r="H356" i="7"/>
  <c r="NT59" i="6" s="1"/>
  <c r="NR31" i="6"/>
  <c r="NQ32" i="6"/>
  <c r="NT30" i="6"/>
  <c r="NR17" i="6"/>
  <c r="NR18" i="6" s="1"/>
  <c r="NS16" i="6"/>
  <c r="LS65" i="6"/>
  <c r="LT64" i="6" s="1"/>
  <c r="NO28" i="6"/>
  <c r="NR20" i="6"/>
  <c r="NQ25" i="6"/>
  <c r="NQ27" i="6" s="1"/>
  <c r="NQ28" i="6" s="1"/>
  <c r="NS59" i="6"/>
  <c r="NT55" i="6"/>
  <c r="NS10" i="6"/>
  <c r="NU1" i="6"/>
  <c r="B356" i="4"/>
  <c r="A355" i="4"/>
  <c r="I355" i="4"/>
  <c r="F183" i="4"/>
  <c r="G183" i="4" s="1"/>
  <c r="L183" i="4"/>
  <c r="K355" i="4"/>
  <c r="K356" i="4" s="1"/>
  <c r="NQ34" i="6" l="1"/>
  <c r="NQ35" i="6" s="1"/>
  <c r="B357" i="7"/>
  <c r="A356" i="7"/>
  <c r="DX42" i="6"/>
  <c r="DX39" i="6"/>
  <c r="E120" i="7"/>
  <c r="DX72" i="6"/>
  <c r="DX78" i="6" s="1"/>
  <c r="DX80" i="6" s="1"/>
  <c r="DX82" i="6" s="1"/>
  <c r="DW5" i="6"/>
  <c r="DW7" i="6" s="1"/>
  <c r="DW4" i="6"/>
  <c r="DW56" i="6"/>
  <c r="LT65" i="6"/>
  <c r="LU64" i="6" s="1"/>
  <c r="NS31" i="6"/>
  <c r="NR32" i="6"/>
  <c r="OF51" i="6"/>
  <c r="OG22" i="6"/>
  <c r="H357" i="7"/>
  <c r="K356" i="7"/>
  <c r="I356" i="7"/>
  <c r="NT38" i="6" s="1"/>
  <c r="J355" i="7"/>
  <c r="NS49" i="6" s="1"/>
  <c r="NS73" i="6"/>
  <c r="NS17" i="6"/>
  <c r="NS18" i="6" s="1"/>
  <c r="NT16" i="6"/>
  <c r="NV1" i="6"/>
  <c r="NS20" i="6"/>
  <c r="NR25" i="6"/>
  <c r="OD69" i="6"/>
  <c r="OE68" i="6"/>
  <c r="NU30" i="6"/>
  <c r="NU55" i="6"/>
  <c r="NT10" i="6"/>
  <c r="E184" i="4"/>
  <c r="D184" i="4"/>
  <c r="I356" i="4"/>
  <c r="B357" i="4"/>
  <c r="A356" i="4"/>
  <c r="NR34" i="6" l="1"/>
  <c r="NR35" i="6" s="1"/>
  <c r="B358" i="7"/>
  <c r="A357" i="7"/>
  <c r="DW6" i="6"/>
  <c r="DW57" i="6"/>
  <c r="DW61" i="6" s="1"/>
  <c r="DW11" i="6" s="1"/>
  <c r="DX48" i="6"/>
  <c r="C121" i="7"/>
  <c r="DX43" i="6"/>
  <c r="DX40" i="6"/>
  <c r="LU65" i="6"/>
  <c r="LV64" i="6" s="1"/>
  <c r="NW1" i="6"/>
  <c r="I357" i="7"/>
  <c r="NU38" i="6" s="1"/>
  <c r="H358" i="7"/>
  <c r="NV59" i="6" s="1"/>
  <c r="K357" i="7"/>
  <c r="NV55" i="6"/>
  <c r="NU10" i="6"/>
  <c r="NR27" i="6"/>
  <c r="OE69" i="6"/>
  <c r="OE70" i="6" s="1"/>
  <c r="OF68" i="6"/>
  <c r="NT17" i="6"/>
  <c r="NT18" i="6" s="1"/>
  <c r="NU16" i="6"/>
  <c r="OD70" i="6"/>
  <c r="OH22" i="6"/>
  <c r="OG51" i="6"/>
  <c r="NT20" i="6"/>
  <c r="NS25" i="6"/>
  <c r="NS27" i="6" s="1"/>
  <c r="NS28" i="6" s="1"/>
  <c r="NV30" i="6"/>
  <c r="J356" i="7"/>
  <c r="NT49" i="6" s="1"/>
  <c r="NT73" i="6"/>
  <c r="NT31" i="6"/>
  <c r="NS32" i="6"/>
  <c r="NU59" i="6"/>
  <c r="B358" i="4"/>
  <c r="A357" i="4"/>
  <c r="I357" i="4"/>
  <c r="F184" i="4"/>
  <c r="G184" i="4" s="1"/>
  <c r="L184" i="4"/>
  <c r="K357" i="4"/>
  <c r="K358" i="4" s="1"/>
  <c r="NS34" i="6" l="1"/>
  <c r="NS35" i="6" s="1"/>
  <c r="B359" i="7"/>
  <c r="A358" i="7"/>
  <c r="D121" i="7"/>
  <c r="DY37" i="6" s="1"/>
  <c r="F121" i="7"/>
  <c r="DY58" i="6"/>
  <c r="DY60" i="6" s="1"/>
  <c r="DX8" i="6"/>
  <c r="DX9" i="6" s="1"/>
  <c r="DX44" i="6"/>
  <c r="DX47" i="6"/>
  <c r="DX52" i="6" s="1"/>
  <c r="LV65" i="6"/>
  <c r="LW64" i="6" s="1"/>
  <c r="NW55" i="6"/>
  <c r="NV10" i="6"/>
  <c r="NU17" i="6"/>
  <c r="NU18" i="6" s="1"/>
  <c r="NV16" i="6"/>
  <c r="I358" i="7"/>
  <c r="NV38" i="6" s="1"/>
  <c r="K358" i="7"/>
  <c r="H359" i="7"/>
  <c r="NT25" i="6"/>
  <c r="NT27" i="6" s="1"/>
  <c r="NT28" i="6" s="1"/>
  <c r="NU20" i="6"/>
  <c r="NR28" i="6"/>
  <c r="J357" i="7"/>
  <c r="NU49" i="6" s="1"/>
  <c r="NU73" i="6"/>
  <c r="NU31" i="6"/>
  <c r="NT32" i="6"/>
  <c r="NX1" i="6"/>
  <c r="OF69" i="6"/>
  <c r="OG68" i="6"/>
  <c r="NW30" i="6"/>
  <c r="OH51" i="6"/>
  <c r="OI22" i="6"/>
  <c r="D185" i="4"/>
  <c r="E185" i="4"/>
  <c r="I358" i="4"/>
  <c r="A358" i="4"/>
  <c r="B359" i="4"/>
  <c r="NT34" i="6" l="1"/>
  <c r="NT35" i="6" s="1"/>
  <c r="B360" i="7"/>
  <c r="A359" i="7"/>
  <c r="DX4" i="6"/>
  <c r="DX5" i="6"/>
  <c r="DX7" i="6" s="1"/>
  <c r="DX56" i="6"/>
  <c r="E121" i="7"/>
  <c r="DY72" i="6"/>
  <c r="DY78" i="6" s="1"/>
  <c r="DY80" i="6" s="1"/>
  <c r="DY82" i="6" s="1"/>
  <c r="DY42" i="6"/>
  <c r="DY39" i="6"/>
  <c r="LW65" i="6"/>
  <c r="LX64" i="6" s="1"/>
  <c r="OF70" i="6"/>
  <c r="NV31" i="6"/>
  <c r="NU32" i="6"/>
  <c r="OI51" i="6"/>
  <c r="OJ22" i="6"/>
  <c r="NX55" i="6"/>
  <c r="NW10" i="6"/>
  <c r="K359" i="7"/>
  <c r="H360" i="7"/>
  <c r="I359" i="7"/>
  <c r="NW38" i="6" s="1"/>
  <c r="NX30" i="6"/>
  <c r="NY1" i="6"/>
  <c r="NX59" i="6"/>
  <c r="NW59" i="6"/>
  <c r="NV17" i="6"/>
  <c r="NV18" i="6" s="1"/>
  <c r="NW16" i="6"/>
  <c r="J358" i="7"/>
  <c r="NV49" i="6" s="1"/>
  <c r="NV73" i="6"/>
  <c r="NV20" i="6"/>
  <c r="NU25" i="6"/>
  <c r="NU27" i="6" s="1"/>
  <c r="OG69" i="6"/>
  <c r="OG70" i="6" s="1"/>
  <c r="OH68" i="6"/>
  <c r="A359" i="4"/>
  <c r="B360" i="4"/>
  <c r="F185" i="4"/>
  <c r="G185" i="4" s="1"/>
  <c r="L185" i="4"/>
  <c r="I359" i="4"/>
  <c r="K359" i="4"/>
  <c r="K360" i="4" s="1"/>
  <c r="B361" i="7" l="1"/>
  <c r="A360" i="7"/>
  <c r="DY48" i="6"/>
  <c r="C122" i="7"/>
  <c r="DY40" i="6"/>
  <c r="DY43" i="6"/>
  <c r="DX6" i="6"/>
  <c r="DX57" i="6"/>
  <c r="DX61" i="6" s="1"/>
  <c r="DX11" i="6" s="1"/>
  <c r="NU28" i="6"/>
  <c r="LX65" i="6"/>
  <c r="LY64" i="6" s="1"/>
  <c r="OH69" i="6"/>
  <c r="OH70" i="6" s="1"/>
  <c r="OI68" i="6"/>
  <c r="NW31" i="6"/>
  <c r="NV32" i="6"/>
  <c r="NV25" i="6"/>
  <c r="NW20" i="6"/>
  <c r="NY30" i="6"/>
  <c r="NU34" i="6"/>
  <c r="I360" i="7"/>
  <c r="NX38" i="6" s="1"/>
  <c r="K360" i="7"/>
  <c r="H361" i="7"/>
  <c r="NY59" i="6" s="1"/>
  <c r="OJ51" i="6"/>
  <c r="OK22" i="6"/>
  <c r="J359" i="7"/>
  <c r="NW49" i="6" s="1"/>
  <c r="NW73" i="6"/>
  <c r="NY55" i="6"/>
  <c r="NX10" i="6"/>
  <c r="NW17" i="6"/>
  <c r="NW18" i="6" s="1"/>
  <c r="NX16" i="6"/>
  <c r="NZ1" i="6"/>
  <c r="A360" i="4"/>
  <c r="B361" i="4"/>
  <c r="I360" i="4"/>
  <c r="D186" i="4"/>
  <c r="E186" i="4"/>
  <c r="NV34" i="6" l="1"/>
  <c r="NV35" i="6" s="1"/>
  <c r="B362" i="7"/>
  <c r="A361" i="7"/>
  <c r="DY47" i="6"/>
  <c r="DY52" i="6" s="1"/>
  <c r="DY8" i="6"/>
  <c r="DY9" i="6" s="1"/>
  <c r="DY44" i="6"/>
  <c r="DZ58" i="6"/>
  <c r="F122" i="7"/>
  <c r="D122" i="7"/>
  <c r="DZ37" i="6" s="1"/>
  <c r="NZ30" i="6"/>
  <c r="OK51" i="6"/>
  <c r="OL22" i="6"/>
  <c r="NV27" i="6"/>
  <c r="OI69" i="6"/>
  <c r="OI70" i="6" s="1"/>
  <c r="OJ68" i="6"/>
  <c r="J360" i="7"/>
  <c r="NX49" i="6" s="1"/>
  <c r="NX73" i="6"/>
  <c r="NY10" i="6"/>
  <c r="NZ55" i="6"/>
  <c r="NX31" i="6"/>
  <c r="NW32" i="6"/>
  <c r="LY65" i="6"/>
  <c r="LZ64" i="6" s="1"/>
  <c r="NY16" i="6"/>
  <c r="NX17" i="6"/>
  <c r="NX18" i="6" s="1"/>
  <c r="NW25" i="6"/>
  <c r="NW27" i="6" s="1"/>
  <c r="NW28" i="6" s="1"/>
  <c r="NX20" i="6"/>
  <c r="NU35" i="6"/>
  <c r="OB1" i="6"/>
  <c r="OA1" i="6"/>
  <c r="I361" i="7"/>
  <c r="NY38" i="6" s="1"/>
  <c r="H362" i="7"/>
  <c r="NZ59" i="6" s="1"/>
  <c r="OA59" i="6" s="1"/>
  <c r="K361" i="7"/>
  <c r="A361" i="4"/>
  <c r="B362" i="4"/>
  <c r="F186" i="4"/>
  <c r="G186" i="4" s="1"/>
  <c r="L186" i="4"/>
  <c r="I361" i="4"/>
  <c r="K361" i="4"/>
  <c r="K362" i="4" s="1"/>
  <c r="NW34" i="6" l="1"/>
  <c r="NW35" i="6" s="1"/>
  <c r="B363" i="7"/>
  <c r="A362" i="7"/>
  <c r="DZ72" i="6"/>
  <c r="E122" i="7"/>
  <c r="DZ42" i="6"/>
  <c r="EA42" i="6" s="1"/>
  <c r="DZ39" i="6"/>
  <c r="EA37" i="6"/>
  <c r="DZ60" i="6"/>
  <c r="EA60" i="6" s="1"/>
  <c r="EA58" i="6"/>
  <c r="DY4" i="6"/>
  <c r="DY5" i="6"/>
  <c r="DY7" i="6" s="1"/>
  <c r="DY56" i="6"/>
  <c r="J361" i="7"/>
  <c r="NY49" i="6" s="1"/>
  <c r="NY73" i="6"/>
  <c r="I362" i="7"/>
  <c r="NZ38" i="6" s="1"/>
  <c r="OA38" i="6" s="1"/>
  <c r="H363" i="7"/>
  <c r="K362" i="7"/>
  <c r="OB30" i="6"/>
  <c r="OA30" i="6"/>
  <c r="NY17" i="6"/>
  <c r="NY18" i="6" s="1"/>
  <c r="NZ16" i="6"/>
  <c r="OK68" i="6"/>
  <c r="OJ69" i="6"/>
  <c r="OJ70" i="6" s="1"/>
  <c r="NV28" i="6"/>
  <c r="NY31" i="6"/>
  <c r="NX32" i="6"/>
  <c r="NZ10" i="6"/>
  <c r="OA10" i="6" s="1"/>
  <c r="OA55" i="6"/>
  <c r="OB55" i="6"/>
  <c r="NX25" i="6"/>
  <c r="NX27" i="6" s="1"/>
  <c r="NX28" i="6" s="1"/>
  <c r="NY20" i="6"/>
  <c r="OC1" i="6"/>
  <c r="MA64" i="6"/>
  <c r="LZ65" i="6"/>
  <c r="MA65" i="6" s="1"/>
  <c r="OL51" i="6"/>
  <c r="OM22" i="6"/>
  <c r="B363" i="4"/>
  <c r="A362" i="4"/>
  <c r="I362" i="4"/>
  <c r="D187" i="4"/>
  <c r="E187" i="4"/>
  <c r="MB64" i="6" l="1"/>
  <c r="MB65" i="6" s="1"/>
  <c r="MC64" i="6" s="1"/>
  <c r="NX34" i="6"/>
  <c r="NX35" i="6" s="1"/>
  <c r="B364" i="7"/>
  <c r="A363" i="7"/>
  <c r="DZ40" i="6"/>
  <c r="DZ43" i="6"/>
  <c r="EA39" i="6"/>
  <c r="EA40" i="6" s="1"/>
  <c r="DY6" i="6"/>
  <c r="DY57" i="6"/>
  <c r="DY61" i="6" s="1"/>
  <c r="DY11" i="6" s="1"/>
  <c r="DZ48" i="6"/>
  <c r="EA48" i="6" s="1"/>
  <c r="C123" i="7"/>
  <c r="G40" i="3" s="1"/>
  <c r="H40" i="3" s="1"/>
  <c r="DZ78" i="6"/>
  <c r="EA72" i="6"/>
  <c r="J362" i="7"/>
  <c r="NZ49" i="6" s="1"/>
  <c r="OA49" i="6" s="1"/>
  <c r="NZ73" i="6"/>
  <c r="OA73" i="6" s="1"/>
  <c r="H364" i="7"/>
  <c r="K363" i="7"/>
  <c r="I363" i="7"/>
  <c r="OB38" i="6" s="1"/>
  <c r="OB59" i="6"/>
  <c r="NZ20" i="6"/>
  <c r="NY25" i="6"/>
  <c r="NY27" i="6" s="1"/>
  <c r="NY28" i="6" s="1"/>
  <c r="OL68" i="6"/>
  <c r="OK69" i="6"/>
  <c r="OK70" i="6" s="1"/>
  <c r="NZ31" i="6"/>
  <c r="NY32" i="6"/>
  <c r="OM51" i="6"/>
  <c r="ON51" i="6" s="1"/>
  <c r="OO22" i="6"/>
  <c r="ON22" i="6"/>
  <c r="OD1" i="6"/>
  <c r="OC30" i="6"/>
  <c r="NZ17" i="6"/>
  <c r="OA17" i="6" s="1"/>
  <c r="OB16" i="6"/>
  <c r="OA16" i="6"/>
  <c r="OC55" i="6"/>
  <c r="OB10" i="6"/>
  <c r="F187" i="4"/>
  <c r="G187" i="4" s="1"/>
  <c r="L187" i="4"/>
  <c r="I363" i="4"/>
  <c r="A363" i="4"/>
  <c r="B364" i="4"/>
  <c r="K363" i="4"/>
  <c r="NY34" i="6" l="1"/>
  <c r="NY35" i="6" s="1"/>
  <c r="B365" i="7"/>
  <c r="A364" i="7"/>
  <c r="F123" i="7"/>
  <c r="D123" i="7"/>
  <c r="EB37" i="6" s="1"/>
  <c r="EB58" i="6"/>
  <c r="EB60" i="6" s="1"/>
  <c r="DZ80" i="6"/>
  <c r="EA78" i="6"/>
  <c r="DZ47" i="6"/>
  <c r="DZ8" i="6"/>
  <c r="DZ44" i="6"/>
  <c r="EA43" i="6"/>
  <c r="EA44" i="6" s="1"/>
  <c r="I364" i="7"/>
  <c r="OC38" i="6" s="1"/>
  <c r="H365" i="7"/>
  <c r="OD59" i="6" s="1"/>
  <c r="K364" i="7"/>
  <c r="NZ18" i="6"/>
  <c r="OM68" i="6"/>
  <c r="OL69" i="6"/>
  <c r="OL70" i="6" s="1"/>
  <c r="OB31" i="6"/>
  <c r="OA31" i="6"/>
  <c r="NZ32" i="6"/>
  <c r="OA32" i="6" s="1"/>
  <c r="OD55" i="6"/>
  <c r="OC10" i="6"/>
  <c r="MC65" i="6"/>
  <c r="MD64" i="6" s="1"/>
  <c r="J363" i="7"/>
  <c r="OB49" i="6" s="1"/>
  <c r="OB73" i="6"/>
  <c r="OD30" i="6"/>
  <c r="OC59" i="6"/>
  <c r="NZ25" i="6"/>
  <c r="OA25" i="6" s="1"/>
  <c r="OB20" i="6"/>
  <c r="OA20" i="6"/>
  <c r="OE1" i="6"/>
  <c r="OC16" i="6"/>
  <c r="OB17" i="6"/>
  <c r="OP22" i="6"/>
  <c r="OO51" i="6"/>
  <c r="A364" i="4"/>
  <c r="B365" i="4"/>
  <c r="K364" i="4"/>
  <c r="I364" i="4"/>
  <c r="E188" i="4"/>
  <c r="D188" i="4"/>
  <c r="B366" i="7" l="1"/>
  <c r="A365" i="7"/>
  <c r="DZ82" i="6"/>
  <c r="EA82" i="6" s="1"/>
  <c r="EA80" i="6"/>
  <c r="E39" i="3" s="1"/>
  <c r="DZ52" i="6"/>
  <c r="EA47" i="6"/>
  <c r="EB39" i="6"/>
  <c r="EB42" i="6"/>
  <c r="DZ9" i="6"/>
  <c r="EA9" i="6" s="1"/>
  <c r="EA8" i="6"/>
  <c r="EB72" i="6"/>
  <c r="E123" i="7"/>
  <c r="MD65" i="6"/>
  <c r="ME64" i="6" s="1"/>
  <c r="OE55" i="6"/>
  <c r="OD10" i="6"/>
  <c r="OC31" i="6"/>
  <c r="OB32" i="6"/>
  <c r="J364" i="7"/>
  <c r="OC49" i="6" s="1"/>
  <c r="OC73" i="6"/>
  <c r="OP51" i="6"/>
  <c r="OQ22" i="6"/>
  <c r="OD16" i="6"/>
  <c r="OC17" i="6"/>
  <c r="OB18" i="6"/>
  <c r="NZ27" i="6"/>
  <c r="NZ34" i="6"/>
  <c r="OA18" i="6"/>
  <c r="OO68" i="6"/>
  <c r="OM69" i="6"/>
  <c r="ON69" i="6" s="1"/>
  <c r="ON68" i="6"/>
  <c r="K365" i="7"/>
  <c r="H366" i="7"/>
  <c r="I365" i="7"/>
  <c r="OD38" i="6" s="1"/>
  <c r="OB25" i="6"/>
  <c r="OC20" i="6"/>
  <c r="OE30" i="6"/>
  <c r="OF1" i="6"/>
  <c r="A365" i="4"/>
  <c r="B366" i="4"/>
  <c r="F188" i="4"/>
  <c r="G188" i="4" s="1"/>
  <c r="L188" i="4"/>
  <c r="I365" i="4"/>
  <c r="K365" i="4"/>
  <c r="K366" i="4" s="1"/>
  <c r="K39" i="3" l="1"/>
  <c r="L39" i="3"/>
  <c r="B367" i="7"/>
  <c r="A366" i="7"/>
  <c r="EB43" i="6"/>
  <c r="EB40" i="6"/>
  <c r="EB78" i="6"/>
  <c r="EB48" i="6"/>
  <c r="C124" i="7"/>
  <c r="DZ4" i="6"/>
  <c r="EA4" i="6" s="1"/>
  <c r="DZ5" i="6"/>
  <c r="EA52" i="6"/>
  <c r="DZ56" i="6"/>
  <c r="OB27" i="6"/>
  <c r="OB34" i="6"/>
  <c r="OC18" i="6"/>
  <c r="OF30" i="6"/>
  <c r="NZ35" i="6"/>
  <c r="OA34" i="6"/>
  <c r="OA35" i="6" s="1"/>
  <c r="OG1" i="6"/>
  <c r="K366" i="7"/>
  <c r="H367" i="7"/>
  <c r="OF59" i="6" s="1"/>
  <c r="I366" i="7"/>
  <c r="OE38" i="6" s="1"/>
  <c r="NZ28" i="6"/>
  <c r="OA27" i="6"/>
  <c r="OA28" i="6" s="1"/>
  <c r="OC25" i="6"/>
  <c r="OD20" i="6"/>
  <c r="OD31" i="6"/>
  <c r="OC32" i="6"/>
  <c r="OE59" i="6"/>
  <c r="OO69" i="6"/>
  <c r="OO70" i="6" s="1"/>
  <c r="OP68" i="6"/>
  <c r="OQ51" i="6"/>
  <c r="OR22" i="6"/>
  <c r="ME65" i="6"/>
  <c r="MF64" i="6" s="1"/>
  <c r="J365" i="7"/>
  <c r="OD49" i="6" s="1"/>
  <c r="OD73" i="6"/>
  <c r="OE16" i="6"/>
  <c r="OD17" i="6"/>
  <c r="OD18" i="6" s="1"/>
  <c r="OF55" i="6"/>
  <c r="OE10" i="6"/>
  <c r="OM70" i="6"/>
  <c r="A366" i="4"/>
  <c r="B367" i="4"/>
  <c r="I366" i="4"/>
  <c r="E189" i="4"/>
  <c r="D189" i="4"/>
  <c r="B368" i="7" l="1"/>
  <c r="A367" i="7"/>
  <c r="D124" i="7"/>
  <c r="EC37" i="6" s="1"/>
  <c r="F124" i="7"/>
  <c r="EC58" i="6"/>
  <c r="EC60" i="6" s="1"/>
  <c r="EB80" i="6"/>
  <c r="DZ6" i="6"/>
  <c r="DZ57" i="6"/>
  <c r="DZ61" i="6" s="1"/>
  <c r="EA56" i="6"/>
  <c r="EA5" i="6"/>
  <c r="DZ7" i="6"/>
  <c r="EB47" i="6"/>
  <c r="EB44" i="6"/>
  <c r="EB8" i="6"/>
  <c r="OE31" i="6"/>
  <c r="OD32" i="6"/>
  <c r="OG30" i="6"/>
  <c r="ON70" i="6"/>
  <c r="OC34" i="6"/>
  <c r="OC27" i="6"/>
  <c r="OC28" i="6" s="1"/>
  <c r="I367" i="7"/>
  <c r="OF38" i="6" s="1"/>
  <c r="H368" i="7"/>
  <c r="K367" i="7"/>
  <c r="OG59" i="6"/>
  <c r="OH1" i="6"/>
  <c r="OD25" i="6"/>
  <c r="OD34" i="6" s="1"/>
  <c r="OE20" i="6"/>
  <c r="OB35" i="6"/>
  <c r="OQ68" i="6"/>
  <c r="OP69" i="6"/>
  <c r="OP70" i="6" s="1"/>
  <c r="J366" i="7"/>
  <c r="OE49" i="6" s="1"/>
  <c r="OE73" i="6"/>
  <c r="MF65" i="6"/>
  <c r="MG64" i="6" s="1"/>
  <c r="OB28" i="6"/>
  <c r="OG55" i="6"/>
  <c r="OF10" i="6"/>
  <c r="OR51" i="6"/>
  <c r="OS22" i="6"/>
  <c r="OF16" i="6"/>
  <c r="OE17" i="6"/>
  <c r="OE18" i="6" s="1"/>
  <c r="A367" i="4"/>
  <c r="B368" i="4"/>
  <c r="F189" i="4"/>
  <c r="G189" i="4" s="1"/>
  <c r="L189" i="4"/>
  <c r="I367" i="4"/>
  <c r="K367" i="4"/>
  <c r="K368" i="4" s="1"/>
  <c r="OD27" i="6" l="1"/>
  <c r="OD28" i="6" s="1"/>
  <c r="B369" i="7"/>
  <c r="A368" i="7"/>
  <c r="EA6" i="6"/>
  <c r="EA57" i="6"/>
  <c r="EB9" i="6"/>
  <c r="EB52" i="6"/>
  <c r="EB82" i="6"/>
  <c r="EA7" i="6"/>
  <c r="EA13" i="6" s="1"/>
  <c r="EA61" i="6"/>
  <c r="EA11" i="6" s="1"/>
  <c r="EA12" i="6" s="1"/>
  <c r="DZ11" i="6"/>
  <c r="E124" i="7"/>
  <c r="EC72" i="6"/>
  <c r="EC42" i="6"/>
  <c r="EC39" i="6"/>
  <c r="OD35" i="6"/>
  <c r="OH55" i="6"/>
  <c r="OG10" i="6"/>
  <c r="OF31" i="6"/>
  <c r="OE32" i="6"/>
  <c r="H369" i="7"/>
  <c r="OH59" i="6" s="1"/>
  <c r="K368" i="7"/>
  <c r="I368" i="7"/>
  <c r="OG38" i="6" s="1"/>
  <c r="OR68" i="6"/>
  <c r="OQ69" i="6"/>
  <c r="OQ70" i="6" s="1"/>
  <c r="OI1" i="6"/>
  <c r="OS51" i="6"/>
  <c r="OT22" i="6"/>
  <c r="OE25" i="6"/>
  <c r="OF20" i="6"/>
  <c r="OH30" i="6"/>
  <c r="J367" i="7"/>
  <c r="OF49" i="6" s="1"/>
  <c r="OF73" i="6"/>
  <c r="OF17" i="6"/>
  <c r="OF18" i="6" s="1"/>
  <c r="OG16" i="6"/>
  <c r="MG65" i="6"/>
  <c r="MH64" i="6" s="1"/>
  <c r="OC35" i="6"/>
  <c r="B369" i="4"/>
  <c r="A368" i="4"/>
  <c r="I368" i="4"/>
  <c r="D190" i="4"/>
  <c r="E190" i="4"/>
  <c r="OE34" i="6" l="1"/>
  <c r="OE35" i="6" s="1"/>
  <c r="B370" i="7"/>
  <c r="A369" i="7"/>
  <c r="EC78" i="6"/>
  <c r="EC48" i="6"/>
  <c r="C125" i="7"/>
  <c r="EB56" i="6"/>
  <c r="EB4" i="6"/>
  <c r="EB5" i="6"/>
  <c r="EC43" i="6"/>
  <c r="EC40" i="6"/>
  <c r="MH65" i="6"/>
  <c r="MI64" i="6" s="1"/>
  <c r="OS68" i="6"/>
  <c r="OR69" i="6"/>
  <c r="OR70" i="6" s="1"/>
  <c r="OH16" i="6"/>
  <c r="OG17" i="6"/>
  <c r="OG18" i="6" s="1"/>
  <c r="OJ1" i="6"/>
  <c r="OI30" i="6"/>
  <c r="OT51" i="6"/>
  <c r="OU22" i="6"/>
  <c r="OG31" i="6"/>
  <c r="OF32" i="6"/>
  <c r="J368" i="7"/>
  <c r="OG49" i="6" s="1"/>
  <c r="OG73" i="6"/>
  <c r="H370" i="7"/>
  <c r="OI59" i="6" s="1"/>
  <c r="K369" i="7"/>
  <c r="I369" i="7"/>
  <c r="OH38" i="6" s="1"/>
  <c r="OE27" i="6"/>
  <c r="OF25" i="6"/>
  <c r="OG20" i="6"/>
  <c r="OI55" i="6"/>
  <c r="OH10" i="6"/>
  <c r="F190" i="4"/>
  <c r="G190" i="4" s="1"/>
  <c r="L190" i="4"/>
  <c r="I369" i="4"/>
  <c r="A369" i="4"/>
  <c r="B370" i="4"/>
  <c r="K369" i="4"/>
  <c r="OF34" i="6" l="1"/>
  <c r="OF35" i="6" s="1"/>
  <c r="B371" i="7"/>
  <c r="A370" i="7"/>
  <c r="EB7" i="6"/>
  <c r="F125" i="7"/>
  <c r="D125" i="7"/>
  <c r="ED37" i="6" s="1"/>
  <c r="ED58" i="6"/>
  <c r="ED60" i="6" s="1"/>
  <c r="EB57" i="6"/>
  <c r="EB61" i="6" s="1"/>
  <c r="EB11" i="6" s="1"/>
  <c r="EB6" i="6"/>
  <c r="EC8" i="6"/>
  <c r="EC44" i="6"/>
  <c r="EC47" i="6"/>
  <c r="EC80" i="6"/>
  <c r="OH17" i="6"/>
  <c r="OH18" i="6" s="1"/>
  <c r="OI16" i="6"/>
  <c r="J369" i="7"/>
  <c r="OH49" i="6" s="1"/>
  <c r="OH73" i="6"/>
  <c r="OG25" i="6"/>
  <c r="OG27" i="6" s="1"/>
  <c r="OG28" i="6" s="1"/>
  <c r="OH20" i="6"/>
  <c r="H371" i="7"/>
  <c r="OJ59" i="6" s="1"/>
  <c r="K370" i="7"/>
  <c r="I370" i="7"/>
  <c r="OI38" i="6" s="1"/>
  <c r="OK1" i="6"/>
  <c r="OH31" i="6"/>
  <c r="OG32" i="6"/>
  <c r="OF27" i="6"/>
  <c r="OF28" i="6" s="1"/>
  <c r="OV22" i="6"/>
  <c r="OU51" i="6"/>
  <c r="OE28" i="6"/>
  <c r="OS69" i="6"/>
  <c r="OS70" i="6" s="1"/>
  <c r="OT68" i="6"/>
  <c r="MI65" i="6"/>
  <c r="MJ64" i="6" s="1"/>
  <c r="OJ55" i="6"/>
  <c r="OI10" i="6"/>
  <c r="OJ30" i="6"/>
  <c r="B371" i="4"/>
  <c r="A370" i="4"/>
  <c r="K370" i="4"/>
  <c r="K371" i="4" s="1"/>
  <c r="I370" i="4"/>
  <c r="D191" i="4"/>
  <c r="E191" i="4"/>
  <c r="B372" i="7" l="1"/>
  <c r="A371" i="7"/>
  <c r="EC82" i="6"/>
  <c r="EC52" i="6"/>
  <c r="EC9" i="6"/>
  <c r="E125" i="7"/>
  <c r="ED72" i="6"/>
  <c r="ED42" i="6"/>
  <c r="ED39" i="6"/>
  <c r="MJ65" i="6"/>
  <c r="MK64" i="6" s="1"/>
  <c r="OK30" i="6"/>
  <c r="OL1" i="6"/>
  <c r="OG34" i="6"/>
  <c r="OT69" i="6"/>
  <c r="OT70" i="6" s="1"/>
  <c r="OU68" i="6"/>
  <c r="OI31" i="6"/>
  <c r="OH32" i="6"/>
  <c r="J370" i="7"/>
  <c r="OI49" i="6" s="1"/>
  <c r="OI73" i="6"/>
  <c r="OK55" i="6"/>
  <c r="OJ10" i="6"/>
  <c r="H372" i="7"/>
  <c r="OK59" i="6" s="1"/>
  <c r="I371" i="7"/>
  <c r="OJ38" i="6" s="1"/>
  <c r="K371" i="7"/>
  <c r="OJ16" i="6"/>
  <c r="OI17" i="6"/>
  <c r="OI18" i="6" s="1"/>
  <c r="OW22" i="6"/>
  <c r="OV51" i="6"/>
  <c r="OI20" i="6"/>
  <c r="OH25" i="6"/>
  <c r="F191" i="4"/>
  <c r="G191" i="4" s="1"/>
  <c r="L191" i="4"/>
  <c r="I371" i="4"/>
  <c r="B372" i="4"/>
  <c r="K372" i="4" s="1"/>
  <c r="A371" i="4"/>
  <c r="OH34" i="6" l="1"/>
  <c r="OH35" i="6" s="1"/>
  <c r="B373" i="7"/>
  <c r="A372" i="7"/>
  <c r="EC4" i="6"/>
  <c r="EC5" i="6"/>
  <c r="EC56" i="6"/>
  <c r="ED43" i="6"/>
  <c r="ED40" i="6"/>
  <c r="ED78" i="6"/>
  <c r="ED48" i="6"/>
  <c r="C126" i="7"/>
  <c r="OJ31" i="6"/>
  <c r="OI32" i="6"/>
  <c r="OU69" i="6"/>
  <c r="OU70" i="6" s="1"/>
  <c r="OV68" i="6"/>
  <c r="OJ17" i="6"/>
  <c r="OJ18" i="6" s="1"/>
  <c r="OK16" i="6"/>
  <c r="OM1" i="6"/>
  <c r="OW51" i="6"/>
  <c r="OX22" i="6"/>
  <c r="MK65" i="6"/>
  <c r="ML64" i="6" s="1"/>
  <c r="OL55" i="6"/>
  <c r="OK10" i="6"/>
  <c r="OL30" i="6"/>
  <c r="OH27" i="6"/>
  <c r="J371" i="7"/>
  <c r="OJ49" i="6" s="1"/>
  <c r="OJ73" i="6"/>
  <c r="OG35" i="6"/>
  <c r="I372" i="7"/>
  <c r="OK38" i="6" s="1"/>
  <c r="H373" i="7"/>
  <c r="OL59" i="6" s="1"/>
  <c r="K372" i="7"/>
  <c r="OJ20" i="6"/>
  <c r="OI25" i="6"/>
  <c r="A372" i="4"/>
  <c r="B373" i="4"/>
  <c r="I372" i="4"/>
  <c r="E192" i="4"/>
  <c r="D192" i="4"/>
  <c r="OI34" i="6" l="1"/>
  <c r="OI35" i="6" s="1"/>
  <c r="OI27" i="6"/>
  <c r="OI28" i="6" s="1"/>
  <c r="B374" i="7"/>
  <c r="A373" i="7"/>
  <c r="EC57" i="6"/>
  <c r="EC61" i="6" s="1"/>
  <c r="EC11" i="6" s="1"/>
  <c r="EC6" i="6"/>
  <c r="D126" i="7"/>
  <c r="EE37" i="6" s="1"/>
  <c r="F126" i="7"/>
  <c r="EE58" i="6"/>
  <c r="EE60" i="6" s="1"/>
  <c r="ED80" i="6"/>
  <c r="ED44" i="6"/>
  <c r="ED47" i="6"/>
  <c r="ED8" i="6"/>
  <c r="EC7" i="6"/>
  <c r="ML65" i="6"/>
  <c r="MM64" i="6" s="1"/>
  <c r="OY22" i="6"/>
  <c r="OX51" i="6"/>
  <c r="ON1" i="6"/>
  <c r="OO1" i="6"/>
  <c r="OV69" i="6"/>
  <c r="OV70" i="6" s="1"/>
  <c r="OW68" i="6"/>
  <c r="OK31" i="6"/>
  <c r="OJ32" i="6"/>
  <c r="OH28" i="6"/>
  <c r="OM30" i="6"/>
  <c r="OK20" i="6"/>
  <c r="OJ25" i="6"/>
  <c r="OJ27" i="6" s="1"/>
  <c r="OJ28" i="6" s="1"/>
  <c r="J372" i="7"/>
  <c r="OK49" i="6" s="1"/>
  <c r="OK73" i="6"/>
  <c r="OL16" i="6"/>
  <c r="OK17" i="6"/>
  <c r="OK18" i="6" s="1"/>
  <c r="H374" i="7"/>
  <c r="OM59" i="6" s="1"/>
  <c r="ON59" i="6" s="1"/>
  <c r="K373" i="7"/>
  <c r="I373" i="7"/>
  <c r="OL38" i="6" s="1"/>
  <c r="OM55" i="6"/>
  <c r="OL10" i="6"/>
  <c r="F192" i="4"/>
  <c r="G192" i="4" s="1"/>
  <c r="L192" i="4"/>
  <c r="I373" i="4"/>
  <c r="A373" i="4"/>
  <c r="B374" i="4"/>
  <c r="K373" i="4"/>
  <c r="OJ34" i="6" l="1"/>
  <c r="OJ35" i="6" s="1"/>
  <c r="B375" i="7"/>
  <c r="A374" i="7"/>
  <c r="ED82" i="6"/>
  <c r="EE42" i="6"/>
  <c r="EE39" i="6"/>
  <c r="ED9" i="6"/>
  <c r="E126" i="7"/>
  <c r="EE72" i="6"/>
  <c r="ED52" i="6"/>
  <c r="MM65" i="6"/>
  <c r="MN65" i="6" s="1"/>
  <c r="MN64" i="6"/>
  <c r="OW69" i="6"/>
  <c r="OW70" i="6" s="1"/>
  <c r="OX68" i="6"/>
  <c r="ON55" i="6"/>
  <c r="OM10" i="6"/>
  <c r="ON10" i="6" s="1"/>
  <c r="OO55" i="6"/>
  <c r="OL20" i="6"/>
  <c r="OK25" i="6"/>
  <c r="OK34" i="6" s="1"/>
  <c r="J373" i="7"/>
  <c r="OL49" i="6" s="1"/>
  <c r="OL73" i="6"/>
  <c r="OO30" i="6"/>
  <c r="ON30" i="6"/>
  <c r="OO59" i="6"/>
  <c r="OP1" i="6"/>
  <c r="OM16" i="6"/>
  <c r="OL17" i="6"/>
  <c r="OL18" i="6" s="1"/>
  <c r="OL31" i="6"/>
  <c r="OK32" i="6"/>
  <c r="OY51" i="6"/>
  <c r="OZ22" i="6"/>
  <c r="I374" i="7"/>
  <c r="OM38" i="6" s="1"/>
  <c r="ON38" i="6" s="1"/>
  <c r="K374" i="7"/>
  <c r="H375" i="7"/>
  <c r="B375" i="4"/>
  <c r="A374" i="4"/>
  <c r="K374" i="4"/>
  <c r="K375" i="4" s="1"/>
  <c r="I374" i="4"/>
  <c r="D193" i="4"/>
  <c r="E193" i="4"/>
  <c r="OK27" i="6" l="1"/>
  <c r="OK28" i="6" s="1"/>
  <c r="B376" i="7"/>
  <c r="A375" i="7"/>
  <c r="EE78" i="6"/>
  <c r="EE48" i="6"/>
  <c r="C127" i="7"/>
  <c r="EE43" i="6"/>
  <c r="EE40" i="6"/>
  <c r="ED4" i="6"/>
  <c r="ED5" i="6"/>
  <c r="ED56" i="6"/>
  <c r="OK35" i="6"/>
  <c r="OP30" i="6"/>
  <c r="OL25" i="6"/>
  <c r="OL27" i="6" s="1"/>
  <c r="OL28" i="6" s="1"/>
  <c r="OM20" i="6"/>
  <c r="OQ1" i="6"/>
  <c r="OO10" i="6"/>
  <c r="OP55" i="6"/>
  <c r="MO64" i="6"/>
  <c r="OM17" i="6"/>
  <c r="ON17" i="6" s="1"/>
  <c r="OO16" i="6"/>
  <c r="ON16" i="6"/>
  <c r="OZ51" i="6"/>
  <c r="PA51" i="6" s="1"/>
  <c r="PB22" i="6"/>
  <c r="PA22" i="6"/>
  <c r="OX69" i="6"/>
  <c r="OX70" i="6" s="1"/>
  <c r="OY68" i="6"/>
  <c r="I375" i="7"/>
  <c r="OO38" i="6" s="1"/>
  <c r="K375" i="7"/>
  <c r="H376" i="7"/>
  <c r="OP59" i="6" s="1"/>
  <c r="OM31" i="6"/>
  <c r="OL32" i="6"/>
  <c r="J374" i="7"/>
  <c r="OM49" i="6" s="1"/>
  <c r="ON49" i="6" s="1"/>
  <c r="OM73" i="6"/>
  <c r="ON73" i="6" s="1"/>
  <c r="F193" i="4"/>
  <c r="G193" i="4" s="1"/>
  <c r="L193" i="4"/>
  <c r="I375" i="4"/>
  <c r="A375" i="4"/>
  <c r="B376" i="4"/>
  <c r="OM18" i="6" l="1"/>
  <c r="ON18" i="6" s="1"/>
  <c r="OL34" i="6"/>
  <c r="OL35" i="6" s="1"/>
  <c r="B377" i="7"/>
  <c r="A376" i="7"/>
  <c r="ED6" i="6"/>
  <c r="ED57" i="6"/>
  <c r="ED61" i="6" s="1"/>
  <c r="ED11" i="6" s="1"/>
  <c r="EE44" i="6"/>
  <c r="EE8" i="6"/>
  <c r="EE47" i="6"/>
  <c r="F127" i="7"/>
  <c r="D127" i="7"/>
  <c r="EF37" i="6" s="1"/>
  <c r="EF58" i="6"/>
  <c r="EF60" i="6" s="1"/>
  <c r="ED7" i="6"/>
  <c r="EE80" i="6"/>
  <c r="OQ30" i="6"/>
  <c r="K376" i="7"/>
  <c r="H377" i="7"/>
  <c r="I376" i="7"/>
  <c r="OP38" i="6" s="1"/>
  <c r="OP16" i="6"/>
  <c r="OO17" i="6"/>
  <c r="OO18" i="6" s="1"/>
  <c r="PC22" i="6"/>
  <c r="PB51" i="6"/>
  <c r="OO31" i="6"/>
  <c r="ON31" i="6"/>
  <c r="OM32" i="6"/>
  <c r="ON32" i="6" s="1"/>
  <c r="OR1" i="6"/>
  <c r="J375" i="7"/>
  <c r="OO49" i="6" s="1"/>
  <c r="OO73" i="6"/>
  <c r="OY69" i="6"/>
  <c r="OY70" i="6" s="1"/>
  <c r="OZ68" i="6"/>
  <c r="MO65" i="6"/>
  <c r="MP64" i="6" s="1"/>
  <c r="OP10" i="6"/>
  <c r="OQ55" i="6"/>
  <c r="OM25" i="6"/>
  <c r="ON25" i="6" s="1"/>
  <c r="OO20" i="6"/>
  <c r="ON20" i="6"/>
  <c r="A376" i="4"/>
  <c r="B377" i="4"/>
  <c r="K376" i="4"/>
  <c r="I376" i="4"/>
  <c r="E194" i="4"/>
  <c r="D194" i="4"/>
  <c r="OM27" i="6" l="1"/>
  <c r="OM28" i="6" s="1"/>
  <c r="B378" i="7"/>
  <c r="A377" i="7"/>
  <c r="EE82" i="6"/>
  <c r="EF72" i="6"/>
  <c r="E127" i="7"/>
  <c r="EF39" i="6"/>
  <c r="EF42" i="6"/>
  <c r="EE52" i="6"/>
  <c r="EE9" i="6"/>
  <c r="MP65" i="6"/>
  <c r="MQ64" i="6" s="1"/>
  <c r="J376" i="7"/>
  <c r="OP49" i="6" s="1"/>
  <c r="OP73" i="6"/>
  <c r="PB68" i="6"/>
  <c r="OZ69" i="6"/>
  <c r="PA69" i="6" s="1"/>
  <c r="PA68" i="6"/>
  <c r="OO25" i="6"/>
  <c r="OP20" i="6"/>
  <c r="OM34" i="6"/>
  <c r="OP31" i="6"/>
  <c r="OO32" i="6"/>
  <c r="I377" i="7"/>
  <c r="OQ38" i="6" s="1"/>
  <c r="H378" i="7"/>
  <c r="K377" i="7"/>
  <c r="OR30" i="6"/>
  <c r="OQ59" i="6"/>
  <c r="PD22" i="6"/>
  <c r="PC51" i="6"/>
  <c r="OQ16" i="6"/>
  <c r="OP17" i="6"/>
  <c r="OP18" i="6" s="1"/>
  <c r="OS1" i="6"/>
  <c r="OR55" i="6"/>
  <c r="OQ10" i="6"/>
  <c r="A377" i="4"/>
  <c r="B378" i="4"/>
  <c r="F194" i="4"/>
  <c r="G194" i="4" s="1"/>
  <c r="L194" i="4"/>
  <c r="I377" i="4"/>
  <c r="K377" i="4"/>
  <c r="K378" i="4" s="1"/>
  <c r="ON27" i="6" l="1"/>
  <c r="ON28" i="6" s="1"/>
  <c r="OR59" i="6"/>
  <c r="OZ70" i="6"/>
  <c r="PA70" i="6" s="1"/>
  <c r="B379" i="7"/>
  <c r="A378" i="7"/>
  <c r="EE5" i="6"/>
  <c r="EE4" i="6"/>
  <c r="EE56" i="6"/>
  <c r="EF40" i="6"/>
  <c r="EF43" i="6"/>
  <c r="EF48" i="6"/>
  <c r="C128" i="7"/>
  <c r="EF78" i="6"/>
  <c r="MQ65" i="6"/>
  <c r="MR64" i="6" s="1"/>
  <c r="K378" i="7"/>
  <c r="I378" i="7"/>
  <c r="OR38" i="6" s="1"/>
  <c r="H379" i="7"/>
  <c r="OS59" i="6" s="1"/>
  <c r="OR10" i="6"/>
  <c r="OS55" i="6"/>
  <c r="PC68" i="6"/>
  <c r="PB69" i="6"/>
  <c r="OQ31" i="6"/>
  <c r="OP32" i="6"/>
  <c r="OP25" i="6"/>
  <c r="OP34" i="6" s="1"/>
  <c r="OQ20" i="6"/>
  <c r="OR16" i="6"/>
  <c r="OQ17" i="6"/>
  <c r="PD51" i="6"/>
  <c r="PE22" i="6"/>
  <c r="OM35" i="6"/>
  <c r="ON34" i="6"/>
  <c r="ON35" i="6" s="1"/>
  <c r="OT1" i="6"/>
  <c r="OO34" i="6"/>
  <c r="OS30" i="6"/>
  <c r="OO27" i="6"/>
  <c r="J377" i="7"/>
  <c r="OQ49" i="6" s="1"/>
  <c r="OQ73" i="6"/>
  <c r="B379" i="4"/>
  <c r="A378" i="4"/>
  <c r="K379" i="4"/>
  <c r="I378" i="4"/>
  <c r="E195" i="4"/>
  <c r="D195" i="4"/>
  <c r="B380" i="7" l="1"/>
  <c r="A379" i="7"/>
  <c r="D128" i="7"/>
  <c r="EG37" i="6" s="1"/>
  <c r="F128" i="7"/>
  <c r="EG58" i="6"/>
  <c r="EG60" i="6" s="1"/>
  <c r="EE6" i="6"/>
  <c r="EE57" i="6"/>
  <c r="EE61" i="6" s="1"/>
  <c r="EE11" i="6" s="1"/>
  <c r="EF80" i="6"/>
  <c r="EF44" i="6"/>
  <c r="EF8" i="6"/>
  <c r="EF47" i="6"/>
  <c r="EE7" i="6"/>
  <c r="PE51" i="6"/>
  <c r="PF22" i="6"/>
  <c r="OS10" i="6"/>
  <c r="OT55" i="6"/>
  <c r="OU1" i="6"/>
  <c r="J378" i="7"/>
  <c r="OR49" i="6" s="1"/>
  <c r="OR73" i="6"/>
  <c r="PB70" i="6"/>
  <c r="MR65" i="6"/>
  <c r="MS64" i="6" s="1"/>
  <c r="OQ18" i="6"/>
  <c r="OR20" i="6"/>
  <c r="OQ25" i="6"/>
  <c r="OT30" i="6"/>
  <c r="K379" i="7"/>
  <c r="I379" i="7"/>
  <c r="OS38" i="6" s="1"/>
  <c r="H380" i="7"/>
  <c r="OT59" i="6" s="1"/>
  <c r="OR17" i="6"/>
  <c r="OR18" i="6" s="1"/>
  <c r="OS16" i="6"/>
  <c r="PC69" i="6"/>
  <c r="PD68" i="6"/>
  <c r="OO28" i="6"/>
  <c r="OO35" i="6"/>
  <c r="OR31" i="6"/>
  <c r="OQ32" i="6"/>
  <c r="OP35" i="6"/>
  <c r="OP27" i="6"/>
  <c r="OP28" i="6" s="1"/>
  <c r="F195" i="4"/>
  <c r="G195" i="4" s="1"/>
  <c r="L195" i="4"/>
  <c r="I379" i="4"/>
  <c r="B380" i="4"/>
  <c r="A379" i="4"/>
  <c r="B381" i="7" l="1"/>
  <c r="A380" i="7"/>
  <c r="EF52" i="6"/>
  <c r="EF9" i="6"/>
  <c r="EF82" i="6"/>
  <c r="E128" i="7"/>
  <c r="EG72" i="6"/>
  <c r="EG78" i="6" s="1"/>
  <c r="EG80" i="6" s="1"/>
  <c r="EG39" i="6"/>
  <c r="EG42" i="6"/>
  <c r="OU55" i="6"/>
  <c r="OT10" i="6"/>
  <c r="OR25" i="6"/>
  <c r="OR27" i="6" s="1"/>
  <c r="OR28" i="6" s="1"/>
  <c r="OS20" i="6"/>
  <c r="MS65" i="6"/>
  <c r="MT64" i="6" s="1"/>
  <c r="OV1" i="6"/>
  <c r="J379" i="7"/>
  <c r="OS49" i="6" s="1"/>
  <c r="OS73" i="6"/>
  <c r="PC70" i="6"/>
  <c r="OT16" i="6"/>
  <c r="OS17" i="6"/>
  <c r="OS18" i="6" s="1"/>
  <c r="PG22" i="6"/>
  <c r="PF51" i="6"/>
  <c r="OU30" i="6"/>
  <c r="PD69" i="6"/>
  <c r="PD70" i="6" s="1"/>
  <c r="PE68" i="6"/>
  <c r="OS31" i="6"/>
  <c r="OR32" i="6"/>
  <c r="K380" i="7"/>
  <c r="H381" i="7"/>
  <c r="I380" i="7"/>
  <c r="OT38" i="6" s="1"/>
  <c r="OQ27" i="6"/>
  <c r="OQ34" i="6"/>
  <c r="A380" i="4"/>
  <c r="B381" i="4"/>
  <c r="K380" i="4"/>
  <c r="I380" i="4"/>
  <c r="D196" i="4"/>
  <c r="E196" i="4"/>
  <c r="EG82" i="6" l="1"/>
  <c r="B382" i="7"/>
  <c r="A381" i="7"/>
  <c r="OU59" i="6"/>
  <c r="EG43" i="6"/>
  <c r="EG40" i="6"/>
  <c r="EG48" i="6"/>
  <c r="C129" i="7"/>
  <c r="EF5" i="6"/>
  <c r="EF4" i="6"/>
  <c r="EF56" i="6"/>
  <c r="OT20" i="6"/>
  <c r="OS25" i="6"/>
  <c r="OS27" i="6" s="1"/>
  <c r="OW1" i="6"/>
  <c r="OQ35" i="6"/>
  <c r="PF68" i="6"/>
  <c r="PE69" i="6"/>
  <c r="OT17" i="6"/>
  <c r="OT18" i="6" s="1"/>
  <c r="OU16" i="6"/>
  <c r="OU10" i="6"/>
  <c r="OV55" i="6"/>
  <c r="H382" i="7"/>
  <c r="K381" i="7"/>
  <c r="I381" i="7"/>
  <c r="OU38" i="6" s="1"/>
  <c r="J380" i="7"/>
  <c r="OT49" i="6" s="1"/>
  <c r="OT73" i="6"/>
  <c r="OV30" i="6"/>
  <c r="OR34" i="6"/>
  <c r="MT65" i="6"/>
  <c r="MU64" i="6" s="1"/>
  <c r="OQ28" i="6"/>
  <c r="PH22" i="6"/>
  <c r="PG51" i="6"/>
  <c r="OT31" i="6"/>
  <c r="OS32" i="6"/>
  <c r="A381" i="4"/>
  <c r="B382" i="4"/>
  <c r="F196" i="4"/>
  <c r="G196" i="4" s="1"/>
  <c r="L196" i="4"/>
  <c r="I381" i="4"/>
  <c r="K381" i="4"/>
  <c r="K382" i="4" s="1"/>
  <c r="B383" i="7" l="1"/>
  <c r="A382" i="7"/>
  <c r="EF6" i="6"/>
  <c r="EF57" i="6"/>
  <c r="EF61" i="6" s="1"/>
  <c r="EF11" i="6" s="1"/>
  <c r="F129" i="7"/>
  <c r="D129" i="7"/>
  <c r="EH37" i="6" s="1"/>
  <c r="EH58" i="6"/>
  <c r="EH60" i="6" s="1"/>
  <c r="EG47" i="6"/>
  <c r="EG52" i="6" s="1"/>
  <c r="EG44" i="6"/>
  <c r="EG8" i="6"/>
  <c r="EG9" i="6" s="1"/>
  <c r="EF7" i="6"/>
  <c r="MU65" i="6"/>
  <c r="MV64" i="6" s="1"/>
  <c r="OS28" i="6"/>
  <c r="OX1" i="6"/>
  <c r="PG68" i="6"/>
  <c r="PF69" i="6"/>
  <c r="PF70" i="6" s="1"/>
  <c r="PE70" i="6"/>
  <c r="I382" i="7"/>
  <c r="OV38" i="6" s="1"/>
  <c r="K382" i="7"/>
  <c r="H383" i="7"/>
  <c r="OS34" i="6"/>
  <c r="PH51" i="6"/>
  <c r="PI22" i="6"/>
  <c r="J381" i="7"/>
  <c r="OU49" i="6" s="1"/>
  <c r="OU73" i="6"/>
  <c r="OV10" i="6"/>
  <c r="OW55" i="6"/>
  <c r="OU31" i="6"/>
  <c r="OT32" i="6"/>
  <c r="OT25" i="6"/>
  <c r="OT34" i="6" s="1"/>
  <c r="OU20" i="6"/>
  <c r="OU17" i="6"/>
  <c r="OU18" i="6" s="1"/>
  <c r="OV16" i="6"/>
  <c r="OR35" i="6"/>
  <c r="OV59" i="6"/>
  <c r="OW30" i="6"/>
  <c r="A382" i="4"/>
  <c r="B383" i="4"/>
  <c r="I382" i="4"/>
  <c r="E197" i="4"/>
  <c r="D197" i="4"/>
  <c r="B384" i="7" l="1"/>
  <c r="A383" i="7"/>
  <c r="EH39" i="6"/>
  <c r="EH42" i="6"/>
  <c r="E129" i="7"/>
  <c r="EH72" i="6"/>
  <c r="EH78" i="6" s="1"/>
  <c r="EH80" i="6" s="1"/>
  <c r="EH82" i="6" s="1"/>
  <c r="EG5" i="6"/>
  <c r="EG7" i="6" s="1"/>
  <c r="EG4" i="6"/>
  <c r="EG56" i="6"/>
  <c r="OT35" i="6"/>
  <c r="PI51" i="6"/>
  <c r="PJ22" i="6"/>
  <c r="K383" i="7"/>
  <c r="I383" i="7"/>
  <c r="OW38" i="6" s="1"/>
  <c r="H384" i="7"/>
  <c r="OX59" i="6" s="1"/>
  <c r="J382" i="7"/>
  <c r="OV49" i="6" s="1"/>
  <c r="OV73" i="6"/>
  <c r="OX55" i="6"/>
  <c r="OW10" i="6"/>
  <c r="OV17" i="6"/>
  <c r="OV18" i="6" s="1"/>
  <c r="OW16" i="6"/>
  <c r="MV65" i="6"/>
  <c r="MW64" i="6" s="1"/>
  <c r="OX30" i="6"/>
  <c r="OY1" i="6"/>
  <c r="OS35" i="6"/>
  <c r="OT27" i="6"/>
  <c r="OW59" i="6"/>
  <c r="OV20" i="6"/>
  <c r="OU25" i="6"/>
  <c r="OU27" i="6" s="1"/>
  <c r="OU28" i="6" s="1"/>
  <c r="OV31" i="6"/>
  <c r="OU32" i="6"/>
  <c r="PH68" i="6"/>
  <c r="PG69" i="6"/>
  <c r="PG70" i="6" s="1"/>
  <c r="F197" i="4"/>
  <c r="G197" i="4" s="1"/>
  <c r="L197" i="4"/>
  <c r="B384" i="4"/>
  <c r="A383" i="4"/>
  <c r="I383" i="4"/>
  <c r="K383" i="4"/>
  <c r="K384" i="4" s="1"/>
  <c r="B385" i="7" l="1"/>
  <c r="A384" i="7"/>
  <c r="EG57" i="6"/>
  <c r="EG61" i="6" s="1"/>
  <c r="EG11" i="6" s="1"/>
  <c r="EG6" i="6"/>
  <c r="EH48" i="6"/>
  <c r="C130" i="7"/>
  <c r="EH40" i="6"/>
  <c r="EH43" i="6"/>
  <c r="MW65" i="6"/>
  <c r="MX64" i="6" s="1"/>
  <c r="OU34" i="6"/>
  <c r="PI68" i="6"/>
  <c r="PH69" i="6"/>
  <c r="PH70" i="6" s="1"/>
  <c r="PJ51" i="6"/>
  <c r="PK22" i="6"/>
  <c r="OZ1" i="6"/>
  <c r="OY55" i="6"/>
  <c r="OX10" i="6"/>
  <c r="OX16" i="6"/>
  <c r="OW17" i="6"/>
  <c r="OW18" i="6" s="1"/>
  <c r="OW20" i="6"/>
  <c r="OV25" i="6"/>
  <c r="OV34" i="6" s="1"/>
  <c r="J383" i="7"/>
  <c r="OW49" i="6" s="1"/>
  <c r="OW73" i="6"/>
  <c r="H385" i="7"/>
  <c r="K384" i="7"/>
  <c r="I384" i="7"/>
  <c r="OX38" i="6" s="1"/>
  <c r="OT28" i="6"/>
  <c r="OY30" i="6"/>
  <c r="OW31" i="6"/>
  <c r="OV32" i="6"/>
  <c r="I384" i="4"/>
  <c r="A384" i="4"/>
  <c r="B385" i="4"/>
  <c r="E198" i="4"/>
  <c r="D198" i="4"/>
  <c r="B386" i="7" l="1"/>
  <c r="A385" i="7"/>
  <c r="F130" i="7"/>
  <c r="D130" i="7"/>
  <c r="EI37" i="6" s="1"/>
  <c r="EI58" i="6"/>
  <c r="EI60" i="6" s="1"/>
  <c r="EH44" i="6"/>
  <c r="EH8" i="6"/>
  <c r="EH9" i="6" s="1"/>
  <c r="EH47" i="6"/>
  <c r="EH52" i="6" s="1"/>
  <c r="OV35" i="6"/>
  <c r="MX65" i="6"/>
  <c r="MY64" i="6" s="1"/>
  <c r="PB1" i="6"/>
  <c r="PA1" i="6"/>
  <c r="OX17" i="6"/>
  <c r="OX18" i="6" s="1"/>
  <c r="OY16" i="6"/>
  <c r="OX31" i="6"/>
  <c r="OW32" i="6"/>
  <c r="OZ55" i="6"/>
  <c r="OY10" i="6"/>
  <c r="OU35" i="6"/>
  <c r="OV27" i="6"/>
  <c r="PL22" i="6"/>
  <c r="PK51" i="6"/>
  <c r="OX20" i="6"/>
  <c r="OW25" i="6"/>
  <c r="OW34" i="6" s="1"/>
  <c r="OZ30" i="6"/>
  <c r="J384" i="7"/>
  <c r="OX49" i="6" s="1"/>
  <c r="OX73" i="6"/>
  <c r="PJ68" i="6"/>
  <c r="PI69" i="6"/>
  <c r="PI70" i="6" s="1"/>
  <c r="H386" i="7"/>
  <c r="I385" i="7"/>
  <c r="OY38" i="6" s="1"/>
  <c r="K385" i="7"/>
  <c r="OY59" i="6"/>
  <c r="B386" i="4"/>
  <c r="A385" i="4"/>
  <c r="F198" i="4"/>
  <c r="G198" i="4" s="1"/>
  <c r="L198" i="4"/>
  <c r="I385" i="4"/>
  <c r="K385" i="4"/>
  <c r="K386" i="4" s="1"/>
  <c r="B387" i="7" l="1"/>
  <c r="A386" i="7"/>
  <c r="EH56" i="6"/>
  <c r="EH5" i="6"/>
  <c r="EH7" i="6" s="1"/>
  <c r="EH4" i="6"/>
  <c r="EI42" i="6"/>
  <c r="EI39" i="6"/>
  <c r="E130" i="7"/>
  <c r="EI72" i="6"/>
  <c r="EI78" i="6" s="1"/>
  <c r="EI80" i="6" s="1"/>
  <c r="EI82" i="6" s="1"/>
  <c r="OW35" i="6"/>
  <c r="H387" i="7"/>
  <c r="K386" i="7"/>
  <c r="I386" i="7"/>
  <c r="OZ38" i="6" s="1"/>
  <c r="PA38" i="6" s="1"/>
  <c r="PB30" i="6"/>
  <c r="PA30" i="6"/>
  <c r="OW27" i="6"/>
  <c r="OW28" i="6" s="1"/>
  <c r="MY65" i="6"/>
  <c r="MZ64" i="6" s="1"/>
  <c r="OZ59" i="6"/>
  <c r="PA59" i="6" s="1"/>
  <c r="PC1" i="6"/>
  <c r="OV28" i="6"/>
  <c r="OZ16" i="6"/>
  <c r="OY17" i="6"/>
  <c r="OY18" i="6" s="1"/>
  <c r="PA55" i="6"/>
  <c r="PB55" i="6"/>
  <c r="OZ10" i="6"/>
  <c r="PA10" i="6" s="1"/>
  <c r="J385" i="7"/>
  <c r="OY49" i="6" s="1"/>
  <c r="OY73" i="6"/>
  <c r="PL51" i="6"/>
  <c r="PM22" i="6"/>
  <c r="PK68" i="6"/>
  <c r="PJ69" i="6"/>
  <c r="PJ70" i="6" s="1"/>
  <c r="OY20" i="6"/>
  <c r="OX25" i="6"/>
  <c r="OX27" i="6" s="1"/>
  <c r="OX28" i="6" s="1"/>
  <c r="OY31" i="6"/>
  <c r="OX32" i="6"/>
  <c r="I386" i="4"/>
  <c r="E199" i="4"/>
  <c r="D199" i="4"/>
  <c r="B387" i="4"/>
  <c r="A386" i="4"/>
  <c r="OX34" i="6" l="1"/>
  <c r="OX35" i="6" s="1"/>
  <c r="B388" i="7"/>
  <c r="A387" i="7"/>
  <c r="PB59" i="6"/>
  <c r="EI40" i="6"/>
  <c r="EI43" i="6"/>
  <c r="EI48" i="6"/>
  <c r="C131" i="7"/>
  <c r="EH57" i="6"/>
  <c r="EH61" i="6" s="1"/>
  <c r="EH11" i="6" s="1"/>
  <c r="EH6" i="6"/>
  <c r="NA64" i="6"/>
  <c r="MZ65" i="6"/>
  <c r="NA65" i="6" s="1"/>
  <c r="J386" i="7"/>
  <c r="OZ49" i="6" s="1"/>
  <c r="PA49" i="6" s="1"/>
  <c r="OZ73" i="6"/>
  <c r="PA73" i="6" s="1"/>
  <c r="PC55" i="6"/>
  <c r="PB10" i="6"/>
  <c r="PC30" i="6"/>
  <c r="PD1" i="6"/>
  <c r="OZ31" i="6"/>
  <c r="OY32" i="6"/>
  <c r="PK69" i="6"/>
  <c r="PK70" i="6" s="1"/>
  <c r="PL68" i="6"/>
  <c r="PM51" i="6"/>
  <c r="PN51" i="6" s="1"/>
  <c r="PO22" i="6"/>
  <c r="PN22" i="6"/>
  <c r="OZ17" i="6"/>
  <c r="PA17" i="6" s="1"/>
  <c r="PB16" i="6"/>
  <c r="PA16" i="6"/>
  <c r="I387" i="7"/>
  <c r="PB38" i="6" s="1"/>
  <c r="H388" i="7"/>
  <c r="K387" i="7"/>
  <c r="OZ20" i="6"/>
  <c r="OY25" i="6"/>
  <c r="OY27" i="6" s="1"/>
  <c r="OY28" i="6" s="1"/>
  <c r="I387" i="4"/>
  <c r="B388" i="4"/>
  <c r="A387" i="4"/>
  <c r="F199" i="4"/>
  <c r="G199" i="4" s="1"/>
  <c r="L199" i="4"/>
  <c r="K387" i="4"/>
  <c r="K388" i="4" s="1"/>
  <c r="OZ18" i="6" l="1"/>
  <c r="PA18" i="6" s="1"/>
  <c r="B389" i="7"/>
  <c r="A388" i="7"/>
  <c r="EJ58" i="6"/>
  <c r="EJ60" i="6" s="1"/>
  <c r="D131" i="7"/>
  <c r="EJ37" i="6" s="1"/>
  <c r="F131" i="7"/>
  <c r="EI47" i="6"/>
  <c r="EI52" i="6" s="1"/>
  <c r="EI8" i="6"/>
  <c r="EI9" i="6" s="1"/>
  <c r="EI44" i="6"/>
  <c r="I388" i="7"/>
  <c r="PC38" i="6" s="1"/>
  <c r="H389" i="7"/>
  <c r="PD59" i="6" s="1"/>
  <c r="K388" i="7"/>
  <c r="PB31" i="6"/>
  <c r="PA31" i="6"/>
  <c r="OZ32" i="6"/>
  <c r="PA32" i="6" s="1"/>
  <c r="PC16" i="6"/>
  <c r="PB17" i="6"/>
  <c r="PB18" i="6" s="1"/>
  <c r="PB20" i="6"/>
  <c r="OZ25" i="6"/>
  <c r="PA25" i="6" s="1"/>
  <c r="PA20" i="6"/>
  <c r="J387" i="7"/>
  <c r="PB49" i="6" s="1"/>
  <c r="PB73" i="6"/>
  <c r="PD55" i="6"/>
  <c r="PC10" i="6"/>
  <c r="OY34" i="6"/>
  <c r="PC59" i="6"/>
  <c r="PM68" i="6"/>
  <c r="PL69" i="6"/>
  <c r="PL70" i="6" s="1"/>
  <c r="PE1" i="6"/>
  <c r="PP22" i="6"/>
  <c r="PO51" i="6"/>
  <c r="PD30" i="6"/>
  <c r="NB64" i="6"/>
  <c r="E200" i="4"/>
  <c r="D200" i="4"/>
  <c r="A388" i="4"/>
  <c r="B389" i="4"/>
  <c r="A389" i="4" s="1"/>
  <c r="I388" i="4"/>
  <c r="OZ27" i="6" l="1"/>
  <c r="OZ28" i="6" s="1"/>
  <c r="B390" i="7"/>
  <c r="A389" i="7"/>
  <c r="EI4" i="6"/>
  <c r="EI5" i="6"/>
  <c r="EI7" i="6" s="1"/>
  <c r="EI56" i="6"/>
  <c r="E131" i="7"/>
  <c r="EJ72" i="6"/>
  <c r="EJ78" i="6" s="1"/>
  <c r="EJ80" i="6" s="1"/>
  <c r="EJ82" i="6" s="1"/>
  <c r="EJ42" i="6"/>
  <c r="EJ39" i="6"/>
  <c r="PD16" i="6"/>
  <c r="PC17" i="6"/>
  <c r="PC18" i="6" s="1"/>
  <c r="PP51" i="6"/>
  <c r="PQ22" i="6"/>
  <c r="PD10" i="6"/>
  <c r="PE55" i="6"/>
  <c r="OZ34" i="6"/>
  <c r="J388" i="7"/>
  <c r="PC49" i="6" s="1"/>
  <c r="PC73" i="6"/>
  <c r="PE30" i="6"/>
  <c r="PB25" i="6"/>
  <c r="PB27" i="6" s="1"/>
  <c r="PC20" i="6"/>
  <c r="K389" i="7"/>
  <c r="H390" i="7"/>
  <c r="I389" i="7"/>
  <c r="PD38" i="6" s="1"/>
  <c r="PF1" i="6"/>
  <c r="OY35" i="6"/>
  <c r="PC31" i="6"/>
  <c r="PB32" i="6"/>
  <c r="PM69" i="6"/>
  <c r="PN69" i="6" s="1"/>
  <c r="PO68" i="6"/>
  <c r="PN68" i="6"/>
  <c r="NB65" i="6"/>
  <c r="NC64" i="6" s="1"/>
  <c r="I389" i="4"/>
  <c r="F200" i="4"/>
  <c r="G200" i="4" s="1"/>
  <c r="L200" i="4"/>
  <c r="K389" i="4"/>
  <c r="PA27" i="6" l="1"/>
  <c r="PA28" i="6" s="1"/>
  <c r="PM70" i="6"/>
  <c r="PN70" i="6" s="1"/>
  <c r="PB34" i="6"/>
  <c r="PB35" i="6" s="1"/>
  <c r="B391" i="7"/>
  <c r="A390" i="7"/>
  <c r="EJ48" i="6"/>
  <c r="C132" i="7"/>
  <c r="EJ43" i="6"/>
  <c r="EJ40" i="6"/>
  <c r="EI57" i="6"/>
  <c r="EI61" i="6" s="1"/>
  <c r="EI11" i="6" s="1"/>
  <c r="EI6" i="6"/>
  <c r="NC65" i="6"/>
  <c r="ND64" i="6" s="1"/>
  <c r="OZ35" i="6"/>
  <c r="PA34" i="6"/>
  <c r="PA35" i="6" s="1"/>
  <c r="J389" i="7"/>
  <c r="PD49" i="6" s="1"/>
  <c r="PD73" i="6"/>
  <c r="PF55" i="6"/>
  <c r="PE10" i="6"/>
  <c r="PG1" i="6"/>
  <c r="PP68" i="6"/>
  <c r="PO69" i="6"/>
  <c r="PO70" i="6" s="1"/>
  <c r="PR22" i="6"/>
  <c r="PQ51" i="6"/>
  <c r="PC25" i="6"/>
  <c r="PC27" i="6" s="1"/>
  <c r="PC28" i="6" s="1"/>
  <c r="PD20" i="6"/>
  <c r="PD17" i="6"/>
  <c r="PD18" i="6" s="1"/>
  <c r="PE16" i="6"/>
  <c r="PD31" i="6"/>
  <c r="PC32" i="6"/>
  <c r="PF30" i="6"/>
  <c r="H391" i="7"/>
  <c r="K390" i="7"/>
  <c r="I390" i="7"/>
  <c r="PE38" i="6" s="1"/>
  <c r="PE59" i="6"/>
  <c r="PB28" i="6"/>
  <c r="D201" i="4"/>
  <c r="E201" i="4"/>
  <c r="PC34" i="6" l="1"/>
  <c r="PC35" i="6" s="1"/>
  <c r="B392" i="7"/>
  <c r="A391" i="7"/>
  <c r="PF59" i="6"/>
  <c r="F132" i="7"/>
  <c r="EK58" i="6"/>
  <c r="EK60" i="6" s="1"/>
  <c r="D132" i="7"/>
  <c r="EK37" i="6" s="1"/>
  <c r="EJ44" i="6"/>
  <c r="EJ47" i="6"/>
  <c r="EJ52" i="6" s="1"/>
  <c r="EJ8" i="6"/>
  <c r="EJ9" i="6" s="1"/>
  <c r="PR51" i="6"/>
  <c r="PS22" i="6"/>
  <c r="ND65" i="6"/>
  <c r="NE64" i="6" s="1"/>
  <c r="PE31" i="6"/>
  <c r="PD32" i="6"/>
  <c r="PH1" i="6"/>
  <c r="I391" i="7"/>
  <c r="PF38" i="6" s="1"/>
  <c r="H392" i="7"/>
  <c r="K391" i="7"/>
  <c r="PG55" i="6"/>
  <c r="PF10" i="6"/>
  <c r="J390" i="7"/>
  <c r="PE49" i="6" s="1"/>
  <c r="PE73" i="6"/>
  <c r="PE17" i="6"/>
  <c r="PE18" i="6" s="1"/>
  <c r="PF16" i="6"/>
  <c r="PG30" i="6"/>
  <c r="PQ68" i="6"/>
  <c r="PP69" i="6"/>
  <c r="PP70" i="6" s="1"/>
  <c r="PD25" i="6"/>
  <c r="PD27" i="6" s="1"/>
  <c r="PE20" i="6"/>
  <c r="F201" i="4"/>
  <c r="G201" i="4" s="1"/>
  <c r="L201" i="4"/>
  <c r="B393" i="7" l="1"/>
  <c r="A392" i="7"/>
  <c r="PG59" i="6"/>
  <c r="EJ5" i="6"/>
  <c r="EJ7" i="6" s="1"/>
  <c r="EJ4" i="6"/>
  <c r="EJ56" i="6"/>
  <c r="EK42" i="6"/>
  <c r="EK39" i="6"/>
  <c r="E132" i="7"/>
  <c r="EK72" i="6"/>
  <c r="EK78" i="6" s="1"/>
  <c r="EK80" i="6" s="1"/>
  <c r="EK82" i="6" s="1"/>
  <c r="PD28" i="6"/>
  <c r="PF20" i="6"/>
  <c r="PE25" i="6"/>
  <c r="PE27" i="6" s="1"/>
  <c r="PI1" i="6"/>
  <c r="NE65" i="6"/>
  <c r="NF64" i="6" s="1"/>
  <c r="PH30" i="6"/>
  <c r="PH55" i="6"/>
  <c r="PG10" i="6"/>
  <c r="PS51" i="6"/>
  <c r="PT22" i="6"/>
  <c r="PR68" i="6"/>
  <c r="PQ69" i="6"/>
  <c r="PQ70" i="6" s="1"/>
  <c r="PD34" i="6"/>
  <c r="PF31" i="6"/>
  <c r="PE32" i="6"/>
  <c r="J391" i="7"/>
  <c r="PF49" i="6" s="1"/>
  <c r="PF73" i="6"/>
  <c r="PF17" i="6"/>
  <c r="PF18" i="6" s="1"/>
  <c r="PG16" i="6"/>
  <c r="K392" i="7"/>
  <c r="I392" i="7"/>
  <c r="PG38" i="6" s="1"/>
  <c r="H393" i="7"/>
  <c r="E202" i="4"/>
  <c r="D202" i="4"/>
  <c r="PE34" i="6" l="1"/>
  <c r="PE35" i="6" s="1"/>
  <c r="B394" i="7"/>
  <c r="A393" i="7"/>
  <c r="EK43" i="6"/>
  <c r="EK40" i="6"/>
  <c r="EK48" i="6"/>
  <c r="C133" i="7"/>
  <c r="EJ6" i="6"/>
  <c r="EJ57" i="6"/>
  <c r="EJ61" i="6" s="1"/>
  <c r="EJ11" i="6" s="1"/>
  <c r="NF65" i="6"/>
  <c r="NG64" i="6" s="1"/>
  <c r="PE28" i="6"/>
  <c r="PG20" i="6"/>
  <c r="PF25" i="6"/>
  <c r="PF34" i="6" s="1"/>
  <c r="PI30" i="6"/>
  <c r="PT51" i="6"/>
  <c r="PU22" i="6"/>
  <c r="J392" i="7"/>
  <c r="PG49" i="6" s="1"/>
  <c r="PG73" i="6"/>
  <c r="PD35" i="6"/>
  <c r="PI55" i="6"/>
  <c r="PH10" i="6"/>
  <c r="I393" i="7"/>
  <c r="PH38" i="6" s="1"/>
  <c r="K393" i="7"/>
  <c r="H394" i="7"/>
  <c r="PI59" i="6" s="1"/>
  <c r="PG31" i="6"/>
  <c r="PF32" i="6"/>
  <c r="PR69" i="6"/>
  <c r="PR70" i="6" s="1"/>
  <c r="PS68" i="6"/>
  <c r="PH59" i="6"/>
  <c r="PG17" i="6"/>
  <c r="PG18" i="6" s="1"/>
  <c r="PH16" i="6"/>
  <c r="PJ1" i="6"/>
  <c r="F202" i="4"/>
  <c r="G202" i="4" s="1"/>
  <c r="L202" i="4"/>
  <c r="PF27" i="6" l="1"/>
  <c r="PF28" i="6" s="1"/>
  <c r="B395" i="7"/>
  <c r="A394" i="7"/>
  <c r="EL58" i="6"/>
  <c r="EL60" i="6" s="1"/>
  <c r="D133" i="7"/>
  <c r="EL37" i="6" s="1"/>
  <c r="F133" i="7"/>
  <c r="EK8" i="6"/>
  <c r="EK9" i="6" s="1"/>
  <c r="EK47" i="6"/>
  <c r="EK52" i="6" s="1"/>
  <c r="EK44" i="6"/>
  <c r="NG65" i="6"/>
  <c r="NH64" i="6" s="1"/>
  <c r="J393" i="7"/>
  <c r="PH49" i="6" s="1"/>
  <c r="PH73" i="6"/>
  <c r="PK1" i="6"/>
  <c r="PS69" i="6"/>
  <c r="PS70" i="6" s="1"/>
  <c r="PT68" i="6"/>
  <c r="PJ30" i="6"/>
  <c r="PF35" i="6"/>
  <c r="PI16" i="6"/>
  <c r="PH17" i="6"/>
  <c r="PH18" i="6" s="1"/>
  <c r="PG25" i="6"/>
  <c r="PH20" i="6"/>
  <c r="PJ55" i="6"/>
  <c r="PI10" i="6"/>
  <c r="PH31" i="6"/>
  <c r="PG32" i="6"/>
  <c r="K394" i="7"/>
  <c r="I394" i="7"/>
  <c r="PI38" i="6" s="1"/>
  <c r="H395" i="7"/>
  <c r="PJ59" i="6" s="1"/>
  <c r="PU51" i="6"/>
  <c r="PV22" i="6"/>
  <c r="E203" i="4"/>
  <c r="D203" i="4"/>
  <c r="PG34" i="6" l="1"/>
  <c r="PG35" i="6" s="1"/>
  <c r="B396" i="7"/>
  <c r="A395" i="7"/>
  <c r="EK5" i="6"/>
  <c r="EK7" i="6" s="1"/>
  <c r="EK4" i="6"/>
  <c r="EK56" i="6"/>
  <c r="E133" i="7"/>
  <c r="EL72" i="6"/>
  <c r="EL78" i="6" s="1"/>
  <c r="EL80" i="6" s="1"/>
  <c r="EL82" i="6" s="1"/>
  <c r="EL42" i="6"/>
  <c r="EL39" i="6"/>
  <c r="PJ16" i="6"/>
  <c r="PI17" i="6"/>
  <c r="PI18" i="6" s="1"/>
  <c r="J394" i="7"/>
  <c r="PI49" i="6" s="1"/>
  <c r="PI73" i="6"/>
  <c r="PT69" i="6"/>
  <c r="PT70" i="6" s="1"/>
  <c r="PU68" i="6"/>
  <c r="PV51" i="6"/>
  <c r="PW22" i="6"/>
  <c r="H396" i="7"/>
  <c r="PK59" i="6" s="1"/>
  <c r="K395" i="7"/>
  <c r="I395" i="7"/>
  <c r="PJ38" i="6" s="1"/>
  <c r="NH65" i="6"/>
  <c r="NI64" i="6" s="1"/>
  <c r="PI31" i="6"/>
  <c r="PH32" i="6"/>
  <c r="PK55" i="6"/>
  <c r="PJ10" i="6"/>
  <c r="PH25" i="6"/>
  <c r="PH27" i="6" s="1"/>
  <c r="PH28" i="6" s="1"/>
  <c r="PI20" i="6"/>
  <c r="PG27" i="6"/>
  <c r="PK30" i="6"/>
  <c r="PL1" i="6"/>
  <c r="F203" i="4"/>
  <c r="G203" i="4" s="1"/>
  <c r="L203" i="4"/>
  <c r="B397" i="7" l="1"/>
  <c r="A396" i="7"/>
  <c r="EL43" i="6"/>
  <c r="EL40" i="6"/>
  <c r="EL48" i="6"/>
  <c r="C134" i="7"/>
  <c r="EK57" i="6"/>
  <c r="EK61" i="6" s="1"/>
  <c r="EK11" i="6" s="1"/>
  <c r="EK6" i="6"/>
  <c r="NI65" i="6"/>
  <c r="NJ64" i="6" s="1"/>
  <c r="PG28" i="6"/>
  <c r="J395" i="7"/>
  <c r="PJ49" i="6" s="1"/>
  <c r="PJ73" i="6"/>
  <c r="PH34" i="6"/>
  <c r="PJ17" i="6"/>
  <c r="PJ18" i="6" s="1"/>
  <c r="PK16" i="6"/>
  <c r="I396" i="7"/>
  <c r="PK38" i="6" s="1"/>
  <c r="H397" i="7"/>
  <c r="K396" i="7"/>
  <c r="PJ31" i="6"/>
  <c r="PI32" i="6"/>
  <c r="PW51" i="6"/>
  <c r="PX22" i="6"/>
  <c r="PI25" i="6"/>
  <c r="PI27" i="6" s="1"/>
  <c r="PI28" i="6" s="1"/>
  <c r="PJ20" i="6"/>
  <c r="PM1" i="6"/>
  <c r="PK10" i="6"/>
  <c r="PL55" i="6"/>
  <c r="PV68" i="6"/>
  <c r="PU69" i="6"/>
  <c r="PU70" i="6" s="1"/>
  <c r="PL30" i="6"/>
  <c r="D204" i="4"/>
  <c r="E204" i="4"/>
  <c r="B398" i="7" l="1"/>
  <c r="A397" i="7"/>
  <c r="F134" i="7"/>
  <c r="D134" i="7"/>
  <c r="EM37" i="6" s="1"/>
  <c r="EM58" i="6"/>
  <c r="EL47" i="6"/>
  <c r="EL52" i="6" s="1"/>
  <c r="EL8" i="6"/>
  <c r="EL9" i="6" s="1"/>
  <c r="EL44" i="6"/>
  <c r="PH35" i="6"/>
  <c r="PX51" i="6"/>
  <c r="PY22" i="6"/>
  <c r="PM55" i="6"/>
  <c r="PL10" i="6"/>
  <c r="PO1" i="6"/>
  <c r="PN1" i="6"/>
  <c r="PI34" i="6"/>
  <c r="PM30" i="6"/>
  <c r="PL16" i="6"/>
  <c r="PK17" i="6"/>
  <c r="PK18" i="6" s="1"/>
  <c r="PK31" i="6"/>
  <c r="PJ32" i="6"/>
  <c r="K397" i="7"/>
  <c r="I397" i="7"/>
  <c r="PL38" i="6" s="1"/>
  <c r="H398" i="7"/>
  <c r="J396" i="7"/>
  <c r="PK49" i="6" s="1"/>
  <c r="PK73" i="6"/>
  <c r="PW68" i="6"/>
  <c r="PV69" i="6"/>
  <c r="PV70" i="6" s="1"/>
  <c r="PL59" i="6"/>
  <c r="NJ65" i="6"/>
  <c r="NK64" i="6" s="1"/>
  <c r="PJ25" i="6"/>
  <c r="PK20" i="6"/>
  <c r="F204" i="4"/>
  <c r="G204" i="4" s="1"/>
  <c r="L204" i="4"/>
  <c r="PJ34" i="6" l="1"/>
  <c r="PJ35" i="6" s="1"/>
  <c r="B399" i="7"/>
  <c r="A398" i="7"/>
  <c r="EM39" i="6"/>
  <c r="EM42" i="6"/>
  <c r="EN42" i="6" s="1"/>
  <c r="EN37" i="6"/>
  <c r="EM72" i="6"/>
  <c r="E134" i="7"/>
  <c r="EL4" i="6"/>
  <c r="EL5" i="6"/>
  <c r="EL7" i="6" s="1"/>
  <c r="EL56" i="6"/>
  <c r="EM60" i="6"/>
  <c r="EN60" i="6" s="1"/>
  <c r="EN58" i="6"/>
  <c r="NK65" i="6"/>
  <c r="NL64" i="6" s="1"/>
  <c r="PK25" i="6"/>
  <c r="PL20" i="6"/>
  <c r="J397" i="7"/>
  <c r="PL49" i="6" s="1"/>
  <c r="PL73" i="6"/>
  <c r="PO55" i="6"/>
  <c r="PM10" i="6"/>
  <c r="PN10" i="6" s="1"/>
  <c r="PN55" i="6"/>
  <c r="PJ27" i="6"/>
  <c r="PJ28" i="6" s="1"/>
  <c r="PY51" i="6"/>
  <c r="PZ22" i="6"/>
  <c r="PX68" i="6"/>
  <c r="PW69" i="6"/>
  <c r="PW70" i="6" s="1"/>
  <c r="I398" i="7"/>
  <c r="PM38" i="6" s="1"/>
  <c r="PN38" i="6" s="1"/>
  <c r="K398" i="7"/>
  <c r="H399" i="7"/>
  <c r="PO59" i="6" s="1"/>
  <c r="PP1" i="6"/>
  <c r="PM59" i="6"/>
  <c r="PN59" i="6" s="1"/>
  <c r="PI35" i="6"/>
  <c r="PL31" i="6"/>
  <c r="PK32" i="6"/>
  <c r="PO30" i="6"/>
  <c r="PN30" i="6"/>
  <c r="PL17" i="6"/>
  <c r="PL18" i="6" s="1"/>
  <c r="PM16" i="6"/>
  <c r="D205" i="4"/>
  <c r="E205" i="4"/>
  <c r="PK34" i="6" l="1"/>
  <c r="PK35" i="6" s="1"/>
  <c r="B400" i="7"/>
  <c r="A399" i="7"/>
  <c r="EM43" i="6"/>
  <c r="EM40" i="6"/>
  <c r="EN39" i="6"/>
  <c r="EN40" i="6" s="1"/>
  <c r="EL6" i="6"/>
  <c r="EL57" i="6"/>
  <c r="EL61" i="6" s="1"/>
  <c r="EL11" i="6" s="1"/>
  <c r="EM48" i="6"/>
  <c r="EN48" i="6" s="1"/>
  <c r="C135" i="7"/>
  <c r="G41" i="3" s="1"/>
  <c r="H41" i="3" s="1"/>
  <c r="EM78" i="6"/>
  <c r="EN72" i="6"/>
  <c r="NL65" i="6"/>
  <c r="NM64" i="6" s="1"/>
  <c r="PO10" i="6"/>
  <c r="PP55" i="6"/>
  <c r="PK27" i="6"/>
  <c r="PK28" i="6" s="1"/>
  <c r="PY68" i="6"/>
  <c r="PX69" i="6"/>
  <c r="PX70" i="6" s="1"/>
  <c r="PQ1" i="6"/>
  <c r="H400" i="7"/>
  <c r="PP59" i="6" s="1"/>
  <c r="I399" i="7"/>
  <c r="PO38" i="6" s="1"/>
  <c r="K399" i="7"/>
  <c r="J398" i="7"/>
  <c r="PM49" i="6" s="1"/>
  <c r="PN49" i="6" s="1"/>
  <c r="PM73" i="6"/>
  <c r="PN73" i="6" s="1"/>
  <c r="PM20" i="6"/>
  <c r="PL25" i="6"/>
  <c r="PL27" i="6" s="1"/>
  <c r="PL28" i="6" s="1"/>
  <c r="PO16" i="6"/>
  <c r="PM17" i="6"/>
  <c r="PN17" i="6" s="1"/>
  <c r="PN16" i="6"/>
  <c r="QB22" i="6"/>
  <c r="PZ51" i="6"/>
  <c r="QA51" i="6" s="1"/>
  <c r="QA22" i="6"/>
  <c r="PP30" i="6"/>
  <c r="PM31" i="6"/>
  <c r="PL32" i="6"/>
  <c r="F205" i="4"/>
  <c r="G205" i="4" s="1"/>
  <c r="L205" i="4"/>
  <c r="PL34" i="6" l="1"/>
  <c r="PL35" i="6" s="1"/>
  <c r="B401" i="7"/>
  <c r="A400" i="7"/>
  <c r="F135" i="7"/>
  <c r="D135" i="7"/>
  <c r="EO37" i="6" s="1"/>
  <c r="EO58" i="6"/>
  <c r="EO60" i="6" s="1"/>
  <c r="EM80" i="6"/>
  <c r="EN78" i="6"/>
  <c r="EM47" i="6"/>
  <c r="EM44" i="6"/>
  <c r="EM8" i="6"/>
  <c r="EN43" i="6"/>
  <c r="EN44" i="6" s="1"/>
  <c r="PM25" i="6"/>
  <c r="PN25" i="6" s="1"/>
  <c r="PO20" i="6"/>
  <c r="PN20" i="6"/>
  <c r="PQ30" i="6"/>
  <c r="NN64" i="6"/>
  <c r="NM65" i="6"/>
  <c r="NN65" i="6" s="1"/>
  <c r="J399" i="7"/>
  <c r="PO49" i="6" s="1"/>
  <c r="PO73" i="6"/>
  <c r="PQ55" i="6"/>
  <c r="PP10" i="6"/>
  <c r="PY69" i="6"/>
  <c r="PY70" i="6" s="1"/>
  <c r="PZ68" i="6"/>
  <c r="PO31" i="6"/>
  <c r="PN31" i="6"/>
  <c r="PM32" i="6"/>
  <c r="PN32" i="6" s="1"/>
  <c r="QB51" i="6"/>
  <c r="QC22" i="6"/>
  <c r="PR1" i="6"/>
  <c r="PM18" i="6"/>
  <c r="PO17" i="6"/>
  <c r="PO18" i="6" s="1"/>
  <c r="PP16" i="6"/>
  <c r="I400" i="7"/>
  <c r="PP38" i="6" s="1"/>
  <c r="H401" i="7"/>
  <c r="PQ59" i="6" s="1"/>
  <c r="K400" i="7"/>
  <c r="E206" i="4"/>
  <c r="D206" i="4"/>
  <c r="NO64" i="6" l="1"/>
  <c r="NO65" i="6" s="1"/>
  <c r="B402" i="7"/>
  <c r="A401" i="7"/>
  <c r="EM9" i="6"/>
  <c r="EN9" i="6" s="1"/>
  <c r="EN8" i="6"/>
  <c r="EM52" i="6"/>
  <c r="EN47" i="6"/>
  <c r="EM82" i="6"/>
  <c r="EN82" i="6" s="1"/>
  <c r="EN80" i="6"/>
  <c r="E40" i="3" s="1"/>
  <c r="EO39" i="6"/>
  <c r="EO42" i="6"/>
  <c r="EO72" i="6"/>
  <c r="E135" i="7"/>
  <c r="QC51" i="6"/>
  <c r="QD22" i="6"/>
  <c r="PM34" i="6"/>
  <c r="PM27" i="6"/>
  <c r="PN18" i="6"/>
  <c r="PR59" i="6"/>
  <c r="PS1" i="6"/>
  <c r="PQ16" i="6"/>
  <c r="PP17" i="6"/>
  <c r="PP18" i="6" s="1"/>
  <c r="PR30" i="6"/>
  <c r="J400" i="7"/>
  <c r="PP49" i="6" s="1"/>
  <c r="PP73" i="6"/>
  <c r="PP31" i="6"/>
  <c r="PO32" i="6"/>
  <c r="PR55" i="6"/>
  <c r="PQ10" i="6"/>
  <c r="QB68" i="6"/>
  <c r="PZ69" i="6"/>
  <c r="QA69" i="6" s="1"/>
  <c r="QA68" i="6"/>
  <c r="PP20" i="6"/>
  <c r="PO25" i="6"/>
  <c r="PO27" i="6" s="1"/>
  <c r="H402" i="7"/>
  <c r="K401" i="7"/>
  <c r="I401" i="7"/>
  <c r="PQ38" i="6" s="1"/>
  <c r="F206" i="4"/>
  <c r="G206" i="4" s="1"/>
  <c r="L206" i="4"/>
  <c r="K40" i="3" l="1"/>
  <c r="L40" i="3"/>
  <c r="B403" i="7"/>
  <c r="A402" i="7"/>
  <c r="EO78" i="6"/>
  <c r="EO48" i="6"/>
  <c r="C136" i="7"/>
  <c r="EO43" i="6"/>
  <c r="EO40" i="6"/>
  <c r="EM4" i="6"/>
  <c r="EN4" i="6" s="1"/>
  <c r="EM5" i="6"/>
  <c r="EN52" i="6"/>
  <c r="EM56" i="6"/>
  <c r="PO28" i="6"/>
  <c r="QD51" i="6"/>
  <c r="QE22" i="6"/>
  <c r="J401" i="7"/>
  <c r="PQ49" i="6" s="1"/>
  <c r="PQ73" i="6"/>
  <c r="QC68" i="6"/>
  <c r="QB69" i="6"/>
  <c r="PZ70" i="6"/>
  <c r="PQ17" i="6"/>
  <c r="PQ18" i="6" s="1"/>
  <c r="PR16" i="6"/>
  <c r="NP64" i="6"/>
  <c r="PS55" i="6"/>
  <c r="PR10" i="6"/>
  <c r="PM28" i="6"/>
  <c r="PN27" i="6"/>
  <c r="PN28" i="6" s="1"/>
  <c r="PQ31" i="6"/>
  <c r="PP32" i="6"/>
  <c r="PM35" i="6"/>
  <c r="PN34" i="6"/>
  <c r="PN35" i="6" s="1"/>
  <c r="K402" i="7"/>
  <c r="I402" i="7"/>
  <c r="PR38" i="6" s="1"/>
  <c r="H403" i="7"/>
  <c r="PS30" i="6"/>
  <c r="PP25" i="6"/>
  <c r="PP27" i="6" s="1"/>
  <c r="PP28" i="6" s="1"/>
  <c r="PQ20" i="6"/>
  <c r="PT1" i="6"/>
  <c r="PO34" i="6"/>
  <c r="D207" i="4"/>
  <c r="E207" i="4"/>
  <c r="B404" i="7" l="1"/>
  <c r="A403" i="7"/>
  <c r="EM6" i="6"/>
  <c r="EM57" i="6"/>
  <c r="EM61" i="6" s="1"/>
  <c r="EN56" i="6"/>
  <c r="EN5" i="6"/>
  <c r="EM7" i="6"/>
  <c r="EO47" i="6"/>
  <c r="EO8" i="6"/>
  <c r="EO44" i="6"/>
  <c r="F136" i="7"/>
  <c r="D136" i="7"/>
  <c r="EP37" i="6" s="1"/>
  <c r="EP58" i="6"/>
  <c r="EP60" i="6" s="1"/>
  <c r="EO80" i="6"/>
  <c r="PP34" i="6"/>
  <c r="PU1" i="6"/>
  <c r="I403" i="7"/>
  <c r="PS38" i="6" s="1"/>
  <c r="K403" i="7"/>
  <c r="H404" i="7"/>
  <c r="PT59" i="6" s="1"/>
  <c r="J402" i="7"/>
  <c r="PR49" i="6" s="1"/>
  <c r="PR73" i="6"/>
  <c r="PO35" i="6"/>
  <c r="PQ25" i="6"/>
  <c r="PR20" i="6"/>
  <c r="QA70" i="6"/>
  <c r="PT30" i="6"/>
  <c r="PS59" i="6"/>
  <c r="QD68" i="6"/>
  <c r="QC69" i="6"/>
  <c r="PT55" i="6"/>
  <c r="PS10" i="6"/>
  <c r="PR31" i="6"/>
  <c r="PQ32" i="6"/>
  <c r="QF22" i="6"/>
  <c r="QE51" i="6"/>
  <c r="NP65" i="6"/>
  <c r="NQ64" i="6" s="1"/>
  <c r="PS16" i="6"/>
  <c r="PR17" i="6"/>
  <c r="QB70" i="6"/>
  <c r="F207" i="4"/>
  <c r="G207" i="4" s="1"/>
  <c r="L207" i="4"/>
  <c r="B405" i="7" l="1"/>
  <c r="A404" i="7"/>
  <c r="EO82" i="6"/>
  <c r="EP39" i="6"/>
  <c r="EP42" i="6"/>
  <c r="EP72" i="6"/>
  <c r="E136" i="7"/>
  <c r="EO9" i="6"/>
  <c r="EO52" i="6"/>
  <c r="EO56" i="6" s="1"/>
  <c r="EN7" i="6"/>
  <c r="EN13" i="6" s="1"/>
  <c r="EN57" i="6"/>
  <c r="EN6" i="6"/>
  <c r="EM11" i="6"/>
  <c r="EN61" i="6"/>
  <c r="EN11" i="6" s="1"/>
  <c r="EN12" i="6" s="1"/>
  <c r="PR18" i="6"/>
  <c r="PQ27" i="6"/>
  <c r="PV1" i="6"/>
  <c r="QF51" i="6"/>
  <c r="QG22" i="6"/>
  <c r="PP35" i="6"/>
  <c r="K404" i="7"/>
  <c r="H405" i="7"/>
  <c r="PU59" i="6" s="1"/>
  <c r="I404" i="7"/>
  <c r="PT38" i="6" s="1"/>
  <c r="J403" i="7"/>
  <c r="PS49" i="6" s="1"/>
  <c r="PS73" i="6"/>
  <c r="PQ34" i="6"/>
  <c r="PU55" i="6"/>
  <c r="PT10" i="6"/>
  <c r="QD69" i="6"/>
  <c r="QD70" i="6" s="1"/>
  <c r="QE68" i="6"/>
  <c r="PU30" i="6"/>
  <c r="NQ65" i="6"/>
  <c r="NR64" i="6" s="1"/>
  <c r="PR25" i="6"/>
  <c r="PS20" i="6"/>
  <c r="PS31" i="6"/>
  <c r="PR32" i="6"/>
  <c r="PT16" i="6"/>
  <c r="PS17" i="6"/>
  <c r="PS18" i="6" s="1"/>
  <c r="QC70" i="6"/>
  <c r="E208" i="4"/>
  <c r="D208" i="4"/>
  <c r="B406" i="7" l="1"/>
  <c r="A405" i="7"/>
  <c r="EP48" i="6"/>
  <c r="C137" i="7"/>
  <c r="EP78" i="6"/>
  <c r="EO6" i="6"/>
  <c r="EO57" i="6"/>
  <c r="EO61" i="6" s="1"/>
  <c r="EO11" i="6" s="1"/>
  <c r="EO4" i="6"/>
  <c r="EO5" i="6"/>
  <c r="EP40" i="6"/>
  <c r="EP43" i="6"/>
  <c r="NR65" i="6"/>
  <c r="NS64" i="6" s="1"/>
  <c r="PT17" i="6"/>
  <c r="PT18" i="6" s="1"/>
  <c r="PU16" i="6"/>
  <c r="QG51" i="6"/>
  <c r="QH22" i="6"/>
  <c r="PW1" i="6"/>
  <c r="PV55" i="6"/>
  <c r="PU10" i="6"/>
  <c r="PR27" i="6"/>
  <c r="PR28" i="6" s="1"/>
  <c r="PR34" i="6"/>
  <c r="PT31" i="6"/>
  <c r="PS32" i="6"/>
  <c r="PV30" i="6"/>
  <c r="PQ28" i="6"/>
  <c r="PQ35" i="6"/>
  <c r="QE69" i="6"/>
  <c r="QE70" i="6" s="1"/>
  <c r="QF68" i="6"/>
  <c r="PT20" i="6"/>
  <c r="PS25" i="6"/>
  <c r="PS27" i="6" s="1"/>
  <c r="I405" i="7"/>
  <c r="PU38" i="6" s="1"/>
  <c r="H406" i="7"/>
  <c r="K405" i="7"/>
  <c r="J404" i="7"/>
  <c r="PT49" i="6" s="1"/>
  <c r="PT73" i="6"/>
  <c r="F208" i="4"/>
  <c r="G208" i="4" s="1"/>
  <c r="L208" i="4"/>
  <c r="B407" i="7" l="1"/>
  <c r="A406" i="7"/>
  <c r="EP8" i="6"/>
  <c r="EP44" i="6"/>
  <c r="EP47" i="6"/>
  <c r="EO7" i="6"/>
  <c r="EP80" i="6"/>
  <c r="D137" i="7"/>
  <c r="EQ37" i="6" s="1"/>
  <c r="EQ58" i="6"/>
  <c r="EQ60" i="6" s="1"/>
  <c r="F137" i="7"/>
  <c r="PS28" i="6"/>
  <c r="PU20" i="6"/>
  <c r="PT25" i="6"/>
  <c r="PT34" i="6" s="1"/>
  <c r="PX1" i="6"/>
  <c r="PU31" i="6"/>
  <c r="PT32" i="6"/>
  <c r="QG68" i="6"/>
  <c r="QF69" i="6"/>
  <c r="QF70" i="6" s="1"/>
  <c r="PW55" i="6"/>
  <c r="PV10" i="6"/>
  <c r="H407" i="7"/>
  <c r="K406" i="7"/>
  <c r="I406" i="7"/>
  <c r="PV38" i="6" s="1"/>
  <c r="QH51" i="6"/>
  <c r="QI22" i="6"/>
  <c r="PS34" i="6"/>
  <c r="J405" i="7"/>
  <c r="PU49" i="6" s="1"/>
  <c r="PU73" i="6"/>
  <c r="PV16" i="6"/>
  <c r="PU17" i="6"/>
  <c r="PU18" i="6" s="1"/>
  <c r="PV59" i="6"/>
  <c r="PR35" i="6"/>
  <c r="NS65" i="6"/>
  <c r="NT64" i="6" s="1"/>
  <c r="PW30" i="6"/>
  <c r="E209" i="4"/>
  <c r="D209" i="4"/>
  <c r="B408" i="7" l="1"/>
  <c r="A407" i="7"/>
  <c r="E137" i="7"/>
  <c r="EQ72" i="6"/>
  <c r="EQ39" i="6"/>
  <c r="EQ42" i="6"/>
  <c r="EP82" i="6"/>
  <c r="EP52" i="6"/>
  <c r="EP9" i="6"/>
  <c r="PT35" i="6"/>
  <c r="QH68" i="6"/>
  <c r="QG69" i="6"/>
  <c r="QG70" i="6" s="1"/>
  <c r="PV20" i="6"/>
  <c r="PU25" i="6"/>
  <c r="PU34" i="6" s="1"/>
  <c r="QI51" i="6"/>
  <c r="QJ22" i="6"/>
  <c r="PT27" i="6"/>
  <c r="NT65" i="6"/>
  <c r="NU64" i="6" s="1"/>
  <c r="J406" i="7"/>
  <c r="PV49" i="6" s="1"/>
  <c r="PV73" i="6"/>
  <c r="PY1" i="6"/>
  <c r="PV17" i="6"/>
  <c r="PV18" i="6" s="1"/>
  <c r="PW16" i="6"/>
  <c r="PX30" i="6"/>
  <c r="PV31" i="6"/>
  <c r="PU32" i="6"/>
  <c r="H408" i="7"/>
  <c r="I407" i="7"/>
  <c r="PW38" i="6" s="1"/>
  <c r="K407" i="7"/>
  <c r="PW59" i="6"/>
  <c r="PS35" i="6"/>
  <c r="PX55" i="6"/>
  <c r="PW10" i="6"/>
  <c r="F209" i="4"/>
  <c r="G209" i="4" s="1"/>
  <c r="L209" i="4"/>
  <c r="B409" i="7" l="1"/>
  <c r="A408" i="7"/>
  <c r="EP4" i="6"/>
  <c r="EP5" i="6"/>
  <c r="EP56" i="6"/>
  <c r="EQ40" i="6"/>
  <c r="EQ43" i="6"/>
  <c r="EQ78" i="6"/>
  <c r="EQ48" i="6"/>
  <c r="C138" i="7"/>
  <c r="PU35" i="6"/>
  <c r="J407" i="7"/>
  <c r="PW49" i="6" s="1"/>
  <c r="PW73" i="6"/>
  <c r="I408" i="7"/>
  <c r="PX38" i="6" s="1"/>
  <c r="K408" i="7"/>
  <c r="H409" i="7"/>
  <c r="PY59" i="6" s="1"/>
  <c r="PW17" i="6"/>
  <c r="PW18" i="6" s="1"/>
  <c r="PX16" i="6"/>
  <c r="PW20" i="6"/>
  <c r="PV25" i="6"/>
  <c r="PT28" i="6"/>
  <c r="PU27" i="6"/>
  <c r="PU28" i="6" s="1"/>
  <c r="PY30" i="6"/>
  <c r="QH69" i="6"/>
  <c r="QH70" i="6" s="1"/>
  <c r="QI68" i="6"/>
  <c r="NU65" i="6"/>
  <c r="NV64" i="6" s="1"/>
  <c r="PW31" i="6"/>
  <c r="PV32" i="6"/>
  <c r="PY55" i="6"/>
  <c r="PX10" i="6"/>
  <c r="PX59" i="6"/>
  <c r="PZ1" i="6"/>
  <c r="QJ51" i="6"/>
  <c r="QK22" i="6"/>
  <c r="E210" i="4"/>
  <c r="D210" i="4"/>
  <c r="PV34" i="6" l="1"/>
  <c r="PV35" i="6" s="1"/>
  <c r="B410" i="7"/>
  <c r="A409" i="7"/>
  <c r="EP7" i="6"/>
  <c r="ER58" i="6"/>
  <c r="ER60" i="6" s="1"/>
  <c r="D138" i="7"/>
  <c r="ER37" i="6" s="1"/>
  <c r="F138" i="7"/>
  <c r="EQ80" i="6"/>
  <c r="EQ47" i="6"/>
  <c r="EQ44" i="6"/>
  <c r="EQ8" i="6"/>
  <c r="EP57" i="6"/>
  <c r="EP61" i="6" s="1"/>
  <c r="EP11" i="6" s="1"/>
  <c r="EP6" i="6"/>
  <c r="PZ30" i="6"/>
  <c r="I409" i="7"/>
  <c r="PY38" i="6" s="1"/>
  <c r="H410" i="7"/>
  <c r="PZ59" i="6" s="1"/>
  <c r="QA59" i="6" s="1"/>
  <c r="K409" i="7"/>
  <c r="J408" i="7"/>
  <c r="PX49" i="6" s="1"/>
  <c r="PX73" i="6"/>
  <c r="QL22" i="6"/>
  <c r="QK51" i="6"/>
  <c r="PX17" i="6"/>
  <c r="PX18" i="6" s="1"/>
  <c r="PY16" i="6"/>
  <c r="QJ68" i="6"/>
  <c r="QI69" i="6"/>
  <c r="QI70" i="6" s="1"/>
  <c r="PW25" i="6"/>
  <c r="PW27" i="6" s="1"/>
  <c r="PW28" i="6" s="1"/>
  <c r="PX20" i="6"/>
  <c r="PZ55" i="6"/>
  <c r="PY10" i="6"/>
  <c r="QB1" i="6"/>
  <c r="QA1" i="6"/>
  <c r="PX31" i="6"/>
  <c r="PW32" i="6"/>
  <c r="NV65" i="6"/>
  <c r="NW64" i="6" s="1"/>
  <c r="PV27" i="6"/>
  <c r="PV28" i="6" s="1"/>
  <c r="F210" i="4"/>
  <c r="G210" i="4" s="1"/>
  <c r="L210" i="4"/>
  <c r="PW34" i="6" l="1"/>
  <c r="PW35" i="6" s="1"/>
  <c r="B411" i="7"/>
  <c r="A410" i="7"/>
  <c r="ER39" i="6"/>
  <c r="ER42" i="6"/>
  <c r="EQ9" i="6"/>
  <c r="EQ82" i="6"/>
  <c r="EQ52" i="6"/>
  <c r="E138" i="7"/>
  <c r="ER72" i="6"/>
  <c r="PZ10" i="6"/>
  <c r="QA10" i="6" s="1"/>
  <c r="QB55" i="6"/>
  <c r="QA55" i="6"/>
  <c r="PY20" i="6"/>
  <c r="PX25" i="6"/>
  <c r="QJ69" i="6"/>
  <c r="QJ70" i="6" s="1"/>
  <c r="QK68" i="6"/>
  <c r="NW65" i="6"/>
  <c r="NX64" i="6" s="1"/>
  <c r="J409" i="7"/>
  <c r="PY49" i="6" s="1"/>
  <c r="PY73" i="6"/>
  <c r="K410" i="7"/>
  <c r="I410" i="7"/>
  <c r="PZ38" i="6" s="1"/>
  <c r="QA38" i="6" s="1"/>
  <c r="H411" i="7"/>
  <c r="QB59" i="6" s="1"/>
  <c r="QL51" i="6"/>
  <c r="QM22" i="6"/>
  <c r="PY31" i="6"/>
  <c r="PX32" i="6"/>
  <c r="PY17" i="6"/>
  <c r="PY18" i="6" s="1"/>
  <c r="PZ16" i="6"/>
  <c r="QB30" i="6"/>
  <c r="QA30" i="6"/>
  <c r="QC1" i="6"/>
  <c r="D211" i="4"/>
  <c r="E211" i="4"/>
  <c r="PX34" i="6" l="1"/>
  <c r="PX35" i="6" s="1"/>
  <c r="B412" i="7"/>
  <c r="A411" i="7"/>
  <c r="ER78" i="6"/>
  <c r="ER48" i="6"/>
  <c r="C139" i="7"/>
  <c r="EQ4" i="6"/>
  <c r="EQ5" i="6"/>
  <c r="EQ56" i="6"/>
  <c r="ER40" i="6"/>
  <c r="ER43" i="6"/>
  <c r="PX27" i="6"/>
  <c r="PX28" i="6" s="1"/>
  <c r="NX65" i="6"/>
  <c r="NY64" i="6" s="1"/>
  <c r="PY25" i="6"/>
  <c r="PZ20" i="6"/>
  <c r="PZ31" i="6"/>
  <c r="PY32" i="6"/>
  <c r="QC55" i="6"/>
  <c r="QB10" i="6"/>
  <c r="QD1" i="6"/>
  <c r="QO22" i="6"/>
  <c r="QM51" i="6"/>
  <c r="QN51" i="6" s="1"/>
  <c r="QN22" i="6"/>
  <c r="QK69" i="6"/>
  <c r="QK70" i="6" s="1"/>
  <c r="QL68" i="6"/>
  <c r="QC30" i="6"/>
  <c r="K411" i="7"/>
  <c r="I411" i="7"/>
  <c r="QB38" i="6" s="1"/>
  <c r="H412" i="7"/>
  <c r="QC59" i="6" s="1"/>
  <c r="PZ17" i="6"/>
  <c r="QA17" i="6" s="1"/>
  <c r="QB16" i="6"/>
  <c r="QA16" i="6"/>
  <c r="J410" i="7"/>
  <c r="PZ49" i="6" s="1"/>
  <c r="QA49" i="6" s="1"/>
  <c r="PZ73" i="6"/>
  <c r="QA73" i="6" s="1"/>
  <c r="F211" i="4"/>
  <c r="G211" i="4" s="1"/>
  <c r="L211" i="4"/>
  <c r="PY34" i="6" l="1"/>
  <c r="PY35" i="6" s="1"/>
  <c r="PZ18" i="6"/>
  <c r="QA18" i="6" s="1"/>
  <c r="B413" i="7"/>
  <c r="A412" i="7"/>
  <c r="D139" i="7"/>
  <c r="ES37" i="6" s="1"/>
  <c r="ES58" i="6"/>
  <c r="ES60" i="6" s="1"/>
  <c r="F139" i="7"/>
  <c r="ER47" i="6"/>
  <c r="ER44" i="6"/>
  <c r="ER8" i="6"/>
  <c r="EQ6" i="6"/>
  <c r="EQ57" i="6"/>
  <c r="EQ61" i="6" s="1"/>
  <c r="EQ11" i="6" s="1"/>
  <c r="EQ7" i="6"/>
  <c r="ER80" i="6"/>
  <c r="QD55" i="6"/>
  <c r="QC10" i="6"/>
  <c r="QB20" i="6"/>
  <c r="PZ25" i="6"/>
  <c r="QA25" i="6" s="1"/>
  <c r="QA20" i="6"/>
  <c r="QP22" i="6"/>
  <c r="QO51" i="6"/>
  <c r="K412" i="7"/>
  <c r="I412" i="7"/>
  <c r="QC38" i="6" s="1"/>
  <c r="H413" i="7"/>
  <c r="NY65" i="6"/>
  <c r="NZ64" i="6" s="1"/>
  <c r="QE1" i="6"/>
  <c r="QB31" i="6"/>
  <c r="QA31" i="6"/>
  <c r="PZ32" i="6"/>
  <c r="QA32" i="6" s="1"/>
  <c r="QM68" i="6"/>
  <c r="QL69" i="6"/>
  <c r="QL70" i="6" s="1"/>
  <c r="QC16" i="6"/>
  <c r="QB17" i="6"/>
  <c r="QB18" i="6" s="1"/>
  <c r="PY27" i="6"/>
  <c r="PY28" i="6" s="1"/>
  <c r="J411" i="7"/>
  <c r="QB49" i="6" s="1"/>
  <c r="QB73" i="6"/>
  <c r="QD30" i="6"/>
  <c r="E212" i="4"/>
  <c r="D212" i="4"/>
  <c r="B414" i="7" l="1"/>
  <c r="A413" i="7"/>
  <c r="ES42" i="6"/>
  <c r="ES39" i="6"/>
  <c r="ER82" i="6"/>
  <c r="ER9" i="6"/>
  <c r="ER52" i="6"/>
  <c r="ES72" i="6"/>
  <c r="E139" i="7"/>
  <c r="OA64" i="6"/>
  <c r="NZ65" i="6"/>
  <c r="OA65" i="6" s="1"/>
  <c r="QC20" i="6"/>
  <c r="QB25" i="6"/>
  <c r="QD10" i="6"/>
  <c r="QE55" i="6"/>
  <c r="J412" i="7"/>
  <c r="QC49" i="6" s="1"/>
  <c r="QC73" i="6"/>
  <c r="QF1" i="6"/>
  <c r="QE30" i="6"/>
  <c r="QP51" i="6"/>
  <c r="QQ22" i="6"/>
  <c r="QC17" i="6"/>
  <c r="QC18" i="6" s="1"/>
  <c r="QD16" i="6"/>
  <c r="QM69" i="6"/>
  <c r="QN69" i="6" s="1"/>
  <c r="QO68" i="6"/>
  <c r="QN68" i="6"/>
  <c r="H414" i="7"/>
  <c r="QE59" i="6" s="1"/>
  <c r="K413" i="7"/>
  <c r="I413" i="7"/>
  <c r="QD38" i="6" s="1"/>
  <c r="QC31" i="6"/>
  <c r="QB32" i="6"/>
  <c r="PZ34" i="6"/>
  <c r="PZ27" i="6"/>
  <c r="QD59" i="6"/>
  <c r="F212" i="4"/>
  <c r="G212" i="4" s="1"/>
  <c r="L212" i="4"/>
  <c r="QB34" i="6" l="1"/>
  <c r="QB35" i="6" s="1"/>
  <c r="QB27" i="6"/>
  <c r="QB28" i="6" s="1"/>
  <c r="B415" i="7"/>
  <c r="A414" i="7"/>
  <c r="ES48" i="6"/>
  <c r="C140" i="7"/>
  <c r="ES78" i="6"/>
  <c r="ER5" i="6"/>
  <c r="ER4" i="6"/>
  <c r="ER56" i="6"/>
  <c r="ES40" i="6"/>
  <c r="ES43" i="6"/>
  <c r="I414" i="7"/>
  <c r="QE38" i="6" s="1"/>
  <c r="H415" i="7"/>
  <c r="QF59" i="6" s="1"/>
  <c r="K414" i="7"/>
  <c r="QF55" i="6"/>
  <c r="QE10" i="6"/>
  <c r="QF30" i="6"/>
  <c r="J413" i="7"/>
  <c r="QD49" i="6" s="1"/>
  <c r="QD73" i="6"/>
  <c r="PZ35" i="6"/>
  <c r="QA34" i="6"/>
  <c r="QA35" i="6" s="1"/>
  <c r="OB64" i="6"/>
  <c r="QE16" i="6"/>
  <c r="QD17" i="6"/>
  <c r="QQ51" i="6"/>
  <c r="QR22" i="6"/>
  <c r="PZ28" i="6"/>
  <c r="QA27" i="6"/>
  <c r="QA28" i="6" s="1"/>
  <c r="QM70" i="6"/>
  <c r="QG1" i="6"/>
  <c r="QD20" i="6"/>
  <c r="QC25" i="6"/>
  <c r="QC27" i="6" s="1"/>
  <c r="QD31" i="6"/>
  <c r="QC32" i="6"/>
  <c r="QP68" i="6"/>
  <c r="QO69" i="6"/>
  <c r="QO70" i="6" s="1"/>
  <c r="D213" i="4"/>
  <c r="E213" i="4"/>
  <c r="B416" i="7" l="1"/>
  <c r="A415" i="7"/>
  <c r="ES47" i="6"/>
  <c r="ES44" i="6"/>
  <c r="ES8" i="6"/>
  <c r="ER7" i="6"/>
  <c r="ER57" i="6"/>
  <c r="ER61" i="6" s="1"/>
  <c r="ER11" i="6" s="1"/>
  <c r="ER6" i="6"/>
  <c r="ES80" i="6"/>
  <c r="D140" i="7"/>
  <c r="ET37" i="6" s="1"/>
  <c r="F140" i="7"/>
  <c r="ET58" i="6"/>
  <c r="ET60" i="6" s="1"/>
  <c r="QC28" i="6"/>
  <c r="QS22" i="6"/>
  <c r="QR51" i="6"/>
  <c r="H416" i="7"/>
  <c r="QG59" i="6" s="1"/>
  <c r="K415" i="7"/>
  <c r="I415" i="7"/>
  <c r="QF38" i="6" s="1"/>
  <c r="QH1" i="6"/>
  <c r="QC34" i="6"/>
  <c r="QD25" i="6"/>
  <c r="QE20" i="6"/>
  <c r="QD18" i="6"/>
  <c r="QF16" i="6"/>
  <c r="QE17" i="6"/>
  <c r="QE18" i="6" s="1"/>
  <c r="OB65" i="6"/>
  <c r="QG55" i="6"/>
  <c r="QF10" i="6"/>
  <c r="J414" i="7"/>
  <c r="QE49" i="6" s="1"/>
  <c r="QE73" i="6"/>
  <c r="QP69" i="6"/>
  <c r="QP70" i="6" s="1"/>
  <c r="QQ68" i="6"/>
  <c r="QG30" i="6"/>
  <c r="QE31" i="6"/>
  <c r="QD32" i="6"/>
  <c r="QN70" i="6"/>
  <c r="F213" i="4"/>
  <c r="G213" i="4" s="1"/>
  <c r="L213" i="4"/>
  <c r="B417" i="7" l="1"/>
  <c r="A416" i="7"/>
  <c r="E140" i="7"/>
  <c r="ET72" i="6"/>
  <c r="ET78" i="6" s="1"/>
  <c r="ET80" i="6" s="1"/>
  <c r="ET42" i="6"/>
  <c r="ET39" i="6"/>
  <c r="ES82" i="6"/>
  <c r="ES9" i="6"/>
  <c r="ES52" i="6"/>
  <c r="J415" i="7"/>
  <c r="QF49" i="6" s="1"/>
  <c r="QF73" i="6"/>
  <c r="QI1" i="6"/>
  <c r="QC35" i="6"/>
  <c r="OC64" i="6"/>
  <c r="QH30" i="6"/>
  <c r="I416" i="7"/>
  <c r="QG38" i="6" s="1"/>
  <c r="H417" i="7"/>
  <c r="K416" i="7"/>
  <c r="QF31" i="6"/>
  <c r="QE32" i="6"/>
  <c r="QT22" i="6"/>
  <c r="QS51" i="6"/>
  <c r="QH55" i="6"/>
  <c r="QG10" i="6"/>
  <c r="QG16" i="6"/>
  <c r="QF17" i="6"/>
  <c r="QF18" i="6" s="1"/>
  <c r="QR68" i="6"/>
  <c r="QQ69" i="6"/>
  <c r="QQ70" i="6" s="1"/>
  <c r="QD34" i="6"/>
  <c r="QD27" i="6"/>
  <c r="QE25" i="6"/>
  <c r="QF20" i="6"/>
  <c r="E214" i="4"/>
  <c r="D214" i="4"/>
  <c r="QE34" i="6" l="1"/>
  <c r="QE35" i="6" s="1"/>
  <c r="ET82" i="6"/>
  <c r="B418" i="7"/>
  <c r="A417" i="7"/>
  <c r="ET40" i="6"/>
  <c r="ET43" i="6"/>
  <c r="ET48" i="6"/>
  <c r="C141" i="7"/>
  <c r="ES4" i="6"/>
  <c r="ES5" i="6"/>
  <c r="ES56" i="6"/>
  <c r="QG31" i="6"/>
  <c r="QF32" i="6"/>
  <c r="QI30" i="6"/>
  <c r="QI55" i="6"/>
  <c r="QH10" i="6"/>
  <c r="QE27" i="6"/>
  <c r="QE28" i="6" s="1"/>
  <c r="J416" i="7"/>
  <c r="QG49" i="6" s="1"/>
  <c r="QG73" i="6"/>
  <c r="QH16" i="6"/>
  <c r="QG17" i="6"/>
  <c r="QG18" i="6" s="1"/>
  <c r="H418" i="7"/>
  <c r="K417" i="7"/>
  <c r="I417" i="7"/>
  <c r="QH38" i="6" s="1"/>
  <c r="QJ1" i="6"/>
  <c r="QD35" i="6"/>
  <c r="QR69" i="6"/>
  <c r="QR70" i="6" s="1"/>
  <c r="QS68" i="6"/>
  <c r="QF25" i="6"/>
  <c r="QG20" i="6"/>
  <c r="OC65" i="6"/>
  <c r="OD64" i="6" s="1"/>
  <c r="QD28" i="6"/>
  <c r="QT51" i="6"/>
  <c r="QU22" i="6"/>
  <c r="QH59" i="6"/>
  <c r="F214" i="4"/>
  <c r="G214" i="4" s="1"/>
  <c r="L214" i="4"/>
  <c r="QF34" i="6" l="1"/>
  <c r="QF35" i="6" s="1"/>
  <c r="B419" i="7"/>
  <c r="A418" i="7"/>
  <c r="ES6" i="6"/>
  <c r="ES57" i="6"/>
  <c r="ES61" i="6" s="1"/>
  <c r="ES11" i="6" s="1"/>
  <c r="ES7" i="6"/>
  <c r="F141" i="7"/>
  <c r="EU58" i="6"/>
  <c r="EU60" i="6" s="1"/>
  <c r="D141" i="7"/>
  <c r="EU37" i="6" s="1"/>
  <c r="ET47" i="6"/>
  <c r="ET52" i="6" s="1"/>
  <c r="ET56" i="6" s="1"/>
  <c r="ET8" i="6"/>
  <c r="ET9" i="6" s="1"/>
  <c r="ET44" i="6"/>
  <c r="QI16" i="6"/>
  <c r="QH17" i="6"/>
  <c r="QH18" i="6" s="1"/>
  <c r="QK1" i="6"/>
  <c r="I418" i="7"/>
  <c r="QI38" i="6" s="1"/>
  <c r="K418" i="7"/>
  <c r="H419" i="7"/>
  <c r="QJ59" i="6" s="1"/>
  <c r="QT68" i="6"/>
  <c r="QS69" i="6"/>
  <c r="QS70" i="6" s="1"/>
  <c r="J417" i="7"/>
  <c r="QH49" i="6" s="1"/>
  <c r="QH73" i="6"/>
  <c r="QJ30" i="6"/>
  <c r="QJ55" i="6"/>
  <c r="QI10" i="6"/>
  <c r="OD65" i="6"/>
  <c r="OE64" i="6" s="1"/>
  <c r="QH31" i="6"/>
  <c r="QG32" i="6"/>
  <c r="QG25" i="6"/>
  <c r="QG27" i="6" s="1"/>
  <c r="QG28" i="6" s="1"/>
  <c r="QH20" i="6"/>
  <c r="QU51" i="6"/>
  <c r="QV22" i="6"/>
  <c r="QF27" i="6"/>
  <c r="QI59" i="6"/>
  <c r="D215" i="4"/>
  <c r="E215" i="4"/>
  <c r="B420" i="7" l="1"/>
  <c r="A419" i="7"/>
  <c r="ET6" i="6"/>
  <c r="ET57" i="6"/>
  <c r="ET61" i="6" s="1"/>
  <c r="ET11" i="6" s="1"/>
  <c r="EU42" i="6"/>
  <c r="EU39" i="6"/>
  <c r="ET4" i="6"/>
  <c r="ET5" i="6"/>
  <c r="ET7" i="6" s="1"/>
  <c r="E141" i="7"/>
  <c r="EU72" i="6"/>
  <c r="EU78" i="6" s="1"/>
  <c r="EU80" i="6" s="1"/>
  <c r="EU82" i="6" s="1"/>
  <c r="OE65" i="6"/>
  <c r="QV51" i="6"/>
  <c r="QW22" i="6"/>
  <c r="QU68" i="6"/>
  <c r="QT69" i="6"/>
  <c r="QT70" i="6" s="1"/>
  <c r="QH25" i="6"/>
  <c r="QH27" i="6" s="1"/>
  <c r="QH28" i="6" s="1"/>
  <c r="QI20" i="6"/>
  <c r="J418" i="7"/>
  <c r="QI49" i="6" s="1"/>
  <c r="QI73" i="6"/>
  <c r="QI31" i="6"/>
  <c r="QH32" i="6"/>
  <c r="QJ16" i="6"/>
  <c r="QI17" i="6"/>
  <c r="QI18" i="6" s="1"/>
  <c r="QG34" i="6"/>
  <c r="I419" i="7"/>
  <c r="QJ38" i="6" s="1"/>
  <c r="H420" i="7"/>
  <c r="QK59" i="6" s="1"/>
  <c r="K419" i="7"/>
  <c r="QK55" i="6"/>
  <c r="QJ10" i="6"/>
  <c r="QL1" i="6"/>
  <c r="QK30" i="6"/>
  <c r="QF28" i="6"/>
  <c r="F215" i="4"/>
  <c r="G215" i="4" s="1"/>
  <c r="L215" i="4"/>
  <c r="QH34" i="6" l="1"/>
  <c r="QH35" i="6" s="1"/>
  <c r="B421" i="7"/>
  <c r="A420" i="7"/>
  <c r="EU48" i="6"/>
  <c r="C142" i="7"/>
  <c r="EU40" i="6"/>
  <c r="EU43" i="6"/>
  <c r="QM1" i="6"/>
  <c r="QJ31" i="6"/>
  <c r="QI32" i="6"/>
  <c r="QG35" i="6"/>
  <c r="QI25" i="6"/>
  <c r="QI27" i="6" s="1"/>
  <c r="QI28" i="6" s="1"/>
  <c r="QJ20" i="6"/>
  <c r="QJ17" i="6"/>
  <c r="QJ18" i="6" s="1"/>
  <c r="QK16" i="6"/>
  <c r="QV68" i="6"/>
  <c r="QU69" i="6"/>
  <c r="QU70" i="6" s="1"/>
  <c r="QL55" i="6"/>
  <c r="QK10" i="6"/>
  <c r="QL30" i="6"/>
  <c r="J419" i="7"/>
  <c r="QJ49" i="6" s="1"/>
  <c r="QJ73" i="6"/>
  <c r="QW51" i="6"/>
  <c r="QX22" i="6"/>
  <c r="K420" i="7"/>
  <c r="I420" i="7"/>
  <c r="QK38" i="6" s="1"/>
  <c r="H421" i="7"/>
  <c r="QL59" i="6" s="1"/>
  <c r="OF64" i="6"/>
  <c r="E216" i="4"/>
  <c r="D216" i="4"/>
  <c r="QI34" i="6" l="1"/>
  <c r="QI35" i="6" s="1"/>
  <c r="B422" i="7"/>
  <c r="A421" i="7"/>
  <c r="EU47" i="6"/>
  <c r="EU52" i="6" s="1"/>
  <c r="EU44" i="6"/>
  <c r="EU8" i="6"/>
  <c r="EU9" i="6" s="1"/>
  <c r="D142" i="7"/>
  <c r="EV37" i="6" s="1"/>
  <c r="EV58" i="6"/>
  <c r="EV60" i="6" s="1"/>
  <c r="F142" i="7"/>
  <c r="QK31" i="6"/>
  <c r="QJ32" i="6"/>
  <c r="QM55" i="6"/>
  <c r="QL10" i="6"/>
  <c r="OF65" i="6"/>
  <c r="OG64" i="6" s="1"/>
  <c r="K421" i="7"/>
  <c r="H422" i="7"/>
  <c r="I421" i="7"/>
  <c r="QL38" i="6" s="1"/>
  <c r="QV69" i="6"/>
  <c r="QV70" i="6" s="1"/>
  <c r="QW68" i="6"/>
  <c r="QY22" i="6"/>
  <c r="QX51" i="6"/>
  <c r="J420" i="7"/>
  <c r="QK49" i="6" s="1"/>
  <c r="QK73" i="6"/>
  <c r="QL16" i="6"/>
  <c r="QK17" i="6"/>
  <c r="QK18" i="6" s="1"/>
  <c r="QM30" i="6"/>
  <c r="QK20" i="6"/>
  <c r="QJ25" i="6"/>
  <c r="QJ34" i="6" s="1"/>
  <c r="QN1" i="6"/>
  <c r="QO1" i="6"/>
  <c r="F216" i="4"/>
  <c r="G216" i="4" s="1"/>
  <c r="L216" i="4"/>
  <c r="QJ27" i="6" l="1"/>
  <c r="QJ28" i="6" s="1"/>
  <c r="QM59" i="6"/>
  <c r="QN59" i="6" s="1"/>
  <c r="B423" i="7"/>
  <c r="A422" i="7"/>
  <c r="EV42" i="6"/>
  <c r="EV39" i="6"/>
  <c r="E142" i="7"/>
  <c r="EV72" i="6"/>
  <c r="EV78" i="6" s="1"/>
  <c r="EV80" i="6" s="1"/>
  <c r="EV82" i="6" s="1"/>
  <c r="EU5" i="6"/>
  <c r="EU7" i="6" s="1"/>
  <c r="EU4" i="6"/>
  <c r="EU56" i="6"/>
  <c r="OG65" i="6"/>
  <c r="OH64" i="6" s="1"/>
  <c r="QW69" i="6"/>
  <c r="QW70" i="6" s="1"/>
  <c r="QX68" i="6"/>
  <c r="H423" i="7"/>
  <c r="QO59" i="6" s="1"/>
  <c r="I422" i="7"/>
  <c r="QM38" i="6" s="1"/>
  <c r="QN38" i="6" s="1"/>
  <c r="K422" i="7"/>
  <c r="QP1" i="6"/>
  <c r="QY51" i="6"/>
  <c r="QZ22" i="6"/>
  <c r="QL20" i="6"/>
  <c r="QK25" i="6"/>
  <c r="QK27" i="6" s="1"/>
  <c r="QK28" i="6" s="1"/>
  <c r="QM16" i="6"/>
  <c r="QL17" i="6"/>
  <c r="QL18" i="6" s="1"/>
  <c r="QJ35" i="6"/>
  <c r="QO55" i="6"/>
  <c r="QN55" i="6"/>
  <c r="QM10" i="6"/>
  <c r="QN10" i="6" s="1"/>
  <c r="J421" i="7"/>
  <c r="QL49" i="6" s="1"/>
  <c r="QL73" i="6"/>
  <c r="QL31" i="6"/>
  <c r="QK32" i="6"/>
  <c r="QO30" i="6"/>
  <c r="QN30" i="6"/>
  <c r="D217" i="4"/>
  <c r="E217" i="4"/>
  <c r="B424" i="7" l="1"/>
  <c r="A423" i="7"/>
  <c r="EU57" i="6"/>
  <c r="EU61" i="6" s="1"/>
  <c r="EU11" i="6" s="1"/>
  <c r="EU6" i="6"/>
  <c r="EV48" i="6"/>
  <c r="C143" i="7"/>
  <c r="EV43" i="6"/>
  <c r="EV40" i="6"/>
  <c r="QQ1" i="6"/>
  <c r="QK34" i="6"/>
  <c r="QP55" i="6"/>
  <c r="QO10" i="6"/>
  <c r="QX69" i="6"/>
  <c r="QX70" i="6" s="1"/>
  <c r="QY68" i="6"/>
  <c r="J422" i="7"/>
  <c r="QM49" i="6" s="1"/>
  <c r="QN49" i="6" s="1"/>
  <c r="QM73" i="6"/>
  <c r="QN73" i="6" s="1"/>
  <c r="I423" i="7"/>
  <c r="QO38" i="6" s="1"/>
  <c r="K423" i="7"/>
  <c r="H424" i="7"/>
  <c r="QP30" i="6"/>
  <c r="OH65" i="6"/>
  <c r="OI64" i="6" s="1"/>
  <c r="QZ51" i="6"/>
  <c r="RA51" i="6" s="1"/>
  <c r="RB22" i="6"/>
  <c r="RA22" i="6"/>
  <c r="QM17" i="6"/>
  <c r="QN17" i="6" s="1"/>
  <c r="QO16" i="6"/>
  <c r="QN16" i="6"/>
  <c r="QM31" i="6"/>
  <c r="QL32" i="6"/>
  <c r="QM20" i="6"/>
  <c r="QL25" i="6"/>
  <c r="QL27" i="6" s="1"/>
  <c r="QL28" i="6" s="1"/>
  <c r="F217" i="4"/>
  <c r="G217" i="4" s="1"/>
  <c r="L217" i="4"/>
  <c r="QM18" i="6" l="1"/>
  <c r="QN18" i="6" s="1"/>
  <c r="B425" i="7"/>
  <c r="A424" i="7"/>
  <c r="EW58" i="6"/>
  <c r="EW60" i="6" s="1"/>
  <c r="D143" i="7"/>
  <c r="EW37" i="6" s="1"/>
  <c r="F143" i="7"/>
  <c r="EV47" i="6"/>
  <c r="EV52" i="6" s="1"/>
  <c r="EV8" i="6"/>
  <c r="EV9" i="6" s="1"/>
  <c r="EV44" i="6"/>
  <c r="OI65" i="6"/>
  <c r="OJ64" i="6" s="1"/>
  <c r="QZ68" i="6"/>
  <c r="QY69" i="6"/>
  <c r="QY70" i="6" s="1"/>
  <c r="QO20" i="6"/>
  <c r="QM25" i="6"/>
  <c r="QN25" i="6" s="1"/>
  <c r="QN20" i="6"/>
  <c r="QK35" i="6"/>
  <c r="RB51" i="6"/>
  <c r="RC22" i="6"/>
  <c r="QR1" i="6"/>
  <c r="QO31" i="6"/>
  <c r="QN31" i="6"/>
  <c r="QM32" i="6"/>
  <c r="QN32" i="6" s="1"/>
  <c r="QQ30" i="6"/>
  <c r="H425" i="7"/>
  <c r="K424" i="7"/>
  <c r="I424" i="7"/>
  <c r="QP38" i="6" s="1"/>
  <c r="J423" i="7"/>
  <c r="QO49" i="6" s="1"/>
  <c r="QO73" i="6"/>
  <c r="QP59" i="6"/>
  <c r="QL34" i="6"/>
  <c r="QO17" i="6"/>
  <c r="QO18" i="6" s="1"/>
  <c r="QP16" i="6"/>
  <c r="QQ55" i="6"/>
  <c r="QP10" i="6"/>
  <c r="E218" i="4"/>
  <c r="D218" i="4"/>
  <c r="QM27" i="6" l="1"/>
  <c r="QN27" i="6" s="1"/>
  <c r="QN28" i="6" s="1"/>
  <c r="B426" i="7"/>
  <c r="A425" i="7"/>
  <c r="E143" i="7"/>
  <c r="EW72" i="6"/>
  <c r="EW78" i="6" s="1"/>
  <c r="EW80" i="6" s="1"/>
  <c r="EW82" i="6" s="1"/>
  <c r="EW42" i="6"/>
  <c r="EW39" i="6"/>
  <c r="EV5" i="6"/>
  <c r="EV7" i="6" s="1"/>
  <c r="EV4" i="6"/>
  <c r="EV56" i="6"/>
  <c r="RC51" i="6"/>
  <c r="RD22" i="6"/>
  <c r="QR59" i="6"/>
  <c r="QS1" i="6"/>
  <c r="QM34" i="6"/>
  <c r="QR30" i="6"/>
  <c r="QQ10" i="6"/>
  <c r="QR55" i="6"/>
  <c r="OJ65" i="6"/>
  <c r="OK64" i="6" s="1"/>
  <c r="QQ16" i="6"/>
  <c r="QP17" i="6"/>
  <c r="QP18" i="6" s="1"/>
  <c r="QZ69" i="6"/>
  <c r="RA69" i="6" s="1"/>
  <c r="RB68" i="6"/>
  <c r="RA68" i="6"/>
  <c r="QL35" i="6"/>
  <c r="QP31" i="6"/>
  <c r="QO32" i="6"/>
  <c r="J424" i="7"/>
  <c r="QP49" i="6" s="1"/>
  <c r="QP73" i="6"/>
  <c r="K425" i="7"/>
  <c r="H426" i="7"/>
  <c r="I425" i="7"/>
  <c r="QQ38" i="6" s="1"/>
  <c r="QQ59" i="6"/>
  <c r="QO25" i="6"/>
  <c r="QP20" i="6"/>
  <c r="F218" i="4"/>
  <c r="G218" i="4" s="1"/>
  <c r="L218" i="4"/>
  <c r="QM28" i="6" l="1"/>
  <c r="QZ70" i="6"/>
  <c r="RA70" i="6" s="1"/>
  <c r="B427" i="7"/>
  <c r="A426" i="7"/>
  <c r="EW40" i="6"/>
  <c r="EW43" i="6"/>
  <c r="EV57" i="6"/>
  <c r="EV61" i="6" s="1"/>
  <c r="EV11" i="6" s="1"/>
  <c r="EV6" i="6"/>
  <c r="EW48" i="6"/>
  <c r="C144" i="7"/>
  <c r="OK65" i="6"/>
  <c r="OL64" i="6" s="1"/>
  <c r="J425" i="7"/>
  <c r="QQ49" i="6" s="1"/>
  <c r="QQ73" i="6"/>
  <c r="QQ20" i="6"/>
  <c r="QP25" i="6"/>
  <c r="QQ17" i="6"/>
  <c r="QR16" i="6"/>
  <c r="RD51" i="6"/>
  <c r="RE22" i="6"/>
  <c r="QS59" i="6"/>
  <c r="QT1" i="6"/>
  <c r="QQ31" i="6"/>
  <c r="QP32" i="6"/>
  <c r="RB69" i="6"/>
  <c r="RB70" i="6" s="1"/>
  <c r="RC68" i="6"/>
  <c r="QM35" i="6"/>
  <c r="QN34" i="6"/>
  <c r="QN35" i="6" s="1"/>
  <c r="I426" i="7"/>
  <c r="QR38" i="6" s="1"/>
  <c r="H427" i="7"/>
  <c r="K426" i="7"/>
  <c r="QS55" i="6"/>
  <c r="QR10" i="6"/>
  <c r="QO27" i="6"/>
  <c r="QO34" i="6"/>
  <c r="QS30" i="6"/>
  <c r="E219" i="4"/>
  <c r="D219" i="4"/>
  <c r="QP34" i="6" l="1"/>
  <c r="QP35" i="6" s="1"/>
  <c r="B428" i="7"/>
  <c r="A427" i="7"/>
  <c r="EX58" i="6"/>
  <c r="EX60" i="6" s="1"/>
  <c r="D144" i="7"/>
  <c r="EX37" i="6" s="1"/>
  <c r="F144" i="7"/>
  <c r="EW8" i="6"/>
  <c r="EW9" i="6" s="1"/>
  <c r="EW44" i="6"/>
  <c r="EW47" i="6"/>
  <c r="EW52" i="6" s="1"/>
  <c r="QQ18" i="6"/>
  <c r="QO28" i="6"/>
  <c r="OL65" i="6"/>
  <c r="OM64" i="6" s="1"/>
  <c r="QS10" i="6"/>
  <c r="QT55" i="6"/>
  <c r="QR17" i="6"/>
  <c r="QR18" i="6" s="1"/>
  <c r="QS16" i="6"/>
  <c r="J426" i="7"/>
  <c r="QR49" i="6" s="1"/>
  <c r="QR73" i="6"/>
  <c r="RE51" i="6"/>
  <c r="RF22" i="6"/>
  <c r="QR20" i="6"/>
  <c r="QQ25" i="6"/>
  <c r="QP27" i="6"/>
  <c r="QP28" i="6" s="1"/>
  <c r="QU1" i="6"/>
  <c r="QT30" i="6"/>
  <c r="QO35" i="6"/>
  <c r="RD68" i="6"/>
  <c r="RC69" i="6"/>
  <c r="RC70" i="6" s="1"/>
  <c r="I427" i="7"/>
  <c r="QS38" i="6" s="1"/>
  <c r="H428" i="7"/>
  <c r="QT59" i="6" s="1"/>
  <c r="K427" i="7"/>
  <c r="QR31" i="6"/>
  <c r="QQ32" i="6"/>
  <c r="F219" i="4"/>
  <c r="G219" i="4" s="1"/>
  <c r="L219" i="4"/>
  <c r="B429" i="7" l="1"/>
  <c r="A428" i="7"/>
  <c r="EW5" i="6"/>
  <c r="EW7" i="6" s="1"/>
  <c r="EW4" i="6"/>
  <c r="EW56" i="6"/>
  <c r="E144" i="7"/>
  <c r="EX72" i="6"/>
  <c r="EX78" i="6" s="1"/>
  <c r="EX80" i="6" s="1"/>
  <c r="EX82" i="6" s="1"/>
  <c r="EX39" i="6"/>
  <c r="EX42" i="6"/>
  <c r="QT10" i="6"/>
  <c r="QU55" i="6"/>
  <c r="QS31" i="6"/>
  <c r="QR32" i="6"/>
  <c r="J427" i="7"/>
  <c r="QS49" i="6" s="1"/>
  <c r="QS73" i="6"/>
  <c r="QV1" i="6"/>
  <c r="QR25" i="6"/>
  <c r="QS20" i="6"/>
  <c r="QQ34" i="6"/>
  <c r="QQ27" i="6"/>
  <c r="QQ28" i="6" s="1"/>
  <c r="ON64" i="6"/>
  <c r="OM65" i="6"/>
  <c r="ON65" i="6" s="1"/>
  <c r="QT16" i="6"/>
  <c r="QS17" i="6"/>
  <c r="QS18" i="6" s="1"/>
  <c r="RF51" i="6"/>
  <c r="RG22" i="6"/>
  <c r="QU30" i="6"/>
  <c r="K428" i="7"/>
  <c r="H429" i="7"/>
  <c r="QU59" i="6" s="1"/>
  <c r="I428" i="7"/>
  <c r="QT38" i="6" s="1"/>
  <c r="RE68" i="6"/>
  <c r="RD69" i="6"/>
  <c r="RD70" i="6" s="1"/>
  <c r="E220" i="4"/>
  <c r="D220" i="4"/>
  <c r="QR34" i="6" l="1"/>
  <c r="QR35" i="6" s="1"/>
  <c r="OO64" i="6"/>
  <c r="OO65" i="6" s="1"/>
  <c r="OP64" i="6" s="1"/>
  <c r="B430" i="7"/>
  <c r="A429" i="7"/>
  <c r="EX48" i="6"/>
  <c r="C145" i="7"/>
  <c r="EX43" i="6"/>
  <c r="EX40" i="6"/>
  <c r="EW57" i="6"/>
  <c r="EW61" i="6" s="1"/>
  <c r="EW11" i="6" s="1"/>
  <c r="EW6" i="6"/>
  <c r="QR27" i="6"/>
  <c r="QS25" i="6"/>
  <c r="QS27" i="6" s="1"/>
  <c r="QS28" i="6" s="1"/>
  <c r="QT20" i="6"/>
  <c r="J428" i="7"/>
  <c r="QT49" i="6" s="1"/>
  <c r="QT73" i="6"/>
  <c r="QV30" i="6"/>
  <c r="H430" i="7"/>
  <c r="QV59" i="6" s="1"/>
  <c r="I429" i="7"/>
  <c r="QU38" i="6" s="1"/>
  <c r="K429" i="7"/>
  <c r="QT31" i="6"/>
  <c r="QS32" i="6"/>
  <c r="QV55" i="6"/>
  <c r="QU10" i="6"/>
  <c r="QW1" i="6"/>
  <c r="RH22" i="6"/>
  <c r="RG51" i="6"/>
  <c r="RF68" i="6"/>
  <c r="RE69" i="6"/>
  <c r="RE70" i="6" s="1"/>
  <c r="QU16" i="6"/>
  <c r="QT17" i="6"/>
  <c r="QT18" i="6" s="1"/>
  <c r="QQ35" i="6"/>
  <c r="F220" i="4"/>
  <c r="G220" i="4" s="1"/>
  <c r="L220" i="4"/>
  <c r="B431" i="7" l="1"/>
  <c r="A430" i="7"/>
  <c r="EX8" i="6"/>
  <c r="EX9" i="6" s="1"/>
  <c r="EX44" i="6"/>
  <c r="EX47" i="6"/>
  <c r="EX52" i="6" s="1"/>
  <c r="F145" i="7"/>
  <c r="EY58" i="6"/>
  <c r="EY60" i="6" s="1"/>
  <c r="D145" i="7"/>
  <c r="EY37" i="6" s="1"/>
  <c r="QU17" i="6"/>
  <c r="QU18" i="6" s="1"/>
  <c r="QV16" i="6"/>
  <c r="RG68" i="6"/>
  <c r="RF69" i="6"/>
  <c r="RF70" i="6" s="1"/>
  <c r="QX1" i="6"/>
  <c r="J429" i="7"/>
  <c r="QU49" i="6" s="1"/>
  <c r="QU73" i="6"/>
  <c r="QR28" i="6"/>
  <c r="OP65" i="6"/>
  <c r="OQ64" i="6" s="1"/>
  <c r="QU31" i="6"/>
  <c r="QT32" i="6"/>
  <c r="QW30" i="6"/>
  <c r="QS34" i="6"/>
  <c r="QW55" i="6"/>
  <c r="QV10" i="6"/>
  <c r="RI22" i="6"/>
  <c r="RH51" i="6"/>
  <c r="I430" i="7"/>
  <c r="QV38" i="6" s="1"/>
  <c r="H431" i="7"/>
  <c r="K430" i="7"/>
  <c r="QT25" i="6"/>
  <c r="QU20" i="6"/>
  <c r="D221" i="4"/>
  <c r="E221" i="4"/>
  <c r="QT34" i="6" l="1"/>
  <c r="QT35" i="6" s="1"/>
  <c r="B432" i="7"/>
  <c r="A431" i="7"/>
  <c r="E145" i="7"/>
  <c r="EY72" i="6"/>
  <c r="EY78" i="6" s="1"/>
  <c r="EY80" i="6" s="1"/>
  <c r="EY82" i="6" s="1"/>
  <c r="EY42" i="6"/>
  <c r="EY39" i="6"/>
  <c r="EX5" i="6"/>
  <c r="EX7" i="6" s="1"/>
  <c r="EX4" i="6"/>
  <c r="EX56" i="6"/>
  <c r="RG69" i="6"/>
  <c r="RG70" i="6" s="1"/>
  <c r="RH68" i="6"/>
  <c r="QX55" i="6"/>
  <c r="QW10" i="6"/>
  <c r="QV31" i="6"/>
  <c r="QU32" i="6"/>
  <c r="OQ65" i="6"/>
  <c r="OR64" i="6" s="1"/>
  <c r="QV17" i="6"/>
  <c r="QV18" i="6" s="1"/>
  <c r="QW16" i="6"/>
  <c r="QY1" i="6"/>
  <c r="QT27" i="6"/>
  <c r="QU25" i="6"/>
  <c r="QU27" i="6" s="1"/>
  <c r="QU28" i="6" s="1"/>
  <c r="QV20" i="6"/>
  <c r="J430" i="7"/>
  <c r="QV49" i="6" s="1"/>
  <c r="QV73" i="6"/>
  <c r="I431" i="7"/>
  <c r="QW38" i="6" s="1"/>
  <c r="K431" i="7"/>
  <c r="H432" i="7"/>
  <c r="QX59" i="6" s="1"/>
  <c r="QW59" i="6"/>
  <c r="RI51" i="6"/>
  <c r="RJ22" i="6"/>
  <c r="QS35" i="6"/>
  <c r="QX30" i="6"/>
  <c r="F221" i="4"/>
  <c r="G221" i="4" s="1"/>
  <c r="L221" i="4"/>
  <c r="B433" i="7" l="1"/>
  <c r="A432" i="7"/>
  <c r="EX57" i="6"/>
  <c r="EX61" i="6" s="1"/>
  <c r="EX11" i="6" s="1"/>
  <c r="EX6" i="6"/>
  <c r="EY43" i="6"/>
  <c r="EY40" i="6"/>
  <c r="EY48" i="6"/>
  <c r="C146" i="7"/>
  <c r="OR65" i="6"/>
  <c r="OS64" i="6" s="1"/>
  <c r="QT28" i="6"/>
  <c r="RI68" i="6"/>
  <c r="RH69" i="6"/>
  <c r="RH70" i="6" s="1"/>
  <c r="QZ1" i="6"/>
  <c r="K432" i="7"/>
  <c r="I432" i="7"/>
  <c r="QX38" i="6" s="1"/>
  <c r="H433" i="7"/>
  <c r="QX16" i="6"/>
  <c r="QW17" i="6"/>
  <c r="QW18" i="6" s="1"/>
  <c r="J431" i="7"/>
  <c r="QW49" i="6" s="1"/>
  <c r="QW73" i="6"/>
  <c r="QU34" i="6"/>
  <c r="QV25" i="6"/>
  <c r="QV27" i="6" s="1"/>
  <c r="QW20" i="6"/>
  <c r="QW31" i="6"/>
  <c r="QV32" i="6"/>
  <c r="QY55" i="6"/>
  <c r="QX10" i="6"/>
  <c r="RJ51" i="6"/>
  <c r="RK22" i="6"/>
  <c r="QY30" i="6"/>
  <c r="E222" i="4"/>
  <c r="D222" i="4"/>
  <c r="B434" i="7" l="1"/>
  <c r="A433" i="7"/>
  <c r="F146" i="7"/>
  <c r="EZ58" i="6"/>
  <c r="D146" i="7"/>
  <c r="EZ37" i="6" s="1"/>
  <c r="EY8" i="6"/>
  <c r="EY9" i="6" s="1"/>
  <c r="EY44" i="6"/>
  <c r="EY47" i="6"/>
  <c r="EY52" i="6" s="1"/>
  <c r="QV28" i="6"/>
  <c r="OS65" i="6"/>
  <c r="OT64" i="6" s="1"/>
  <c r="QZ55" i="6"/>
  <c r="QY10" i="6"/>
  <c r="QX17" i="6"/>
  <c r="QX18" i="6" s="1"/>
  <c r="QY16" i="6"/>
  <c r="RA1" i="6"/>
  <c r="RB1" i="6"/>
  <c r="QU35" i="6"/>
  <c r="QX31" i="6"/>
  <c r="QW32" i="6"/>
  <c r="I433" i="7"/>
  <c r="QY38" i="6" s="1"/>
  <c r="K433" i="7"/>
  <c r="H434" i="7"/>
  <c r="QZ59" i="6" s="1"/>
  <c r="RA59" i="6" s="1"/>
  <c r="J432" i="7"/>
  <c r="QX49" i="6" s="1"/>
  <c r="QX73" i="6"/>
  <c r="QZ30" i="6"/>
  <c r="QV34" i="6"/>
  <c r="RI69" i="6"/>
  <c r="RI70" i="6" s="1"/>
  <c r="RJ68" i="6"/>
  <c r="QX20" i="6"/>
  <c r="QW25" i="6"/>
  <c r="QY59" i="6"/>
  <c r="RK51" i="6"/>
  <c r="RL22" i="6"/>
  <c r="F222" i="4"/>
  <c r="G222" i="4" s="1"/>
  <c r="L222" i="4"/>
  <c r="QW34" i="6" l="1"/>
  <c r="QW35" i="6" s="1"/>
  <c r="B435" i="7"/>
  <c r="A434" i="7"/>
  <c r="EY4" i="6"/>
  <c r="EY5" i="6"/>
  <c r="EY7" i="6" s="1"/>
  <c r="EY56" i="6"/>
  <c r="EZ42" i="6"/>
  <c r="FA42" i="6" s="1"/>
  <c r="EZ39" i="6"/>
  <c r="FA37" i="6"/>
  <c r="FA58" i="6"/>
  <c r="EZ60" i="6"/>
  <c r="FA60" i="6" s="1"/>
  <c r="E146" i="7"/>
  <c r="EZ72" i="6"/>
  <c r="OT65" i="6"/>
  <c r="OU64" i="6" s="1"/>
  <c r="QW27" i="6"/>
  <c r="QW28" i="6" s="1"/>
  <c r="QY20" i="6"/>
  <c r="QX25" i="6"/>
  <c r="QX27" i="6" s="1"/>
  <c r="QX28" i="6" s="1"/>
  <c r="H435" i="7"/>
  <c r="K434" i="7"/>
  <c r="I434" i="7"/>
  <c r="QZ38" i="6" s="1"/>
  <c r="RA38" i="6" s="1"/>
  <c r="RA55" i="6"/>
  <c r="RB55" i="6"/>
  <c r="QZ10" i="6"/>
  <c r="RA10" i="6" s="1"/>
  <c r="RK68" i="6"/>
  <c r="RJ69" i="6"/>
  <c r="RJ70" i="6" s="1"/>
  <c r="J433" i="7"/>
  <c r="QY49" i="6" s="1"/>
  <c r="QY73" i="6"/>
  <c r="QV35" i="6"/>
  <c r="RB30" i="6"/>
  <c r="RA30" i="6"/>
  <c r="QY31" i="6"/>
  <c r="QX32" i="6"/>
  <c r="QY17" i="6"/>
  <c r="QY18" i="6" s="1"/>
  <c r="QZ16" i="6"/>
  <c r="RL51" i="6"/>
  <c r="RM22" i="6"/>
  <c r="RB59" i="6"/>
  <c r="RC1" i="6"/>
  <c r="E223" i="4"/>
  <c r="D223" i="4"/>
  <c r="B436" i="7" l="1"/>
  <c r="A435" i="7"/>
  <c r="EZ48" i="6"/>
  <c r="FA48" i="6" s="1"/>
  <c r="C147" i="7"/>
  <c r="EZ78" i="6"/>
  <c r="FA72" i="6"/>
  <c r="EZ40" i="6"/>
  <c r="EZ43" i="6"/>
  <c r="FA39" i="6"/>
  <c r="FA40" i="6" s="1"/>
  <c r="EY6" i="6"/>
  <c r="EY57" i="6"/>
  <c r="EY61" i="6" s="1"/>
  <c r="EY11" i="6" s="1"/>
  <c r="OU65" i="6"/>
  <c r="OV64" i="6" s="1"/>
  <c r="RD1" i="6"/>
  <c r="RC30" i="6"/>
  <c r="J434" i="7"/>
  <c r="QZ49" i="6" s="1"/>
  <c r="RA49" i="6" s="1"/>
  <c r="QZ73" i="6"/>
  <c r="RA73" i="6" s="1"/>
  <c r="RM51" i="6"/>
  <c r="RN51" i="6" s="1"/>
  <c r="RN22" i="6"/>
  <c r="QX34" i="6"/>
  <c r="RB10" i="6"/>
  <c r="RC55" i="6"/>
  <c r="K435" i="7"/>
  <c r="I435" i="7"/>
  <c r="RB38" i="6" s="1"/>
  <c r="H436" i="7"/>
  <c r="RC59" i="6" s="1"/>
  <c r="QY25" i="6"/>
  <c r="QY27" i="6" s="1"/>
  <c r="QY28" i="6" s="1"/>
  <c r="QZ20" i="6"/>
  <c r="QZ17" i="6"/>
  <c r="RA17" i="6" s="1"/>
  <c r="RB16" i="6"/>
  <c r="RA16" i="6"/>
  <c r="QZ31" i="6"/>
  <c r="QY32" i="6"/>
  <c r="RK69" i="6"/>
  <c r="RK70" i="6" s="1"/>
  <c r="RL68" i="6"/>
  <c r="F223" i="4"/>
  <c r="G223" i="4" s="1"/>
  <c r="L223" i="4"/>
  <c r="QZ18" i="6" l="1"/>
  <c r="RA18" i="6" s="1"/>
  <c r="QY34" i="6"/>
  <c r="QY35" i="6" s="1"/>
  <c r="B437" i="7"/>
  <c r="A436" i="7"/>
  <c r="EZ44" i="6"/>
  <c r="EZ47" i="6"/>
  <c r="EZ8" i="6"/>
  <c r="FA43" i="6"/>
  <c r="FA44" i="6" s="1"/>
  <c r="EZ80" i="6"/>
  <c r="FA78" i="6"/>
  <c r="FB58" i="6"/>
  <c r="FB60" i="6" s="1"/>
  <c r="F147" i="7"/>
  <c r="D147" i="7"/>
  <c r="FB37" i="6" s="1"/>
  <c r="OV65" i="6"/>
  <c r="OW64" i="6" s="1"/>
  <c r="RL69" i="6"/>
  <c r="RL70" i="6" s="1"/>
  <c r="RM68" i="6"/>
  <c r="QZ25" i="6"/>
  <c r="RA25" i="6" s="1"/>
  <c r="RB20" i="6"/>
  <c r="RA20" i="6"/>
  <c r="RD30" i="6"/>
  <c r="QX35" i="6"/>
  <c r="RE1" i="6"/>
  <c r="RB17" i="6"/>
  <c r="RB18" i="6" s="1"/>
  <c r="RC16" i="6"/>
  <c r="I436" i="7"/>
  <c r="RC38" i="6" s="1"/>
  <c r="K436" i="7"/>
  <c r="H437" i="7"/>
  <c r="RB31" i="6"/>
  <c r="RA31" i="6"/>
  <c r="QZ32" i="6"/>
  <c r="RA32" i="6" s="1"/>
  <c r="J435" i="7"/>
  <c r="RB49" i="6" s="1"/>
  <c r="RB73" i="6"/>
  <c r="RD55" i="6"/>
  <c r="RC10" i="6"/>
  <c r="D224" i="4"/>
  <c r="E224" i="4"/>
  <c r="B438" i="7" l="1"/>
  <c r="A437" i="7"/>
  <c r="FB42" i="6"/>
  <c r="FB39" i="6"/>
  <c r="FB72" i="6"/>
  <c r="E147" i="7"/>
  <c r="EZ82" i="6"/>
  <c r="FA82" i="6" s="1"/>
  <c r="FA80" i="6"/>
  <c r="E41" i="3" s="1"/>
  <c r="EZ9" i="6"/>
  <c r="FA9" i="6" s="1"/>
  <c r="FA8" i="6"/>
  <c r="EZ52" i="6"/>
  <c r="FA47" i="6"/>
  <c r="RC31" i="6"/>
  <c r="RB32" i="6"/>
  <c r="RD16" i="6"/>
  <c r="RC17" i="6"/>
  <c r="RC18" i="6" s="1"/>
  <c r="K437" i="7"/>
  <c r="I437" i="7"/>
  <c r="RD38" i="6" s="1"/>
  <c r="H438" i="7"/>
  <c r="OW65" i="6"/>
  <c r="OX64" i="6" s="1"/>
  <c r="RD10" i="6"/>
  <c r="RE55" i="6"/>
  <c r="QZ34" i="6"/>
  <c r="RB25" i="6"/>
  <c r="RC20" i="6"/>
  <c r="J436" i="7"/>
  <c r="RC49" i="6" s="1"/>
  <c r="RC73" i="6"/>
  <c r="RM69" i="6"/>
  <c r="RN69" i="6" s="1"/>
  <c r="RN68" i="6"/>
  <c r="QZ27" i="6"/>
  <c r="RD59" i="6"/>
  <c r="RF1" i="6"/>
  <c r="RE30" i="6"/>
  <c r="F224" i="4"/>
  <c r="G224" i="4" s="1"/>
  <c r="L224" i="4"/>
  <c r="RB34" i="6" l="1"/>
  <c r="RB35" i="6" s="1"/>
  <c r="L41" i="3"/>
  <c r="L28" i="3" s="1"/>
  <c r="K41" i="3"/>
  <c r="K28" i="3" s="1"/>
  <c r="B439" i="7"/>
  <c r="A438" i="7"/>
  <c r="FB48" i="6"/>
  <c r="C148" i="7"/>
  <c r="FB78" i="6"/>
  <c r="EZ4" i="6"/>
  <c r="FA4" i="6" s="1"/>
  <c r="EZ5" i="6"/>
  <c r="FA52" i="6"/>
  <c r="EZ56" i="6"/>
  <c r="FB43" i="6"/>
  <c r="FB40" i="6"/>
  <c r="OX65" i="6"/>
  <c r="OY64" i="6" s="1"/>
  <c r="J437" i="7"/>
  <c r="RD49" i="6" s="1"/>
  <c r="RD73" i="6"/>
  <c r="QZ28" i="6"/>
  <c r="RA27" i="6"/>
  <c r="RA28" i="6" s="1"/>
  <c r="RG1" i="6"/>
  <c r="QZ35" i="6"/>
  <c r="RA34" i="6"/>
  <c r="RA35" i="6" s="1"/>
  <c r="RD31" i="6"/>
  <c r="RC32" i="6"/>
  <c r="RD20" i="6"/>
  <c r="RC25" i="6"/>
  <c r="RB27" i="6"/>
  <c r="RF30" i="6"/>
  <c r="K438" i="7"/>
  <c r="I438" i="7"/>
  <c r="RE38" i="6" s="1"/>
  <c r="H439" i="7"/>
  <c r="RF59" i="6" s="1"/>
  <c r="RE59" i="6"/>
  <c r="RE10" i="6"/>
  <c r="RF55" i="6"/>
  <c r="RD17" i="6"/>
  <c r="RE16" i="6"/>
  <c r="RM70" i="6"/>
  <c r="E225" i="4"/>
  <c r="D225" i="4"/>
  <c r="RC34" i="6" l="1"/>
  <c r="RC35" i="6" s="1"/>
  <c r="B440" i="7"/>
  <c r="A439" i="7"/>
  <c r="FB44" i="6"/>
  <c r="FB8" i="6"/>
  <c r="FB47" i="6"/>
  <c r="FB80" i="6"/>
  <c r="EZ6" i="6"/>
  <c r="EZ57" i="6"/>
  <c r="EZ61" i="6" s="1"/>
  <c r="FA56" i="6"/>
  <c r="FA5" i="6"/>
  <c r="EZ7" i="6"/>
  <c r="F148" i="7"/>
  <c r="D148" i="7"/>
  <c r="FC37" i="6" s="1"/>
  <c r="FC58" i="6"/>
  <c r="FC60" i="6" s="1"/>
  <c r="OY65" i="6"/>
  <c r="OZ64" i="6" s="1"/>
  <c r="RE20" i="6"/>
  <c r="RD25" i="6"/>
  <c r="RE31" i="6"/>
  <c r="RD32" i="6"/>
  <c r="RC27" i="6"/>
  <c r="RC28" i="6" s="1"/>
  <c r="K439" i="7"/>
  <c r="H440" i="7"/>
  <c r="RG59" i="6" s="1"/>
  <c r="I439" i="7"/>
  <c r="RF38" i="6" s="1"/>
  <c r="RH1" i="6"/>
  <c r="J438" i="7"/>
  <c r="RE49" i="6" s="1"/>
  <c r="RE73" i="6"/>
  <c r="RB28" i="6"/>
  <c r="RG55" i="6"/>
  <c r="RF10" i="6"/>
  <c r="RN70" i="6"/>
  <c r="RD18" i="6"/>
  <c r="RG30" i="6"/>
  <c r="RF16" i="6"/>
  <c r="RE17" i="6"/>
  <c r="F225" i="4"/>
  <c r="G225" i="4" s="1"/>
  <c r="L225" i="4"/>
  <c r="B441" i="7" l="1"/>
  <c r="A440" i="7"/>
  <c r="FB82" i="6"/>
  <c r="FB52" i="6"/>
  <c r="FB56" i="6" s="1"/>
  <c r="FC42" i="6"/>
  <c r="FC39" i="6"/>
  <c r="FC72" i="6"/>
  <c r="E148" i="7"/>
  <c r="FA7" i="6"/>
  <c r="FA13" i="6" s="1"/>
  <c r="FA6" i="6"/>
  <c r="FA57" i="6"/>
  <c r="FA61" i="6"/>
  <c r="FA11" i="6" s="1"/>
  <c r="FA12" i="6" s="1"/>
  <c r="EZ11" i="6"/>
  <c r="FB9" i="6"/>
  <c r="PA64" i="6"/>
  <c r="OZ65" i="6"/>
  <c r="PA65" i="6" s="1"/>
  <c r="RI1" i="6"/>
  <c r="RH55" i="6"/>
  <c r="RG10" i="6"/>
  <c r="RE18" i="6"/>
  <c r="J439" i="7"/>
  <c r="RF49" i="6" s="1"/>
  <c r="RF73" i="6"/>
  <c r="RF20" i="6"/>
  <c r="RE25" i="6"/>
  <c r="RH30" i="6"/>
  <c r="RD34" i="6"/>
  <c r="RD27" i="6"/>
  <c r="RF31" i="6"/>
  <c r="RE32" i="6"/>
  <c r="RG16" i="6"/>
  <c r="RF17" i="6"/>
  <c r="RF18" i="6" s="1"/>
  <c r="H441" i="7"/>
  <c r="RH59" i="6" s="1"/>
  <c r="I440" i="7"/>
  <c r="RG38" i="6" s="1"/>
  <c r="K440" i="7"/>
  <c r="E226" i="4"/>
  <c r="D226" i="4"/>
  <c r="B442" i="7" l="1"/>
  <c r="A441" i="7"/>
  <c r="FB57" i="6"/>
  <c r="FB61" i="6" s="1"/>
  <c r="FB11" i="6" s="1"/>
  <c r="FB6" i="6"/>
  <c r="FC78" i="6"/>
  <c r="FC43" i="6"/>
  <c r="FC40" i="6"/>
  <c r="FB4" i="6"/>
  <c r="FB5" i="6"/>
  <c r="FC48" i="6"/>
  <c r="C149" i="7"/>
  <c r="RD28" i="6"/>
  <c r="RD35" i="6"/>
  <c r="RG17" i="6"/>
  <c r="RG18" i="6" s="1"/>
  <c r="RH16" i="6"/>
  <c r="RG31" i="6"/>
  <c r="RF32" i="6"/>
  <c r="J440" i="7"/>
  <c r="RG49" i="6" s="1"/>
  <c r="RG73" i="6"/>
  <c r="RE34" i="6"/>
  <c r="RE27" i="6"/>
  <c r="RE28" i="6" s="1"/>
  <c r="RI30" i="6"/>
  <c r="K441" i="7"/>
  <c r="I441" i="7"/>
  <c r="RH38" i="6" s="1"/>
  <c r="H442" i="7"/>
  <c r="RI59" i="6" s="1"/>
  <c r="RH10" i="6"/>
  <c r="RI55" i="6"/>
  <c r="RJ1" i="6"/>
  <c r="RG20" i="6"/>
  <c r="RF25" i="6"/>
  <c r="PB64" i="6"/>
  <c r="F226" i="4"/>
  <c r="G226" i="4" s="1"/>
  <c r="L226" i="4"/>
  <c r="RF34" i="6" l="1"/>
  <c r="RF35" i="6" s="1"/>
  <c r="B443" i="7"/>
  <c r="A442" i="7"/>
  <c r="FB7" i="6"/>
  <c r="FC47" i="6"/>
  <c r="FC44" i="6"/>
  <c r="FC8" i="6"/>
  <c r="FC80" i="6"/>
  <c r="F149" i="7"/>
  <c r="FD58" i="6"/>
  <c r="FD60" i="6" s="1"/>
  <c r="D149" i="7"/>
  <c r="FD37" i="6" s="1"/>
  <c r="RJ30" i="6"/>
  <c r="RE35" i="6"/>
  <c r="RG25" i="6"/>
  <c r="RG27" i="6" s="1"/>
  <c r="RG28" i="6" s="1"/>
  <c r="RH20" i="6"/>
  <c r="RH31" i="6"/>
  <c r="RG32" i="6"/>
  <c r="PB65" i="6"/>
  <c r="RF27" i="6"/>
  <c r="RF28" i="6" s="1"/>
  <c r="J441" i="7"/>
  <c r="RH49" i="6" s="1"/>
  <c r="RH73" i="6"/>
  <c r="RI10" i="6"/>
  <c r="RJ55" i="6"/>
  <c r="RK1" i="6"/>
  <c r="H443" i="7"/>
  <c r="RJ59" i="6" s="1"/>
  <c r="I442" i="7"/>
  <c r="RI38" i="6" s="1"/>
  <c r="K442" i="7"/>
  <c r="RH17" i="6"/>
  <c r="RH18" i="6" s="1"/>
  <c r="RI16" i="6"/>
  <c r="E227" i="4"/>
  <c r="D227" i="4"/>
  <c r="RG34" i="6" l="1"/>
  <c r="RG35" i="6" s="1"/>
  <c r="B444" i="7"/>
  <c r="A443" i="7"/>
  <c r="FD72" i="6"/>
  <c r="E149" i="7"/>
  <c r="FC82" i="6"/>
  <c r="FC9" i="6"/>
  <c r="FD42" i="6"/>
  <c r="FD39" i="6"/>
  <c r="FC52" i="6"/>
  <c r="RI20" i="6"/>
  <c r="RH25" i="6"/>
  <c r="RH27" i="6" s="1"/>
  <c r="RH28" i="6" s="1"/>
  <c r="RK55" i="6"/>
  <c r="RJ10" i="6"/>
  <c r="RI17" i="6"/>
  <c r="RI18" i="6" s="1"/>
  <c r="RJ16" i="6"/>
  <c r="RK30" i="6"/>
  <c r="PC64" i="6"/>
  <c r="J442" i="7"/>
  <c r="RI49" i="6" s="1"/>
  <c r="RI73" i="6"/>
  <c r="H444" i="7"/>
  <c r="K443" i="7"/>
  <c r="I443" i="7"/>
  <c r="RJ38" i="6" s="1"/>
  <c r="RI31" i="6"/>
  <c r="RH32" i="6"/>
  <c r="RL1" i="6"/>
  <c r="F227" i="4"/>
  <c r="G227" i="4" s="1"/>
  <c r="L227" i="4"/>
  <c r="RH34" i="6" l="1"/>
  <c r="RH35" i="6" s="1"/>
  <c r="B445" i="7"/>
  <c r="A444" i="7"/>
  <c r="FC5" i="6"/>
  <c r="FC4" i="6"/>
  <c r="FC56" i="6"/>
  <c r="FD78" i="6"/>
  <c r="FD43" i="6"/>
  <c r="FD40" i="6"/>
  <c r="FD48" i="6"/>
  <c r="C150" i="7"/>
  <c r="RM1" i="6"/>
  <c r="RL59" i="6"/>
  <c r="RL55" i="6"/>
  <c r="RK10" i="6"/>
  <c r="RI25" i="6"/>
  <c r="RI27" i="6" s="1"/>
  <c r="RJ20" i="6"/>
  <c r="H445" i="7"/>
  <c r="I444" i="7"/>
  <c r="RK38" i="6" s="1"/>
  <c r="K444" i="7"/>
  <c r="RK59" i="6"/>
  <c r="PC65" i="6"/>
  <c r="PD64" i="6" s="1"/>
  <c r="RL30" i="6"/>
  <c r="RJ31" i="6"/>
  <c r="RI32" i="6"/>
  <c r="J443" i="7"/>
  <c r="RJ49" i="6" s="1"/>
  <c r="RJ73" i="6"/>
  <c r="RK16" i="6"/>
  <c r="RJ17" i="6"/>
  <c r="RJ18" i="6" s="1"/>
  <c r="E228" i="4"/>
  <c r="D228" i="4"/>
  <c r="RI34" i="6" l="1"/>
  <c r="RI35" i="6" s="1"/>
  <c r="B446" i="7"/>
  <c r="A445" i="7"/>
  <c r="FD8" i="6"/>
  <c r="FD44" i="6"/>
  <c r="FD47" i="6"/>
  <c r="FE58" i="6"/>
  <c r="FE60" i="6" s="1"/>
  <c r="F150" i="7"/>
  <c r="D150" i="7"/>
  <c r="FE37" i="6" s="1"/>
  <c r="FD80" i="6"/>
  <c r="FC7" i="6"/>
  <c r="FC6" i="6"/>
  <c r="FC57" i="6"/>
  <c r="FC61" i="6" s="1"/>
  <c r="FC11" i="6" s="1"/>
  <c r="RI28" i="6"/>
  <c r="RM30" i="6"/>
  <c r="J444" i="7"/>
  <c r="RK49" i="6" s="1"/>
  <c r="RK73" i="6"/>
  <c r="RK31" i="6"/>
  <c r="RJ32" i="6"/>
  <c r="RJ25" i="6"/>
  <c r="RJ27" i="6" s="1"/>
  <c r="RJ28" i="6" s="1"/>
  <c r="RK20" i="6"/>
  <c r="RM55" i="6"/>
  <c r="RL10" i="6"/>
  <c r="PD65" i="6"/>
  <c r="PE64" i="6" s="1"/>
  <c r="RK17" i="6"/>
  <c r="RK18" i="6" s="1"/>
  <c r="RL16" i="6"/>
  <c r="RN1" i="6"/>
  <c r="I445" i="7"/>
  <c r="RL38" i="6" s="1"/>
  <c r="H446" i="7"/>
  <c r="RM59" i="6" s="1"/>
  <c r="RN59" i="6" s="1"/>
  <c r="K445" i="7"/>
  <c r="F228" i="4"/>
  <c r="G228" i="4" s="1"/>
  <c r="L228" i="4"/>
  <c r="RJ34" i="6" l="1"/>
  <c r="RJ35" i="6" s="1"/>
  <c r="B447" i="7"/>
  <c r="A446" i="7"/>
  <c r="FD82" i="6"/>
  <c r="FE72" i="6"/>
  <c r="E150" i="7"/>
  <c r="FD52" i="6"/>
  <c r="FE39" i="6"/>
  <c r="FE42" i="6"/>
  <c r="FD9" i="6"/>
  <c r="J445" i="7"/>
  <c r="RL49" i="6" s="1"/>
  <c r="RL73" i="6"/>
  <c r="PE65" i="6"/>
  <c r="PF64" i="6" s="1"/>
  <c r="RL31" i="6"/>
  <c r="RK32" i="6"/>
  <c r="H447" i="7"/>
  <c r="I446" i="7"/>
  <c r="RM38" i="6" s="1"/>
  <c r="RN38" i="6" s="1"/>
  <c r="K446" i="7"/>
  <c r="RN30" i="6"/>
  <c r="RN55" i="6"/>
  <c r="RM10" i="6"/>
  <c r="RN10" i="6" s="1"/>
  <c r="RM16" i="6"/>
  <c r="RL17" i="6"/>
  <c r="RL18" i="6" s="1"/>
  <c r="RK25" i="6"/>
  <c r="RK27" i="6" s="1"/>
  <c r="RK28" i="6" s="1"/>
  <c r="RL20" i="6"/>
  <c r="D229" i="4"/>
  <c r="E229" i="4"/>
  <c r="RK34" i="6" l="1"/>
  <c r="RK35" i="6" s="1"/>
  <c r="B448" i="7"/>
  <c r="A447" i="7"/>
  <c r="FD4" i="6"/>
  <c r="FD5" i="6"/>
  <c r="FD56" i="6"/>
  <c r="FE40" i="6"/>
  <c r="FE43" i="6"/>
  <c r="FE48" i="6"/>
  <c r="C151" i="7"/>
  <c r="FE78" i="6"/>
  <c r="PF65" i="6"/>
  <c r="PG64" i="6" s="1"/>
  <c r="I447" i="7"/>
  <c r="H448" i="7"/>
  <c r="K447" i="7"/>
  <c r="RM17" i="6"/>
  <c r="RN17" i="6" s="1"/>
  <c r="RN16" i="6"/>
  <c r="RM31" i="6"/>
  <c r="RL32" i="6"/>
  <c r="J446" i="7"/>
  <c r="RM49" i="6" s="1"/>
  <c r="RN49" i="6" s="1"/>
  <c r="RM73" i="6"/>
  <c r="RN73" i="6" s="1"/>
  <c r="RM20" i="6"/>
  <c r="RL25" i="6"/>
  <c r="RL27" i="6" s="1"/>
  <c r="RL28" i="6" s="1"/>
  <c r="F229" i="4"/>
  <c r="G229" i="4" s="1"/>
  <c r="L229" i="4"/>
  <c r="J447" i="7" l="1"/>
  <c r="RM18" i="6"/>
  <c r="RN18" i="6" s="1"/>
  <c r="B449" i="7"/>
  <c r="A448" i="7"/>
  <c r="FE80" i="6"/>
  <c r="FE47" i="6"/>
  <c r="FE8" i="6"/>
  <c r="FE44" i="6"/>
  <c r="FD7" i="6"/>
  <c r="F151" i="7"/>
  <c r="FF58" i="6"/>
  <c r="FF60" i="6" s="1"/>
  <c r="D151" i="7"/>
  <c r="FF37" i="6" s="1"/>
  <c r="FD57" i="6"/>
  <c r="FD61" i="6" s="1"/>
  <c r="FD11" i="6" s="1"/>
  <c r="FD6" i="6"/>
  <c r="RM25" i="6"/>
  <c r="RN25" i="6" s="1"/>
  <c r="RN20" i="6"/>
  <c r="PG65" i="6"/>
  <c r="PH64" i="6" s="1"/>
  <c r="K448" i="7"/>
  <c r="I448" i="7"/>
  <c r="H449" i="7"/>
  <c r="RL34" i="6"/>
  <c r="RN31" i="6"/>
  <c r="RM32" i="6"/>
  <c r="RN32" i="6" s="1"/>
  <c r="D230" i="4"/>
  <c r="E230" i="4"/>
  <c r="B450" i="7" l="1"/>
  <c r="A449" i="7"/>
  <c r="FE82" i="6"/>
  <c r="FF42" i="6"/>
  <c r="FF39" i="6"/>
  <c r="E151" i="7"/>
  <c r="FF72" i="6"/>
  <c r="FE9" i="6"/>
  <c r="FE52" i="6"/>
  <c r="H450" i="7"/>
  <c r="I449" i="7"/>
  <c r="K449" i="7"/>
  <c r="J448" i="7"/>
  <c r="PH65" i="6"/>
  <c r="PI64" i="6" s="1"/>
  <c r="RL35" i="6"/>
  <c r="RM27" i="6"/>
  <c r="RM34" i="6"/>
  <c r="F230" i="4"/>
  <c r="G230" i="4" s="1"/>
  <c r="L230" i="4"/>
  <c r="B451" i="7" l="1"/>
  <c r="A450" i="7"/>
  <c r="FF78" i="6"/>
  <c r="FF43" i="6"/>
  <c r="FF40" i="6"/>
  <c r="FE4" i="6"/>
  <c r="FE5" i="6"/>
  <c r="FE56" i="6"/>
  <c r="FF48" i="6"/>
  <c r="C152" i="7"/>
  <c r="J449" i="7"/>
  <c r="PI65" i="6"/>
  <c r="PJ64" i="6" s="1"/>
  <c r="RM35" i="6"/>
  <c r="RN34" i="6"/>
  <c r="RN35" i="6" s="1"/>
  <c r="RM28" i="6"/>
  <c r="RN27" i="6"/>
  <c r="RN28" i="6" s="1"/>
  <c r="K450" i="7"/>
  <c r="H451" i="7"/>
  <c r="I450" i="7"/>
  <c r="E231" i="4"/>
  <c r="D231" i="4"/>
  <c r="J450" i="7" l="1"/>
  <c r="B452" i="7"/>
  <c r="A451" i="7"/>
  <c r="FF80" i="6"/>
  <c r="FE6" i="6"/>
  <c r="FE57" i="6"/>
  <c r="FE61" i="6" s="1"/>
  <c r="FE11" i="6" s="1"/>
  <c r="FE7" i="6"/>
  <c r="F152" i="7"/>
  <c r="D152" i="7"/>
  <c r="FG37" i="6" s="1"/>
  <c r="FG58" i="6"/>
  <c r="FG60" i="6" s="1"/>
  <c r="FF47" i="6"/>
  <c r="FF44" i="6"/>
  <c r="FF8" i="6"/>
  <c r="PJ65" i="6"/>
  <c r="PK64" i="6" s="1"/>
  <c r="H452" i="7"/>
  <c r="K451" i="7"/>
  <c r="I451" i="7"/>
  <c r="F231" i="4"/>
  <c r="G231" i="4" s="1"/>
  <c r="L231" i="4"/>
  <c r="B453" i="7" l="1"/>
  <c r="A452" i="7"/>
  <c r="FF82" i="6"/>
  <c r="FF9" i="6"/>
  <c r="FF52" i="6"/>
  <c r="FG39" i="6"/>
  <c r="FG42" i="6"/>
  <c r="E152" i="7"/>
  <c r="FG72" i="6"/>
  <c r="FG78" i="6" s="1"/>
  <c r="FG80" i="6" s="1"/>
  <c r="PK65" i="6"/>
  <c r="PL64" i="6" s="1"/>
  <c r="J451" i="7"/>
  <c r="I452" i="7"/>
  <c r="K452" i="7"/>
  <c r="H453" i="7"/>
  <c r="E232" i="4"/>
  <c r="D232" i="4"/>
  <c r="J452" i="7" l="1"/>
  <c r="FG82" i="6"/>
  <c r="B454" i="7"/>
  <c r="A453" i="7"/>
  <c r="FG48" i="6"/>
  <c r="C153" i="7"/>
  <c r="FG43" i="6"/>
  <c r="FG40" i="6"/>
  <c r="FF4" i="6"/>
  <c r="FF5" i="6"/>
  <c r="FF56" i="6"/>
  <c r="PL65" i="6"/>
  <c r="PM64" i="6" s="1"/>
  <c r="K453" i="7"/>
  <c r="H454" i="7"/>
  <c r="I453" i="7"/>
  <c r="F232" i="4"/>
  <c r="G232" i="4" s="1"/>
  <c r="L232" i="4"/>
  <c r="B455" i="7" l="1"/>
  <c r="A454" i="7"/>
  <c r="FF57" i="6"/>
  <c r="FF61" i="6" s="1"/>
  <c r="FF11" i="6" s="1"/>
  <c r="FF6" i="6"/>
  <c r="FF7" i="6"/>
  <c r="FG44" i="6"/>
  <c r="FG8" i="6"/>
  <c r="FG9" i="6" s="1"/>
  <c r="FG47" i="6"/>
  <c r="FG52" i="6" s="1"/>
  <c r="F153" i="7"/>
  <c r="FH58" i="6"/>
  <c r="FH60" i="6" s="1"/>
  <c r="D153" i="7"/>
  <c r="FH37" i="6" s="1"/>
  <c r="PN64" i="6"/>
  <c r="PM65" i="6"/>
  <c r="PN65" i="6" s="1"/>
  <c r="I454" i="7"/>
  <c r="K454" i="7"/>
  <c r="H455" i="7"/>
  <c r="J453" i="7"/>
  <c r="E233" i="4"/>
  <c r="D233" i="4"/>
  <c r="J454" i="7" l="1"/>
  <c r="PO64" i="6"/>
  <c r="PO65" i="6" s="1"/>
  <c r="PP64" i="6" s="1"/>
  <c r="B456" i="7"/>
  <c r="A455" i="7"/>
  <c r="FH42" i="6"/>
  <c r="FH39" i="6"/>
  <c r="E153" i="7"/>
  <c r="FH72" i="6"/>
  <c r="FH78" i="6" s="1"/>
  <c r="FH80" i="6" s="1"/>
  <c r="FH82" i="6" s="1"/>
  <c r="FG5" i="6"/>
  <c r="FG7" i="6" s="1"/>
  <c r="FG4" i="6"/>
  <c r="FG56" i="6"/>
  <c r="I455" i="7"/>
  <c r="H456" i="7"/>
  <c r="K455" i="7"/>
  <c r="F233" i="4"/>
  <c r="G233" i="4" s="1"/>
  <c r="L233" i="4"/>
  <c r="J455" i="7" l="1"/>
  <c r="B457" i="7"/>
  <c r="A456" i="7"/>
  <c r="FG6" i="6"/>
  <c r="FG57" i="6"/>
  <c r="FG61" i="6" s="1"/>
  <c r="FG11" i="6" s="1"/>
  <c r="FH48" i="6"/>
  <c r="C154" i="7"/>
  <c r="FH43" i="6"/>
  <c r="FH40" i="6"/>
  <c r="PP65" i="6"/>
  <c r="PQ64" i="6" s="1"/>
  <c r="K456" i="7"/>
  <c r="I456" i="7"/>
  <c r="H457" i="7"/>
  <c r="E234" i="4"/>
  <c r="D234" i="4"/>
  <c r="B458" i="7" l="1"/>
  <c r="A457" i="7"/>
  <c r="D154" i="7"/>
  <c r="FI37" i="6" s="1"/>
  <c r="F154" i="7"/>
  <c r="FI58" i="6"/>
  <c r="FI60" i="6" s="1"/>
  <c r="FH44" i="6"/>
  <c r="FH47" i="6"/>
  <c r="FH52" i="6" s="1"/>
  <c r="FH8" i="6"/>
  <c r="FH9" i="6" s="1"/>
  <c r="H458" i="7"/>
  <c r="K457" i="7"/>
  <c r="I457" i="7"/>
  <c r="J456" i="7"/>
  <c r="PQ65" i="6"/>
  <c r="PR64" i="6" s="1"/>
  <c r="F234" i="4"/>
  <c r="G234" i="4" s="1"/>
  <c r="L234" i="4"/>
  <c r="J457" i="7" l="1"/>
  <c r="B459" i="7"/>
  <c r="A458" i="7"/>
  <c r="FI42" i="6"/>
  <c r="FI39" i="6"/>
  <c r="FH4" i="6"/>
  <c r="FH5" i="6"/>
  <c r="FH7" i="6" s="1"/>
  <c r="FH56" i="6"/>
  <c r="E154" i="7"/>
  <c r="FI72" i="6"/>
  <c r="FI78" i="6" s="1"/>
  <c r="FI80" i="6" s="1"/>
  <c r="FI82" i="6" s="1"/>
  <c r="PR65" i="6"/>
  <c r="PS64" i="6" s="1"/>
  <c r="K458" i="7"/>
  <c r="I458" i="7"/>
  <c r="H459" i="7"/>
  <c r="E235" i="4"/>
  <c r="D235" i="4"/>
  <c r="B460" i="7" l="1"/>
  <c r="A459" i="7"/>
  <c r="FI43" i="6"/>
  <c r="FI40" i="6"/>
  <c r="FI48" i="6"/>
  <c r="C155" i="7"/>
  <c r="FH6" i="6"/>
  <c r="FH57" i="6"/>
  <c r="FH61" i="6" s="1"/>
  <c r="FH11" i="6" s="1"/>
  <c r="J458" i="7"/>
  <c r="PS65" i="6"/>
  <c r="PT64" i="6" s="1"/>
  <c r="I459" i="7"/>
  <c r="K459" i="7"/>
  <c r="H460" i="7"/>
  <c r="F235" i="4"/>
  <c r="G235" i="4" s="1"/>
  <c r="L235" i="4"/>
  <c r="B461" i="7" l="1"/>
  <c r="A460" i="7"/>
  <c r="FI47" i="6"/>
  <c r="FI52" i="6" s="1"/>
  <c r="FI44" i="6"/>
  <c r="FI8" i="6"/>
  <c r="FI9" i="6" s="1"/>
  <c r="FJ58" i="6"/>
  <c r="FJ60" i="6" s="1"/>
  <c r="D155" i="7"/>
  <c r="FJ37" i="6" s="1"/>
  <c r="F155" i="7"/>
  <c r="I460" i="7"/>
  <c r="H461" i="7"/>
  <c r="K460" i="7"/>
  <c r="PT65" i="6"/>
  <c r="PU64" i="6" s="1"/>
  <c r="J459" i="7"/>
  <c r="E236" i="4"/>
  <c r="D236" i="4"/>
  <c r="B462" i="7" l="1"/>
  <c r="A461" i="7"/>
  <c r="FI5" i="6"/>
  <c r="FI7" i="6" s="1"/>
  <c r="FI4" i="6"/>
  <c r="FI56" i="6"/>
  <c r="J460" i="7"/>
  <c r="FJ42" i="6"/>
  <c r="FJ39" i="6"/>
  <c r="E155" i="7"/>
  <c r="FJ72" i="6"/>
  <c r="FJ78" i="6" s="1"/>
  <c r="FJ80" i="6" s="1"/>
  <c r="FJ82" i="6" s="1"/>
  <c r="PU65" i="6"/>
  <c r="PV64" i="6" s="1"/>
  <c r="I461" i="7"/>
  <c r="K461" i="7"/>
  <c r="H462" i="7"/>
  <c r="F236" i="4"/>
  <c r="G236" i="4" s="1"/>
  <c r="L236" i="4"/>
  <c r="B463" i="7" l="1"/>
  <c r="A462" i="7"/>
  <c r="FJ40" i="6"/>
  <c r="FJ43" i="6"/>
  <c r="FJ48" i="6"/>
  <c r="C156" i="7"/>
  <c r="FI6" i="6"/>
  <c r="FI57" i="6"/>
  <c r="FI61" i="6" s="1"/>
  <c r="FI11" i="6" s="1"/>
  <c r="K462" i="7"/>
  <c r="H463" i="7"/>
  <c r="I462" i="7"/>
  <c r="J461" i="7"/>
  <c r="PV65" i="6"/>
  <c r="PW64" i="6" s="1"/>
  <c r="E237" i="4"/>
  <c r="D237" i="4"/>
  <c r="B464" i="7" l="1"/>
  <c r="A463" i="7"/>
  <c r="D156" i="7"/>
  <c r="FK37" i="6" s="1"/>
  <c r="F156" i="7"/>
  <c r="FK58" i="6"/>
  <c r="FK60" i="6" s="1"/>
  <c r="FJ44" i="6"/>
  <c r="FJ8" i="6"/>
  <c r="FJ9" i="6" s="1"/>
  <c r="FJ47" i="6"/>
  <c r="FJ52" i="6" s="1"/>
  <c r="PW65" i="6"/>
  <c r="PX64" i="6" s="1"/>
  <c r="H464" i="7"/>
  <c r="K463" i="7"/>
  <c r="I463" i="7"/>
  <c r="J462" i="7"/>
  <c r="F237" i="4"/>
  <c r="G237" i="4" s="1"/>
  <c r="L237" i="4"/>
  <c r="B465" i="7" l="1"/>
  <c r="A464" i="7"/>
  <c r="E156" i="7"/>
  <c r="FK72" i="6"/>
  <c r="FK78" i="6" s="1"/>
  <c r="FK80" i="6" s="1"/>
  <c r="FK82" i="6" s="1"/>
  <c r="FK42" i="6"/>
  <c r="FK39" i="6"/>
  <c r="FJ5" i="6"/>
  <c r="FJ7" i="6" s="1"/>
  <c r="FJ4" i="6"/>
  <c r="FJ56" i="6"/>
  <c r="J463" i="7"/>
  <c r="H465" i="7"/>
  <c r="K464" i="7"/>
  <c r="I464" i="7"/>
  <c r="PX65" i="6"/>
  <c r="PY64" i="6" s="1"/>
  <c r="E238" i="4"/>
  <c r="D238" i="4"/>
  <c r="B466" i="7" l="1"/>
  <c r="A465" i="7"/>
  <c r="FJ6" i="6"/>
  <c r="FJ57" i="6"/>
  <c r="FJ61" i="6" s="1"/>
  <c r="FJ11" i="6" s="1"/>
  <c r="FK43" i="6"/>
  <c r="FK40" i="6"/>
  <c r="FK48" i="6"/>
  <c r="C157" i="7"/>
  <c r="PY65" i="6"/>
  <c r="PZ64" i="6" s="1"/>
  <c r="I465" i="7"/>
  <c r="H466" i="7"/>
  <c r="K465" i="7"/>
  <c r="J464" i="7"/>
  <c r="F238" i="4"/>
  <c r="G238" i="4" s="1"/>
  <c r="L238" i="4"/>
  <c r="J465" i="7" l="1"/>
  <c r="B467" i="7"/>
  <c r="A466" i="7"/>
  <c r="FK44" i="6"/>
  <c r="FK47" i="6"/>
  <c r="FK52" i="6" s="1"/>
  <c r="FK8" i="6"/>
  <c r="FK9" i="6" s="1"/>
  <c r="F157" i="7"/>
  <c r="FL58" i="6"/>
  <c r="FL60" i="6" s="1"/>
  <c r="D157" i="7"/>
  <c r="FL37" i="6" s="1"/>
  <c r="I466" i="7"/>
  <c r="H467" i="7"/>
  <c r="K466" i="7"/>
  <c r="J466" i="7" s="1"/>
  <c r="PZ65" i="6"/>
  <c r="QA65" i="6" s="1"/>
  <c r="QA64" i="6"/>
  <c r="D239" i="4"/>
  <c r="E239" i="4"/>
  <c r="QB64" i="6" l="1"/>
  <c r="QB65" i="6" s="1"/>
  <c r="B468" i="7"/>
  <c r="A467" i="7"/>
  <c r="FL39" i="6"/>
  <c r="FL42" i="6"/>
  <c r="E157" i="7"/>
  <c r="FL72" i="6"/>
  <c r="FL78" i="6" s="1"/>
  <c r="FL80" i="6" s="1"/>
  <c r="FL82" i="6" s="1"/>
  <c r="FK4" i="6"/>
  <c r="FK5" i="6"/>
  <c r="FK7" i="6" s="1"/>
  <c r="FK56" i="6"/>
  <c r="K467" i="7"/>
  <c r="I467" i="7"/>
  <c r="H468" i="7"/>
  <c r="F239" i="4"/>
  <c r="G239" i="4" s="1"/>
  <c r="L239" i="4"/>
  <c r="B469" i="7" l="1"/>
  <c r="A468" i="7"/>
  <c r="FL43" i="6"/>
  <c r="FL40" i="6"/>
  <c r="FK6" i="6"/>
  <c r="FK57" i="6"/>
  <c r="FK61" i="6" s="1"/>
  <c r="FK11" i="6" s="1"/>
  <c r="FL48" i="6"/>
  <c r="C158" i="7"/>
  <c r="J467" i="7"/>
  <c r="QC64" i="6"/>
  <c r="H469" i="7"/>
  <c r="I468" i="7"/>
  <c r="K468" i="7"/>
  <c r="E240" i="4"/>
  <c r="D240" i="4"/>
  <c r="B470" i="7" l="1"/>
  <c r="A469" i="7"/>
  <c r="FL47" i="6"/>
  <c r="FL52" i="6" s="1"/>
  <c r="FL44" i="6"/>
  <c r="FL8" i="6"/>
  <c r="FL9" i="6" s="1"/>
  <c r="D158" i="7"/>
  <c r="FM37" i="6" s="1"/>
  <c r="F158" i="7"/>
  <c r="FM58" i="6"/>
  <c r="J468" i="7"/>
  <c r="H470" i="7"/>
  <c r="I469" i="7"/>
  <c r="K469" i="7"/>
  <c r="QC65" i="6"/>
  <c r="QD64" i="6" s="1"/>
  <c r="F240" i="4"/>
  <c r="G240" i="4" s="1"/>
  <c r="L240" i="4"/>
  <c r="J469" i="7" l="1"/>
  <c r="B471" i="7"/>
  <c r="A470" i="7"/>
  <c r="FM60" i="6"/>
  <c r="FN60" i="6" s="1"/>
  <c r="FN58" i="6"/>
  <c r="E158" i="7"/>
  <c r="FM72" i="6"/>
  <c r="FM42" i="6"/>
  <c r="FN42" i="6" s="1"/>
  <c r="FM39" i="6"/>
  <c r="FN37" i="6"/>
  <c r="FL5" i="6"/>
  <c r="FL7" i="6" s="1"/>
  <c r="FL4" i="6"/>
  <c r="FL56" i="6"/>
  <c r="QD65" i="6"/>
  <c r="QE64" i="6" s="1"/>
  <c r="I470" i="7"/>
  <c r="H471" i="7"/>
  <c r="K470" i="7"/>
  <c r="D241" i="4"/>
  <c r="E241" i="4"/>
  <c r="B472" i="7" l="1"/>
  <c r="A471" i="7"/>
  <c r="J470" i="7"/>
  <c r="FM43" i="6"/>
  <c r="FM40" i="6"/>
  <c r="FN39" i="6"/>
  <c r="FN40" i="6" s="1"/>
  <c r="FL6" i="6"/>
  <c r="FL57" i="6"/>
  <c r="FL61" i="6" s="1"/>
  <c r="FL11" i="6" s="1"/>
  <c r="FM78" i="6"/>
  <c r="FN72" i="6"/>
  <c r="FM48" i="6"/>
  <c r="FN48" i="6" s="1"/>
  <c r="C159" i="7"/>
  <c r="QE65" i="6"/>
  <c r="H472" i="7"/>
  <c r="I471" i="7"/>
  <c r="K471" i="7"/>
  <c r="J471" i="7" s="1"/>
  <c r="F241" i="4"/>
  <c r="G241" i="4" s="1"/>
  <c r="L241" i="4"/>
  <c r="B473" i="7" l="1"/>
  <c r="A472" i="7"/>
  <c r="D159" i="7"/>
  <c r="FO37" i="6" s="1"/>
  <c r="F159" i="7"/>
  <c r="FO58" i="6"/>
  <c r="FO60" i="6" s="1"/>
  <c r="FM80" i="6"/>
  <c r="FN78" i="6"/>
  <c r="FM44" i="6"/>
  <c r="FM47" i="6"/>
  <c r="FM8" i="6"/>
  <c r="FN43" i="6"/>
  <c r="FN44" i="6" s="1"/>
  <c r="H473" i="7"/>
  <c r="I472" i="7"/>
  <c r="K472" i="7"/>
  <c r="J472" i="7" s="1"/>
  <c r="QF64" i="6"/>
  <c r="D242" i="4"/>
  <c r="E242" i="4"/>
  <c r="B474" i="7" l="1"/>
  <c r="A473" i="7"/>
  <c r="FM9" i="6"/>
  <c r="FN9" i="6" s="1"/>
  <c r="FN8" i="6"/>
  <c r="FM82" i="6"/>
  <c r="FN82" i="6" s="1"/>
  <c r="FN80" i="6"/>
  <c r="FM52" i="6"/>
  <c r="FN47" i="6"/>
  <c r="E159" i="7"/>
  <c r="FO72" i="6"/>
  <c r="FO42" i="6"/>
  <c r="FO39" i="6"/>
  <c r="QF65" i="6"/>
  <c r="QG64" i="6" s="1"/>
  <c r="I473" i="7"/>
  <c r="H474" i="7"/>
  <c r="K473" i="7"/>
  <c r="F242" i="4"/>
  <c r="G242" i="4" s="1"/>
  <c r="L242" i="4"/>
  <c r="J473" i="7" l="1"/>
  <c r="B475" i="7"/>
  <c r="A474" i="7"/>
  <c r="FO78" i="6"/>
  <c r="FO40" i="6"/>
  <c r="FO43" i="6"/>
  <c r="FO48" i="6"/>
  <c r="C160" i="7"/>
  <c r="FM5" i="6"/>
  <c r="FM4" i="6"/>
  <c r="FN4" i="6" s="1"/>
  <c r="FN52" i="6"/>
  <c r="FM56" i="6"/>
  <c r="QG65" i="6"/>
  <c r="QH64" i="6" s="1"/>
  <c r="K474" i="7"/>
  <c r="H475" i="7"/>
  <c r="I474" i="7"/>
  <c r="D243" i="4"/>
  <c r="E243" i="4"/>
  <c r="B476" i="7" l="1"/>
  <c r="A475" i="7"/>
  <c r="FO47" i="6"/>
  <c r="FO8" i="6"/>
  <c r="FO44" i="6"/>
  <c r="FN56" i="6"/>
  <c r="FM6" i="6"/>
  <c r="FM57" i="6"/>
  <c r="FM61" i="6" s="1"/>
  <c r="F160" i="7"/>
  <c r="FP58" i="6"/>
  <c r="FP60" i="6" s="1"/>
  <c r="D160" i="7"/>
  <c r="FP37" i="6" s="1"/>
  <c r="FN5" i="6"/>
  <c r="FM7" i="6"/>
  <c r="FO80" i="6"/>
  <c r="QH65" i="6"/>
  <c r="QI64" i="6" s="1"/>
  <c r="J474" i="7"/>
  <c r="I475" i="7"/>
  <c r="H476" i="7"/>
  <c r="K475" i="7"/>
  <c r="F243" i="4"/>
  <c r="G243" i="4" s="1"/>
  <c r="L243" i="4"/>
  <c r="J475" i="7" l="1"/>
  <c r="B477" i="7"/>
  <c r="A476" i="7"/>
  <c r="FP42" i="6"/>
  <c r="FP39" i="6"/>
  <c r="E160" i="7"/>
  <c r="FP72" i="6"/>
  <c r="FO82" i="6"/>
  <c r="FN7" i="6"/>
  <c r="FN13" i="6" s="1"/>
  <c r="FN61" i="6"/>
  <c r="FN11" i="6" s="1"/>
  <c r="FN12" i="6" s="1"/>
  <c r="FM11" i="6"/>
  <c r="FN57" i="6"/>
  <c r="FN6" i="6"/>
  <c r="FO9" i="6"/>
  <c r="FO52" i="6"/>
  <c r="FO56" i="6" s="1"/>
  <c r="H477" i="7"/>
  <c r="K476" i="7"/>
  <c r="I476" i="7"/>
  <c r="QI65" i="6"/>
  <c r="QJ64" i="6" s="1"/>
  <c r="E244" i="4"/>
  <c r="D244" i="4"/>
  <c r="B478" i="7" l="1"/>
  <c r="A477" i="7"/>
  <c r="FO6" i="6"/>
  <c r="FO57" i="6"/>
  <c r="FO61" i="6" s="1"/>
  <c r="FO11" i="6" s="1"/>
  <c r="FP48" i="6"/>
  <c r="C161" i="7"/>
  <c r="FP78" i="6"/>
  <c r="FO5" i="6"/>
  <c r="FO4" i="6"/>
  <c r="FP43" i="6"/>
  <c r="FP40" i="6"/>
  <c r="QJ65" i="6"/>
  <c r="QK64" i="6" s="1"/>
  <c r="J476" i="7"/>
  <c r="K477" i="7"/>
  <c r="H478" i="7"/>
  <c r="I477" i="7"/>
  <c r="F244" i="4"/>
  <c r="G244" i="4" s="1"/>
  <c r="L244" i="4"/>
  <c r="B479" i="7" l="1"/>
  <c r="A478" i="7"/>
  <c r="FP44" i="6"/>
  <c r="FP8" i="6"/>
  <c r="FP47" i="6"/>
  <c r="FP80" i="6"/>
  <c r="D161" i="7"/>
  <c r="FQ37" i="6" s="1"/>
  <c r="F161" i="7"/>
  <c r="FQ58" i="6"/>
  <c r="FQ60" i="6" s="1"/>
  <c r="FO7" i="6"/>
  <c r="J477" i="7"/>
  <c r="I478" i="7"/>
  <c r="K478" i="7"/>
  <c r="J478" i="7" s="1"/>
  <c r="H479" i="7"/>
  <c r="QK65" i="6"/>
  <c r="QL64" i="6" s="1"/>
  <c r="E245" i="4"/>
  <c r="D245" i="4"/>
  <c r="B480" i="7" l="1"/>
  <c r="A479" i="7"/>
  <c r="FQ42" i="6"/>
  <c r="FQ39" i="6"/>
  <c r="E161" i="7"/>
  <c r="FQ72" i="6"/>
  <c r="FP82" i="6"/>
  <c r="FP52" i="6"/>
  <c r="FP9" i="6"/>
  <c r="QL65" i="6"/>
  <c r="QM64" i="6" s="1"/>
  <c r="I479" i="7"/>
  <c r="K479" i="7"/>
  <c r="H480" i="7"/>
  <c r="F245" i="4"/>
  <c r="G245" i="4" s="1"/>
  <c r="L245" i="4"/>
  <c r="B481" i="7" l="1"/>
  <c r="A480" i="7"/>
  <c r="FP5" i="6"/>
  <c r="FP4" i="6"/>
  <c r="FP56" i="6"/>
  <c r="FQ78" i="6"/>
  <c r="FQ43" i="6"/>
  <c r="FQ40" i="6"/>
  <c r="FQ48" i="6"/>
  <c r="C162" i="7"/>
  <c r="J479" i="7"/>
  <c r="QM65" i="6"/>
  <c r="QN65" i="6" s="1"/>
  <c r="QN64" i="6"/>
  <c r="I480" i="7"/>
  <c r="H481" i="7"/>
  <c r="K480" i="7"/>
  <c r="E246" i="4"/>
  <c r="D246" i="4"/>
  <c r="J480" i="7" l="1"/>
  <c r="QO64" i="6"/>
  <c r="QO65" i="6" s="1"/>
  <c r="QP64" i="6" s="1"/>
  <c r="B482" i="7"/>
  <c r="A481" i="7"/>
  <c r="F162" i="7"/>
  <c r="D162" i="7"/>
  <c r="FR37" i="6" s="1"/>
  <c r="FR58" i="6"/>
  <c r="FR60" i="6" s="1"/>
  <c r="FQ44" i="6"/>
  <c r="FQ8" i="6"/>
  <c r="FQ47" i="6"/>
  <c r="FQ80" i="6"/>
  <c r="FP6" i="6"/>
  <c r="FP57" i="6"/>
  <c r="FP61" i="6" s="1"/>
  <c r="FP11" i="6" s="1"/>
  <c r="FP7" i="6"/>
  <c r="K481" i="7"/>
  <c r="H482" i="7"/>
  <c r="I481" i="7"/>
  <c r="F246" i="4"/>
  <c r="G246" i="4" s="1"/>
  <c r="L246" i="4"/>
  <c r="B483" i="7" l="1"/>
  <c r="A482" i="7"/>
  <c r="FQ82" i="6"/>
  <c r="FQ52" i="6"/>
  <c r="FQ9" i="6"/>
  <c r="FR42" i="6"/>
  <c r="FR39" i="6"/>
  <c r="E162" i="7"/>
  <c r="FR72" i="6"/>
  <c r="H483" i="7"/>
  <c r="K482" i="7"/>
  <c r="I482" i="7"/>
  <c r="J481" i="7"/>
  <c r="QP65" i="6"/>
  <c r="E247" i="4"/>
  <c r="D247" i="4"/>
  <c r="B484" i="7" l="1"/>
  <c r="A483" i="7"/>
  <c r="FR48" i="6"/>
  <c r="C163" i="7"/>
  <c r="FR78" i="6"/>
  <c r="FR40" i="6"/>
  <c r="FR43" i="6"/>
  <c r="FQ5" i="6"/>
  <c r="FQ4" i="6"/>
  <c r="FQ56" i="6"/>
  <c r="QQ64" i="6"/>
  <c r="J482" i="7"/>
  <c r="K483" i="7"/>
  <c r="I483" i="7"/>
  <c r="H484" i="7"/>
  <c r="F247" i="4"/>
  <c r="G247" i="4" s="1"/>
  <c r="L247" i="4"/>
  <c r="B485" i="7" l="1"/>
  <c r="A484" i="7"/>
  <c r="FQ7" i="6"/>
  <c r="FQ6" i="6"/>
  <c r="FQ57" i="6"/>
  <c r="FQ61" i="6" s="1"/>
  <c r="FQ11" i="6" s="1"/>
  <c r="FR47" i="6"/>
  <c r="FR44" i="6"/>
  <c r="FR8" i="6"/>
  <c r="FR80" i="6"/>
  <c r="F163" i="7"/>
  <c r="D163" i="7"/>
  <c r="FS37" i="6" s="1"/>
  <c r="FS58" i="6"/>
  <c r="FS60" i="6" s="1"/>
  <c r="J483" i="7"/>
  <c r="K484" i="7"/>
  <c r="I484" i="7"/>
  <c r="H485" i="7"/>
  <c r="QQ65" i="6"/>
  <c r="E248" i="4"/>
  <c r="D248" i="4"/>
  <c r="H30" i="3" l="1"/>
  <c r="A485" i="7"/>
  <c r="FS42" i="6"/>
  <c r="FS39" i="6"/>
  <c r="FR9" i="6"/>
  <c r="FR52" i="6"/>
  <c r="E163" i="7"/>
  <c r="FS72" i="6"/>
  <c r="FR82" i="6"/>
  <c r="J484" i="7"/>
  <c r="K485" i="7"/>
  <c r="I485" i="7"/>
  <c r="QR64" i="6"/>
  <c r="F248" i="4"/>
  <c r="G248" i="4" s="1"/>
  <c r="L248" i="4"/>
  <c r="FS78" i="6" l="1"/>
  <c r="FS48" i="6"/>
  <c r="C164" i="7"/>
  <c r="FR5" i="6"/>
  <c r="FR4" i="6"/>
  <c r="FR56" i="6"/>
  <c r="FS40" i="6"/>
  <c r="FS43" i="6"/>
  <c r="J485" i="7"/>
  <c r="QR65" i="6"/>
  <c r="QS64" i="6" s="1"/>
  <c r="D249" i="4"/>
  <c r="E249" i="4"/>
  <c r="FS47" i="6" l="1"/>
  <c r="FS8" i="6"/>
  <c r="FS44" i="6"/>
  <c r="FR6" i="6"/>
  <c r="FR57" i="6"/>
  <c r="FR61" i="6" s="1"/>
  <c r="FR11" i="6" s="1"/>
  <c r="FR7" i="6"/>
  <c r="F164" i="7"/>
  <c r="D164" i="7"/>
  <c r="FT37" i="6" s="1"/>
  <c r="FT58" i="6"/>
  <c r="FT60" i="6" s="1"/>
  <c r="FS80" i="6"/>
  <c r="QS65" i="6"/>
  <c r="QT64" i="6" s="1"/>
  <c r="F249" i="4"/>
  <c r="G249" i="4" s="1"/>
  <c r="L249" i="4"/>
  <c r="FT39" i="6" l="1"/>
  <c r="FT42" i="6"/>
  <c r="FS82" i="6"/>
  <c r="E164" i="7"/>
  <c r="FT72" i="6"/>
  <c r="FT78" i="6" s="1"/>
  <c r="FT80" i="6" s="1"/>
  <c r="FS9" i="6"/>
  <c r="FS52" i="6"/>
  <c r="QT65" i="6"/>
  <c r="QU64" i="6" s="1"/>
  <c r="D250" i="4"/>
  <c r="E250" i="4"/>
  <c r="FS5" i="6" l="1"/>
  <c r="FS4" i="6"/>
  <c r="FS56" i="6"/>
  <c r="FT48" i="6"/>
  <c r="C165" i="7"/>
  <c r="FT82" i="6"/>
  <c r="FT40" i="6"/>
  <c r="FT43" i="6"/>
  <c r="QU65" i="6"/>
  <c r="QV64" i="6" s="1"/>
  <c r="F250" i="4"/>
  <c r="G250" i="4" s="1"/>
  <c r="L250" i="4"/>
  <c r="FT8" i="6" l="1"/>
  <c r="FT9" i="6" s="1"/>
  <c r="FT44" i="6"/>
  <c r="FT47" i="6"/>
  <c r="FT52" i="6" s="1"/>
  <c r="FU58" i="6"/>
  <c r="FU60" i="6" s="1"/>
  <c r="D165" i="7"/>
  <c r="FU37" i="6" s="1"/>
  <c r="F165" i="7"/>
  <c r="FS6" i="6"/>
  <c r="FS57" i="6"/>
  <c r="FS61" i="6" s="1"/>
  <c r="FS11" i="6" s="1"/>
  <c r="FS7" i="6"/>
  <c r="QV65" i="6"/>
  <c r="QW64" i="6" s="1"/>
  <c r="E251" i="4"/>
  <c r="D251" i="4"/>
  <c r="E165" i="7" l="1"/>
  <c r="FU72" i="6"/>
  <c r="FU78" i="6" s="1"/>
  <c r="FU80" i="6" s="1"/>
  <c r="FU82" i="6" s="1"/>
  <c r="FU42" i="6"/>
  <c r="FU39" i="6"/>
  <c r="FT56" i="6"/>
  <c r="FT5" i="6"/>
  <c r="FT7" i="6" s="1"/>
  <c r="FT4" i="6"/>
  <c r="QW65" i="6"/>
  <c r="QX64" i="6" s="1"/>
  <c r="F251" i="4"/>
  <c r="G251" i="4" s="1"/>
  <c r="L251" i="4"/>
  <c r="FT6" i="6" l="1"/>
  <c r="FT57" i="6"/>
  <c r="FT61" i="6" s="1"/>
  <c r="FT11" i="6" s="1"/>
  <c r="FU43" i="6"/>
  <c r="FU40" i="6"/>
  <c r="FU48" i="6"/>
  <c r="C166" i="7"/>
  <c r="QX65" i="6"/>
  <c r="QY64" i="6" s="1"/>
  <c r="D252" i="4"/>
  <c r="E252" i="4"/>
  <c r="F166" i="7" l="1"/>
  <c r="FV58" i="6"/>
  <c r="FV60" i="6" s="1"/>
  <c r="D166" i="7"/>
  <c r="FV37" i="6" s="1"/>
  <c r="FU8" i="6"/>
  <c r="FU9" i="6" s="1"/>
  <c r="FU44" i="6"/>
  <c r="FU47" i="6"/>
  <c r="FU52" i="6" s="1"/>
  <c r="QY65" i="6"/>
  <c r="QZ64" i="6" s="1"/>
  <c r="F252" i="4"/>
  <c r="G252" i="4" s="1"/>
  <c r="L252" i="4"/>
  <c r="FU5" i="6" l="1"/>
  <c r="FU7" i="6" s="1"/>
  <c r="FU4" i="6"/>
  <c r="FU56" i="6"/>
  <c r="FV42" i="6"/>
  <c r="FV39" i="6"/>
  <c r="E166" i="7"/>
  <c r="FV72" i="6"/>
  <c r="FV78" i="6" s="1"/>
  <c r="FV80" i="6" s="1"/>
  <c r="FV82" i="6" s="1"/>
  <c r="QZ65" i="6"/>
  <c r="RA65" i="6" s="1"/>
  <c r="RA64" i="6"/>
  <c r="E253" i="4"/>
  <c r="D253" i="4"/>
  <c r="RB64" i="6" l="1"/>
  <c r="RB65" i="6" s="1"/>
  <c r="RC64" i="6" s="1"/>
  <c r="FV48" i="6"/>
  <c r="C167" i="7"/>
  <c r="FV40" i="6"/>
  <c r="FV43" i="6"/>
  <c r="FU57" i="6"/>
  <c r="FU61" i="6" s="1"/>
  <c r="FU11" i="6" s="1"/>
  <c r="FU6" i="6"/>
  <c r="F253" i="4"/>
  <c r="G253" i="4" s="1"/>
  <c r="L253" i="4"/>
  <c r="FV47" i="6" l="1"/>
  <c r="FV52" i="6" s="1"/>
  <c r="FV8" i="6"/>
  <c r="FV9" i="6" s="1"/>
  <c r="FV44" i="6"/>
  <c r="D167" i="7"/>
  <c r="FW37" i="6" s="1"/>
  <c r="F167" i="7"/>
  <c r="FW58" i="6"/>
  <c r="FW60" i="6" s="1"/>
  <c r="RC65" i="6"/>
  <c r="RD64" i="6" s="1"/>
  <c r="E254" i="4"/>
  <c r="D254" i="4"/>
  <c r="E167" i="7" l="1"/>
  <c r="FW72" i="6"/>
  <c r="FW78" i="6" s="1"/>
  <c r="FW80" i="6" s="1"/>
  <c r="FW82" i="6" s="1"/>
  <c r="FW42" i="6"/>
  <c r="FW39" i="6"/>
  <c r="FV4" i="6"/>
  <c r="FV5" i="6"/>
  <c r="FV7" i="6" s="1"/>
  <c r="FV56" i="6"/>
  <c r="RD65" i="6"/>
  <c r="F254" i="4"/>
  <c r="G254" i="4" s="1"/>
  <c r="L254" i="4"/>
  <c r="FW40" i="6" l="1"/>
  <c r="FW43" i="6"/>
  <c r="FV6" i="6"/>
  <c r="FV57" i="6"/>
  <c r="FV61" i="6" s="1"/>
  <c r="FV11" i="6" s="1"/>
  <c r="FW48" i="6"/>
  <c r="C168" i="7"/>
  <c r="RE64" i="6"/>
  <c r="D255" i="4"/>
  <c r="E255" i="4"/>
  <c r="F168" i="7" l="1"/>
  <c r="D168" i="7"/>
  <c r="FX37" i="6" s="1"/>
  <c r="FX58" i="6"/>
  <c r="FX60" i="6" s="1"/>
  <c r="FW44" i="6"/>
  <c r="FW47" i="6"/>
  <c r="FW52" i="6" s="1"/>
  <c r="FW8" i="6"/>
  <c r="FW9" i="6" s="1"/>
  <c r="RE65" i="6"/>
  <c r="RF64" i="6" s="1"/>
  <c r="F255" i="4"/>
  <c r="G255" i="4" s="1"/>
  <c r="L255" i="4"/>
  <c r="E168" i="7" l="1"/>
  <c r="FX72" i="6"/>
  <c r="FX78" i="6" s="1"/>
  <c r="FX80" i="6" s="1"/>
  <c r="FX82" i="6" s="1"/>
  <c r="FW56" i="6"/>
  <c r="FW4" i="6"/>
  <c r="FW5" i="6"/>
  <c r="FW7" i="6" s="1"/>
  <c r="FX39" i="6"/>
  <c r="FX42" i="6"/>
  <c r="RF65" i="6"/>
  <c r="RG64" i="6" s="1"/>
  <c r="E256" i="4"/>
  <c r="D256" i="4"/>
  <c r="FX40" i="6" l="1"/>
  <c r="FX43" i="6"/>
  <c r="FW57" i="6"/>
  <c r="FW61" i="6" s="1"/>
  <c r="FW11" i="6" s="1"/>
  <c r="FW6" i="6"/>
  <c r="FX48" i="6"/>
  <c r="C169" i="7"/>
  <c r="RG65" i="6"/>
  <c r="RH64" i="6" s="1"/>
  <c r="F256" i="4"/>
  <c r="G256" i="4" s="1"/>
  <c r="L256" i="4"/>
  <c r="F169" i="7" l="1"/>
  <c r="FY58" i="6"/>
  <c r="FY60" i="6" s="1"/>
  <c r="D169" i="7"/>
  <c r="FY37" i="6" s="1"/>
  <c r="FX8" i="6"/>
  <c r="FX9" i="6" s="1"/>
  <c r="FX44" i="6"/>
  <c r="FX47" i="6"/>
  <c r="FX52" i="6" s="1"/>
  <c r="RH65" i="6"/>
  <c r="RI64" i="6" s="1"/>
  <c r="D257" i="4"/>
  <c r="E257" i="4"/>
  <c r="FX4" i="6" l="1"/>
  <c r="FX5" i="6"/>
  <c r="FX7" i="6" s="1"/>
  <c r="FX56" i="6"/>
  <c r="FY39" i="6"/>
  <c r="FY42" i="6"/>
  <c r="E169" i="7"/>
  <c r="FY72" i="6"/>
  <c r="FY78" i="6" s="1"/>
  <c r="FY80" i="6" s="1"/>
  <c r="FY82" i="6" s="1"/>
  <c r="RI65" i="6"/>
  <c r="RJ64" i="6" s="1"/>
  <c r="F257" i="4"/>
  <c r="G257" i="4" s="1"/>
  <c r="L257" i="4"/>
  <c r="FY48" i="6" l="1"/>
  <c r="C170" i="7"/>
  <c r="FY40" i="6"/>
  <c r="FY43" i="6"/>
  <c r="FX6" i="6"/>
  <c r="FX57" i="6"/>
  <c r="FX61" i="6" s="1"/>
  <c r="FX11" i="6" s="1"/>
  <c r="RJ65" i="6"/>
  <c r="RK64" i="6" s="1"/>
  <c r="E258" i="4"/>
  <c r="D258" i="4"/>
  <c r="FY44" i="6" l="1"/>
  <c r="FY8" i="6"/>
  <c r="FY9" i="6" s="1"/>
  <c r="FY47" i="6"/>
  <c r="FY52" i="6" s="1"/>
  <c r="FZ58" i="6"/>
  <c r="D170" i="7"/>
  <c r="FZ37" i="6" s="1"/>
  <c r="F170" i="7"/>
  <c r="RK65" i="6"/>
  <c r="RL64" i="6" s="1"/>
  <c r="F258" i="4"/>
  <c r="G258" i="4" s="1"/>
  <c r="L258" i="4"/>
  <c r="E170" i="7" l="1"/>
  <c r="FZ72" i="6"/>
  <c r="FZ39" i="6"/>
  <c r="FZ42" i="6"/>
  <c r="GA42" i="6" s="1"/>
  <c r="GA37" i="6"/>
  <c r="FY4" i="6"/>
  <c r="FY5" i="6"/>
  <c r="FY7" i="6" s="1"/>
  <c r="FY56" i="6"/>
  <c r="FZ60" i="6"/>
  <c r="GA60" i="6" s="1"/>
  <c r="GA58" i="6"/>
  <c r="RL65" i="6"/>
  <c r="RM64" i="6" s="1"/>
  <c r="E259" i="4"/>
  <c r="D259" i="4"/>
  <c r="FZ48" i="6" l="1"/>
  <c r="GA48" i="6" s="1"/>
  <c r="C171" i="7"/>
  <c r="FY6" i="6"/>
  <c r="FY57" i="6"/>
  <c r="FY61" i="6" s="1"/>
  <c r="FY11" i="6" s="1"/>
  <c r="FZ43" i="6"/>
  <c r="FZ40" i="6"/>
  <c r="GA39" i="6"/>
  <c r="GA40" i="6" s="1"/>
  <c r="FZ78" i="6"/>
  <c r="GA72" i="6"/>
  <c r="RM65" i="6"/>
  <c r="RN65" i="6" s="1"/>
  <c r="RN64" i="6"/>
  <c r="F259" i="4"/>
  <c r="G259" i="4" s="1"/>
  <c r="L259" i="4"/>
  <c r="F171" i="7" l="1"/>
  <c r="D171" i="7"/>
  <c r="GB37" i="6" s="1"/>
  <c r="GB58" i="6"/>
  <c r="GB60" i="6" s="1"/>
  <c r="FZ80" i="6"/>
  <c r="GA78" i="6"/>
  <c r="FZ47" i="6"/>
  <c r="FZ8" i="6"/>
  <c r="FZ44" i="6"/>
  <c r="GA43" i="6"/>
  <c r="GA44" i="6" s="1"/>
  <c r="E260" i="4"/>
  <c r="D260" i="4"/>
  <c r="FZ9" i="6" l="1"/>
  <c r="GA9" i="6" s="1"/>
  <c r="GA8" i="6"/>
  <c r="GB42" i="6"/>
  <c r="GB39" i="6"/>
  <c r="E171" i="7"/>
  <c r="GB72" i="6"/>
  <c r="FZ52" i="6"/>
  <c r="GA47" i="6"/>
  <c r="FZ82" i="6"/>
  <c r="GA82" i="6" s="1"/>
  <c r="GA80" i="6"/>
  <c r="F260" i="4"/>
  <c r="G260" i="4" s="1"/>
  <c r="L260" i="4"/>
  <c r="GB78" i="6" l="1"/>
  <c r="GB40" i="6"/>
  <c r="GB43" i="6"/>
  <c r="FZ4" i="6"/>
  <c r="GA4" i="6" s="1"/>
  <c r="FZ5" i="6"/>
  <c r="GA52" i="6"/>
  <c r="FZ56" i="6"/>
  <c r="GB48" i="6"/>
  <c r="C172" i="7"/>
  <c r="E261" i="4"/>
  <c r="D261" i="4"/>
  <c r="GB44" i="6" l="1"/>
  <c r="GB47" i="6"/>
  <c r="GB8" i="6"/>
  <c r="GA56" i="6"/>
  <c r="FZ6" i="6"/>
  <c r="FZ57" i="6"/>
  <c r="FZ61" i="6" s="1"/>
  <c r="GA5" i="6"/>
  <c r="FZ7" i="6"/>
  <c r="D172" i="7"/>
  <c r="GC37" i="6" s="1"/>
  <c r="F172" i="7"/>
  <c r="GC58" i="6"/>
  <c r="GC60" i="6" s="1"/>
  <c r="GB80" i="6"/>
  <c r="F261" i="4"/>
  <c r="G261" i="4" s="1"/>
  <c r="L261" i="4"/>
  <c r="GC39" i="6" l="1"/>
  <c r="GC42" i="6"/>
  <c r="E172" i="7"/>
  <c r="GC72" i="6"/>
  <c r="GA7" i="6"/>
  <c r="GA13" i="6" s="1"/>
  <c r="FZ11" i="6"/>
  <c r="GA61" i="6"/>
  <c r="GA11" i="6" s="1"/>
  <c r="GA12" i="6" s="1"/>
  <c r="GA6" i="6"/>
  <c r="GA57" i="6"/>
  <c r="GB82" i="6"/>
  <c r="GB9" i="6"/>
  <c r="GB52" i="6"/>
  <c r="GB56" i="6" s="1"/>
  <c r="E262" i="4"/>
  <c r="D262" i="4"/>
  <c r="GC48" i="6" l="1"/>
  <c r="C173" i="7"/>
  <c r="GB57" i="6"/>
  <c r="GB61" i="6" s="1"/>
  <c r="GB11" i="6" s="1"/>
  <c r="GB6" i="6"/>
  <c r="GC78" i="6"/>
  <c r="GB5" i="6"/>
  <c r="GB4" i="6"/>
  <c r="GC43" i="6"/>
  <c r="GC40" i="6"/>
  <c r="F262" i="4"/>
  <c r="G262" i="4" s="1"/>
  <c r="L262" i="4"/>
  <c r="GC44" i="6" l="1"/>
  <c r="GC47" i="6"/>
  <c r="GC8" i="6"/>
  <c r="GB7" i="6"/>
  <c r="GC80" i="6"/>
  <c r="D173" i="7"/>
  <c r="GD37" i="6" s="1"/>
  <c r="F173" i="7"/>
  <c r="GD58" i="6"/>
  <c r="GD60" i="6" s="1"/>
  <c r="E263" i="4"/>
  <c r="D263" i="4"/>
  <c r="GD39" i="6" l="1"/>
  <c r="GD42" i="6"/>
  <c r="E173" i="7"/>
  <c r="GD72" i="6"/>
  <c r="GC82" i="6"/>
  <c r="GC9" i="6"/>
  <c r="GC52" i="6"/>
  <c r="F263" i="4"/>
  <c r="G263" i="4" s="1"/>
  <c r="L263" i="4"/>
  <c r="GC5" i="6" l="1"/>
  <c r="GC4" i="6"/>
  <c r="GC56" i="6"/>
  <c r="GD78" i="6"/>
  <c r="GD48" i="6"/>
  <c r="C174" i="7"/>
  <c r="GD40" i="6"/>
  <c r="GD43" i="6"/>
  <c r="E264" i="4"/>
  <c r="D264" i="4"/>
  <c r="GD47" i="6" l="1"/>
  <c r="GD44" i="6"/>
  <c r="GD8" i="6"/>
  <c r="D174" i="7"/>
  <c r="GE37" i="6" s="1"/>
  <c r="GE58" i="6"/>
  <c r="GE60" i="6" s="1"/>
  <c r="F174" i="7"/>
  <c r="GD80" i="6"/>
  <c r="GC6" i="6"/>
  <c r="GC57" i="6"/>
  <c r="GC61" i="6" s="1"/>
  <c r="GC11" i="6" s="1"/>
  <c r="GC7" i="6"/>
  <c r="F264" i="4"/>
  <c r="G264" i="4" s="1"/>
  <c r="L264" i="4"/>
  <c r="GD82" i="6" l="1"/>
  <c r="E174" i="7"/>
  <c r="GE72" i="6"/>
  <c r="GE42" i="6"/>
  <c r="GE39" i="6"/>
  <c r="GD9" i="6"/>
  <c r="GD52" i="6"/>
  <c r="D265" i="4"/>
  <c r="E265" i="4"/>
  <c r="GD5" i="6" l="1"/>
  <c r="GD4" i="6"/>
  <c r="GD56" i="6"/>
  <c r="GE43" i="6"/>
  <c r="GE40" i="6"/>
  <c r="GE78" i="6"/>
  <c r="GE48" i="6"/>
  <c r="C175" i="7"/>
  <c r="F265" i="4"/>
  <c r="G265" i="4" s="1"/>
  <c r="L265" i="4"/>
  <c r="GD7" i="6" l="1"/>
  <c r="F175" i="7"/>
  <c r="D175" i="7"/>
  <c r="GF37" i="6" s="1"/>
  <c r="GF58" i="6"/>
  <c r="GF60" i="6" s="1"/>
  <c r="GE80" i="6"/>
  <c r="GE8" i="6"/>
  <c r="GE47" i="6"/>
  <c r="GE44" i="6"/>
  <c r="GD6" i="6"/>
  <c r="GD57" i="6"/>
  <c r="GD61" i="6" s="1"/>
  <c r="GD11" i="6" s="1"/>
  <c r="E266" i="4"/>
  <c r="D266" i="4"/>
  <c r="GE52" i="6" l="1"/>
  <c r="GE9" i="6"/>
  <c r="GE82" i="6"/>
  <c r="GF42" i="6"/>
  <c r="GF39" i="6"/>
  <c r="E175" i="7"/>
  <c r="GF72" i="6"/>
  <c r="F266" i="4"/>
  <c r="G266" i="4" s="1"/>
  <c r="L266" i="4"/>
  <c r="GF78" i="6" l="1"/>
  <c r="GF48" i="6"/>
  <c r="C176" i="7"/>
  <c r="GF40" i="6"/>
  <c r="GF43" i="6"/>
  <c r="GE5" i="6"/>
  <c r="GE4" i="6"/>
  <c r="GE56" i="6"/>
  <c r="D267" i="4"/>
  <c r="E267" i="4"/>
  <c r="GF8" i="6" l="1"/>
  <c r="GF44" i="6"/>
  <c r="GF47" i="6"/>
  <c r="D176" i="7"/>
  <c r="GG37" i="6" s="1"/>
  <c r="F176" i="7"/>
  <c r="GG58" i="6"/>
  <c r="GG60" i="6" s="1"/>
  <c r="GE6" i="6"/>
  <c r="GE57" i="6"/>
  <c r="GE61" i="6" s="1"/>
  <c r="GE11" i="6" s="1"/>
  <c r="GE7" i="6"/>
  <c r="GF80" i="6"/>
  <c r="F267" i="4"/>
  <c r="G267" i="4" s="1"/>
  <c r="L267" i="4"/>
  <c r="E176" i="7" l="1"/>
  <c r="GG72" i="6"/>
  <c r="GG78" i="6" s="1"/>
  <c r="GG80" i="6" s="1"/>
  <c r="GF82" i="6"/>
  <c r="GG39" i="6"/>
  <c r="GG42" i="6"/>
  <c r="GF52" i="6"/>
  <c r="GF9" i="6"/>
  <c r="E268" i="4"/>
  <c r="D268" i="4"/>
  <c r="GG82" i="6" l="1"/>
  <c r="GF5" i="6"/>
  <c r="GF4" i="6"/>
  <c r="GF56" i="6"/>
  <c r="GG43" i="6"/>
  <c r="GG40" i="6"/>
  <c r="GG48" i="6"/>
  <c r="C177" i="7"/>
  <c r="F268" i="4"/>
  <c r="G268" i="4" s="1"/>
  <c r="L268" i="4"/>
  <c r="GF7" i="6" l="1"/>
  <c r="GG47" i="6"/>
  <c r="GG52" i="6" s="1"/>
  <c r="GG56" i="6" s="1"/>
  <c r="GG44" i="6"/>
  <c r="GG8" i="6"/>
  <c r="GG9" i="6" s="1"/>
  <c r="GF6" i="6"/>
  <c r="GF57" i="6"/>
  <c r="GF61" i="6" s="1"/>
  <c r="GF11" i="6" s="1"/>
  <c r="F177" i="7"/>
  <c r="D177" i="7"/>
  <c r="GH37" i="6" s="1"/>
  <c r="GH58" i="6"/>
  <c r="GH60" i="6" s="1"/>
  <c r="E269" i="4"/>
  <c r="D269" i="4"/>
  <c r="GH39" i="6" l="1"/>
  <c r="GH42" i="6"/>
  <c r="E177" i="7"/>
  <c r="GH72" i="6"/>
  <c r="GH78" i="6" s="1"/>
  <c r="GH80" i="6" s="1"/>
  <c r="GH82" i="6" s="1"/>
  <c r="GG57" i="6"/>
  <c r="GG61" i="6" s="1"/>
  <c r="GG11" i="6" s="1"/>
  <c r="GG6" i="6"/>
  <c r="GG5" i="6"/>
  <c r="GG7" i="6" s="1"/>
  <c r="GG4" i="6"/>
  <c r="F269" i="4"/>
  <c r="G269" i="4" s="1"/>
  <c r="L269" i="4"/>
  <c r="GH43" i="6" l="1"/>
  <c r="GH40" i="6"/>
  <c r="GH48" i="6"/>
  <c r="C178" i="7"/>
  <c r="D270" i="4"/>
  <c r="E270" i="4"/>
  <c r="D178" i="7" l="1"/>
  <c r="GI37" i="6" s="1"/>
  <c r="F178" i="7"/>
  <c r="GI58" i="6"/>
  <c r="GI60" i="6" s="1"/>
  <c r="GH47" i="6"/>
  <c r="GH52" i="6" s="1"/>
  <c r="GH8" i="6"/>
  <c r="GH9" i="6" s="1"/>
  <c r="GH44" i="6"/>
  <c r="F270" i="4"/>
  <c r="G270" i="4" s="1"/>
  <c r="L270" i="4"/>
  <c r="GH56" i="6" l="1"/>
  <c r="GH4" i="6"/>
  <c r="GH5" i="6"/>
  <c r="GH7" i="6" s="1"/>
  <c r="GI42" i="6"/>
  <c r="GI39" i="6"/>
  <c r="GI72" i="6"/>
  <c r="GI78" i="6" s="1"/>
  <c r="GI80" i="6" s="1"/>
  <c r="GI82" i="6" s="1"/>
  <c r="E178" i="7"/>
  <c r="E271" i="4"/>
  <c r="D271" i="4"/>
  <c r="GI40" i="6" l="1"/>
  <c r="GI43" i="6"/>
  <c r="GH6" i="6"/>
  <c r="GH57" i="6"/>
  <c r="GH61" i="6" s="1"/>
  <c r="GH11" i="6" s="1"/>
  <c r="GI48" i="6"/>
  <c r="C179" i="7"/>
  <c r="F271" i="4"/>
  <c r="G271" i="4" s="1"/>
  <c r="L271" i="4"/>
  <c r="D179" i="7" l="1"/>
  <c r="GJ37" i="6" s="1"/>
  <c r="F179" i="7"/>
  <c r="GJ58" i="6"/>
  <c r="GJ60" i="6" s="1"/>
  <c r="GI47" i="6"/>
  <c r="GI52" i="6" s="1"/>
  <c r="GI8" i="6"/>
  <c r="GI9" i="6" s="1"/>
  <c r="GI44" i="6"/>
  <c r="E272" i="4"/>
  <c r="D272" i="4"/>
  <c r="GI4" i="6" l="1"/>
  <c r="GI5" i="6"/>
  <c r="GI7" i="6" s="1"/>
  <c r="GI56" i="6"/>
  <c r="GJ39" i="6"/>
  <c r="GJ42" i="6"/>
  <c r="E179" i="7"/>
  <c r="GJ72" i="6"/>
  <c r="GJ78" i="6" s="1"/>
  <c r="GJ80" i="6" s="1"/>
  <c r="GJ82" i="6" s="1"/>
  <c r="F272" i="4"/>
  <c r="G272" i="4" s="1"/>
  <c r="L272" i="4"/>
  <c r="GJ48" i="6" l="1"/>
  <c r="C180" i="7"/>
  <c r="GI57" i="6"/>
  <c r="GI61" i="6" s="1"/>
  <c r="GI11" i="6" s="1"/>
  <c r="GI6" i="6"/>
  <c r="GJ40" i="6"/>
  <c r="GJ43" i="6"/>
  <c r="E273" i="4"/>
  <c r="D273" i="4"/>
  <c r="GJ47" i="6" l="1"/>
  <c r="GJ52" i="6" s="1"/>
  <c r="GJ44" i="6"/>
  <c r="GJ8" i="6"/>
  <c r="GJ9" i="6" s="1"/>
  <c r="F180" i="7"/>
  <c r="D180" i="7"/>
  <c r="GK37" i="6" s="1"/>
  <c r="GK58" i="6"/>
  <c r="GK60" i="6" s="1"/>
  <c r="F273" i="4"/>
  <c r="G273" i="4" s="1"/>
  <c r="L273" i="4"/>
  <c r="GK39" i="6" l="1"/>
  <c r="GK42" i="6"/>
  <c r="E180" i="7"/>
  <c r="GK72" i="6"/>
  <c r="GK78" i="6" s="1"/>
  <c r="GK80" i="6" s="1"/>
  <c r="GK82" i="6" s="1"/>
  <c r="GJ4" i="6"/>
  <c r="GJ5" i="6"/>
  <c r="GJ7" i="6" s="1"/>
  <c r="GJ56" i="6"/>
  <c r="D274" i="4"/>
  <c r="E274" i="4"/>
  <c r="GK40" i="6" l="1"/>
  <c r="GK43" i="6"/>
  <c r="GJ57" i="6"/>
  <c r="GJ61" i="6" s="1"/>
  <c r="GJ11" i="6" s="1"/>
  <c r="GJ6" i="6"/>
  <c r="GK48" i="6"/>
  <c r="C181" i="7"/>
  <c r="F274" i="4"/>
  <c r="G274" i="4" s="1"/>
  <c r="L274" i="4"/>
  <c r="F181" i="7" l="1"/>
  <c r="GL58" i="6"/>
  <c r="GL60" i="6" s="1"/>
  <c r="D181" i="7"/>
  <c r="GL37" i="6" s="1"/>
  <c r="GK8" i="6"/>
  <c r="GK9" i="6" s="1"/>
  <c r="GK44" i="6"/>
  <c r="GK47" i="6"/>
  <c r="GK52" i="6" s="1"/>
  <c r="D275" i="4"/>
  <c r="E275" i="4"/>
  <c r="GL42" i="6" l="1"/>
  <c r="GL39" i="6"/>
  <c r="E181" i="7"/>
  <c r="GL72" i="6"/>
  <c r="GL78" i="6" s="1"/>
  <c r="GL80" i="6" s="1"/>
  <c r="GL82" i="6" s="1"/>
  <c r="GK5" i="6"/>
  <c r="GK7" i="6" s="1"/>
  <c r="GK4" i="6"/>
  <c r="GK56" i="6"/>
  <c r="F275" i="4"/>
  <c r="G275" i="4" s="1"/>
  <c r="L275" i="4"/>
  <c r="GL40" i="6" l="1"/>
  <c r="GL43" i="6"/>
  <c r="GK57" i="6"/>
  <c r="GK61" i="6" s="1"/>
  <c r="GK11" i="6" s="1"/>
  <c r="GK6" i="6"/>
  <c r="GL48" i="6"/>
  <c r="C182" i="7"/>
  <c r="E276" i="4"/>
  <c r="D276" i="4"/>
  <c r="D182" i="7" l="1"/>
  <c r="GM37" i="6" s="1"/>
  <c r="GM58" i="6"/>
  <c r="F182" i="7"/>
  <c r="GL44" i="6"/>
  <c r="GL8" i="6"/>
  <c r="GL9" i="6" s="1"/>
  <c r="GL47" i="6"/>
  <c r="GL52" i="6" s="1"/>
  <c r="F276" i="4"/>
  <c r="G276" i="4" s="1"/>
  <c r="L276" i="4"/>
  <c r="GM39" i="6" l="1"/>
  <c r="GM42" i="6"/>
  <c r="GN42" i="6" s="1"/>
  <c r="GN37" i="6"/>
  <c r="GN58" i="6"/>
  <c r="GM60" i="6"/>
  <c r="GN60" i="6" s="1"/>
  <c r="GL4" i="6"/>
  <c r="GL5" i="6"/>
  <c r="GL7" i="6" s="1"/>
  <c r="GL56" i="6"/>
  <c r="E182" i="7"/>
  <c r="GM72" i="6"/>
  <c r="E277" i="4"/>
  <c r="D277" i="4"/>
  <c r="GM78" i="6" l="1"/>
  <c r="GN72" i="6"/>
  <c r="GM40" i="6"/>
  <c r="GM43" i="6"/>
  <c r="GN39" i="6"/>
  <c r="GN40" i="6" s="1"/>
  <c r="GM48" i="6"/>
  <c r="GN48" i="6" s="1"/>
  <c r="C183" i="7"/>
  <c r="GL6" i="6"/>
  <c r="GL57" i="6"/>
  <c r="GL61" i="6" s="1"/>
  <c r="GL11" i="6" s="1"/>
  <c r="F277" i="4"/>
  <c r="G277" i="4" s="1"/>
  <c r="L277" i="4"/>
  <c r="D183" i="7" l="1"/>
  <c r="GO37" i="6" s="1"/>
  <c r="F183" i="7"/>
  <c r="GO58" i="6"/>
  <c r="GO60" i="6" s="1"/>
  <c r="GM80" i="6"/>
  <c r="GN78" i="6"/>
  <c r="GM44" i="6"/>
  <c r="GM8" i="6"/>
  <c r="GM47" i="6"/>
  <c r="GN43" i="6"/>
  <c r="GN44" i="6" s="1"/>
  <c r="E278" i="4"/>
  <c r="D278" i="4"/>
  <c r="E183" i="7" l="1"/>
  <c r="GO72" i="6"/>
  <c r="GM9" i="6"/>
  <c r="GN9" i="6" s="1"/>
  <c r="GN8" i="6"/>
  <c r="GM82" i="6"/>
  <c r="GN82" i="6" s="1"/>
  <c r="GN80" i="6"/>
  <c r="GO39" i="6"/>
  <c r="GO42" i="6"/>
  <c r="GM52" i="6"/>
  <c r="GN47" i="6"/>
  <c r="F278" i="4"/>
  <c r="G278" i="4" s="1"/>
  <c r="L278" i="4"/>
  <c r="GO48" i="6" l="1"/>
  <c r="C184" i="7"/>
  <c r="GM4" i="6"/>
  <c r="GN4" i="6" s="1"/>
  <c r="GM5" i="6"/>
  <c r="GN52" i="6"/>
  <c r="GM56" i="6"/>
  <c r="GO43" i="6"/>
  <c r="GO40" i="6"/>
  <c r="GO78" i="6"/>
  <c r="E279" i="4"/>
  <c r="D279" i="4"/>
  <c r="GO44" i="6" l="1"/>
  <c r="GO47" i="6"/>
  <c r="GO8" i="6"/>
  <c r="GO80" i="6"/>
  <c r="GN56" i="6"/>
  <c r="GM6" i="6"/>
  <c r="GM57" i="6"/>
  <c r="GM61" i="6" s="1"/>
  <c r="GN5" i="6"/>
  <c r="GM7" i="6"/>
  <c r="D184" i="7"/>
  <c r="GP37" i="6" s="1"/>
  <c r="GP58" i="6"/>
  <c r="GP60" i="6" s="1"/>
  <c r="F184" i="7"/>
  <c r="F279" i="4"/>
  <c r="G279" i="4" s="1"/>
  <c r="L279" i="4"/>
  <c r="GO82" i="6" l="1"/>
  <c r="E184" i="7"/>
  <c r="GP72" i="6"/>
  <c r="GN7" i="6"/>
  <c r="GN13" i="6" s="1"/>
  <c r="GN61" i="6"/>
  <c r="GN11" i="6" s="1"/>
  <c r="GN12" i="6" s="1"/>
  <c r="GM11" i="6"/>
  <c r="GN6" i="6"/>
  <c r="GN57" i="6"/>
  <c r="GO9" i="6"/>
  <c r="GP42" i="6"/>
  <c r="GP39" i="6"/>
  <c r="GO52" i="6"/>
  <c r="GO56" i="6" s="1"/>
  <c r="D280" i="4"/>
  <c r="E280" i="4"/>
  <c r="GP40" i="6" l="1"/>
  <c r="GP43" i="6"/>
  <c r="GO6" i="6"/>
  <c r="GO57" i="6"/>
  <c r="GO61" i="6" s="1"/>
  <c r="GO11" i="6" s="1"/>
  <c r="GP78" i="6"/>
  <c r="GO4" i="6"/>
  <c r="GO5" i="6"/>
  <c r="GP48" i="6"/>
  <c r="C185" i="7"/>
  <c r="F280" i="4"/>
  <c r="G280" i="4" s="1"/>
  <c r="L280" i="4"/>
  <c r="GQ58" i="6" l="1"/>
  <c r="GQ60" i="6" s="1"/>
  <c r="D185" i="7"/>
  <c r="GQ37" i="6" s="1"/>
  <c r="F185" i="7"/>
  <c r="GO7" i="6"/>
  <c r="GP80" i="6"/>
  <c r="GP44" i="6"/>
  <c r="GP47" i="6"/>
  <c r="GP8" i="6"/>
  <c r="E281" i="4"/>
  <c r="D281" i="4"/>
  <c r="E185" i="7" l="1"/>
  <c r="GQ72" i="6"/>
  <c r="GP9" i="6"/>
  <c r="GP52" i="6"/>
  <c r="GP82" i="6"/>
  <c r="GQ42" i="6"/>
  <c r="GQ39" i="6"/>
  <c r="F281" i="4"/>
  <c r="G281" i="4" s="1"/>
  <c r="L281" i="4"/>
  <c r="GQ40" i="6" l="1"/>
  <c r="GQ43" i="6"/>
  <c r="GP4" i="6"/>
  <c r="GP5" i="6"/>
  <c r="GP56" i="6"/>
  <c r="GQ78" i="6"/>
  <c r="GQ48" i="6"/>
  <c r="C186" i="7"/>
  <c r="E282" i="4"/>
  <c r="D282" i="4"/>
  <c r="GR58" i="6" l="1"/>
  <c r="GR60" i="6" s="1"/>
  <c r="D186" i="7"/>
  <c r="GR37" i="6" s="1"/>
  <c r="F186" i="7"/>
  <c r="GQ80" i="6"/>
  <c r="GP6" i="6"/>
  <c r="GP57" i="6"/>
  <c r="GP61" i="6" s="1"/>
  <c r="GP11" i="6" s="1"/>
  <c r="GP7" i="6"/>
  <c r="GQ44" i="6"/>
  <c r="GQ47" i="6"/>
  <c r="GQ8" i="6"/>
  <c r="F282" i="4"/>
  <c r="G282" i="4" s="1"/>
  <c r="L282" i="4"/>
  <c r="GQ52" i="6" l="1"/>
  <c r="GQ82" i="6"/>
  <c r="GQ9" i="6"/>
  <c r="GR39" i="6"/>
  <c r="GR42" i="6"/>
  <c r="E186" i="7"/>
  <c r="GR72" i="6"/>
  <c r="E283" i="4"/>
  <c r="D283" i="4"/>
  <c r="GR48" i="6" l="1"/>
  <c r="C187" i="7"/>
  <c r="GR43" i="6"/>
  <c r="GR40" i="6"/>
  <c r="GR78" i="6"/>
  <c r="GQ4" i="6"/>
  <c r="GQ5" i="6"/>
  <c r="GQ56" i="6"/>
  <c r="F283" i="4"/>
  <c r="G283" i="4" s="1"/>
  <c r="L283" i="4"/>
  <c r="GQ57" i="6" l="1"/>
  <c r="GQ61" i="6" s="1"/>
  <c r="GQ11" i="6" s="1"/>
  <c r="GQ6" i="6"/>
  <c r="GQ7" i="6"/>
  <c r="GR80" i="6"/>
  <c r="GR44" i="6"/>
  <c r="GR47" i="6"/>
  <c r="GR8" i="6"/>
  <c r="F187" i="7"/>
  <c r="GS58" i="6"/>
  <c r="GS60" i="6" s="1"/>
  <c r="D187" i="7"/>
  <c r="GS37" i="6" s="1"/>
  <c r="D284" i="4"/>
  <c r="E284" i="4"/>
  <c r="GS39" i="6" l="1"/>
  <c r="GS42" i="6"/>
  <c r="E187" i="7"/>
  <c r="GS72" i="6"/>
  <c r="GR9" i="6"/>
  <c r="GR52" i="6"/>
  <c r="GR82" i="6"/>
  <c r="F284" i="4"/>
  <c r="G284" i="4" s="1"/>
  <c r="L284" i="4"/>
  <c r="GS48" i="6" l="1"/>
  <c r="C188" i="7"/>
  <c r="GS78" i="6"/>
  <c r="GR4" i="6"/>
  <c r="GR5" i="6"/>
  <c r="GR56" i="6"/>
  <c r="GS43" i="6"/>
  <c r="GS40" i="6"/>
  <c r="E285" i="4"/>
  <c r="D285" i="4"/>
  <c r="GS44" i="6" l="1"/>
  <c r="GS47" i="6"/>
  <c r="GS8" i="6"/>
  <c r="GR6" i="6"/>
  <c r="GR57" i="6"/>
  <c r="GR61" i="6" s="1"/>
  <c r="GR11" i="6" s="1"/>
  <c r="GR7" i="6"/>
  <c r="GS80" i="6"/>
  <c r="D188" i="7"/>
  <c r="GT37" i="6" s="1"/>
  <c r="GT58" i="6"/>
  <c r="GT60" i="6" s="1"/>
  <c r="F188" i="7"/>
  <c r="F285" i="4"/>
  <c r="G285" i="4" s="1"/>
  <c r="L285" i="4"/>
  <c r="E188" i="7" l="1"/>
  <c r="GT72" i="6"/>
  <c r="GT78" i="6" s="1"/>
  <c r="GT80" i="6" s="1"/>
  <c r="GT39" i="6"/>
  <c r="GT42" i="6"/>
  <c r="GS82" i="6"/>
  <c r="GS9" i="6"/>
  <c r="GS52" i="6"/>
  <c r="E286" i="4"/>
  <c r="D286" i="4"/>
  <c r="GS56" i="6" l="1"/>
  <c r="GS5" i="6"/>
  <c r="GS4" i="6"/>
  <c r="GT82" i="6"/>
  <c r="GT48" i="6"/>
  <c r="C189" i="7"/>
  <c r="GT40" i="6"/>
  <c r="GT43" i="6"/>
  <c r="F286" i="4"/>
  <c r="G286" i="4" s="1"/>
  <c r="L286" i="4"/>
  <c r="D189" i="7" l="1"/>
  <c r="GU37" i="6" s="1"/>
  <c r="GU58" i="6"/>
  <c r="GU60" i="6" s="1"/>
  <c r="F189" i="7"/>
  <c r="GS57" i="6"/>
  <c r="GS61" i="6" s="1"/>
  <c r="GS11" i="6" s="1"/>
  <c r="GS6" i="6"/>
  <c r="GT8" i="6"/>
  <c r="GT9" i="6" s="1"/>
  <c r="GT44" i="6"/>
  <c r="GT47" i="6"/>
  <c r="GT52" i="6" s="1"/>
  <c r="GS7" i="6"/>
  <c r="D287" i="4"/>
  <c r="E287" i="4"/>
  <c r="GU42" i="6" l="1"/>
  <c r="GU39" i="6"/>
  <c r="GT5" i="6"/>
  <c r="GT7" i="6" s="1"/>
  <c r="GT4" i="6"/>
  <c r="GT56" i="6"/>
  <c r="E189" i="7"/>
  <c r="GU72" i="6"/>
  <c r="GU78" i="6" s="1"/>
  <c r="GU80" i="6" s="1"/>
  <c r="GU82" i="6" s="1"/>
  <c r="F287" i="4"/>
  <c r="G287" i="4" s="1"/>
  <c r="L287" i="4"/>
  <c r="GU48" i="6" l="1"/>
  <c r="C190" i="7"/>
  <c r="GT6" i="6"/>
  <c r="GT57" i="6"/>
  <c r="GT61" i="6" s="1"/>
  <c r="GT11" i="6" s="1"/>
  <c r="GU40" i="6"/>
  <c r="GU43" i="6"/>
  <c r="E288" i="4"/>
  <c r="D288" i="4"/>
  <c r="GU8" i="6" l="1"/>
  <c r="GU9" i="6" s="1"/>
  <c r="GU44" i="6"/>
  <c r="GU47" i="6"/>
  <c r="GU52" i="6" s="1"/>
  <c r="F190" i="7"/>
  <c r="D190" i="7"/>
  <c r="GV37" i="6" s="1"/>
  <c r="GV58" i="6"/>
  <c r="GV60" i="6" s="1"/>
  <c r="F288" i="4"/>
  <c r="G288" i="4" s="1"/>
  <c r="L288" i="4"/>
  <c r="GV39" i="6" l="1"/>
  <c r="GV42" i="6"/>
  <c r="E190" i="7"/>
  <c r="GV72" i="6"/>
  <c r="GV78" i="6" s="1"/>
  <c r="GV80" i="6" s="1"/>
  <c r="GV82" i="6" s="1"/>
  <c r="GU4" i="6"/>
  <c r="GU5" i="6"/>
  <c r="GU7" i="6" s="1"/>
  <c r="GU56" i="6"/>
  <c r="E289" i="4"/>
  <c r="D289" i="4"/>
  <c r="GU6" i="6" l="1"/>
  <c r="GU57" i="6"/>
  <c r="GU61" i="6" s="1"/>
  <c r="GU11" i="6" s="1"/>
  <c r="GV48" i="6"/>
  <c r="C191" i="7"/>
  <c r="GV43" i="6"/>
  <c r="GV40" i="6"/>
  <c r="F289" i="4"/>
  <c r="G289" i="4" s="1"/>
  <c r="L289" i="4"/>
  <c r="GW58" i="6" l="1"/>
  <c r="GW60" i="6" s="1"/>
  <c r="F191" i="7"/>
  <c r="D191" i="7"/>
  <c r="GW37" i="6" s="1"/>
  <c r="GV8" i="6"/>
  <c r="GV9" i="6" s="1"/>
  <c r="GV47" i="6"/>
  <c r="GV52" i="6" s="1"/>
  <c r="GV44" i="6"/>
  <c r="E290" i="4"/>
  <c r="D290" i="4"/>
  <c r="GW39" i="6" l="1"/>
  <c r="GW42" i="6"/>
  <c r="GV5" i="6"/>
  <c r="GV7" i="6" s="1"/>
  <c r="GV4" i="6"/>
  <c r="GV56" i="6"/>
  <c r="E191" i="7"/>
  <c r="GW72" i="6"/>
  <c r="GW78" i="6" s="1"/>
  <c r="GW80" i="6" s="1"/>
  <c r="GW82" i="6" s="1"/>
  <c r="F290" i="4"/>
  <c r="G290" i="4" s="1"/>
  <c r="L290" i="4"/>
  <c r="GW48" i="6" l="1"/>
  <c r="C192" i="7"/>
  <c r="GV6" i="6"/>
  <c r="GV57" i="6"/>
  <c r="GV61" i="6" s="1"/>
  <c r="GV11" i="6" s="1"/>
  <c r="GW40" i="6"/>
  <c r="GW43" i="6"/>
  <c r="E291" i="4"/>
  <c r="D291" i="4"/>
  <c r="GW44" i="6" l="1"/>
  <c r="GW47" i="6"/>
  <c r="GW52" i="6" s="1"/>
  <c r="GW8" i="6"/>
  <c r="GW9" i="6" s="1"/>
  <c r="F192" i="7"/>
  <c r="D192" i="7"/>
  <c r="GX37" i="6" s="1"/>
  <c r="GX58" i="6"/>
  <c r="GX60" i="6" s="1"/>
  <c r="F291" i="4"/>
  <c r="G291" i="4" s="1"/>
  <c r="L291" i="4"/>
  <c r="GX42" i="6" l="1"/>
  <c r="GX39" i="6"/>
  <c r="E192" i="7"/>
  <c r="GX72" i="6"/>
  <c r="GX78" i="6" s="1"/>
  <c r="GX80" i="6" s="1"/>
  <c r="GX82" i="6" s="1"/>
  <c r="GW5" i="6"/>
  <c r="GW7" i="6" s="1"/>
  <c r="GW4" i="6"/>
  <c r="GW56" i="6"/>
  <c r="E292" i="4"/>
  <c r="D292" i="4"/>
  <c r="GW6" i="6" l="1"/>
  <c r="GW57" i="6"/>
  <c r="GW61" i="6" s="1"/>
  <c r="GW11" i="6" s="1"/>
  <c r="GX43" i="6"/>
  <c r="GX40" i="6"/>
  <c r="GX48" i="6"/>
  <c r="C193" i="7"/>
  <c r="F292" i="4"/>
  <c r="G292" i="4" s="1"/>
  <c r="L292" i="4"/>
  <c r="GX47" i="6" l="1"/>
  <c r="GX52" i="6" s="1"/>
  <c r="GX8" i="6"/>
  <c r="GX9" i="6" s="1"/>
  <c r="GX44" i="6"/>
  <c r="F193" i="7"/>
  <c r="D193" i="7"/>
  <c r="GY37" i="6" s="1"/>
  <c r="GY58" i="6"/>
  <c r="GY60" i="6" s="1"/>
  <c r="D293" i="4"/>
  <c r="E293" i="4"/>
  <c r="GY42" i="6" l="1"/>
  <c r="GY39" i="6"/>
  <c r="GY72" i="6"/>
  <c r="GY78" i="6" s="1"/>
  <c r="GY80" i="6" s="1"/>
  <c r="GY82" i="6" s="1"/>
  <c r="E193" i="7"/>
  <c r="GX4" i="6"/>
  <c r="GX5" i="6"/>
  <c r="GX7" i="6" s="1"/>
  <c r="GX56" i="6"/>
  <c r="F293" i="4"/>
  <c r="G293" i="4" s="1"/>
  <c r="L293" i="4"/>
  <c r="GY40" i="6" l="1"/>
  <c r="GY43" i="6"/>
  <c r="GX6" i="6"/>
  <c r="GX57" i="6"/>
  <c r="GX61" i="6" s="1"/>
  <c r="GX11" i="6" s="1"/>
  <c r="GY48" i="6"/>
  <c r="C194" i="7"/>
  <c r="E294" i="4"/>
  <c r="D294" i="4"/>
  <c r="D194" i="7" l="1"/>
  <c r="GZ37" i="6" s="1"/>
  <c r="F194" i="7"/>
  <c r="GZ58" i="6"/>
  <c r="GY47" i="6"/>
  <c r="GY52" i="6" s="1"/>
  <c r="GY8" i="6"/>
  <c r="GY9" i="6" s="1"/>
  <c r="GY44" i="6"/>
  <c r="F294" i="4"/>
  <c r="G294" i="4" s="1"/>
  <c r="L294" i="4"/>
  <c r="GY4" i="6" l="1"/>
  <c r="GY5" i="6"/>
  <c r="GY7" i="6" s="1"/>
  <c r="GY56" i="6"/>
  <c r="HA58" i="6"/>
  <c r="GZ60" i="6"/>
  <c r="HA60" i="6" s="1"/>
  <c r="GZ39" i="6"/>
  <c r="GZ42" i="6"/>
  <c r="HA42" i="6" s="1"/>
  <c r="HA37" i="6"/>
  <c r="E194" i="7"/>
  <c r="GZ72" i="6"/>
  <c r="E295" i="4"/>
  <c r="D295" i="4"/>
  <c r="GZ78" i="6" l="1"/>
  <c r="HA72" i="6"/>
  <c r="GZ48" i="6"/>
  <c r="HA48" i="6" s="1"/>
  <c r="C195" i="7"/>
  <c r="GZ43" i="6"/>
  <c r="GZ40" i="6"/>
  <c r="HA39" i="6"/>
  <c r="HA40" i="6" s="1"/>
  <c r="GY6" i="6"/>
  <c r="GY57" i="6"/>
  <c r="GY61" i="6" s="1"/>
  <c r="GY11" i="6" s="1"/>
  <c r="F295" i="4"/>
  <c r="G295" i="4" s="1"/>
  <c r="L295" i="4"/>
  <c r="GZ80" i="6" l="1"/>
  <c r="HA78" i="6"/>
  <c r="GZ47" i="6"/>
  <c r="GZ8" i="6"/>
  <c r="GZ44" i="6"/>
  <c r="HA43" i="6"/>
  <c r="HA44" i="6" s="1"/>
  <c r="HB58" i="6"/>
  <c r="HB60" i="6" s="1"/>
  <c r="F195" i="7"/>
  <c r="D195" i="7"/>
  <c r="HB37" i="6" s="1"/>
  <c r="E296" i="4"/>
  <c r="D296" i="4"/>
  <c r="HB42" i="6" l="1"/>
  <c r="HB39" i="6"/>
  <c r="GZ9" i="6"/>
  <c r="HA9" i="6" s="1"/>
  <c r="HA8" i="6"/>
  <c r="E195" i="7"/>
  <c r="HB72" i="6"/>
  <c r="GZ52" i="6"/>
  <c r="HA47" i="6"/>
  <c r="GZ82" i="6"/>
  <c r="HA82" i="6" s="1"/>
  <c r="HA80" i="6"/>
  <c r="F296" i="4"/>
  <c r="G296" i="4" s="1"/>
  <c r="L296" i="4"/>
  <c r="HB78" i="6" l="1"/>
  <c r="GZ4" i="6"/>
  <c r="HA4" i="6" s="1"/>
  <c r="GZ5" i="6"/>
  <c r="HA52" i="6"/>
  <c r="GZ56" i="6"/>
  <c r="HB48" i="6"/>
  <c r="C196" i="7"/>
  <c r="HB43" i="6"/>
  <c r="HB40" i="6"/>
  <c r="E297" i="4"/>
  <c r="D297" i="4"/>
  <c r="HB47" i="6" l="1"/>
  <c r="HB8" i="6"/>
  <c r="HB44" i="6"/>
  <c r="HC58" i="6"/>
  <c r="HC60" i="6" s="1"/>
  <c r="F196" i="7"/>
  <c r="D196" i="7"/>
  <c r="HC37" i="6" s="1"/>
  <c r="GZ6" i="6"/>
  <c r="HA56" i="6"/>
  <c r="GZ57" i="6"/>
  <c r="GZ61" i="6" s="1"/>
  <c r="HA5" i="6"/>
  <c r="GZ7" i="6"/>
  <c r="HB80" i="6"/>
  <c r="F297" i="4"/>
  <c r="G297" i="4" s="1"/>
  <c r="L297" i="4"/>
  <c r="HC39" i="6" l="1"/>
  <c r="HC42" i="6"/>
  <c r="HB82" i="6"/>
  <c r="HA7" i="6"/>
  <c r="HA13" i="6" s="1"/>
  <c r="HA61" i="6"/>
  <c r="HA11" i="6" s="1"/>
  <c r="HA12" i="6" s="1"/>
  <c r="GZ11" i="6"/>
  <c r="HA6" i="6"/>
  <c r="HA57" i="6"/>
  <c r="E196" i="7"/>
  <c r="HC72" i="6"/>
  <c r="HB9" i="6"/>
  <c r="HB52" i="6"/>
  <c r="HB56" i="6" s="1"/>
  <c r="D298" i="4"/>
  <c r="E298" i="4"/>
  <c r="HC40" i="6" l="1"/>
  <c r="HC43" i="6"/>
  <c r="HC78" i="6"/>
  <c r="HC48" i="6"/>
  <c r="C197" i="7"/>
  <c r="HB6" i="6"/>
  <c r="HB57" i="6"/>
  <c r="HB61" i="6" s="1"/>
  <c r="HB11" i="6" s="1"/>
  <c r="HB5" i="6"/>
  <c r="HB4" i="6"/>
  <c r="F298" i="4"/>
  <c r="G298" i="4" s="1"/>
  <c r="L298" i="4"/>
  <c r="HB7" i="6" l="1"/>
  <c r="D197" i="7"/>
  <c r="HD37" i="6" s="1"/>
  <c r="F197" i="7"/>
  <c r="HD58" i="6"/>
  <c r="HD60" i="6" s="1"/>
  <c r="HC80" i="6"/>
  <c r="HC47" i="6"/>
  <c r="HC8" i="6"/>
  <c r="HC44" i="6"/>
  <c r="D299" i="4"/>
  <c r="E299" i="4"/>
  <c r="HC9" i="6" l="1"/>
  <c r="E197" i="7"/>
  <c r="HD72" i="6"/>
  <c r="HC52" i="6"/>
  <c r="HC82" i="6"/>
  <c r="HD39" i="6"/>
  <c r="HD42" i="6"/>
  <c r="F299" i="4"/>
  <c r="G299" i="4" s="1"/>
  <c r="L299" i="4"/>
  <c r="HC4" i="6" l="1"/>
  <c r="HC5" i="6"/>
  <c r="HC56" i="6"/>
  <c r="HD43" i="6"/>
  <c r="HD40" i="6"/>
  <c r="HD78" i="6"/>
  <c r="HD48" i="6"/>
  <c r="C198" i="7"/>
  <c r="D300" i="4"/>
  <c r="E300" i="4"/>
  <c r="HC6" i="6" l="1"/>
  <c r="HC57" i="6"/>
  <c r="HC61" i="6" s="1"/>
  <c r="HC11" i="6" s="1"/>
  <c r="F198" i="7"/>
  <c r="HE58" i="6"/>
  <c r="HE60" i="6" s="1"/>
  <c r="D198" i="7"/>
  <c r="HE37" i="6" s="1"/>
  <c r="HC7" i="6"/>
  <c r="HD80" i="6"/>
  <c r="HD8" i="6"/>
  <c r="HD44" i="6"/>
  <c r="HD47" i="6"/>
  <c r="F300" i="4"/>
  <c r="G300" i="4" s="1"/>
  <c r="L300" i="4"/>
  <c r="HD9" i="6" l="1"/>
  <c r="HD82" i="6"/>
  <c r="HE72" i="6"/>
  <c r="E198" i="7"/>
  <c r="HE39" i="6"/>
  <c r="HE42" i="6"/>
  <c r="HD52" i="6"/>
  <c r="D301" i="4"/>
  <c r="E301" i="4"/>
  <c r="HE48" i="6" l="1"/>
  <c r="C199" i="7"/>
  <c r="HD4" i="6"/>
  <c r="HD5" i="6"/>
  <c r="HD56" i="6"/>
  <c r="HE78" i="6"/>
  <c r="HE40" i="6"/>
  <c r="HE43" i="6"/>
  <c r="F301" i="4"/>
  <c r="G301" i="4" s="1"/>
  <c r="L301" i="4"/>
  <c r="HD7" i="6" l="1"/>
  <c r="HE80" i="6"/>
  <c r="HF58" i="6"/>
  <c r="HF60" i="6" s="1"/>
  <c r="F199" i="7"/>
  <c r="D199" i="7"/>
  <c r="HF37" i="6" s="1"/>
  <c r="HE44" i="6"/>
  <c r="HE47" i="6"/>
  <c r="HE8" i="6"/>
  <c r="HD6" i="6"/>
  <c r="HD57" i="6"/>
  <c r="HD61" i="6" s="1"/>
  <c r="HD11" i="6" s="1"/>
  <c r="E302" i="4"/>
  <c r="D302" i="4"/>
  <c r="HF39" i="6" l="1"/>
  <c r="HF42" i="6"/>
  <c r="E199" i="7"/>
  <c r="HF72" i="6"/>
  <c r="HE9" i="6"/>
  <c r="HE52" i="6"/>
  <c r="HE82" i="6"/>
  <c r="F302" i="4"/>
  <c r="G302" i="4" s="1"/>
  <c r="L302" i="4"/>
  <c r="HF48" i="6" l="1"/>
  <c r="C200" i="7"/>
  <c r="HE4" i="6"/>
  <c r="HE5" i="6"/>
  <c r="HE56" i="6"/>
  <c r="HF78" i="6"/>
  <c r="HF40" i="6"/>
  <c r="HF43" i="6"/>
  <c r="E303" i="4"/>
  <c r="D303" i="4"/>
  <c r="HF44" i="6" l="1"/>
  <c r="HF47" i="6"/>
  <c r="HF8" i="6"/>
  <c r="HF80" i="6"/>
  <c r="HE6" i="6"/>
  <c r="HE57" i="6"/>
  <c r="HE61" i="6" s="1"/>
  <c r="HE11" i="6" s="1"/>
  <c r="HE7" i="6"/>
  <c r="D200" i="7"/>
  <c r="HG37" i="6" s="1"/>
  <c r="F200" i="7"/>
  <c r="HG58" i="6"/>
  <c r="HG60" i="6" s="1"/>
  <c r="F303" i="4"/>
  <c r="G303" i="4" s="1"/>
  <c r="L303" i="4"/>
  <c r="HF82" i="6" l="1"/>
  <c r="E200" i="7"/>
  <c r="HG72" i="6"/>
  <c r="HG78" i="6" s="1"/>
  <c r="HG80" i="6" s="1"/>
  <c r="HF9" i="6"/>
  <c r="HG39" i="6"/>
  <c r="HG42" i="6"/>
  <c r="HF52" i="6"/>
  <c r="E304" i="4"/>
  <c r="D304" i="4"/>
  <c r="HG82" i="6" l="1"/>
  <c r="HF4" i="6"/>
  <c r="HF5" i="6"/>
  <c r="HF56" i="6"/>
  <c r="HG40" i="6"/>
  <c r="HG43" i="6"/>
  <c r="HG48" i="6"/>
  <c r="C201" i="7"/>
  <c r="F304" i="4"/>
  <c r="G304" i="4" s="1"/>
  <c r="L304" i="4"/>
  <c r="HG44" i="6" l="1"/>
  <c r="HG47" i="6"/>
  <c r="HG52" i="6" s="1"/>
  <c r="HG56" i="6" s="1"/>
  <c r="HG8" i="6"/>
  <c r="HG9" i="6" s="1"/>
  <c r="HF57" i="6"/>
  <c r="HF61" i="6" s="1"/>
  <c r="HF11" i="6" s="1"/>
  <c r="HF6" i="6"/>
  <c r="F201" i="7"/>
  <c r="HH58" i="6"/>
  <c r="HH60" i="6" s="1"/>
  <c r="D201" i="7"/>
  <c r="HH37" i="6" s="1"/>
  <c r="HF7" i="6"/>
  <c r="E305" i="4"/>
  <c r="D305" i="4"/>
  <c r="HG57" i="6" l="1"/>
  <c r="HG61" i="6" s="1"/>
  <c r="HG11" i="6" s="1"/>
  <c r="HG6" i="6"/>
  <c r="HH39" i="6"/>
  <c r="HH42" i="6"/>
  <c r="E201" i="7"/>
  <c r="HH72" i="6"/>
  <c r="HH78" i="6" s="1"/>
  <c r="HH80" i="6" s="1"/>
  <c r="HH82" i="6" s="1"/>
  <c r="HG4" i="6"/>
  <c r="HG5" i="6"/>
  <c r="HG7" i="6" s="1"/>
  <c r="F305" i="4"/>
  <c r="G305" i="4" s="1"/>
  <c r="L305" i="4"/>
  <c r="HH48" i="6" l="1"/>
  <c r="C202" i="7"/>
  <c r="HH43" i="6"/>
  <c r="HH40" i="6"/>
  <c r="E306" i="4"/>
  <c r="D306" i="4"/>
  <c r="HH44" i="6" l="1"/>
  <c r="HH8" i="6"/>
  <c r="HH9" i="6" s="1"/>
  <c r="HH47" i="6"/>
  <c r="HH52" i="6" s="1"/>
  <c r="F202" i="7"/>
  <c r="HI58" i="6"/>
  <c r="HI60" i="6" s="1"/>
  <c r="D202" i="7"/>
  <c r="HI37" i="6" s="1"/>
  <c r="F306" i="4"/>
  <c r="G306" i="4" s="1"/>
  <c r="L306" i="4"/>
  <c r="HI42" i="6" l="1"/>
  <c r="HI39" i="6"/>
  <c r="HI72" i="6"/>
  <c r="HI78" i="6" s="1"/>
  <c r="HI80" i="6" s="1"/>
  <c r="HI82" i="6" s="1"/>
  <c r="E202" i="7"/>
  <c r="HH4" i="6"/>
  <c r="HH5" i="6"/>
  <c r="HH7" i="6" s="1"/>
  <c r="HH56" i="6"/>
  <c r="E307" i="4"/>
  <c r="D307" i="4"/>
  <c r="HH57" i="6" l="1"/>
  <c r="HH61" i="6" s="1"/>
  <c r="HH11" i="6" s="1"/>
  <c r="HH6" i="6"/>
  <c r="HI48" i="6"/>
  <c r="C203" i="7"/>
  <c r="HI43" i="6"/>
  <c r="HI40" i="6"/>
  <c r="F307" i="4"/>
  <c r="G307" i="4" s="1"/>
  <c r="L307" i="4"/>
  <c r="HI44" i="6" l="1"/>
  <c r="HI8" i="6"/>
  <c r="HI9" i="6" s="1"/>
  <c r="HI47" i="6"/>
  <c r="HI52" i="6" s="1"/>
  <c r="HJ58" i="6"/>
  <c r="HJ60" i="6" s="1"/>
  <c r="F203" i="7"/>
  <c r="D203" i="7"/>
  <c r="HJ37" i="6" s="1"/>
  <c r="D308" i="4"/>
  <c r="E308" i="4"/>
  <c r="HJ72" i="6" l="1"/>
  <c r="HJ78" i="6" s="1"/>
  <c r="HJ80" i="6" s="1"/>
  <c r="HJ82" i="6" s="1"/>
  <c r="E203" i="7"/>
  <c r="HJ42" i="6"/>
  <c r="HJ39" i="6"/>
  <c r="HI4" i="6"/>
  <c r="HI5" i="6"/>
  <c r="HI7" i="6" s="1"/>
  <c r="HI56" i="6"/>
  <c r="F308" i="4"/>
  <c r="G308" i="4" s="1"/>
  <c r="L308" i="4"/>
  <c r="HI6" i="6" l="1"/>
  <c r="HI57" i="6"/>
  <c r="HI61" i="6" s="1"/>
  <c r="HI11" i="6" s="1"/>
  <c r="HJ43" i="6"/>
  <c r="HJ40" i="6"/>
  <c r="HJ48" i="6"/>
  <c r="C204" i="7"/>
  <c r="E309" i="4"/>
  <c r="D309" i="4"/>
  <c r="D204" i="7" l="1"/>
  <c r="HK37" i="6" s="1"/>
  <c r="HK58" i="6"/>
  <c r="HK60" i="6" s="1"/>
  <c r="F204" i="7"/>
  <c r="HJ47" i="6"/>
  <c r="HJ52" i="6" s="1"/>
  <c r="HJ44" i="6"/>
  <c r="HJ8" i="6"/>
  <c r="HJ9" i="6" s="1"/>
  <c r="F309" i="4"/>
  <c r="G309" i="4" s="1"/>
  <c r="L309" i="4"/>
  <c r="E204" i="7" l="1"/>
  <c r="HK72" i="6"/>
  <c r="HK78" i="6" s="1"/>
  <c r="HK80" i="6" s="1"/>
  <c r="HK82" i="6" s="1"/>
  <c r="HJ5" i="6"/>
  <c r="HJ7" i="6" s="1"/>
  <c r="HJ4" i="6"/>
  <c r="HJ56" i="6"/>
  <c r="HK42" i="6"/>
  <c r="HK39" i="6"/>
  <c r="E310" i="4"/>
  <c r="D310" i="4"/>
  <c r="HK40" i="6" l="1"/>
  <c r="HK43" i="6"/>
  <c r="HJ6" i="6"/>
  <c r="HJ57" i="6"/>
  <c r="HJ61" i="6" s="1"/>
  <c r="HJ11" i="6" s="1"/>
  <c r="HK48" i="6"/>
  <c r="C205" i="7"/>
  <c r="F310" i="4"/>
  <c r="G310" i="4" s="1"/>
  <c r="L310" i="4"/>
  <c r="D205" i="7" l="1"/>
  <c r="HL37" i="6" s="1"/>
  <c r="F205" i="7"/>
  <c r="HL58" i="6"/>
  <c r="HL60" i="6" s="1"/>
  <c r="HK47" i="6"/>
  <c r="HK52" i="6" s="1"/>
  <c r="HK44" i="6"/>
  <c r="HK8" i="6"/>
  <c r="HK9" i="6" s="1"/>
  <c r="E311" i="4"/>
  <c r="D311" i="4"/>
  <c r="HK4" i="6" l="1"/>
  <c r="HK5" i="6"/>
  <c r="HK7" i="6" s="1"/>
  <c r="HK56" i="6"/>
  <c r="HL72" i="6"/>
  <c r="HL78" i="6" s="1"/>
  <c r="HL80" i="6" s="1"/>
  <c r="HL82" i="6" s="1"/>
  <c r="E205" i="7"/>
  <c r="HL39" i="6"/>
  <c r="HL42" i="6"/>
  <c r="F311" i="4"/>
  <c r="G311" i="4" s="1"/>
  <c r="L311" i="4"/>
  <c r="HL48" i="6" l="1"/>
  <c r="C206" i="7"/>
  <c r="HL43" i="6"/>
  <c r="HL40" i="6"/>
  <c r="HK6" i="6"/>
  <c r="HK57" i="6"/>
  <c r="HK61" i="6" s="1"/>
  <c r="HK11" i="6" s="1"/>
  <c r="D312" i="4"/>
  <c r="E312" i="4"/>
  <c r="HL44" i="6" l="1"/>
  <c r="HL8" i="6"/>
  <c r="HL9" i="6" s="1"/>
  <c r="HL47" i="6"/>
  <c r="HL52" i="6" s="1"/>
  <c r="F206" i="7"/>
  <c r="D206" i="7"/>
  <c r="HM37" i="6" s="1"/>
  <c r="HM58" i="6"/>
  <c r="F312" i="4"/>
  <c r="G312" i="4" s="1"/>
  <c r="L312" i="4"/>
  <c r="HN58" i="6" l="1"/>
  <c r="HM60" i="6"/>
  <c r="HN60" i="6" s="1"/>
  <c r="HM39" i="6"/>
  <c r="HM42" i="6"/>
  <c r="HN42" i="6" s="1"/>
  <c r="HN37" i="6"/>
  <c r="E206" i="7"/>
  <c r="HM72" i="6"/>
  <c r="HL5" i="6"/>
  <c r="HL7" i="6" s="1"/>
  <c r="HL4" i="6"/>
  <c r="HL56" i="6"/>
  <c r="E313" i="4"/>
  <c r="D313" i="4"/>
  <c r="HM78" i="6" l="1"/>
  <c r="HN72" i="6"/>
  <c r="HM43" i="6"/>
  <c r="HM40" i="6"/>
  <c r="HN39" i="6"/>
  <c r="HN40" i="6" s="1"/>
  <c r="HL6" i="6"/>
  <c r="HL57" i="6"/>
  <c r="HL61" i="6" s="1"/>
  <c r="HL11" i="6" s="1"/>
  <c r="HM48" i="6"/>
  <c r="HN48" i="6" s="1"/>
  <c r="C207" i="7"/>
  <c r="F313" i="4"/>
  <c r="G313" i="4" s="1"/>
  <c r="L313" i="4"/>
  <c r="D207" i="7" l="1"/>
  <c r="HO37" i="6" s="1"/>
  <c r="HO58" i="6"/>
  <c r="HO60" i="6" s="1"/>
  <c r="F207" i="7"/>
  <c r="HM8" i="6"/>
  <c r="HM44" i="6"/>
  <c r="HM47" i="6"/>
  <c r="HN43" i="6"/>
  <c r="HN44" i="6" s="1"/>
  <c r="HM80" i="6"/>
  <c r="HN78" i="6"/>
  <c r="E314" i="4"/>
  <c r="D314" i="4"/>
  <c r="HM82" i="6" l="1"/>
  <c r="HN82" i="6" s="1"/>
  <c r="HN80" i="6"/>
  <c r="HO72" i="6"/>
  <c r="E207" i="7"/>
  <c r="HM52" i="6"/>
  <c r="HN47" i="6"/>
  <c r="HM9" i="6"/>
  <c r="HN9" i="6" s="1"/>
  <c r="HN8" i="6"/>
  <c r="HO39" i="6"/>
  <c r="HO42" i="6"/>
  <c r="F314" i="4"/>
  <c r="G314" i="4" s="1"/>
  <c r="L314" i="4"/>
  <c r="HO43" i="6" l="1"/>
  <c r="HO40" i="6"/>
  <c r="HM5" i="6"/>
  <c r="HM4" i="6"/>
  <c r="HN4" i="6" s="1"/>
  <c r="HN52" i="6"/>
  <c r="HM56" i="6"/>
  <c r="HO48" i="6"/>
  <c r="C208" i="7"/>
  <c r="HO78" i="6"/>
  <c r="E315" i="4"/>
  <c r="D315" i="4"/>
  <c r="HO80" i="6" l="1"/>
  <c r="D208" i="7"/>
  <c r="HP37" i="6" s="1"/>
  <c r="HP58" i="6"/>
  <c r="HP60" i="6" s="1"/>
  <c r="F208" i="7"/>
  <c r="HN5" i="6"/>
  <c r="HM7" i="6"/>
  <c r="HN56" i="6"/>
  <c r="HM6" i="6"/>
  <c r="HM57" i="6"/>
  <c r="HM61" i="6" s="1"/>
  <c r="HO44" i="6"/>
  <c r="HO47" i="6"/>
  <c r="HO8" i="6"/>
  <c r="F315" i="4"/>
  <c r="G315" i="4" s="1"/>
  <c r="L315" i="4"/>
  <c r="HO9" i="6" l="1"/>
  <c r="HO52" i="6"/>
  <c r="HO56" i="6" s="1"/>
  <c r="HM11" i="6"/>
  <c r="HN61" i="6"/>
  <c r="HN11" i="6" s="1"/>
  <c r="HN12" i="6" s="1"/>
  <c r="HN6" i="6"/>
  <c r="HN57" i="6"/>
  <c r="HN7" i="6"/>
  <c r="HN13" i="6" s="1"/>
  <c r="E208" i="7"/>
  <c r="HP72" i="6"/>
  <c r="HP39" i="6"/>
  <c r="HP42" i="6"/>
  <c r="HO82" i="6"/>
  <c r="D316" i="4"/>
  <c r="E316" i="4"/>
  <c r="HO57" i="6" l="1"/>
  <c r="HO61" i="6" s="1"/>
  <c r="HO11" i="6" s="1"/>
  <c r="HO6" i="6"/>
  <c r="HP43" i="6"/>
  <c r="HP40" i="6"/>
  <c r="HP78" i="6"/>
  <c r="HP48" i="6"/>
  <c r="C209" i="7"/>
  <c r="HO5" i="6"/>
  <c r="HO4" i="6"/>
  <c r="F316" i="4"/>
  <c r="G316" i="4" s="1"/>
  <c r="L316" i="4"/>
  <c r="F209" i="7" l="1"/>
  <c r="HQ58" i="6"/>
  <c r="HQ60" i="6" s="1"/>
  <c r="D209" i="7"/>
  <c r="HQ37" i="6" s="1"/>
  <c r="HO7" i="6"/>
  <c r="HP44" i="6"/>
  <c r="HP47" i="6"/>
  <c r="HP8" i="6"/>
  <c r="HP80" i="6"/>
  <c r="E317" i="4"/>
  <c r="D317" i="4"/>
  <c r="HQ39" i="6" l="1"/>
  <c r="HQ42" i="6"/>
  <c r="HP82" i="6"/>
  <c r="HP9" i="6"/>
  <c r="HP52" i="6"/>
  <c r="E209" i="7"/>
  <c r="HQ72" i="6"/>
  <c r="F317" i="4"/>
  <c r="G317" i="4" s="1"/>
  <c r="L317" i="4"/>
  <c r="HQ48" i="6" l="1"/>
  <c r="C210" i="7"/>
  <c r="HQ78" i="6"/>
  <c r="HP5" i="6"/>
  <c r="HP4" i="6"/>
  <c r="HP56" i="6"/>
  <c r="HQ43" i="6"/>
  <c r="HQ40" i="6"/>
  <c r="E318" i="4"/>
  <c r="D318" i="4"/>
  <c r="HQ47" i="6" l="1"/>
  <c r="HQ8" i="6"/>
  <c r="HQ44" i="6"/>
  <c r="HP7" i="6"/>
  <c r="D210" i="7"/>
  <c r="HR37" i="6" s="1"/>
  <c r="HR58" i="6"/>
  <c r="HR60" i="6" s="1"/>
  <c r="F210" i="7"/>
  <c r="HP6" i="6"/>
  <c r="HP57" i="6"/>
  <c r="HP61" i="6" s="1"/>
  <c r="HP11" i="6" s="1"/>
  <c r="HQ80" i="6"/>
  <c r="F318" i="4"/>
  <c r="G318" i="4" s="1"/>
  <c r="L318" i="4"/>
  <c r="E210" i="7" l="1"/>
  <c r="HR72" i="6"/>
  <c r="HQ82" i="6"/>
  <c r="HR42" i="6"/>
  <c r="HR39" i="6"/>
  <c r="HQ9" i="6"/>
  <c r="HQ52" i="6"/>
  <c r="E319" i="4"/>
  <c r="D319" i="4"/>
  <c r="HQ4" i="6" l="1"/>
  <c r="HQ5" i="6"/>
  <c r="HQ56" i="6"/>
  <c r="HR43" i="6"/>
  <c r="HR40" i="6"/>
  <c r="HR78" i="6"/>
  <c r="HR48" i="6"/>
  <c r="C211" i="7"/>
  <c r="F319" i="4"/>
  <c r="G319" i="4" s="1"/>
  <c r="L319" i="4"/>
  <c r="F211" i="7" l="1"/>
  <c r="D211" i="7"/>
  <c r="HS37" i="6" s="1"/>
  <c r="HS58" i="6"/>
  <c r="HS60" i="6" s="1"/>
  <c r="HR80" i="6"/>
  <c r="HR44" i="6"/>
  <c r="HR47" i="6"/>
  <c r="HR8" i="6"/>
  <c r="HQ6" i="6"/>
  <c r="HQ57" i="6"/>
  <c r="HQ61" i="6" s="1"/>
  <c r="HQ11" i="6" s="1"/>
  <c r="HQ7" i="6"/>
  <c r="E320" i="4"/>
  <c r="D320" i="4"/>
  <c r="HS42" i="6" l="1"/>
  <c r="HS39" i="6"/>
  <c r="HR9" i="6"/>
  <c r="HR52" i="6"/>
  <c r="HR82" i="6"/>
  <c r="HS72" i="6"/>
  <c r="E211" i="7"/>
  <c r="F320" i="4"/>
  <c r="G320" i="4" s="1"/>
  <c r="L320" i="4"/>
  <c r="HS78" i="6" l="1"/>
  <c r="HS48" i="6"/>
  <c r="C212" i="7"/>
  <c r="HR5" i="6"/>
  <c r="HR4" i="6"/>
  <c r="HR56" i="6"/>
  <c r="HS43" i="6"/>
  <c r="HS40" i="6"/>
  <c r="D321" i="4"/>
  <c r="E321" i="4"/>
  <c r="HS47" i="6" l="1"/>
  <c r="HS8" i="6"/>
  <c r="HS44" i="6"/>
  <c r="HR57" i="6"/>
  <c r="HR61" i="6" s="1"/>
  <c r="HR11" i="6" s="1"/>
  <c r="HR6" i="6"/>
  <c r="HR7" i="6"/>
  <c r="D212" i="7"/>
  <c r="HT37" i="6" s="1"/>
  <c r="F212" i="7"/>
  <c r="HT58" i="6"/>
  <c r="HT60" i="6" s="1"/>
  <c r="HS80" i="6"/>
  <c r="F321" i="4"/>
  <c r="G321" i="4" s="1"/>
  <c r="L321" i="4"/>
  <c r="E212" i="7" l="1"/>
  <c r="HT72" i="6"/>
  <c r="HT78" i="6" s="1"/>
  <c r="HT80" i="6" s="1"/>
  <c r="HS82" i="6"/>
  <c r="HT39" i="6"/>
  <c r="HT42" i="6"/>
  <c r="HS9" i="6"/>
  <c r="HS52" i="6"/>
  <c r="D322" i="4"/>
  <c r="E322" i="4"/>
  <c r="HT43" i="6" l="1"/>
  <c r="HT40" i="6"/>
  <c r="HS5" i="6"/>
  <c r="HS4" i="6"/>
  <c r="HS56" i="6"/>
  <c r="HT82" i="6"/>
  <c r="HT48" i="6"/>
  <c r="C213" i="7"/>
  <c r="F322" i="4"/>
  <c r="G322" i="4" s="1"/>
  <c r="L322" i="4"/>
  <c r="F213" i="7" l="1"/>
  <c r="HU58" i="6"/>
  <c r="HU60" i="6" s="1"/>
  <c r="D213" i="7"/>
  <c r="HU37" i="6" s="1"/>
  <c r="HS57" i="6"/>
  <c r="HS61" i="6" s="1"/>
  <c r="HS11" i="6" s="1"/>
  <c r="HS6" i="6"/>
  <c r="HS7" i="6"/>
  <c r="HT44" i="6"/>
  <c r="HT8" i="6"/>
  <c r="HT9" i="6" s="1"/>
  <c r="HT47" i="6"/>
  <c r="HT52" i="6" s="1"/>
  <c r="E323" i="4"/>
  <c r="D323" i="4"/>
  <c r="HT4" i="6" l="1"/>
  <c r="HT5" i="6"/>
  <c r="HT7" i="6" s="1"/>
  <c r="HT56" i="6"/>
  <c r="HU42" i="6"/>
  <c r="HU39" i="6"/>
  <c r="E213" i="7"/>
  <c r="HU72" i="6"/>
  <c r="HU78" i="6" s="1"/>
  <c r="HU80" i="6" s="1"/>
  <c r="HU82" i="6" s="1"/>
  <c r="F323" i="4"/>
  <c r="G323" i="4" s="1"/>
  <c r="L323" i="4"/>
  <c r="HU48" i="6" l="1"/>
  <c r="C214" i="7"/>
  <c r="HU43" i="6"/>
  <c r="HU40" i="6"/>
  <c r="HT6" i="6"/>
  <c r="HT57" i="6"/>
  <c r="HT61" i="6" s="1"/>
  <c r="HT11" i="6" s="1"/>
  <c r="E324" i="4"/>
  <c r="D324" i="4"/>
  <c r="HU44" i="6" l="1"/>
  <c r="HU47" i="6"/>
  <c r="HU52" i="6" s="1"/>
  <c r="HU8" i="6"/>
  <c r="HU9" i="6" s="1"/>
  <c r="D214" i="7"/>
  <c r="HV37" i="6" s="1"/>
  <c r="F214" i="7"/>
  <c r="HV58" i="6"/>
  <c r="HV60" i="6" s="1"/>
  <c r="F324" i="4"/>
  <c r="G324" i="4" s="1"/>
  <c r="L324" i="4"/>
  <c r="E214" i="7" l="1"/>
  <c r="HV72" i="6"/>
  <c r="HV78" i="6" s="1"/>
  <c r="HV80" i="6" s="1"/>
  <c r="HV82" i="6" s="1"/>
  <c r="HV42" i="6"/>
  <c r="HV39" i="6"/>
  <c r="HU4" i="6"/>
  <c r="HU5" i="6"/>
  <c r="HU7" i="6" s="1"/>
  <c r="HU56" i="6"/>
  <c r="D325" i="4"/>
  <c r="E325" i="4"/>
  <c r="HU6" i="6" l="1"/>
  <c r="HU57" i="6"/>
  <c r="HU61" i="6" s="1"/>
  <c r="HU11" i="6" s="1"/>
  <c r="HV40" i="6"/>
  <c r="HV43" i="6"/>
  <c r="HV48" i="6"/>
  <c r="C215" i="7"/>
  <c r="F325" i="4"/>
  <c r="G325" i="4" s="1"/>
  <c r="L325" i="4"/>
  <c r="HV8" i="6" l="1"/>
  <c r="HV9" i="6" s="1"/>
  <c r="HV47" i="6"/>
  <c r="HV52" i="6" s="1"/>
  <c r="HV44" i="6"/>
  <c r="HW58" i="6"/>
  <c r="HW60" i="6" s="1"/>
  <c r="D215" i="7"/>
  <c r="HW37" i="6" s="1"/>
  <c r="F215" i="7"/>
  <c r="D326" i="4"/>
  <c r="E326" i="4"/>
  <c r="E215" i="7" l="1"/>
  <c r="HW72" i="6"/>
  <c r="HW78" i="6" s="1"/>
  <c r="HW80" i="6" s="1"/>
  <c r="HW82" i="6" s="1"/>
  <c r="HW42" i="6"/>
  <c r="HW39" i="6"/>
  <c r="HV4" i="6"/>
  <c r="HV5" i="6"/>
  <c r="HV7" i="6" s="1"/>
  <c r="HV56" i="6"/>
  <c r="F326" i="4"/>
  <c r="G326" i="4" s="1"/>
  <c r="L326" i="4"/>
  <c r="HW48" i="6" l="1"/>
  <c r="C216" i="7"/>
  <c r="HV6" i="6"/>
  <c r="HV57" i="6"/>
  <c r="HV61" i="6" s="1"/>
  <c r="HV11" i="6" s="1"/>
  <c r="HW40" i="6"/>
  <c r="HW43" i="6"/>
  <c r="E327" i="4"/>
  <c r="D327" i="4"/>
  <c r="HW8" i="6" l="1"/>
  <c r="HW9" i="6" s="1"/>
  <c r="HW44" i="6"/>
  <c r="HW47" i="6"/>
  <c r="HW52" i="6" s="1"/>
  <c r="D216" i="7"/>
  <c r="HX37" i="6" s="1"/>
  <c r="F216" i="7"/>
  <c r="HX58" i="6"/>
  <c r="HX60" i="6" s="1"/>
  <c r="F327" i="4"/>
  <c r="G327" i="4" s="1"/>
  <c r="L327" i="4"/>
  <c r="E216" i="7" l="1"/>
  <c r="HX72" i="6"/>
  <c r="HX78" i="6" s="1"/>
  <c r="HX80" i="6" s="1"/>
  <c r="HX82" i="6" s="1"/>
  <c r="HX39" i="6"/>
  <c r="HX42" i="6"/>
  <c r="HW5" i="6"/>
  <c r="HW7" i="6" s="1"/>
  <c r="HW4" i="6"/>
  <c r="HW56" i="6"/>
  <c r="E328" i="4"/>
  <c r="D328" i="4"/>
  <c r="HW57" i="6" l="1"/>
  <c r="HW61" i="6" s="1"/>
  <c r="HW11" i="6" s="1"/>
  <c r="HW6" i="6"/>
  <c r="HX40" i="6"/>
  <c r="HX43" i="6"/>
  <c r="HX48" i="6"/>
  <c r="C217" i="7"/>
  <c r="F328" i="4"/>
  <c r="G328" i="4" s="1"/>
  <c r="L328" i="4"/>
  <c r="D217" i="7" l="1"/>
  <c r="HY37" i="6" s="1"/>
  <c r="F217" i="7"/>
  <c r="HY58" i="6"/>
  <c r="HY60" i="6" s="1"/>
  <c r="HX44" i="6"/>
  <c r="HX47" i="6"/>
  <c r="HX52" i="6" s="1"/>
  <c r="HX8" i="6"/>
  <c r="HX9" i="6" s="1"/>
  <c r="E329" i="4"/>
  <c r="D329" i="4"/>
  <c r="E217" i="7" l="1"/>
  <c r="HY72" i="6"/>
  <c r="HY78" i="6" s="1"/>
  <c r="HY80" i="6" s="1"/>
  <c r="HY82" i="6" s="1"/>
  <c r="HX56" i="6"/>
  <c r="HX5" i="6"/>
  <c r="HX7" i="6" s="1"/>
  <c r="HX4" i="6"/>
  <c r="HY42" i="6"/>
  <c r="HY39" i="6"/>
  <c r="F329" i="4"/>
  <c r="G329" i="4" s="1"/>
  <c r="L329" i="4"/>
  <c r="HY40" i="6" l="1"/>
  <c r="HY43" i="6"/>
  <c r="HX57" i="6"/>
  <c r="HX61" i="6" s="1"/>
  <c r="HX11" i="6" s="1"/>
  <c r="HX6" i="6"/>
  <c r="HY48" i="6"/>
  <c r="C218" i="7"/>
  <c r="E330" i="4"/>
  <c r="D330" i="4"/>
  <c r="F218" i="7" l="1"/>
  <c r="HZ58" i="6"/>
  <c r="D218" i="7"/>
  <c r="HZ37" i="6" s="1"/>
  <c r="HY47" i="6"/>
  <c r="HY52" i="6" s="1"/>
  <c r="HY44" i="6"/>
  <c r="HY8" i="6"/>
  <c r="HY9" i="6" s="1"/>
  <c r="F330" i="4"/>
  <c r="G330" i="4" s="1"/>
  <c r="L330" i="4"/>
  <c r="HY5" i="6" l="1"/>
  <c r="HY7" i="6" s="1"/>
  <c r="HY4" i="6"/>
  <c r="HY56" i="6"/>
  <c r="HZ39" i="6"/>
  <c r="HZ42" i="6"/>
  <c r="IA42" i="6" s="1"/>
  <c r="IA37" i="6"/>
  <c r="HZ60" i="6"/>
  <c r="IA60" i="6" s="1"/>
  <c r="IA58" i="6"/>
  <c r="E218" i="7"/>
  <c r="HZ72" i="6"/>
  <c r="E331" i="4"/>
  <c r="D331" i="4"/>
  <c r="HZ78" i="6" l="1"/>
  <c r="IA72" i="6"/>
  <c r="HZ48" i="6"/>
  <c r="IA48" i="6" s="1"/>
  <c r="C219" i="7"/>
  <c r="HZ43" i="6"/>
  <c r="HZ40" i="6"/>
  <c r="IA39" i="6"/>
  <c r="IA40" i="6" s="1"/>
  <c r="HY57" i="6"/>
  <c r="HY61" i="6" s="1"/>
  <c r="HY11" i="6" s="1"/>
  <c r="HY6" i="6"/>
  <c r="F331" i="4"/>
  <c r="G331" i="4" s="1"/>
  <c r="L331" i="4"/>
  <c r="HZ47" i="6" l="1"/>
  <c r="HZ44" i="6"/>
  <c r="HZ8" i="6"/>
  <c r="IA43" i="6"/>
  <c r="IA44" i="6" s="1"/>
  <c r="D219" i="7"/>
  <c r="IB37" i="6" s="1"/>
  <c r="F219" i="7"/>
  <c r="IB58" i="6"/>
  <c r="IB60" i="6" s="1"/>
  <c r="HZ80" i="6"/>
  <c r="IA78" i="6"/>
  <c r="E332" i="4"/>
  <c r="D332" i="4"/>
  <c r="IB39" i="6" l="1"/>
  <c r="IB42" i="6"/>
  <c r="E219" i="7"/>
  <c r="IB72" i="6"/>
  <c r="HZ9" i="6"/>
  <c r="IA9" i="6" s="1"/>
  <c r="IA8" i="6"/>
  <c r="HZ82" i="6"/>
  <c r="IA82" i="6" s="1"/>
  <c r="IA80" i="6"/>
  <c r="HZ52" i="6"/>
  <c r="IA47" i="6"/>
  <c r="F332" i="4"/>
  <c r="G332" i="4" s="1"/>
  <c r="L332" i="4"/>
  <c r="IB48" i="6" l="1"/>
  <c r="C220" i="7"/>
  <c r="HZ5" i="6"/>
  <c r="HZ4" i="6"/>
  <c r="IA4" i="6" s="1"/>
  <c r="IA52" i="6"/>
  <c r="HZ56" i="6"/>
  <c r="IB78" i="6"/>
  <c r="IB43" i="6"/>
  <c r="IB40" i="6"/>
  <c r="D333" i="4"/>
  <c r="E333" i="4"/>
  <c r="IB8" i="6" l="1"/>
  <c r="IB44" i="6"/>
  <c r="IB47" i="6"/>
  <c r="IB80" i="6"/>
  <c r="IA56" i="6"/>
  <c r="HZ6" i="6"/>
  <c r="HZ57" i="6"/>
  <c r="HZ61" i="6" s="1"/>
  <c r="IA5" i="6"/>
  <c r="HZ7" i="6"/>
  <c r="F220" i="7"/>
  <c r="D220" i="7"/>
  <c r="IC37" i="6" s="1"/>
  <c r="IC58" i="6"/>
  <c r="IC60" i="6" s="1"/>
  <c r="F333" i="4"/>
  <c r="G333" i="4" s="1"/>
  <c r="L333" i="4"/>
  <c r="IA7" i="6" l="1"/>
  <c r="IA13" i="6" s="1"/>
  <c r="IC42" i="6"/>
  <c r="IC39" i="6"/>
  <c r="IC72" i="6"/>
  <c r="E220" i="7"/>
  <c r="IA61" i="6"/>
  <c r="IA11" i="6" s="1"/>
  <c r="IA12" i="6" s="1"/>
  <c r="HZ11" i="6"/>
  <c r="IA6" i="6"/>
  <c r="IA57" i="6"/>
  <c r="IB82" i="6"/>
  <c r="IB52" i="6"/>
  <c r="IB56" i="6" s="1"/>
  <c r="IB9" i="6"/>
  <c r="E334" i="4"/>
  <c r="D334" i="4"/>
  <c r="IB6" i="6" l="1"/>
  <c r="IB57" i="6"/>
  <c r="IB61" i="6" s="1"/>
  <c r="IB11" i="6" s="1"/>
  <c r="IC48" i="6"/>
  <c r="C221" i="7"/>
  <c r="IC78" i="6"/>
  <c r="IC43" i="6"/>
  <c r="IC40" i="6"/>
  <c r="IB4" i="6"/>
  <c r="IB5" i="6"/>
  <c r="F334" i="4"/>
  <c r="G334" i="4" s="1"/>
  <c r="L334" i="4"/>
  <c r="IB7" i="6" l="1"/>
  <c r="IC47" i="6"/>
  <c r="IC8" i="6"/>
  <c r="IC44" i="6"/>
  <c r="IC80" i="6"/>
  <c r="F221" i="7"/>
  <c r="D221" i="7"/>
  <c r="ID37" i="6" s="1"/>
  <c r="ID58" i="6"/>
  <c r="ID60" i="6" s="1"/>
  <c r="E335" i="4"/>
  <c r="D335" i="4"/>
  <c r="E221" i="7" l="1"/>
  <c r="ID72" i="6"/>
  <c r="IC82" i="6"/>
  <c r="IC9" i="6"/>
  <c r="IC52" i="6"/>
  <c r="ID39" i="6"/>
  <c r="ID42" i="6"/>
  <c r="F335" i="4"/>
  <c r="G335" i="4" s="1"/>
  <c r="L335" i="4"/>
  <c r="ID48" i="6" l="1"/>
  <c r="C222" i="7"/>
  <c r="ID40" i="6"/>
  <c r="ID43" i="6"/>
  <c r="IC5" i="6"/>
  <c r="IC4" i="6"/>
  <c r="IC56" i="6"/>
  <c r="ID78" i="6"/>
  <c r="D336" i="4"/>
  <c r="E336" i="4"/>
  <c r="ID80" i="6" l="1"/>
  <c r="IC7" i="6"/>
  <c r="ID47" i="6"/>
  <c r="ID8" i="6"/>
  <c r="ID44" i="6"/>
  <c r="D222" i="7"/>
  <c r="IE37" i="6" s="1"/>
  <c r="IE58" i="6"/>
  <c r="IE60" i="6" s="1"/>
  <c r="F222" i="7"/>
  <c r="IC6" i="6"/>
  <c r="IC57" i="6"/>
  <c r="IC61" i="6" s="1"/>
  <c r="IC11" i="6" s="1"/>
  <c r="F336" i="4"/>
  <c r="G336" i="4" s="1"/>
  <c r="L336" i="4"/>
  <c r="E222" i="7" l="1"/>
  <c r="IE72" i="6"/>
  <c r="IE42" i="6"/>
  <c r="IE39" i="6"/>
  <c r="ID82" i="6"/>
  <c r="ID9" i="6"/>
  <c r="ID52" i="6"/>
  <c r="E337" i="4"/>
  <c r="D337" i="4"/>
  <c r="IE48" i="6" l="1"/>
  <c r="C223" i="7"/>
  <c r="ID4" i="6"/>
  <c r="ID5" i="6"/>
  <c r="ID56" i="6"/>
  <c r="IE78" i="6"/>
  <c r="IE40" i="6"/>
  <c r="IE43" i="6"/>
  <c r="F337" i="4"/>
  <c r="G337" i="4" s="1"/>
  <c r="L337" i="4"/>
  <c r="IE80" i="6" l="1"/>
  <c r="ID6" i="6"/>
  <c r="ID57" i="6"/>
  <c r="ID61" i="6" s="1"/>
  <c r="ID11" i="6" s="1"/>
  <c r="ID7" i="6"/>
  <c r="F223" i="7"/>
  <c r="IF58" i="6"/>
  <c r="IF60" i="6" s="1"/>
  <c r="D223" i="7"/>
  <c r="IF37" i="6" s="1"/>
  <c r="IE47" i="6"/>
  <c r="IE8" i="6"/>
  <c r="IE44" i="6"/>
  <c r="E338" i="4"/>
  <c r="D338" i="4"/>
  <c r="IE52" i="6" l="1"/>
  <c r="IE9" i="6"/>
  <c r="IF42" i="6"/>
  <c r="IF39" i="6"/>
  <c r="E223" i="7"/>
  <c r="IF72" i="6"/>
  <c r="IE82" i="6"/>
  <c r="F338" i="4"/>
  <c r="G338" i="4" s="1"/>
  <c r="L338" i="4"/>
  <c r="IF78" i="6" l="1"/>
  <c r="IF40" i="6"/>
  <c r="IF43" i="6"/>
  <c r="IF48" i="6"/>
  <c r="C224" i="7"/>
  <c r="IE5" i="6"/>
  <c r="IE4" i="6"/>
  <c r="IE56" i="6"/>
  <c r="D339" i="4"/>
  <c r="E339" i="4"/>
  <c r="IE7" i="6" l="1"/>
  <c r="IF44" i="6"/>
  <c r="IF47" i="6"/>
  <c r="IF8" i="6"/>
  <c r="IE57" i="6"/>
  <c r="IE61" i="6" s="1"/>
  <c r="IE11" i="6" s="1"/>
  <c r="IE6" i="6"/>
  <c r="D224" i="7"/>
  <c r="IG37" i="6" s="1"/>
  <c r="F224" i="7"/>
  <c r="IG58" i="6"/>
  <c r="IG60" i="6" s="1"/>
  <c r="IF80" i="6"/>
  <c r="F339" i="4"/>
  <c r="G339" i="4" s="1"/>
  <c r="L339" i="4"/>
  <c r="IG72" i="6" l="1"/>
  <c r="IG78" i="6" s="1"/>
  <c r="IG80" i="6" s="1"/>
  <c r="E224" i="7"/>
  <c r="IF52" i="6"/>
  <c r="IG42" i="6"/>
  <c r="IG39" i="6"/>
  <c r="IF9" i="6"/>
  <c r="IF82" i="6"/>
  <c r="D340" i="4"/>
  <c r="E340" i="4"/>
  <c r="IF5" i="6" l="1"/>
  <c r="IF4" i="6"/>
  <c r="IF56" i="6"/>
  <c r="IG48" i="6"/>
  <c r="C225" i="7"/>
  <c r="IG43" i="6"/>
  <c r="IG40" i="6"/>
  <c r="IG82" i="6"/>
  <c r="F340" i="4"/>
  <c r="G340" i="4" s="1"/>
  <c r="L340" i="4"/>
  <c r="D225" i="7" l="1"/>
  <c r="IH37" i="6" s="1"/>
  <c r="IH58" i="6"/>
  <c r="IH60" i="6" s="1"/>
  <c r="F225" i="7"/>
  <c r="IG44" i="6"/>
  <c r="IG47" i="6"/>
  <c r="IG52" i="6" s="1"/>
  <c r="IG56" i="6" s="1"/>
  <c r="IG8" i="6"/>
  <c r="IG9" i="6" s="1"/>
  <c r="IF6" i="6"/>
  <c r="IF57" i="6"/>
  <c r="IF61" i="6" s="1"/>
  <c r="IF11" i="6" s="1"/>
  <c r="IF7" i="6"/>
  <c r="E341" i="4"/>
  <c r="D341" i="4"/>
  <c r="IG5" i="6" l="1"/>
  <c r="IG7" i="6" s="1"/>
  <c r="IG4" i="6"/>
  <c r="E225" i="7"/>
  <c r="IH72" i="6"/>
  <c r="IH78" i="6" s="1"/>
  <c r="IH80" i="6" s="1"/>
  <c r="IH82" i="6" s="1"/>
  <c r="IG6" i="6"/>
  <c r="IG57" i="6"/>
  <c r="IG61" i="6" s="1"/>
  <c r="IG11" i="6" s="1"/>
  <c r="IH39" i="6"/>
  <c r="IH42" i="6"/>
  <c r="F341" i="4"/>
  <c r="G341" i="4" s="1"/>
  <c r="L341" i="4"/>
  <c r="IH43" i="6" l="1"/>
  <c r="IH40" i="6"/>
  <c r="IH48" i="6"/>
  <c r="C226" i="7"/>
  <c r="E342" i="4"/>
  <c r="D342" i="4"/>
  <c r="F226" i="7" l="1"/>
  <c r="D226" i="7"/>
  <c r="II37" i="6" s="1"/>
  <c r="II58" i="6"/>
  <c r="II60" i="6" s="1"/>
  <c r="IH47" i="6"/>
  <c r="IH52" i="6" s="1"/>
  <c r="IH44" i="6"/>
  <c r="IH8" i="6"/>
  <c r="IH9" i="6" s="1"/>
  <c r="F342" i="4"/>
  <c r="G342" i="4" s="1"/>
  <c r="L342" i="4"/>
  <c r="IH4" i="6" l="1"/>
  <c r="IH5" i="6"/>
  <c r="IH7" i="6" s="1"/>
  <c r="IH56" i="6"/>
  <c r="II39" i="6"/>
  <c r="II42" i="6"/>
  <c r="II72" i="6"/>
  <c r="II78" i="6" s="1"/>
  <c r="II80" i="6" s="1"/>
  <c r="II82" i="6" s="1"/>
  <c r="E226" i="7"/>
  <c r="E343" i="4"/>
  <c r="D343" i="4"/>
  <c r="II48" i="6" l="1"/>
  <c r="C227" i="7"/>
  <c r="II43" i="6"/>
  <c r="II40" i="6"/>
  <c r="IH6" i="6"/>
  <c r="IH57" i="6"/>
  <c r="IH61" i="6" s="1"/>
  <c r="IH11" i="6" s="1"/>
  <c r="F343" i="4"/>
  <c r="G343" i="4" s="1"/>
  <c r="L343" i="4"/>
  <c r="F227" i="7" l="1"/>
  <c r="D227" i="7"/>
  <c r="IJ37" i="6" s="1"/>
  <c r="IJ58" i="6"/>
  <c r="IJ60" i="6" s="1"/>
  <c r="II44" i="6"/>
  <c r="II47" i="6"/>
  <c r="II52" i="6" s="1"/>
  <c r="II8" i="6"/>
  <c r="II9" i="6" s="1"/>
  <c r="D344" i="4"/>
  <c r="E344" i="4"/>
  <c r="IJ42" i="6" l="1"/>
  <c r="IJ39" i="6"/>
  <c r="II5" i="6"/>
  <c r="II7" i="6" s="1"/>
  <c r="II4" i="6"/>
  <c r="II56" i="6"/>
  <c r="IJ72" i="6"/>
  <c r="IJ78" i="6" s="1"/>
  <c r="IJ80" i="6" s="1"/>
  <c r="IJ82" i="6" s="1"/>
  <c r="E227" i="7"/>
  <c r="F344" i="4"/>
  <c r="G344" i="4" s="1"/>
  <c r="L344" i="4"/>
  <c r="IJ48" i="6" l="1"/>
  <c r="C228" i="7"/>
  <c r="IJ40" i="6"/>
  <c r="IJ43" i="6"/>
  <c r="II6" i="6"/>
  <c r="II57" i="6"/>
  <c r="II61" i="6" s="1"/>
  <c r="II11" i="6" s="1"/>
  <c r="E345" i="4"/>
  <c r="D345" i="4"/>
  <c r="D228" i="7" l="1"/>
  <c r="IK37" i="6" s="1"/>
  <c r="F228" i="7"/>
  <c r="IK58" i="6"/>
  <c r="IK60" i="6" s="1"/>
  <c r="IJ44" i="6"/>
  <c r="IJ47" i="6"/>
  <c r="IJ52" i="6" s="1"/>
  <c r="IJ8" i="6"/>
  <c r="IJ9" i="6" s="1"/>
  <c r="F345" i="4"/>
  <c r="G345" i="4" s="1"/>
  <c r="L345" i="4"/>
  <c r="IJ4" i="6" l="1"/>
  <c r="IJ5" i="6"/>
  <c r="IJ7" i="6" s="1"/>
  <c r="IJ56" i="6"/>
  <c r="E228" i="7"/>
  <c r="IK72" i="6"/>
  <c r="IK78" i="6" s="1"/>
  <c r="IK80" i="6" s="1"/>
  <c r="IK82" i="6" s="1"/>
  <c r="IK39" i="6"/>
  <c r="IK42" i="6"/>
  <c r="E346" i="4"/>
  <c r="D346" i="4"/>
  <c r="IK43" i="6" l="1"/>
  <c r="IK40" i="6"/>
  <c r="IK48" i="6"/>
  <c r="C229" i="7"/>
  <c r="IJ6" i="6"/>
  <c r="IJ57" i="6"/>
  <c r="IJ61" i="6" s="1"/>
  <c r="IJ11" i="6" s="1"/>
  <c r="F346" i="4"/>
  <c r="G346" i="4" s="1"/>
  <c r="L346" i="4"/>
  <c r="D229" i="7" l="1"/>
  <c r="IL37" i="6" s="1"/>
  <c r="IL58" i="6"/>
  <c r="IL60" i="6" s="1"/>
  <c r="F229" i="7"/>
  <c r="IK47" i="6"/>
  <c r="IK52" i="6" s="1"/>
  <c r="IK8" i="6"/>
  <c r="IK9" i="6" s="1"/>
  <c r="IK44" i="6"/>
  <c r="D347" i="4"/>
  <c r="E347" i="4"/>
  <c r="IL39" i="6" l="1"/>
  <c r="IL42" i="6"/>
  <c r="IK4" i="6"/>
  <c r="IK5" i="6"/>
  <c r="IK7" i="6" s="1"/>
  <c r="IK56" i="6"/>
  <c r="E229" i="7"/>
  <c r="IL72" i="6"/>
  <c r="IL78" i="6" s="1"/>
  <c r="IL80" i="6" s="1"/>
  <c r="IL82" i="6" s="1"/>
  <c r="F347" i="4"/>
  <c r="G347" i="4" s="1"/>
  <c r="L347" i="4"/>
  <c r="IL48" i="6" l="1"/>
  <c r="C230" i="7"/>
  <c r="IK6" i="6"/>
  <c r="IK57" i="6"/>
  <c r="IK61" i="6" s="1"/>
  <c r="IK11" i="6" s="1"/>
  <c r="IL40" i="6"/>
  <c r="IL43" i="6"/>
  <c r="D348" i="4"/>
  <c r="E348" i="4"/>
  <c r="IL47" i="6" l="1"/>
  <c r="IL52" i="6" s="1"/>
  <c r="IL44" i="6"/>
  <c r="IL8" i="6"/>
  <c r="IL9" i="6" s="1"/>
  <c r="IM58" i="6"/>
  <c r="D230" i="7"/>
  <c r="IM37" i="6" s="1"/>
  <c r="F230" i="7"/>
  <c r="F348" i="4"/>
  <c r="G348" i="4" s="1"/>
  <c r="L348" i="4"/>
  <c r="IL5" i="6" l="1"/>
  <c r="IL7" i="6" s="1"/>
  <c r="IL4" i="6"/>
  <c r="IL56" i="6"/>
  <c r="E230" i="7"/>
  <c r="IM72" i="6"/>
  <c r="IN58" i="6"/>
  <c r="IM60" i="6"/>
  <c r="IN60" i="6" s="1"/>
  <c r="IM39" i="6"/>
  <c r="IM42" i="6"/>
  <c r="IN42" i="6" s="1"/>
  <c r="IN37" i="6"/>
  <c r="E349" i="4"/>
  <c r="D349" i="4"/>
  <c r="IM40" i="6" l="1"/>
  <c r="IM43" i="6"/>
  <c r="IN39" i="6"/>
  <c r="IN40" i="6" s="1"/>
  <c r="IM78" i="6"/>
  <c r="IN72" i="6"/>
  <c r="IM48" i="6"/>
  <c r="IN48" i="6" s="1"/>
  <c r="C231" i="7"/>
  <c r="IL57" i="6"/>
  <c r="IL61" i="6" s="1"/>
  <c r="IL11" i="6" s="1"/>
  <c r="IL6" i="6"/>
  <c r="F349" i="4"/>
  <c r="G349" i="4" s="1"/>
  <c r="L349" i="4"/>
  <c r="F231" i="7" l="1"/>
  <c r="IO58" i="6"/>
  <c r="IO60" i="6" s="1"/>
  <c r="D231" i="7"/>
  <c r="IO37" i="6" s="1"/>
  <c r="IM44" i="6"/>
  <c r="IM47" i="6"/>
  <c r="IM8" i="6"/>
  <c r="IN43" i="6"/>
  <c r="IN44" i="6" s="1"/>
  <c r="IM80" i="6"/>
  <c r="IN78" i="6"/>
  <c r="D350" i="4"/>
  <c r="E350" i="4"/>
  <c r="IM52" i="6" l="1"/>
  <c r="IN47" i="6"/>
  <c r="IM82" i="6"/>
  <c r="IN82" i="6" s="1"/>
  <c r="IN80" i="6"/>
  <c r="IM9" i="6"/>
  <c r="IN9" i="6" s="1"/>
  <c r="IN8" i="6"/>
  <c r="IO42" i="6"/>
  <c r="IO39" i="6"/>
  <c r="E231" i="7"/>
  <c r="IO72" i="6"/>
  <c r="F350" i="4"/>
  <c r="G350" i="4" s="1"/>
  <c r="L350" i="4"/>
  <c r="IM5" i="6" l="1"/>
  <c r="IM4" i="6"/>
  <c r="IN4" i="6" s="1"/>
  <c r="IN52" i="6"/>
  <c r="IM56" i="6"/>
  <c r="IO78" i="6"/>
  <c r="IO48" i="6"/>
  <c r="C232" i="7"/>
  <c r="IO40" i="6"/>
  <c r="IO43" i="6"/>
  <c r="E351" i="4"/>
  <c r="D351" i="4"/>
  <c r="F232" i="7" l="1"/>
  <c r="D232" i="7"/>
  <c r="IP37" i="6" s="1"/>
  <c r="IP58" i="6"/>
  <c r="IP60" i="6" s="1"/>
  <c r="IN5" i="6"/>
  <c r="IM7" i="6"/>
  <c r="IO47" i="6"/>
  <c r="IO44" i="6"/>
  <c r="IO8" i="6"/>
  <c r="IO80" i="6"/>
  <c r="IM57" i="6"/>
  <c r="IM61" i="6" s="1"/>
  <c r="IM6" i="6"/>
  <c r="IN56" i="6"/>
  <c r="F351" i="4"/>
  <c r="G351" i="4" s="1"/>
  <c r="L351" i="4"/>
  <c r="IN6" i="6" l="1"/>
  <c r="IN57" i="6"/>
  <c r="IN7" i="6"/>
  <c r="IN13" i="6" s="1"/>
  <c r="E232" i="7"/>
  <c r="IP72" i="6"/>
  <c r="IM11" i="6"/>
  <c r="IN61" i="6"/>
  <c r="IN11" i="6" s="1"/>
  <c r="IN12" i="6" s="1"/>
  <c r="IO82" i="6"/>
  <c r="IO9" i="6"/>
  <c r="IO52" i="6"/>
  <c r="IP42" i="6"/>
  <c r="IP39" i="6"/>
  <c r="D352" i="4"/>
  <c r="E352" i="4"/>
  <c r="IO5" i="6" l="1"/>
  <c r="IO4" i="6"/>
  <c r="IP48" i="6"/>
  <c r="C233" i="7"/>
  <c r="IO56" i="6"/>
  <c r="IP78" i="6"/>
  <c r="IP40" i="6"/>
  <c r="IP43" i="6"/>
  <c r="F352" i="4"/>
  <c r="G352" i="4" s="1"/>
  <c r="L352" i="4"/>
  <c r="IO6" i="6" l="1"/>
  <c r="IO57" i="6"/>
  <c r="IO61" i="6" s="1"/>
  <c r="IO11" i="6" s="1"/>
  <c r="IO7" i="6"/>
  <c r="IP47" i="6"/>
  <c r="IP44" i="6"/>
  <c r="IP8" i="6"/>
  <c r="IP80" i="6"/>
  <c r="IQ58" i="6"/>
  <c r="IQ60" i="6" s="1"/>
  <c r="F233" i="7"/>
  <c r="D233" i="7"/>
  <c r="IQ37" i="6" s="1"/>
  <c r="E353" i="4"/>
  <c r="D353" i="4"/>
  <c r="E233" i="7" l="1"/>
  <c r="IQ72" i="6"/>
  <c r="IQ39" i="6"/>
  <c r="IQ42" i="6"/>
  <c r="IP9" i="6"/>
  <c r="IP52" i="6"/>
  <c r="IP82" i="6"/>
  <c r="F353" i="4"/>
  <c r="G353" i="4" s="1"/>
  <c r="L353" i="4"/>
  <c r="IP4" i="6" l="1"/>
  <c r="IP5" i="6"/>
  <c r="IP56" i="6"/>
  <c r="IQ43" i="6"/>
  <c r="IQ40" i="6"/>
  <c r="IQ78" i="6"/>
  <c r="IQ48" i="6"/>
  <c r="C234" i="7"/>
  <c r="D354" i="4"/>
  <c r="E354" i="4"/>
  <c r="F234" i="7" l="1"/>
  <c r="D234" i="7"/>
  <c r="IR37" i="6" s="1"/>
  <c r="IR58" i="6"/>
  <c r="IR60" i="6" s="1"/>
  <c r="IQ8" i="6"/>
  <c r="IQ47" i="6"/>
  <c r="IQ44" i="6"/>
  <c r="IQ80" i="6"/>
  <c r="IP6" i="6"/>
  <c r="IP57" i="6"/>
  <c r="IP61" i="6" s="1"/>
  <c r="IP11" i="6" s="1"/>
  <c r="IP7" i="6"/>
  <c r="F354" i="4"/>
  <c r="G354" i="4" s="1"/>
  <c r="L354" i="4"/>
  <c r="IQ82" i="6" l="1"/>
  <c r="IQ52" i="6"/>
  <c r="IQ9" i="6"/>
  <c r="IR42" i="6"/>
  <c r="IR39" i="6"/>
  <c r="IR72" i="6"/>
  <c r="E234" i="7"/>
  <c r="E355" i="4"/>
  <c r="D355" i="4"/>
  <c r="IR78" i="6" l="1"/>
  <c r="IR48" i="6"/>
  <c r="C235" i="7"/>
  <c r="IR43" i="6"/>
  <c r="IR40" i="6"/>
  <c r="IQ5" i="6"/>
  <c r="IQ4" i="6"/>
  <c r="IQ56" i="6"/>
  <c r="F355" i="4"/>
  <c r="G355" i="4" s="1"/>
  <c r="L355" i="4"/>
  <c r="IQ6" i="6" l="1"/>
  <c r="IQ57" i="6"/>
  <c r="IQ61" i="6" s="1"/>
  <c r="IQ11" i="6" s="1"/>
  <c r="IQ7" i="6"/>
  <c r="IR44" i="6"/>
  <c r="IR8" i="6"/>
  <c r="IR47" i="6"/>
  <c r="IS58" i="6"/>
  <c r="IS60" i="6" s="1"/>
  <c r="F235" i="7"/>
  <c r="D235" i="7"/>
  <c r="IS37" i="6" s="1"/>
  <c r="IR80" i="6"/>
  <c r="E356" i="4"/>
  <c r="D356" i="4"/>
  <c r="IS39" i="6" l="1"/>
  <c r="IS42" i="6"/>
  <c r="IR82" i="6"/>
  <c r="E235" i="7"/>
  <c r="IS72" i="6"/>
  <c r="IR52" i="6"/>
  <c r="IR9" i="6"/>
  <c r="F356" i="4"/>
  <c r="G356" i="4" s="1"/>
  <c r="L356" i="4"/>
  <c r="IR5" i="6" l="1"/>
  <c r="IR4" i="6"/>
  <c r="IR56" i="6"/>
  <c r="IS78" i="6"/>
  <c r="IS48" i="6"/>
  <c r="C236" i="7"/>
  <c r="IS40" i="6"/>
  <c r="IS43" i="6"/>
  <c r="E357" i="4"/>
  <c r="D357" i="4"/>
  <c r="F236" i="7" l="1"/>
  <c r="D236" i="7"/>
  <c r="IT37" i="6" s="1"/>
  <c r="IT58" i="6"/>
  <c r="IT60" i="6" s="1"/>
  <c r="IS47" i="6"/>
  <c r="IS44" i="6"/>
  <c r="IS8" i="6"/>
  <c r="IS80" i="6"/>
  <c r="IR57" i="6"/>
  <c r="IR61" i="6" s="1"/>
  <c r="IR11" i="6" s="1"/>
  <c r="IR6" i="6"/>
  <c r="IR7" i="6"/>
  <c r="F357" i="4"/>
  <c r="G357" i="4" s="1"/>
  <c r="L357" i="4"/>
  <c r="IS82" i="6" l="1"/>
  <c r="IS9" i="6"/>
  <c r="IS52" i="6"/>
  <c r="IT39" i="6"/>
  <c r="IT42" i="6"/>
  <c r="E236" i="7"/>
  <c r="IT72" i="6"/>
  <c r="IT78" i="6" s="1"/>
  <c r="IT80" i="6" s="1"/>
  <c r="E358" i="4"/>
  <c r="D358" i="4"/>
  <c r="IT82" i="6" l="1"/>
  <c r="IT48" i="6"/>
  <c r="C237" i="7"/>
  <c r="IT40" i="6"/>
  <c r="IT43" i="6"/>
  <c r="IS5" i="6"/>
  <c r="IS4" i="6"/>
  <c r="IS56" i="6"/>
  <c r="F358" i="4"/>
  <c r="G358" i="4" s="1"/>
  <c r="L358" i="4"/>
  <c r="IS7" i="6" l="1"/>
  <c r="IT44" i="6"/>
  <c r="IT8" i="6"/>
  <c r="IT9" i="6" s="1"/>
  <c r="IT47" i="6"/>
  <c r="IT52" i="6" s="1"/>
  <c r="IT56" i="6" s="1"/>
  <c r="IS6" i="6"/>
  <c r="IS57" i="6"/>
  <c r="IS61" i="6" s="1"/>
  <c r="IS11" i="6" s="1"/>
  <c r="IU58" i="6"/>
  <c r="IU60" i="6" s="1"/>
  <c r="F237" i="7"/>
  <c r="D237" i="7"/>
  <c r="IU37" i="6" s="1"/>
  <c r="E359" i="4"/>
  <c r="D359" i="4"/>
  <c r="IU72" i="6" l="1"/>
  <c r="IU78" i="6" s="1"/>
  <c r="IU80" i="6" s="1"/>
  <c r="IU82" i="6" s="1"/>
  <c r="E237" i="7"/>
  <c r="IT57" i="6"/>
  <c r="IT61" i="6" s="1"/>
  <c r="IT11" i="6" s="1"/>
  <c r="IT6" i="6"/>
  <c r="IT4" i="6"/>
  <c r="IT5" i="6"/>
  <c r="IT7" i="6" s="1"/>
  <c r="IU42" i="6"/>
  <c r="IU39" i="6"/>
  <c r="F359" i="4"/>
  <c r="G359" i="4" s="1"/>
  <c r="L359" i="4"/>
  <c r="IU40" i="6" l="1"/>
  <c r="IU43" i="6"/>
  <c r="IU48" i="6"/>
  <c r="C238" i="7"/>
  <c r="E360" i="4"/>
  <c r="D360" i="4"/>
  <c r="F238" i="7" l="1"/>
  <c r="D238" i="7"/>
  <c r="IV37" i="6" s="1"/>
  <c r="IV58" i="6"/>
  <c r="IV60" i="6" s="1"/>
  <c r="IU47" i="6"/>
  <c r="IU52" i="6" s="1"/>
  <c r="IU44" i="6"/>
  <c r="IU8" i="6"/>
  <c r="IU9" i="6" s="1"/>
  <c r="F360" i="4"/>
  <c r="G360" i="4" s="1"/>
  <c r="L360" i="4"/>
  <c r="IU4" i="6" l="1"/>
  <c r="IU5" i="6"/>
  <c r="IU7" i="6" s="1"/>
  <c r="IU56" i="6"/>
  <c r="IV42" i="6"/>
  <c r="IV39" i="6"/>
  <c r="E238" i="7"/>
  <c r="IV72" i="6"/>
  <c r="IV78" i="6" s="1"/>
  <c r="IV80" i="6" s="1"/>
  <c r="IV82" i="6" s="1"/>
  <c r="E361" i="4"/>
  <c r="D361" i="4"/>
  <c r="IV48" i="6" l="1"/>
  <c r="C239" i="7"/>
  <c r="IV40" i="6"/>
  <c r="IV43" i="6"/>
  <c r="IU6" i="6"/>
  <c r="IU57" i="6"/>
  <c r="IU61" i="6" s="1"/>
  <c r="IU11" i="6" s="1"/>
  <c r="F361" i="4"/>
  <c r="G361" i="4" s="1"/>
  <c r="L361" i="4"/>
  <c r="D239" i="7" l="1"/>
  <c r="IW37" i="6" s="1"/>
  <c r="F239" i="7"/>
  <c r="IW58" i="6"/>
  <c r="IW60" i="6" s="1"/>
  <c r="IV44" i="6"/>
  <c r="IV47" i="6"/>
  <c r="IV52" i="6" s="1"/>
  <c r="IV8" i="6"/>
  <c r="IV9" i="6" s="1"/>
  <c r="D362" i="4"/>
  <c r="E362" i="4"/>
  <c r="IW39" i="6" l="1"/>
  <c r="IW42" i="6"/>
  <c r="IV4" i="6"/>
  <c r="IV5" i="6"/>
  <c r="IV7" i="6" s="1"/>
  <c r="IV56" i="6"/>
  <c r="E239" i="7"/>
  <c r="IW72" i="6"/>
  <c r="IW78" i="6" s="1"/>
  <c r="IW80" i="6" s="1"/>
  <c r="IW82" i="6" s="1"/>
  <c r="F362" i="4"/>
  <c r="G362" i="4" s="1"/>
  <c r="L362" i="4"/>
  <c r="IW43" i="6" l="1"/>
  <c r="IW40" i="6"/>
  <c r="IW48" i="6"/>
  <c r="C240" i="7"/>
  <c r="IV6" i="6"/>
  <c r="IV57" i="6"/>
  <c r="IV61" i="6" s="1"/>
  <c r="IV11" i="6" s="1"/>
  <c r="E363" i="4"/>
  <c r="D363" i="4"/>
  <c r="F240" i="7" l="1"/>
  <c r="D240" i="7"/>
  <c r="IX37" i="6" s="1"/>
  <c r="IX58" i="6"/>
  <c r="IX60" i="6" s="1"/>
  <c r="IW44" i="6"/>
  <c r="IW47" i="6"/>
  <c r="IW52" i="6" s="1"/>
  <c r="IW8" i="6"/>
  <c r="IW9" i="6" s="1"/>
  <c r="F363" i="4"/>
  <c r="G363" i="4" s="1"/>
  <c r="L363" i="4"/>
  <c r="E240" i="7" l="1"/>
  <c r="IX72" i="6"/>
  <c r="IX78" i="6" s="1"/>
  <c r="IX80" i="6" s="1"/>
  <c r="IX82" i="6" s="1"/>
  <c r="IW4" i="6"/>
  <c r="IW5" i="6"/>
  <c r="IW7" i="6" s="1"/>
  <c r="IW56" i="6"/>
  <c r="IX39" i="6"/>
  <c r="IX42" i="6"/>
  <c r="D364" i="4"/>
  <c r="E364" i="4"/>
  <c r="IX48" i="6" l="1"/>
  <c r="C241" i="7"/>
  <c r="IX40" i="6"/>
  <c r="IX43" i="6"/>
  <c r="IW57" i="6"/>
  <c r="IW61" i="6" s="1"/>
  <c r="IW11" i="6" s="1"/>
  <c r="IW6" i="6"/>
  <c r="F364" i="4"/>
  <c r="G364" i="4" s="1"/>
  <c r="L364" i="4"/>
  <c r="IX47" i="6" l="1"/>
  <c r="IX52" i="6" s="1"/>
  <c r="IX44" i="6"/>
  <c r="IX8" i="6"/>
  <c r="IX9" i="6" s="1"/>
  <c r="F241" i="7"/>
  <c r="D241" i="7"/>
  <c r="IY37" i="6" s="1"/>
  <c r="IY58" i="6"/>
  <c r="IY60" i="6" s="1"/>
  <c r="D365" i="4"/>
  <c r="E365" i="4"/>
  <c r="IX5" i="6" l="1"/>
  <c r="IX7" i="6" s="1"/>
  <c r="IX4" i="6"/>
  <c r="IX56" i="6"/>
  <c r="E241" i="7"/>
  <c r="IY72" i="6"/>
  <c r="IY78" i="6" s="1"/>
  <c r="IY80" i="6" s="1"/>
  <c r="IY82" i="6" s="1"/>
  <c r="IY42" i="6"/>
  <c r="IY39" i="6"/>
  <c r="F365" i="4"/>
  <c r="G365" i="4" s="1"/>
  <c r="L365" i="4"/>
  <c r="IX6" i="6" l="1"/>
  <c r="IX57" i="6"/>
  <c r="IX61" i="6" s="1"/>
  <c r="IX11" i="6" s="1"/>
  <c r="IY43" i="6"/>
  <c r="IY40" i="6"/>
  <c r="IY48" i="6"/>
  <c r="C242" i="7"/>
  <c r="E366" i="4"/>
  <c r="D366" i="4"/>
  <c r="IY47" i="6" l="1"/>
  <c r="IY52" i="6" s="1"/>
  <c r="IY8" i="6"/>
  <c r="IY9" i="6" s="1"/>
  <c r="IY44" i="6"/>
  <c r="IZ58" i="6"/>
  <c r="F242" i="7"/>
  <c r="D242" i="7"/>
  <c r="IZ37" i="6" s="1"/>
  <c r="F366" i="4"/>
  <c r="G366" i="4" s="1"/>
  <c r="L366" i="4"/>
  <c r="IZ39" i="6" l="1"/>
  <c r="IZ42" i="6"/>
  <c r="JA42" i="6" s="1"/>
  <c r="JA37" i="6"/>
  <c r="IZ60" i="6"/>
  <c r="JA60" i="6" s="1"/>
  <c r="JA58" i="6"/>
  <c r="E242" i="7"/>
  <c r="IZ72" i="6"/>
  <c r="IY4" i="6"/>
  <c r="IY5" i="6"/>
  <c r="IY7" i="6" s="1"/>
  <c r="IY56" i="6"/>
  <c r="E367" i="4"/>
  <c r="D367" i="4"/>
  <c r="IY57" i="6" l="1"/>
  <c r="IY61" i="6" s="1"/>
  <c r="IY11" i="6" s="1"/>
  <c r="IY6" i="6"/>
  <c r="IZ78" i="6"/>
  <c r="JA72" i="6"/>
  <c r="IZ48" i="6"/>
  <c r="JA48" i="6" s="1"/>
  <c r="C243" i="7"/>
  <c r="IZ43" i="6"/>
  <c r="IZ40" i="6"/>
  <c r="JA39" i="6"/>
  <c r="JA40" i="6" s="1"/>
  <c r="F367" i="4"/>
  <c r="G367" i="4" s="1"/>
  <c r="L367" i="4"/>
  <c r="F243" i="7" l="1"/>
  <c r="JB58" i="6"/>
  <c r="JB60" i="6" s="1"/>
  <c r="D243" i="7"/>
  <c r="JB37" i="6" s="1"/>
  <c r="IZ80" i="6"/>
  <c r="JA78" i="6"/>
  <c r="IZ8" i="6"/>
  <c r="IZ44" i="6"/>
  <c r="IZ47" i="6"/>
  <c r="JA43" i="6"/>
  <c r="JA44" i="6" s="1"/>
  <c r="D368" i="4"/>
  <c r="E368" i="4"/>
  <c r="IZ52" i="6" l="1"/>
  <c r="JA47" i="6"/>
  <c r="IZ9" i="6"/>
  <c r="JA9" i="6" s="1"/>
  <c r="JA8" i="6"/>
  <c r="IZ82" i="6"/>
  <c r="JA82" i="6" s="1"/>
  <c r="JA80" i="6"/>
  <c r="JB39" i="6"/>
  <c r="JB42" i="6"/>
  <c r="JB72" i="6"/>
  <c r="E243" i="7"/>
  <c r="F368" i="4"/>
  <c r="G368" i="4" s="1"/>
  <c r="L368" i="4"/>
  <c r="JB78" i="6" l="1"/>
  <c r="JB40" i="6"/>
  <c r="JB43" i="6"/>
  <c r="IZ5" i="6"/>
  <c r="IZ4" i="6"/>
  <c r="JA4" i="6" s="1"/>
  <c r="JA52" i="6"/>
  <c r="IZ56" i="6"/>
  <c r="JB48" i="6"/>
  <c r="C244" i="7"/>
  <c r="E369" i="4"/>
  <c r="D369" i="4"/>
  <c r="JA56" i="6" l="1"/>
  <c r="IZ6" i="6"/>
  <c r="IZ57" i="6"/>
  <c r="IZ61" i="6" s="1"/>
  <c r="JB80" i="6"/>
  <c r="D244" i="7"/>
  <c r="JC37" i="6" s="1"/>
  <c r="JC58" i="6"/>
  <c r="JC60" i="6" s="1"/>
  <c r="F244" i="7"/>
  <c r="JA5" i="6"/>
  <c r="IZ7" i="6"/>
  <c r="JB47" i="6"/>
  <c r="JB8" i="6"/>
  <c r="JB44" i="6"/>
  <c r="F369" i="4"/>
  <c r="G369" i="4" s="1"/>
  <c r="L369" i="4"/>
  <c r="E244" i="7" l="1"/>
  <c r="JC72" i="6"/>
  <c r="JA6" i="6"/>
  <c r="JA57" i="6"/>
  <c r="JB9" i="6"/>
  <c r="JB52" i="6"/>
  <c r="JA7" i="6"/>
  <c r="JA13" i="6" s="1"/>
  <c r="JB82" i="6"/>
  <c r="JA61" i="6"/>
  <c r="JA11" i="6" s="1"/>
  <c r="JA12" i="6" s="1"/>
  <c r="IZ11" i="6"/>
  <c r="JC42" i="6"/>
  <c r="JC39" i="6"/>
  <c r="E370" i="4"/>
  <c r="D370" i="4"/>
  <c r="JB4" i="6" l="1"/>
  <c r="JB5" i="6"/>
  <c r="JC48" i="6"/>
  <c r="C245" i="7"/>
  <c r="JB56" i="6"/>
  <c r="JC40" i="6"/>
  <c r="JC43" i="6"/>
  <c r="JC78" i="6"/>
  <c r="F370" i="4"/>
  <c r="G370" i="4" s="1"/>
  <c r="L370" i="4"/>
  <c r="JC80" i="6" l="1"/>
  <c r="JC44" i="6"/>
  <c r="JC8" i="6"/>
  <c r="JC47" i="6"/>
  <c r="JB6" i="6"/>
  <c r="JB57" i="6"/>
  <c r="JB61" i="6" s="1"/>
  <c r="JB11" i="6" s="1"/>
  <c r="D245" i="7"/>
  <c r="JD37" i="6" s="1"/>
  <c r="F245" i="7"/>
  <c r="JD58" i="6"/>
  <c r="JD60" i="6" s="1"/>
  <c r="JB7" i="6"/>
  <c r="E371" i="4"/>
  <c r="D371" i="4"/>
  <c r="JD72" i="6" l="1"/>
  <c r="E245" i="7"/>
  <c r="JD42" i="6"/>
  <c r="JD39" i="6"/>
  <c r="JC52" i="6"/>
  <c r="JC9" i="6"/>
  <c r="JC82" i="6"/>
  <c r="F371" i="4"/>
  <c r="G371" i="4" s="1"/>
  <c r="L371" i="4"/>
  <c r="JD78" i="6" l="1"/>
  <c r="JC5" i="6"/>
  <c r="JC4" i="6"/>
  <c r="JC56" i="6"/>
  <c r="JD40" i="6"/>
  <c r="JD43" i="6"/>
  <c r="JD48" i="6"/>
  <c r="C246" i="7"/>
  <c r="D372" i="4"/>
  <c r="E372" i="4"/>
  <c r="D246" i="7" l="1"/>
  <c r="JE37" i="6" s="1"/>
  <c r="F246" i="7"/>
  <c r="JE58" i="6"/>
  <c r="JE60" i="6" s="1"/>
  <c r="JC6" i="6"/>
  <c r="JC57" i="6"/>
  <c r="JC61" i="6" s="1"/>
  <c r="JC11" i="6" s="1"/>
  <c r="JC7" i="6"/>
  <c r="JD80" i="6"/>
  <c r="JD44" i="6"/>
  <c r="JD47" i="6"/>
  <c r="JD8" i="6"/>
  <c r="F372" i="4"/>
  <c r="G372" i="4" s="1"/>
  <c r="L372" i="4"/>
  <c r="JE42" i="6" l="1"/>
  <c r="JE39" i="6"/>
  <c r="JD9" i="6"/>
  <c r="JD52" i="6"/>
  <c r="JD82" i="6"/>
  <c r="E246" i="7"/>
  <c r="JE72" i="6"/>
  <c r="E373" i="4"/>
  <c r="D373" i="4"/>
  <c r="JE78" i="6" l="1"/>
  <c r="JE48" i="6"/>
  <c r="C247" i="7"/>
  <c r="JD5" i="6"/>
  <c r="JD4" i="6"/>
  <c r="JD56" i="6"/>
  <c r="JE40" i="6"/>
  <c r="JE43" i="6"/>
  <c r="F373" i="4"/>
  <c r="G373" i="4" s="1"/>
  <c r="L373" i="4"/>
  <c r="JE80" i="6" l="1"/>
  <c r="JE44" i="6"/>
  <c r="JE47" i="6"/>
  <c r="JE8" i="6"/>
  <c r="JD6" i="6"/>
  <c r="JD57" i="6"/>
  <c r="JD61" i="6" s="1"/>
  <c r="JD11" i="6" s="1"/>
  <c r="F247" i="7"/>
  <c r="JF58" i="6"/>
  <c r="JF60" i="6" s="1"/>
  <c r="D247" i="7"/>
  <c r="JF37" i="6" s="1"/>
  <c r="JD7" i="6"/>
  <c r="E374" i="4"/>
  <c r="D374" i="4"/>
  <c r="JE82" i="6" l="1"/>
  <c r="E247" i="7"/>
  <c r="JF72" i="6"/>
  <c r="JF39" i="6"/>
  <c r="JF42" i="6"/>
  <c r="JE9" i="6"/>
  <c r="JE52" i="6"/>
  <c r="F374" i="4"/>
  <c r="G374" i="4" s="1"/>
  <c r="L374" i="4"/>
  <c r="JE5" i="6" l="1"/>
  <c r="JE4" i="6"/>
  <c r="JE56" i="6"/>
  <c r="JF78" i="6"/>
  <c r="JF48" i="6"/>
  <c r="C248" i="7"/>
  <c r="JF40" i="6"/>
  <c r="JF43" i="6"/>
  <c r="E375" i="4"/>
  <c r="D375" i="4"/>
  <c r="JF8" i="6" l="1"/>
  <c r="JF47" i="6"/>
  <c r="JF44" i="6"/>
  <c r="D248" i="7"/>
  <c r="JG37" i="6" s="1"/>
  <c r="F248" i="7"/>
  <c r="JG58" i="6"/>
  <c r="JG60" i="6" s="1"/>
  <c r="JF80" i="6"/>
  <c r="JE6" i="6"/>
  <c r="JE57" i="6"/>
  <c r="JE61" i="6" s="1"/>
  <c r="JE11" i="6" s="1"/>
  <c r="JE7" i="6"/>
  <c r="F375" i="4"/>
  <c r="G375" i="4" s="1"/>
  <c r="L375" i="4"/>
  <c r="JF82" i="6" l="1"/>
  <c r="E248" i="7"/>
  <c r="JG72" i="6"/>
  <c r="JG78" i="6" s="1"/>
  <c r="JG80" i="6" s="1"/>
  <c r="JG39" i="6"/>
  <c r="JG42" i="6"/>
  <c r="JF52" i="6"/>
  <c r="JF9" i="6"/>
  <c r="E376" i="4"/>
  <c r="D376" i="4"/>
  <c r="JG82" i="6" l="1"/>
  <c r="JF4" i="6"/>
  <c r="JF5" i="6"/>
  <c r="JF56" i="6"/>
  <c r="JG43" i="6"/>
  <c r="JG40" i="6"/>
  <c r="JG48" i="6"/>
  <c r="C249" i="7"/>
  <c r="F376" i="4"/>
  <c r="G376" i="4" s="1"/>
  <c r="L376" i="4"/>
  <c r="D249" i="7" l="1"/>
  <c r="JH37" i="6" s="1"/>
  <c r="F249" i="7"/>
  <c r="JH58" i="6"/>
  <c r="JH60" i="6" s="1"/>
  <c r="JG47" i="6"/>
  <c r="JG52" i="6" s="1"/>
  <c r="JG56" i="6" s="1"/>
  <c r="JG8" i="6"/>
  <c r="JG9" i="6" s="1"/>
  <c r="JG44" i="6"/>
  <c r="JF6" i="6"/>
  <c r="JF57" i="6"/>
  <c r="JF61" i="6" s="1"/>
  <c r="JF11" i="6" s="1"/>
  <c r="JF7" i="6"/>
  <c r="E377" i="4"/>
  <c r="D377" i="4"/>
  <c r="JG6" i="6" l="1"/>
  <c r="JG57" i="6"/>
  <c r="JG61" i="6" s="1"/>
  <c r="JG11" i="6" s="1"/>
  <c r="JG5" i="6"/>
  <c r="JG7" i="6" s="1"/>
  <c r="JG4" i="6"/>
  <c r="E249" i="7"/>
  <c r="JH72" i="6"/>
  <c r="JH78" i="6" s="1"/>
  <c r="JH80" i="6" s="1"/>
  <c r="JH82" i="6" s="1"/>
  <c r="JH39" i="6"/>
  <c r="JH42" i="6"/>
  <c r="F377" i="4"/>
  <c r="G377" i="4" s="1"/>
  <c r="L377" i="4"/>
  <c r="JH40" i="6" l="1"/>
  <c r="JH43" i="6"/>
  <c r="JH48" i="6"/>
  <c r="C250" i="7"/>
  <c r="D378" i="4"/>
  <c r="E378" i="4"/>
  <c r="D250" i="7" l="1"/>
  <c r="JI37" i="6" s="1"/>
  <c r="F250" i="7"/>
  <c r="JI58" i="6"/>
  <c r="JI60" i="6" s="1"/>
  <c r="JH8" i="6"/>
  <c r="JH9" i="6" s="1"/>
  <c r="JH44" i="6"/>
  <c r="JH47" i="6"/>
  <c r="JH52" i="6" s="1"/>
  <c r="F378" i="4"/>
  <c r="G378" i="4" s="1"/>
  <c r="L378" i="4"/>
  <c r="E250" i="7" l="1"/>
  <c r="JI72" i="6"/>
  <c r="JI78" i="6" s="1"/>
  <c r="JI80" i="6" s="1"/>
  <c r="JI82" i="6" s="1"/>
  <c r="JH5" i="6"/>
  <c r="JH7" i="6" s="1"/>
  <c r="JH4" i="6"/>
  <c r="JH56" i="6"/>
  <c r="JI42" i="6"/>
  <c r="JI39" i="6"/>
  <c r="D379" i="4"/>
  <c r="E379" i="4"/>
  <c r="JI43" i="6" l="1"/>
  <c r="JI40" i="6"/>
  <c r="JH57" i="6"/>
  <c r="JH61" i="6" s="1"/>
  <c r="JH11" i="6" s="1"/>
  <c r="JH6" i="6"/>
  <c r="JI48" i="6"/>
  <c r="C251" i="7"/>
  <c r="F379" i="4"/>
  <c r="G379" i="4" s="1"/>
  <c r="L379" i="4"/>
  <c r="JJ58" i="6" l="1"/>
  <c r="JJ60" i="6" s="1"/>
  <c r="F251" i="7"/>
  <c r="D251" i="7"/>
  <c r="JJ37" i="6" s="1"/>
  <c r="JI47" i="6"/>
  <c r="JI52" i="6" s="1"/>
  <c r="JI44" i="6"/>
  <c r="JI8" i="6"/>
  <c r="JI9" i="6" s="1"/>
  <c r="E380" i="4"/>
  <c r="D380" i="4"/>
  <c r="JJ72" i="6" l="1"/>
  <c r="JJ78" i="6" s="1"/>
  <c r="JJ80" i="6" s="1"/>
  <c r="JJ82" i="6" s="1"/>
  <c r="E251" i="7"/>
  <c r="JI4" i="6"/>
  <c r="JI5" i="6"/>
  <c r="JI7" i="6" s="1"/>
  <c r="JI56" i="6"/>
  <c r="JJ39" i="6"/>
  <c r="JJ42" i="6"/>
  <c r="F380" i="4"/>
  <c r="G380" i="4" s="1"/>
  <c r="L380" i="4"/>
  <c r="JJ48" i="6" l="1"/>
  <c r="C252" i="7"/>
  <c r="JJ40" i="6"/>
  <c r="JJ43" i="6"/>
  <c r="JI6" i="6"/>
  <c r="JI57" i="6"/>
  <c r="JI61" i="6" s="1"/>
  <c r="JI11" i="6" s="1"/>
  <c r="E381" i="4"/>
  <c r="D381" i="4"/>
  <c r="F252" i="7" l="1"/>
  <c r="D252" i="7"/>
  <c r="JK37" i="6" s="1"/>
  <c r="JK58" i="6"/>
  <c r="JK60" i="6" s="1"/>
  <c r="JJ47" i="6"/>
  <c r="JJ52" i="6" s="1"/>
  <c r="JJ44" i="6"/>
  <c r="JJ8" i="6"/>
  <c r="JJ9" i="6" s="1"/>
  <c r="F381" i="4"/>
  <c r="G381" i="4" s="1"/>
  <c r="L381" i="4"/>
  <c r="JJ4" i="6" l="1"/>
  <c r="JJ5" i="6"/>
  <c r="JJ7" i="6" s="1"/>
  <c r="JJ56" i="6"/>
  <c r="JK42" i="6"/>
  <c r="JK39" i="6"/>
  <c r="E252" i="7"/>
  <c r="JK72" i="6"/>
  <c r="JK78" i="6" s="1"/>
  <c r="JK80" i="6" s="1"/>
  <c r="JK82" i="6" s="1"/>
  <c r="D382" i="4"/>
  <c r="E382" i="4"/>
  <c r="JK40" i="6" l="1"/>
  <c r="JK43" i="6"/>
  <c r="JK48" i="6"/>
  <c r="C253" i="7"/>
  <c r="JJ6" i="6"/>
  <c r="JJ57" i="6"/>
  <c r="JJ61" i="6" s="1"/>
  <c r="JJ11" i="6" s="1"/>
  <c r="F382" i="4"/>
  <c r="G382" i="4" s="1"/>
  <c r="L382" i="4"/>
  <c r="JL58" i="6" l="1"/>
  <c r="JL60" i="6" s="1"/>
  <c r="F253" i="7"/>
  <c r="D253" i="7"/>
  <c r="JL37" i="6" s="1"/>
  <c r="JK44" i="6"/>
  <c r="JK47" i="6"/>
  <c r="JK52" i="6" s="1"/>
  <c r="JK8" i="6"/>
  <c r="JK9" i="6" s="1"/>
  <c r="E383" i="4"/>
  <c r="D383" i="4"/>
  <c r="JK5" i="6" l="1"/>
  <c r="JK7" i="6" s="1"/>
  <c r="JK4" i="6"/>
  <c r="JK56" i="6"/>
  <c r="JL39" i="6"/>
  <c r="JL42" i="6"/>
  <c r="E253" i="7"/>
  <c r="JL72" i="6"/>
  <c r="JL78" i="6" s="1"/>
  <c r="JL80" i="6" s="1"/>
  <c r="JL82" i="6" s="1"/>
  <c r="F383" i="4"/>
  <c r="G383" i="4" s="1"/>
  <c r="L383" i="4"/>
  <c r="JL43" i="6" l="1"/>
  <c r="JL40" i="6"/>
  <c r="JL48" i="6"/>
  <c r="C254" i="7"/>
  <c r="JK57" i="6"/>
  <c r="JK61" i="6" s="1"/>
  <c r="JK11" i="6" s="1"/>
  <c r="JK6" i="6"/>
  <c r="E384" i="4"/>
  <c r="D384" i="4"/>
  <c r="JL44" i="6" l="1"/>
  <c r="JL8" i="6"/>
  <c r="JL9" i="6" s="1"/>
  <c r="JL47" i="6"/>
  <c r="JL52" i="6" s="1"/>
  <c r="F254" i="7"/>
  <c r="D254" i="7"/>
  <c r="JM37" i="6" s="1"/>
  <c r="JM58" i="6"/>
  <c r="F384" i="4"/>
  <c r="G384" i="4" s="1"/>
  <c r="L384" i="4"/>
  <c r="JM39" i="6" l="1"/>
  <c r="JM42" i="6"/>
  <c r="JN42" i="6" s="1"/>
  <c r="JN37" i="6"/>
  <c r="E254" i="7"/>
  <c r="JM72" i="6"/>
  <c r="JM60" i="6"/>
  <c r="JN60" i="6" s="1"/>
  <c r="JN58" i="6"/>
  <c r="JL4" i="6"/>
  <c r="JL5" i="6"/>
  <c r="JL7" i="6" s="1"/>
  <c r="JL56" i="6"/>
  <c r="D385" i="4"/>
  <c r="E385" i="4"/>
  <c r="JL6" i="6" l="1"/>
  <c r="JL57" i="6"/>
  <c r="JL61" i="6" s="1"/>
  <c r="JL11" i="6" s="1"/>
  <c r="JM78" i="6"/>
  <c r="JN72" i="6"/>
  <c r="JM48" i="6"/>
  <c r="JN48" i="6" s="1"/>
  <c r="C255" i="7"/>
  <c r="JM40" i="6"/>
  <c r="JM43" i="6"/>
  <c r="JN39" i="6"/>
  <c r="JN40" i="6" s="1"/>
  <c r="F385" i="4"/>
  <c r="G385" i="4" s="1"/>
  <c r="L385" i="4"/>
  <c r="D255" i="7" l="1"/>
  <c r="JO37" i="6" s="1"/>
  <c r="JO58" i="6"/>
  <c r="JO60" i="6" s="1"/>
  <c r="F255" i="7"/>
  <c r="JM44" i="6"/>
  <c r="JM47" i="6"/>
  <c r="JM8" i="6"/>
  <c r="JN43" i="6"/>
  <c r="JN44" i="6" s="1"/>
  <c r="JM80" i="6"/>
  <c r="JN78" i="6"/>
  <c r="E386" i="4"/>
  <c r="D386" i="4"/>
  <c r="JM82" i="6" l="1"/>
  <c r="JN82" i="6" s="1"/>
  <c r="JN80" i="6"/>
  <c r="JM9" i="6"/>
  <c r="JN9" i="6" s="1"/>
  <c r="JN8" i="6"/>
  <c r="JM52" i="6"/>
  <c r="JN47" i="6"/>
  <c r="E255" i="7"/>
  <c r="JO72" i="6"/>
  <c r="JO42" i="6"/>
  <c r="JO39" i="6"/>
  <c r="F386" i="4"/>
  <c r="G386" i="4" s="1"/>
  <c r="L386" i="4"/>
  <c r="JO78" i="6" l="1"/>
  <c r="JM5" i="6"/>
  <c r="JM4" i="6"/>
  <c r="JN4" i="6" s="1"/>
  <c r="JN52" i="6"/>
  <c r="JM56" i="6"/>
  <c r="JO43" i="6"/>
  <c r="JO40" i="6"/>
  <c r="JO48" i="6"/>
  <c r="C256" i="7"/>
  <c r="E387" i="4"/>
  <c r="D387" i="4"/>
  <c r="JO47" i="6" l="1"/>
  <c r="JO44" i="6"/>
  <c r="JO8" i="6"/>
  <c r="F256" i="7"/>
  <c r="D256" i="7"/>
  <c r="JP37" i="6" s="1"/>
  <c r="JP58" i="6"/>
  <c r="JP60" i="6" s="1"/>
  <c r="JM57" i="6"/>
  <c r="JM61" i="6" s="1"/>
  <c r="JN56" i="6"/>
  <c r="JM6" i="6"/>
  <c r="JN5" i="6"/>
  <c r="JM7" i="6"/>
  <c r="JO80" i="6"/>
  <c r="F387" i="4"/>
  <c r="G387" i="4" s="1"/>
  <c r="L387" i="4"/>
  <c r="JN7" i="6" l="1"/>
  <c r="JN13" i="6" s="1"/>
  <c r="JO82" i="6"/>
  <c r="JN6" i="6"/>
  <c r="JN57" i="6"/>
  <c r="JN61" i="6"/>
  <c r="JN11" i="6" s="1"/>
  <c r="JN12" i="6" s="1"/>
  <c r="JM11" i="6"/>
  <c r="JP42" i="6"/>
  <c r="JP39" i="6"/>
  <c r="JP72" i="6"/>
  <c r="E256" i="7"/>
  <c r="JO9" i="6"/>
  <c r="JO52" i="6"/>
  <c r="JO56" i="6" s="1"/>
  <c r="E388" i="4"/>
  <c r="D388" i="4"/>
  <c r="JP48" i="6" l="1"/>
  <c r="C257" i="7"/>
  <c r="JO6" i="6"/>
  <c r="JO57" i="6"/>
  <c r="JO61" i="6" s="1"/>
  <c r="JO11" i="6" s="1"/>
  <c r="JP78" i="6"/>
  <c r="JP43" i="6"/>
  <c r="JP40" i="6"/>
  <c r="JO5" i="6"/>
  <c r="JO4" i="6"/>
  <c r="F388" i="4"/>
  <c r="G388" i="4" s="1"/>
  <c r="L388" i="4"/>
  <c r="JO7" i="6" l="1"/>
  <c r="JP47" i="6"/>
  <c r="JP8" i="6"/>
  <c r="JP44" i="6"/>
  <c r="JP80" i="6"/>
  <c r="JQ58" i="6"/>
  <c r="JQ60" i="6" s="1"/>
  <c r="F257" i="7"/>
  <c r="D257" i="7"/>
  <c r="JQ37" i="6" s="1"/>
  <c r="E389" i="4"/>
  <c r="D389" i="4"/>
  <c r="E257" i="7" l="1"/>
  <c r="JQ72" i="6"/>
  <c r="JP82" i="6"/>
  <c r="JQ42" i="6"/>
  <c r="JQ39" i="6"/>
  <c r="JP9" i="6"/>
  <c r="JP52" i="6"/>
  <c r="F389" i="4"/>
  <c r="G389" i="4" s="1"/>
  <c r="L389" i="4"/>
  <c r="JQ40" i="6" l="1"/>
  <c r="JQ43" i="6"/>
  <c r="JP4" i="6"/>
  <c r="JP5" i="6"/>
  <c r="JP56" i="6"/>
  <c r="JQ78" i="6"/>
  <c r="JQ48" i="6"/>
  <c r="C258" i="7"/>
  <c r="JP6" i="6" l="1"/>
  <c r="JP57" i="6"/>
  <c r="JP61" i="6" s="1"/>
  <c r="JP11" i="6" s="1"/>
  <c r="JP7" i="6"/>
  <c r="F258" i="7"/>
  <c r="D258" i="7"/>
  <c r="JR37" i="6" s="1"/>
  <c r="JR58" i="6"/>
  <c r="JR60" i="6" s="1"/>
  <c r="JQ80" i="6"/>
  <c r="JQ44" i="6"/>
  <c r="JQ8" i="6"/>
  <c r="JQ47" i="6"/>
  <c r="JQ52" i="6" l="1"/>
  <c r="JQ82" i="6"/>
  <c r="JQ9" i="6"/>
  <c r="E258" i="7"/>
  <c r="JR72" i="6"/>
  <c r="JR39" i="6"/>
  <c r="JR42" i="6"/>
  <c r="JR40" i="6" l="1"/>
  <c r="JR43" i="6"/>
  <c r="JR48" i="6"/>
  <c r="C259" i="7"/>
  <c r="JQ5" i="6"/>
  <c r="JQ4" i="6"/>
  <c r="JQ56" i="6"/>
  <c r="JR78" i="6"/>
  <c r="D259" i="7" l="1"/>
  <c r="JS37" i="6" s="1"/>
  <c r="F259" i="7"/>
  <c r="JS58" i="6"/>
  <c r="JS60" i="6" s="1"/>
  <c r="JR80" i="6"/>
  <c r="JQ6" i="6"/>
  <c r="JQ57" i="6"/>
  <c r="JQ61" i="6" s="1"/>
  <c r="JQ11" i="6" s="1"/>
  <c r="JQ7" i="6"/>
  <c r="JR8" i="6"/>
  <c r="JR47" i="6"/>
  <c r="JR44" i="6"/>
  <c r="JR52" i="6" l="1"/>
  <c r="E259" i="7"/>
  <c r="JS72" i="6"/>
  <c r="JR9" i="6"/>
  <c r="JR82" i="6"/>
  <c r="JS39" i="6"/>
  <c r="JS42" i="6"/>
  <c r="JS48" i="6" l="1"/>
  <c r="C260" i="7"/>
  <c r="JS40" i="6"/>
  <c r="JS43" i="6"/>
  <c r="JS78" i="6"/>
  <c r="JR4" i="6"/>
  <c r="JR5" i="6"/>
  <c r="JR56" i="6"/>
  <c r="JS47" i="6" l="1"/>
  <c r="JS44" i="6"/>
  <c r="JS8" i="6"/>
  <c r="JR7" i="6"/>
  <c r="JS80" i="6"/>
  <c r="JR57" i="6"/>
  <c r="JR61" i="6" s="1"/>
  <c r="JR11" i="6" s="1"/>
  <c r="JR6" i="6"/>
  <c r="D260" i="7"/>
  <c r="JT37" i="6" s="1"/>
  <c r="F260" i="7"/>
  <c r="JT58" i="6"/>
  <c r="JT60" i="6" s="1"/>
  <c r="JT39" i="6" l="1"/>
  <c r="JT42" i="6"/>
  <c r="E260" i="7"/>
  <c r="JT72" i="6"/>
  <c r="JT78" i="6" s="1"/>
  <c r="JT80" i="6" s="1"/>
  <c r="JS82" i="6"/>
  <c r="JS9" i="6"/>
  <c r="JS52" i="6"/>
  <c r="JT82" i="6" l="1"/>
  <c r="JS5" i="6"/>
  <c r="JS4" i="6"/>
  <c r="JS56" i="6"/>
  <c r="JT48" i="6"/>
  <c r="C261" i="7"/>
  <c r="JT40" i="6"/>
  <c r="JT43" i="6"/>
  <c r="F261" i="7" l="1"/>
  <c r="D261" i="7"/>
  <c r="JU37" i="6" s="1"/>
  <c r="JU58" i="6"/>
  <c r="JU60" i="6" s="1"/>
  <c r="JS6" i="6"/>
  <c r="JS57" i="6"/>
  <c r="JS61" i="6" s="1"/>
  <c r="JS11" i="6" s="1"/>
  <c r="JT47" i="6"/>
  <c r="JT52" i="6" s="1"/>
  <c r="JT44" i="6"/>
  <c r="JT8" i="6"/>
  <c r="JT9" i="6" s="1"/>
  <c r="JS7" i="6"/>
  <c r="JT4" i="6" l="1"/>
  <c r="JT5" i="6"/>
  <c r="JT7" i="6" s="1"/>
  <c r="JT56" i="6"/>
  <c r="JU42" i="6"/>
  <c r="JU39" i="6"/>
  <c r="E261" i="7"/>
  <c r="JU72" i="6"/>
  <c r="JU78" i="6" s="1"/>
  <c r="JU80" i="6" s="1"/>
  <c r="JU82" i="6" s="1"/>
  <c r="JU48" i="6" l="1"/>
  <c r="C262" i="7"/>
  <c r="JU43" i="6"/>
  <c r="JU40" i="6"/>
  <c r="JT6" i="6"/>
  <c r="JT57" i="6"/>
  <c r="JT61" i="6" s="1"/>
  <c r="JT11" i="6" s="1"/>
  <c r="JV58" i="6" l="1"/>
  <c r="JV60" i="6" s="1"/>
  <c r="D262" i="7"/>
  <c r="JV37" i="6" s="1"/>
  <c r="F262" i="7"/>
  <c r="JU44" i="6"/>
  <c r="JU8" i="6"/>
  <c r="JU9" i="6" s="1"/>
  <c r="JU47" i="6"/>
  <c r="JU52" i="6" s="1"/>
  <c r="JU4" i="6" l="1"/>
  <c r="JU5" i="6"/>
  <c r="JU7" i="6" s="1"/>
  <c r="JU56" i="6"/>
  <c r="JV72" i="6"/>
  <c r="JV78" i="6" s="1"/>
  <c r="JV80" i="6" s="1"/>
  <c r="JV82" i="6" s="1"/>
  <c r="E262" i="7"/>
  <c r="JV42" i="6"/>
  <c r="JV39" i="6"/>
  <c r="JV40" i="6" l="1"/>
  <c r="JV43" i="6"/>
  <c r="JU6" i="6"/>
  <c r="JU57" i="6"/>
  <c r="JU61" i="6" s="1"/>
  <c r="JU11" i="6" s="1"/>
  <c r="JV48" i="6"/>
  <c r="C263" i="7"/>
  <c r="D263" i="7" l="1"/>
  <c r="JW37" i="6" s="1"/>
  <c r="F263" i="7"/>
  <c r="JW58" i="6"/>
  <c r="JW60" i="6" s="1"/>
  <c r="JV44" i="6"/>
  <c r="JV47" i="6"/>
  <c r="JV52" i="6" s="1"/>
  <c r="JV8" i="6"/>
  <c r="JV9" i="6" s="1"/>
  <c r="JW39" i="6" l="1"/>
  <c r="JW42" i="6"/>
  <c r="JV4" i="6"/>
  <c r="JV5" i="6"/>
  <c r="JV7" i="6" s="1"/>
  <c r="JV56" i="6"/>
  <c r="JW72" i="6"/>
  <c r="JW78" i="6" s="1"/>
  <c r="JW80" i="6" s="1"/>
  <c r="JW82" i="6" s="1"/>
  <c r="E263" i="7"/>
  <c r="JV6" i="6" l="1"/>
  <c r="JV57" i="6"/>
  <c r="JV61" i="6" s="1"/>
  <c r="JV11" i="6" s="1"/>
  <c r="JW43" i="6"/>
  <c r="JW40" i="6"/>
  <c r="JW48" i="6"/>
  <c r="C264" i="7"/>
  <c r="JW47" i="6" l="1"/>
  <c r="JW52" i="6" s="1"/>
  <c r="JW44" i="6"/>
  <c r="JW8" i="6"/>
  <c r="JW9" i="6" s="1"/>
  <c r="JX58" i="6"/>
  <c r="JX60" i="6" s="1"/>
  <c r="F264" i="7"/>
  <c r="D264" i="7"/>
  <c r="JX37" i="6" s="1"/>
  <c r="JW5" i="6" l="1"/>
  <c r="JW7" i="6" s="1"/>
  <c r="JW4" i="6"/>
  <c r="JW56" i="6"/>
  <c r="JX42" i="6"/>
  <c r="JX39" i="6"/>
  <c r="E264" i="7"/>
  <c r="JX72" i="6"/>
  <c r="JX78" i="6" s="1"/>
  <c r="JX80" i="6" s="1"/>
  <c r="JX82" i="6" s="1"/>
  <c r="JX40" i="6" l="1"/>
  <c r="JX43" i="6"/>
  <c r="JW6" i="6"/>
  <c r="JW57" i="6"/>
  <c r="JW61" i="6" s="1"/>
  <c r="JW11" i="6" s="1"/>
  <c r="JX48" i="6"/>
  <c r="C265" i="7"/>
  <c r="F265" i="7" l="1"/>
  <c r="D265" i="7"/>
  <c r="JY37" i="6" s="1"/>
  <c r="JY58" i="6"/>
  <c r="JY60" i="6" s="1"/>
  <c r="JX47" i="6"/>
  <c r="JX52" i="6" s="1"/>
  <c r="JX44" i="6"/>
  <c r="JX8" i="6"/>
  <c r="JX9" i="6" s="1"/>
  <c r="E265" i="7" l="1"/>
  <c r="JY72" i="6"/>
  <c r="JY78" i="6" s="1"/>
  <c r="JY80" i="6" s="1"/>
  <c r="JY82" i="6" s="1"/>
  <c r="JX5" i="6"/>
  <c r="JX7" i="6" s="1"/>
  <c r="JX4" i="6"/>
  <c r="JX56" i="6"/>
  <c r="JY42" i="6"/>
  <c r="JY39" i="6"/>
  <c r="JY48" i="6" l="1"/>
  <c r="C266" i="7"/>
  <c r="JY40" i="6"/>
  <c r="JY43" i="6"/>
  <c r="JX57" i="6"/>
  <c r="JX61" i="6" s="1"/>
  <c r="JX11" i="6" s="1"/>
  <c r="JX6" i="6"/>
  <c r="JY8" i="6" l="1"/>
  <c r="JY9" i="6" s="1"/>
  <c r="JY44" i="6"/>
  <c r="JY47" i="6"/>
  <c r="JY52" i="6" s="1"/>
  <c r="JZ58" i="6"/>
  <c r="D266" i="7"/>
  <c r="JZ37" i="6" s="1"/>
  <c r="F266" i="7"/>
  <c r="E266" i="7" l="1"/>
  <c r="JZ72" i="6"/>
  <c r="KA58" i="6"/>
  <c r="JZ60" i="6"/>
  <c r="KA60" i="6" s="1"/>
  <c r="JY4" i="6"/>
  <c r="JY5" i="6"/>
  <c r="JY7" i="6" s="1"/>
  <c r="JY56" i="6"/>
  <c r="JZ42" i="6"/>
  <c r="KA42" i="6" s="1"/>
  <c r="JZ39" i="6"/>
  <c r="KA37" i="6"/>
  <c r="JZ48" i="6" l="1"/>
  <c r="KA48" i="6" s="1"/>
  <c r="C267" i="7"/>
  <c r="JZ40" i="6"/>
  <c r="JZ43" i="6"/>
  <c r="KA39" i="6"/>
  <c r="KA40" i="6" s="1"/>
  <c r="JY6" i="6"/>
  <c r="JY57" i="6"/>
  <c r="JY61" i="6" s="1"/>
  <c r="JY11" i="6" s="1"/>
  <c r="JZ78" i="6"/>
  <c r="KA72" i="6"/>
  <c r="JZ80" i="6" l="1"/>
  <c r="KA78" i="6"/>
  <c r="JZ47" i="6"/>
  <c r="JZ44" i="6"/>
  <c r="JZ8" i="6"/>
  <c r="KA43" i="6"/>
  <c r="KA44" i="6" s="1"/>
  <c r="KB58" i="6"/>
  <c r="KB60" i="6" s="1"/>
  <c r="D267" i="7"/>
  <c r="KB37" i="6" s="1"/>
  <c r="F267" i="7"/>
  <c r="KB42" i="6" l="1"/>
  <c r="KB39" i="6"/>
  <c r="JZ82" i="6"/>
  <c r="KA82" i="6" s="1"/>
  <c r="KA80" i="6"/>
  <c r="E267" i="7"/>
  <c r="KB72" i="6"/>
  <c r="JZ9" i="6"/>
  <c r="KA9" i="6" s="1"/>
  <c r="KA8" i="6"/>
  <c r="JZ52" i="6"/>
  <c r="KA47" i="6"/>
  <c r="KB78" i="6" l="1"/>
  <c r="JZ5" i="6"/>
  <c r="JZ4" i="6"/>
  <c r="KA4" i="6" s="1"/>
  <c r="KA52" i="6"/>
  <c r="JZ56" i="6"/>
  <c r="KB48" i="6"/>
  <c r="C268" i="7"/>
  <c r="KB43" i="6"/>
  <c r="KB40" i="6"/>
  <c r="KB80" i="6" l="1"/>
  <c r="F268" i="7"/>
  <c r="D268" i="7"/>
  <c r="KC37" i="6" s="1"/>
  <c r="KC58" i="6"/>
  <c r="KC60" i="6" s="1"/>
  <c r="KB47" i="6"/>
  <c r="KB8" i="6"/>
  <c r="KB44" i="6"/>
  <c r="KA5" i="6"/>
  <c r="JZ7" i="6"/>
  <c r="KA56" i="6"/>
  <c r="JZ6" i="6"/>
  <c r="JZ57" i="6"/>
  <c r="JZ61" i="6" s="1"/>
  <c r="JZ11" i="6" l="1"/>
  <c r="KA61" i="6"/>
  <c r="KA11" i="6" s="1"/>
  <c r="KA12" i="6" s="1"/>
  <c r="KB82" i="6"/>
  <c r="KA57" i="6"/>
  <c r="KA6" i="6"/>
  <c r="KA7" i="6"/>
  <c r="KA13" i="6" s="1"/>
  <c r="KB52" i="6"/>
  <c r="KC39" i="6"/>
  <c r="KC42" i="6"/>
  <c r="KB9" i="6"/>
  <c r="KC72" i="6"/>
  <c r="E268" i="7"/>
  <c r="KC40" i="6" l="1"/>
  <c r="KC43" i="6"/>
  <c r="KB5" i="6"/>
  <c r="KB4" i="6"/>
  <c r="KC48" i="6"/>
  <c r="C269" i="7"/>
  <c r="KC78" i="6"/>
  <c r="KB56" i="6"/>
  <c r="KC80" i="6" l="1"/>
  <c r="F269" i="7"/>
  <c r="KD58" i="6"/>
  <c r="KD60" i="6" s="1"/>
  <c r="D269" i="7"/>
  <c r="KD37" i="6" s="1"/>
  <c r="KB6" i="6"/>
  <c r="KB57" i="6"/>
  <c r="KB61" i="6" s="1"/>
  <c r="KB11" i="6" s="1"/>
  <c r="KB7" i="6"/>
  <c r="KC44" i="6"/>
  <c r="KC47" i="6"/>
  <c r="KC8" i="6"/>
  <c r="KC82" i="6" l="1"/>
  <c r="KC9" i="6"/>
  <c r="KC52" i="6"/>
  <c r="E269" i="7"/>
  <c r="KD72" i="6"/>
  <c r="KD42" i="6"/>
  <c r="KD39" i="6"/>
  <c r="KD78" i="6" l="1"/>
  <c r="KD43" i="6"/>
  <c r="KD40" i="6"/>
  <c r="KD48" i="6"/>
  <c r="C270" i="7"/>
  <c r="KC5" i="6"/>
  <c r="KC4" i="6"/>
  <c r="KC56" i="6"/>
  <c r="KD80" i="6" l="1"/>
  <c r="KC7" i="6"/>
  <c r="KC57" i="6"/>
  <c r="KC61" i="6" s="1"/>
  <c r="KC11" i="6" s="1"/>
  <c r="KC6" i="6"/>
  <c r="D270" i="7"/>
  <c r="KE37" i="6" s="1"/>
  <c r="KE58" i="6"/>
  <c r="KE60" i="6" s="1"/>
  <c r="F270" i="7"/>
  <c r="KD8" i="6"/>
  <c r="KD44" i="6"/>
  <c r="KD47" i="6"/>
  <c r="KD82" i="6" l="1"/>
  <c r="KD52" i="6"/>
  <c r="KD9" i="6"/>
  <c r="KE72" i="6"/>
  <c r="E270" i="7"/>
  <c r="KE39" i="6"/>
  <c r="KE42" i="6"/>
  <c r="KE48" i="6" l="1"/>
  <c r="C271" i="7"/>
  <c r="KE78" i="6"/>
  <c r="KD4" i="6"/>
  <c r="KD5" i="6"/>
  <c r="KD56" i="6"/>
  <c r="KE43" i="6"/>
  <c r="KE40" i="6"/>
  <c r="KE47" i="6" l="1"/>
  <c r="KE44" i="6"/>
  <c r="KE8" i="6"/>
  <c r="KD6" i="6"/>
  <c r="KD57" i="6"/>
  <c r="KD61" i="6" s="1"/>
  <c r="KD11" i="6" s="1"/>
  <c r="KD7" i="6"/>
  <c r="KE80" i="6"/>
  <c r="D271" i="7"/>
  <c r="KF37" i="6" s="1"/>
  <c r="KF58" i="6"/>
  <c r="KF60" i="6" s="1"/>
  <c r="F271" i="7"/>
  <c r="KF42" i="6" l="1"/>
  <c r="KF39" i="6"/>
  <c r="KE82" i="6"/>
  <c r="KE52" i="6"/>
  <c r="KE9" i="6"/>
  <c r="E271" i="7"/>
  <c r="KF72" i="6"/>
  <c r="KF48" i="6" l="1"/>
  <c r="C272" i="7"/>
  <c r="KF78" i="6"/>
  <c r="KE4" i="6"/>
  <c r="KE5" i="6"/>
  <c r="KE56" i="6"/>
  <c r="KF43" i="6"/>
  <c r="KF40" i="6"/>
  <c r="KE6" i="6" l="1"/>
  <c r="KE57" i="6"/>
  <c r="KE61" i="6" s="1"/>
  <c r="KE11" i="6" s="1"/>
  <c r="KF47" i="6"/>
  <c r="KF8" i="6"/>
  <c r="KF44" i="6"/>
  <c r="KE7" i="6"/>
  <c r="KF80" i="6"/>
  <c r="F272" i="7"/>
  <c r="KG58" i="6"/>
  <c r="KG60" i="6" s="1"/>
  <c r="D272" i="7"/>
  <c r="KG37" i="6" s="1"/>
  <c r="KG42" i="6" l="1"/>
  <c r="KG39" i="6"/>
  <c r="KF82" i="6"/>
  <c r="E272" i="7"/>
  <c r="KG72" i="6"/>
  <c r="KG78" i="6" s="1"/>
  <c r="KG80" i="6" s="1"/>
  <c r="KF9" i="6"/>
  <c r="KF52" i="6"/>
  <c r="KG82" i="6" l="1"/>
  <c r="KF5" i="6"/>
  <c r="KF4" i="6"/>
  <c r="KF56" i="6"/>
  <c r="KG48" i="6"/>
  <c r="C273" i="7"/>
  <c r="KG43" i="6"/>
  <c r="KG40" i="6"/>
  <c r="KF7" i="6" l="1"/>
  <c r="KG44" i="6"/>
  <c r="KG47" i="6"/>
  <c r="KG52" i="6" s="1"/>
  <c r="KG56" i="6" s="1"/>
  <c r="KG8" i="6"/>
  <c r="KG9" i="6" s="1"/>
  <c r="D273" i="7"/>
  <c r="KH37" i="6" s="1"/>
  <c r="F273" i="7"/>
  <c r="KH58" i="6"/>
  <c r="KH60" i="6" s="1"/>
  <c r="KF6" i="6"/>
  <c r="KF57" i="6"/>
  <c r="KF61" i="6" s="1"/>
  <c r="KF11" i="6" s="1"/>
  <c r="KG6" i="6" l="1"/>
  <c r="KG57" i="6"/>
  <c r="KG61" i="6" s="1"/>
  <c r="KG11" i="6" s="1"/>
  <c r="KH39" i="6"/>
  <c r="KH42" i="6"/>
  <c r="KG4" i="6"/>
  <c r="KG5" i="6"/>
  <c r="KG7" i="6" s="1"/>
  <c r="E273" i="7"/>
  <c r="KH72" i="6"/>
  <c r="KH78" i="6" s="1"/>
  <c r="KH80" i="6" s="1"/>
  <c r="KH82" i="6" s="1"/>
  <c r="KH48" i="6" l="1"/>
  <c r="C274" i="7"/>
  <c r="KH40" i="6"/>
  <c r="KH43" i="6"/>
  <c r="KH44" i="6" l="1"/>
  <c r="KH47" i="6"/>
  <c r="KH52" i="6" s="1"/>
  <c r="KH8" i="6"/>
  <c r="KH9" i="6" s="1"/>
  <c r="F274" i="7"/>
  <c r="KI58" i="6"/>
  <c r="KI60" i="6" s="1"/>
  <c r="D274" i="7"/>
  <c r="KI37" i="6" s="1"/>
  <c r="KI39" i="6" l="1"/>
  <c r="KI42" i="6"/>
  <c r="KI72" i="6"/>
  <c r="KI78" i="6" s="1"/>
  <c r="KI80" i="6" s="1"/>
  <c r="KI82" i="6" s="1"/>
  <c r="E274" i="7"/>
  <c r="KH4" i="6"/>
  <c r="KH5" i="6"/>
  <c r="KH7" i="6" s="1"/>
  <c r="KH56" i="6"/>
  <c r="KI40" i="6" l="1"/>
  <c r="KI43" i="6"/>
  <c r="KH6" i="6"/>
  <c r="KH57" i="6"/>
  <c r="KH61" i="6" s="1"/>
  <c r="KH11" i="6" s="1"/>
  <c r="KI48" i="6"/>
  <c r="C275" i="7"/>
  <c r="D275" i="7" l="1"/>
  <c r="KJ37" i="6" s="1"/>
  <c r="F275" i="7"/>
  <c r="KJ58" i="6"/>
  <c r="KJ60" i="6" s="1"/>
  <c r="KI47" i="6"/>
  <c r="KI52" i="6" s="1"/>
  <c r="KI44" i="6"/>
  <c r="KI8" i="6"/>
  <c r="KI9" i="6" s="1"/>
  <c r="KI4" i="6" l="1"/>
  <c r="KI5" i="6"/>
  <c r="KI7" i="6" s="1"/>
  <c r="KI56" i="6"/>
  <c r="KJ39" i="6"/>
  <c r="KJ42" i="6"/>
  <c r="E275" i="7"/>
  <c r="KJ72" i="6"/>
  <c r="KJ78" i="6" s="1"/>
  <c r="KJ80" i="6" s="1"/>
  <c r="KJ82" i="6" s="1"/>
  <c r="KJ48" i="6" l="1"/>
  <c r="C276" i="7"/>
  <c r="KJ43" i="6"/>
  <c r="KJ40" i="6"/>
  <c r="KI6" i="6"/>
  <c r="KI57" i="6"/>
  <c r="KI61" i="6" s="1"/>
  <c r="KI11" i="6" s="1"/>
  <c r="KJ44" i="6" l="1"/>
  <c r="KJ47" i="6"/>
  <c r="KJ52" i="6" s="1"/>
  <c r="KJ8" i="6"/>
  <c r="KJ9" i="6" s="1"/>
  <c r="D276" i="7"/>
  <c r="KK37" i="6" s="1"/>
  <c r="F276" i="7"/>
  <c r="KK58" i="6"/>
  <c r="KK60" i="6" s="1"/>
  <c r="E276" i="7" l="1"/>
  <c r="KK72" i="6"/>
  <c r="KK78" i="6" s="1"/>
  <c r="KK80" i="6" s="1"/>
  <c r="KK82" i="6" s="1"/>
  <c r="KK39" i="6"/>
  <c r="KK42" i="6"/>
  <c r="KJ5" i="6"/>
  <c r="KJ7" i="6" s="1"/>
  <c r="KJ4" i="6"/>
  <c r="KJ56" i="6"/>
  <c r="KJ6" i="6" l="1"/>
  <c r="KJ57" i="6"/>
  <c r="KJ61" i="6" s="1"/>
  <c r="KJ11" i="6" s="1"/>
  <c r="KK43" i="6"/>
  <c r="KK40" i="6"/>
  <c r="KK48" i="6"/>
  <c r="C277" i="7"/>
  <c r="D277" i="7" l="1"/>
  <c r="KL37" i="6" s="1"/>
  <c r="F277" i="7"/>
  <c r="KL58" i="6"/>
  <c r="KL60" i="6" s="1"/>
  <c r="KK47" i="6"/>
  <c r="KK52" i="6" s="1"/>
  <c r="KK8" i="6"/>
  <c r="KK9" i="6" s="1"/>
  <c r="KK44" i="6"/>
  <c r="KL39" i="6" l="1"/>
  <c r="KL42" i="6"/>
  <c r="KK5" i="6"/>
  <c r="KK7" i="6" s="1"/>
  <c r="KK4" i="6"/>
  <c r="KK56" i="6"/>
  <c r="E277" i="7"/>
  <c r="KL72" i="6"/>
  <c r="KL78" i="6" s="1"/>
  <c r="KL80" i="6" s="1"/>
  <c r="KL82" i="6" s="1"/>
  <c r="KL43" i="6" l="1"/>
  <c r="KL40" i="6"/>
  <c r="KL48" i="6"/>
  <c r="C278" i="7"/>
  <c r="KK6" i="6"/>
  <c r="KK57" i="6"/>
  <c r="KK61" i="6" s="1"/>
  <c r="KK11" i="6" s="1"/>
  <c r="D278" i="7" l="1"/>
  <c r="KM37" i="6" s="1"/>
  <c r="F278" i="7"/>
  <c r="KM58" i="6"/>
  <c r="KL47" i="6"/>
  <c r="KL52" i="6" s="1"/>
  <c r="KL44" i="6"/>
  <c r="KL8" i="6"/>
  <c r="KL9" i="6" s="1"/>
  <c r="KL4" i="6" l="1"/>
  <c r="KL5" i="6"/>
  <c r="KL7" i="6" s="1"/>
  <c r="KL56" i="6"/>
  <c r="KN58" i="6"/>
  <c r="KM60" i="6"/>
  <c r="KN60" i="6" s="1"/>
  <c r="E278" i="7"/>
  <c r="KM72" i="6"/>
  <c r="KM39" i="6"/>
  <c r="KM42" i="6"/>
  <c r="KN42" i="6" s="1"/>
  <c r="KN37" i="6"/>
  <c r="KM40" i="6" l="1"/>
  <c r="KM43" i="6"/>
  <c r="KN39" i="6"/>
  <c r="KN40" i="6" s="1"/>
  <c r="KM78" i="6"/>
  <c r="KN72" i="6"/>
  <c r="KM48" i="6"/>
  <c r="KN48" i="6" s="1"/>
  <c r="C279" i="7"/>
  <c r="KL6" i="6"/>
  <c r="KL57" i="6"/>
  <c r="KL61" i="6" s="1"/>
  <c r="KL11" i="6" s="1"/>
  <c r="F279" i="7" l="1"/>
  <c r="KO58" i="6"/>
  <c r="KO60" i="6" s="1"/>
  <c r="D279" i="7"/>
  <c r="KO37" i="6" s="1"/>
  <c r="KM80" i="6"/>
  <c r="KN78" i="6"/>
  <c r="KM47" i="6"/>
  <c r="KM44" i="6"/>
  <c r="KM8" i="6"/>
  <c r="KN43" i="6"/>
  <c r="KN44" i="6" s="1"/>
  <c r="KM9" i="6" l="1"/>
  <c r="KN9" i="6" s="1"/>
  <c r="KN8" i="6"/>
  <c r="KM52" i="6"/>
  <c r="KN47" i="6"/>
  <c r="KM82" i="6"/>
  <c r="KN82" i="6" s="1"/>
  <c r="KN80" i="6"/>
  <c r="KO39" i="6"/>
  <c r="KO42" i="6"/>
  <c r="KO72" i="6"/>
  <c r="E279" i="7"/>
  <c r="KO48" i="6" l="1"/>
  <c r="C280" i="7"/>
  <c r="KO43" i="6"/>
  <c r="KO40" i="6"/>
  <c r="KM4" i="6"/>
  <c r="KN4" i="6" s="1"/>
  <c r="KM5" i="6"/>
  <c r="KN52" i="6"/>
  <c r="KM56" i="6"/>
  <c r="KO78" i="6"/>
  <c r="KO8" i="6" l="1"/>
  <c r="KO44" i="6"/>
  <c r="KO47" i="6"/>
  <c r="KO80" i="6"/>
  <c r="KN56" i="6"/>
  <c r="KM6" i="6"/>
  <c r="KM57" i="6"/>
  <c r="KM61" i="6" s="1"/>
  <c r="KN5" i="6"/>
  <c r="KM7" i="6"/>
  <c r="KP58" i="6"/>
  <c r="KP60" i="6" s="1"/>
  <c r="D280" i="7"/>
  <c r="KP37" i="6" s="1"/>
  <c r="F280" i="7"/>
  <c r="KP72" i="6" l="1"/>
  <c r="E280" i="7"/>
  <c r="KO82" i="6"/>
  <c r="KO9" i="6"/>
  <c r="KO52" i="6"/>
  <c r="KP42" i="6"/>
  <c r="KP39" i="6"/>
  <c r="KN7" i="6"/>
  <c r="KN13" i="6" s="1"/>
  <c r="KN61" i="6"/>
  <c r="KN11" i="6" s="1"/>
  <c r="KN12" i="6" s="1"/>
  <c r="KM11" i="6"/>
  <c r="KN6" i="6"/>
  <c r="KN57" i="6"/>
  <c r="KP78" i="6" l="1"/>
  <c r="KP40" i="6"/>
  <c r="KP43" i="6"/>
  <c r="KO5" i="6"/>
  <c r="KO4" i="6"/>
  <c r="KO56" i="6"/>
  <c r="KP48" i="6"/>
  <c r="C281" i="7"/>
  <c r="KQ58" i="6" l="1"/>
  <c r="KQ60" i="6" s="1"/>
  <c r="F281" i="7"/>
  <c r="D281" i="7"/>
  <c r="KQ37" i="6" s="1"/>
  <c r="KO6" i="6"/>
  <c r="KO57" i="6"/>
  <c r="KO61" i="6" s="1"/>
  <c r="KO11" i="6" s="1"/>
  <c r="KO7" i="6"/>
  <c r="KP44" i="6"/>
  <c r="KP8" i="6"/>
  <c r="KP47" i="6"/>
  <c r="KP80" i="6"/>
  <c r="E281" i="7" l="1"/>
  <c r="KQ72" i="6"/>
  <c r="KP82" i="6"/>
  <c r="KP52" i="6"/>
  <c r="KP9" i="6"/>
  <c r="KQ39" i="6"/>
  <c r="KQ42" i="6"/>
  <c r="KQ78" i="6" l="1"/>
  <c r="KQ48" i="6"/>
  <c r="C282" i="7"/>
  <c r="KQ43" i="6"/>
  <c r="KQ40" i="6"/>
  <c r="KP5" i="6"/>
  <c r="KP4" i="6"/>
  <c r="KP56" i="6"/>
  <c r="KP6" i="6" l="1"/>
  <c r="KP57" i="6"/>
  <c r="KP61" i="6" s="1"/>
  <c r="KP11" i="6" s="1"/>
  <c r="KP7" i="6"/>
  <c r="KQ47" i="6"/>
  <c r="KQ8" i="6"/>
  <c r="KQ44" i="6"/>
  <c r="D282" i="7"/>
  <c r="KR37" i="6" s="1"/>
  <c r="KR58" i="6"/>
  <c r="KR60" i="6" s="1"/>
  <c r="F282" i="7"/>
  <c r="KQ80" i="6"/>
  <c r="KQ82" i="6" l="1"/>
  <c r="E282" i="7"/>
  <c r="KR72" i="6"/>
  <c r="KR39" i="6"/>
  <c r="KR42" i="6"/>
  <c r="KQ9" i="6"/>
  <c r="KQ52" i="6"/>
  <c r="KR43" i="6" l="1"/>
  <c r="KR40" i="6"/>
  <c r="KQ5" i="6"/>
  <c r="KQ4" i="6"/>
  <c r="KQ56" i="6"/>
  <c r="KR78" i="6"/>
  <c r="KR48" i="6"/>
  <c r="C283" i="7"/>
  <c r="D283" i="7" l="1"/>
  <c r="KS37" i="6" s="1"/>
  <c r="F283" i="7"/>
  <c r="KS58" i="6"/>
  <c r="KS60" i="6" s="1"/>
  <c r="KR80" i="6"/>
  <c r="KQ57" i="6"/>
  <c r="KQ61" i="6" s="1"/>
  <c r="KQ11" i="6" s="1"/>
  <c r="KQ6" i="6"/>
  <c r="KQ7" i="6"/>
  <c r="KR44" i="6"/>
  <c r="KR8" i="6"/>
  <c r="KR47" i="6"/>
  <c r="KR52" i="6" l="1"/>
  <c r="KR9" i="6"/>
  <c r="KS72" i="6"/>
  <c r="E283" i="7"/>
  <c r="KR82" i="6"/>
  <c r="KS39" i="6"/>
  <c r="KS42" i="6"/>
  <c r="KS40" i="6" l="1"/>
  <c r="KS43" i="6"/>
  <c r="KS78" i="6"/>
  <c r="KS48" i="6"/>
  <c r="C284" i="7"/>
  <c r="KR4" i="6"/>
  <c r="KR5" i="6"/>
  <c r="KR56" i="6"/>
  <c r="KR7" i="6" l="1"/>
  <c r="D284" i="7"/>
  <c r="KT37" i="6" s="1"/>
  <c r="KT58" i="6"/>
  <c r="KT60" i="6" s="1"/>
  <c r="F284" i="7"/>
  <c r="KR6" i="6"/>
  <c r="KR57" i="6"/>
  <c r="KR61" i="6" s="1"/>
  <c r="KR11" i="6" s="1"/>
  <c r="KS80" i="6"/>
  <c r="KS47" i="6"/>
  <c r="KS44" i="6"/>
  <c r="KS8" i="6"/>
  <c r="KS9" i="6" l="1"/>
  <c r="KS82" i="6"/>
  <c r="KT42" i="6"/>
  <c r="KT39" i="6"/>
  <c r="KS52" i="6"/>
  <c r="KT72" i="6"/>
  <c r="KT78" i="6" s="1"/>
  <c r="KT80" i="6" s="1"/>
  <c r="E284" i="7"/>
  <c r="KT82" i="6" l="1"/>
  <c r="KT40" i="6"/>
  <c r="KT43" i="6"/>
  <c r="KT48" i="6"/>
  <c r="C285" i="7"/>
  <c r="KS5" i="6"/>
  <c r="KS4" i="6"/>
  <c r="KS56" i="6"/>
  <c r="KS57" i="6" l="1"/>
  <c r="KS61" i="6" s="1"/>
  <c r="KS11" i="6" s="1"/>
  <c r="KS6" i="6"/>
  <c r="KS7" i="6"/>
  <c r="F285" i="7"/>
  <c r="D285" i="7"/>
  <c r="KU37" i="6" s="1"/>
  <c r="KU58" i="6"/>
  <c r="KU60" i="6" s="1"/>
  <c r="KT8" i="6"/>
  <c r="KT9" i="6" s="1"/>
  <c r="KT47" i="6"/>
  <c r="KT52" i="6" s="1"/>
  <c r="KT44" i="6"/>
  <c r="KU42" i="6" l="1"/>
  <c r="KU39" i="6"/>
  <c r="KT4" i="6"/>
  <c r="KT5" i="6"/>
  <c r="KT7" i="6" s="1"/>
  <c r="KU72" i="6"/>
  <c r="KU78" i="6" s="1"/>
  <c r="KU80" i="6" s="1"/>
  <c r="KU82" i="6" s="1"/>
  <c r="E285" i="7"/>
  <c r="KT56" i="6"/>
  <c r="KT6" i="6" l="1"/>
  <c r="KT57" i="6"/>
  <c r="KT61" i="6" s="1"/>
  <c r="KT11" i="6" s="1"/>
  <c r="KU48" i="6"/>
  <c r="C286" i="7"/>
  <c r="KU43" i="6"/>
  <c r="KU40" i="6"/>
  <c r="D286" i="7" l="1"/>
  <c r="KV37" i="6" s="1"/>
  <c r="F286" i="7"/>
  <c r="KV58" i="6"/>
  <c r="KV60" i="6" s="1"/>
  <c r="KU8" i="6"/>
  <c r="KU9" i="6" s="1"/>
  <c r="KU47" i="6"/>
  <c r="KU52" i="6" s="1"/>
  <c r="KU44" i="6"/>
  <c r="E286" i="7" l="1"/>
  <c r="KV72" i="6"/>
  <c r="KV78" i="6" s="1"/>
  <c r="KV80" i="6" s="1"/>
  <c r="KV82" i="6" s="1"/>
  <c r="KU4" i="6"/>
  <c r="KU5" i="6"/>
  <c r="KU7" i="6" s="1"/>
  <c r="KU56" i="6"/>
  <c r="KV42" i="6"/>
  <c r="KV39" i="6"/>
  <c r="KV43" i="6" l="1"/>
  <c r="KV40" i="6"/>
  <c r="KU6" i="6"/>
  <c r="KU57" i="6"/>
  <c r="KU61" i="6" s="1"/>
  <c r="KU11" i="6" s="1"/>
  <c r="KV48" i="6"/>
  <c r="C287" i="7"/>
  <c r="D287" i="7" l="1"/>
  <c r="KW37" i="6" s="1"/>
  <c r="F287" i="7"/>
  <c r="KW58" i="6"/>
  <c r="KW60" i="6" s="1"/>
  <c r="KV8" i="6"/>
  <c r="KV9" i="6" s="1"/>
  <c r="KV47" i="6"/>
  <c r="KV52" i="6" s="1"/>
  <c r="KV44" i="6"/>
  <c r="E287" i="7" l="1"/>
  <c r="KW72" i="6"/>
  <c r="KW78" i="6" s="1"/>
  <c r="KW80" i="6" s="1"/>
  <c r="KW82" i="6" s="1"/>
  <c r="KV5" i="6"/>
  <c r="KV7" i="6" s="1"/>
  <c r="KV4" i="6"/>
  <c r="KV56" i="6"/>
  <c r="KW39" i="6"/>
  <c r="KW42" i="6"/>
  <c r="KW43" i="6" l="1"/>
  <c r="KW40" i="6"/>
  <c r="KV57" i="6"/>
  <c r="KV61" i="6" s="1"/>
  <c r="KV11" i="6" s="1"/>
  <c r="KV6" i="6"/>
  <c r="KW48" i="6"/>
  <c r="C288" i="7"/>
  <c r="KX58" i="6" l="1"/>
  <c r="KX60" i="6" s="1"/>
  <c r="F288" i="7"/>
  <c r="D288" i="7"/>
  <c r="KX37" i="6" s="1"/>
  <c r="KW47" i="6"/>
  <c r="KW52" i="6" s="1"/>
  <c r="KW44" i="6"/>
  <c r="KW8" i="6"/>
  <c r="KW9" i="6" s="1"/>
  <c r="KW4" i="6" l="1"/>
  <c r="KW5" i="6"/>
  <c r="KW7" i="6" s="1"/>
  <c r="KW56" i="6"/>
  <c r="KX42" i="6"/>
  <c r="KX39" i="6"/>
  <c r="E288" i="7"/>
  <c r="KX72" i="6"/>
  <c r="KX78" i="6" s="1"/>
  <c r="KX80" i="6" s="1"/>
  <c r="KX82" i="6" s="1"/>
  <c r="KX48" i="6" l="1"/>
  <c r="C289" i="7"/>
  <c r="KX43" i="6"/>
  <c r="KX40" i="6"/>
  <c r="KW57" i="6"/>
  <c r="KW61" i="6" s="1"/>
  <c r="KW11" i="6" s="1"/>
  <c r="KW6" i="6"/>
  <c r="KY58" i="6" l="1"/>
  <c r="KY60" i="6" s="1"/>
  <c r="F289" i="7"/>
  <c r="D289" i="7"/>
  <c r="KY37" i="6" s="1"/>
  <c r="KX44" i="6"/>
  <c r="KX47" i="6"/>
  <c r="KX52" i="6" s="1"/>
  <c r="KX8" i="6"/>
  <c r="KX9" i="6" s="1"/>
  <c r="KX4" i="6" l="1"/>
  <c r="KX5" i="6"/>
  <c r="KX7" i="6" s="1"/>
  <c r="KX56" i="6"/>
  <c r="KY39" i="6"/>
  <c r="KY42" i="6"/>
  <c r="E289" i="7"/>
  <c r="KY72" i="6"/>
  <c r="KY78" i="6" s="1"/>
  <c r="KY80" i="6" s="1"/>
  <c r="KY82" i="6" s="1"/>
  <c r="KY48" i="6" l="1"/>
  <c r="C290" i="7"/>
  <c r="KY43" i="6"/>
  <c r="KY40" i="6"/>
  <c r="KX6" i="6"/>
  <c r="KX57" i="6"/>
  <c r="KX61" i="6" s="1"/>
  <c r="KX11" i="6" s="1"/>
  <c r="KY8" i="6" l="1"/>
  <c r="KY9" i="6" s="1"/>
  <c r="KY44" i="6"/>
  <c r="KY47" i="6"/>
  <c r="KY52" i="6" s="1"/>
  <c r="F290" i="7"/>
  <c r="KZ58" i="6"/>
  <c r="D290" i="7"/>
  <c r="KZ37" i="6" s="1"/>
  <c r="KZ39" i="6" l="1"/>
  <c r="KZ42" i="6"/>
  <c r="LA42" i="6" s="1"/>
  <c r="LA37" i="6"/>
  <c r="KZ60" i="6"/>
  <c r="LA60" i="6" s="1"/>
  <c r="LA58" i="6"/>
  <c r="E290" i="7"/>
  <c r="KZ72" i="6"/>
  <c r="KY4" i="6"/>
  <c r="KY5" i="6"/>
  <c r="KY7" i="6" s="1"/>
  <c r="KY56" i="6"/>
  <c r="KY6" i="6" l="1"/>
  <c r="KY57" i="6"/>
  <c r="KY61" i="6" s="1"/>
  <c r="KY11" i="6" s="1"/>
  <c r="KZ78" i="6"/>
  <c r="LA72" i="6"/>
  <c r="KZ48" i="6"/>
  <c r="LA48" i="6" s="1"/>
  <c r="C291" i="7"/>
  <c r="KZ43" i="6"/>
  <c r="KZ40" i="6"/>
  <c r="LA39" i="6"/>
  <c r="LA40" i="6" s="1"/>
  <c r="KZ44" i="6" l="1"/>
  <c r="KZ47" i="6"/>
  <c r="KZ8" i="6"/>
  <c r="LA43" i="6"/>
  <c r="LA44" i="6" s="1"/>
  <c r="KZ80" i="6"/>
  <c r="LA78" i="6"/>
  <c r="LB58" i="6"/>
  <c r="LB60" i="6" s="1"/>
  <c r="D291" i="7"/>
  <c r="LB37" i="6" s="1"/>
  <c r="F291" i="7"/>
  <c r="E291" i="7" l="1"/>
  <c r="LB72" i="6"/>
  <c r="KZ82" i="6"/>
  <c r="LA82" i="6" s="1"/>
  <c r="LA80" i="6"/>
  <c r="KZ9" i="6"/>
  <c r="LA9" i="6" s="1"/>
  <c r="LA8" i="6"/>
  <c r="LB39" i="6"/>
  <c r="LB42" i="6"/>
  <c r="KZ52" i="6"/>
  <c r="LA47" i="6"/>
  <c r="KZ4" i="6" l="1"/>
  <c r="LA4" i="6" s="1"/>
  <c r="KZ5" i="6"/>
  <c r="LA52" i="6"/>
  <c r="KZ56" i="6"/>
  <c r="LB43" i="6"/>
  <c r="LB40" i="6"/>
  <c r="LB78" i="6"/>
  <c r="LB48" i="6"/>
  <c r="C292" i="7"/>
  <c r="KZ57" i="6" l="1"/>
  <c r="KZ61" i="6" s="1"/>
  <c r="LA56" i="6"/>
  <c r="KZ6" i="6"/>
  <c r="LB80" i="6"/>
  <c r="LB47" i="6"/>
  <c r="LB8" i="6"/>
  <c r="LB44" i="6"/>
  <c r="F292" i="7"/>
  <c r="LC58" i="6"/>
  <c r="LC60" i="6" s="1"/>
  <c r="D292" i="7"/>
  <c r="LC37" i="6" s="1"/>
  <c r="LA5" i="6"/>
  <c r="KZ7" i="6"/>
  <c r="E292" i="7" l="1"/>
  <c r="LC72" i="6"/>
  <c r="LB9" i="6"/>
  <c r="LB52" i="6"/>
  <c r="LB56" i="6" s="1"/>
  <c r="LB82" i="6"/>
  <c r="LC42" i="6"/>
  <c r="LC39" i="6"/>
  <c r="LA6" i="6"/>
  <c r="LA57" i="6"/>
  <c r="LA7" i="6"/>
  <c r="LA13" i="6" s="1"/>
  <c r="LA61" i="6"/>
  <c r="LA11" i="6" s="1"/>
  <c r="LA12" i="6" s="1"/>
  <c r="KZ11" i="6"/>
  <c r="LB6" i="6" l="1"/>
  <c r="LB57" i="6"/>
  <c r="LB61" i="6" s="1"/>
  <c r="LB11" i="6" s="1"/>
  <c r="LC43" i="6"/>
  <c r="LC40" i="6"/>
  <c r="LB5" i="6"/>
  <c r="LB4" i="6"/>
  <c r="LC78" i="6"/>
  <c r="LC48" i="6"/>
  <c r="C293" i="7"/>
  <c r="LC80" i="6" l="1"/>
  <c r="LC47" i="6"/>
  <c r="LC8" i="6"/>
  <c r="LC44" i="6"/>
  <c r="LD58" i="6"/>
  <c r="LD60" i="6" s="1"/>
  <c r="F293" i="7"/>
  <c r="D293" i="7"/>
  <c r="LD37" i="6" s="1"/>
  <c r="LB7" i="6"/>
  <c r="E293" i="7" l="1"/>
  <c r="LD72" i="6"/>
  <c r="LC9" i="6"/>
  <c r="LD39" i="6"/>
  <c r="LD42" i="6"/>
  <c r="LC52" i="6"/>
  <c r="LC82" i="6"/>
  <c r="LC5" i="6" l="1"/>
  <c r="LC4" i="6"/>
  <c r="LC56" i="6"/>
  <c r="LD43" i="6"/>
  <c r="LD40" i="6"/>
  <c r="LD78" i="6"/>
  <c r="LD48" i="6"/>
  <c r="C294" i="7"/>
  <c r="LD80" i="6" l="1"/>
  <c r="LD8" i="6"/>
  <c r="LD47" i="6"/>
  <c r="LD44" i="6"/>
  <c r="D294" i="7"/>
  <c r="LE37" i="6" s="1"/>
  <c r="LE58" i="6"/>
  <c r="LE60" i="6" s="1"/>
  <c r="F294" i="7"/>
  <c r="LC6" i="6"/>
  <c r="LC57" i="6"/>
  <c r="LC61" i="6" s="1"/>
  <c r="LC11" i="6" s="1"/>
  <c r="LC7" i="6"/>
  <c r="E294" i="7" l="1"/>
  <c r="LE72" i="6"/>
  <c r="LE39" i="6"/>
  <c r="LE42" i="6"/>
  <c r="LD52" i="6"/>
  <c r="LD9" i="6"/>
  <c r="LD82" i="6"/>
  <c r="LD4" i="6" l="1"/>
  <c r="LD5" i="6"/>
  <c r="LD56" i="6"/>
  <c r="LE40" i="6"/>
  <c r="LE43" i="6"/>
  <c r="LE78" i="6"/>
  <c r="LE48" i="6"/>
  <c r="C295" i="7"/>
  <c r="LE80" i="6" l="1"/>
  <c r="LE44" i="6"/>
  <c r="LE47" i="6"/>
  <c r="LE8" i="6"/>
  <c r="LD6" i="6"/>
  <c r="LD57" i="6"/>
  <c r="LD61" i="6" s="1"/>
  <c r="LD11" i="6" s="1"/>
  <c r="F295" i="7"/>
  <c r="D295" i="7"/>
  <c r="LF37" i="6" s="1"/>
  <c r="LF58" i="6"/>
  <c r="LF60" i="6" s="1"/>
  <c r="LD7" i="6"/>
  <c r="LF72" i="6" l="1"/>
  <c r="E295" i="7"/>
  <c r="LE9" i="6"/>
  <c r="LE52" i="6"/>
  <c r="LF42" i="6"/>
  <c r="LF39" i="6"/>
  <c r="LE82" i="6"/>
  <c r="LF43" i="6" l="1"/>
  <c r="LF40" i="6"/>
  <c r="LF48" i="6"/>
  <c r="C296" i="7"/>
  <c r="LE5" i="6"/>
  <c r="LE4" i="6"/>
  <c r="LE56" i="6"/>
  <c r="LF78" i="6"/>
  <c r="LE6" i="6" l="1"/>
  <c r="LE57" i="6"/>
  <c r="LE61" i="6" s="1"/>
  <c r="LE11" i="6" s="1"/>
  <c r="D296" i="7"/>
  <c r="LG37" i="6" s="1"/>
  <c r="F296" i="7"/>
  <c r="LG58" i="6"/>
  <c r="LG60" i="6" s="1"/>
  <c r="LF80" i="6"/>
  <c r="LE7" i="6"/>
  <c r="LF47" i="6"/>
  <c r="LF8" i="6"/>
  <c r="LF44" i="6"/>
  <c r="LF9" i="6" l="1"/>
  <c r="LF52" i="6"/>
  <c r="E296" i="7"/>
  <c r="LG72" i="6"/>
  <c r="LG78" i="6" s="1"/>
  <c r="LG80" i="6" s="1"/>
  <c r="LF82" i="6"/>
  <c r="LG42" i="6"/>
  <c r="LG39" i="6"/>
  <c r="LG43" i="6" l="1"/>
  <c r="LG40" i="6"/>
  <c r="LG82" i="6"/>
  <c r="LG48" i="6"/>
  <c r="C297" i="7"/>
  <c r="LF5" i="6"/>
  <c r="LF4" i="6"/>
  <c r="LF56" i="6"/>
  <c r="LF6" i="6" l="1"/>
  <c r="LF57" i="6"/>
  <c r="LF61" i="6" s="1"/>
  <c r="LF11" i="6" s="1"/>
  <c r="LH58" i="6"/>
  <c r="LH60" i="6" s="1"/>
  <c r="F297" i="7"/>
  <c r="D297" i="7"/>
  <c r="LH37" i="6" s="1"/>
  <c r="LF7" i="6"/>
  <c r="LG47" i="6"/>
  <c r="LG52" i="6" s="1"/>
  <c r="LG44" i="6"/>
  <c r="LG8" i="6"/>
  <c r="LG9" i="6" s="1"/>
  <c r="LG5" i="6" l="1"/>
  <c r="LG7" i="6" s="1"/>
  <c r="LG4" i="6"/>
  <c r="LH42" i="6"/>
  <c r="LH39" i="6"/>
  <c r="LH72" i="6"/>
  <c r="LH78" i="6" s="1"/>
  <c r="LH80" i="6" s="1"/>
  <c r="LH82" i="6" s="1"/>
  <c r="E297" i="7"/>
  <c r="LG56" i="6"/>
  <c r="LG6" i="6" l="1"/>
  <c r="LG57" i="6"/>
  <c r="LG61" i="6" s="1"/>
  <c r="LG11" i="6" s="1"/>
  <c r="LH48" i="6"/>
  <c r="C298" i="7"/>
  <c r="LH40" i="6"/>
  <c r="LH43" i="6"/>
  <c r="LH47" i="6" l="1"/>
  <c r="LH52" i="6" s="1"/>
  <c r="LH44" i="6"/>
  <c r="LH8" i="6"/>
  <c r="LH9" i="6" s="1"/>
  <c r="F298" i="7"/>
  <c r="D298" i="7"/>
  <c r="LI37" i="6" s="1"/>
  <c r="LI58" i="6"/>
  <c r="LI60" i="6" s="1"/>
  <c r="LI39" i="6" l="1"/>
  <c r="LI42" i="6"/>
  <c r="LI72" i="6"/>
  <c r="LI78" i="6" s="1"/>
  <c r="LI80" i="6" s="1"/>
  <c r="LI82" i="6" s="1"/>
  <c r="E298" i="7"/>
  <c r="LH4" i="6"/>
  <c r="LH5" i="6"/>
  <c r="LH7" i="6" s="1"/>
  <c r="LH56" i="6"/>
  <c r="LH6" i="6" l="1"/>
  <c r="LH57" i="6"/>
  <c r="LH61" i="6" s="1"/>
  <c r="LH11" i="6" s="1"/>
  <c r="LI48" i="6"/>
  <c r="C299" i="7"/>
  <c r="LI43" i="6"/>
  <c r="LI40" i="6"/>
  <c r="D299" i="7" l="1"/>
  <c r="LJ37" i="6" s="1"/>
  <c r="F299" i="7"/>
  <c r="LJ58" i="6"/>
  <c r="LJ60" i="6" s="1"/>
  <c r="LI47" i="6"/>
  <c r="LI52" i="6" s="1"/>
  <c r="LI8" i="6"/>
  <c r="LI9" i="6" s="1"/>
  <c r="LI44" i="6"/>
  <c r="LI4" i="6" l="1"/>
  <c r="LI5" i="6"/>
  <c r="LI7" i="6" s="1"/>
  <c r="LI56" i="6"/>
  <c r="LJ42" i="6"/>
  <c r="LJ39" i="6"/>
  <c r="E299" i="7"/>
  <c r="LJ72" i="6"/>
  <c r="LJ78" i="6" s="1"/>
  <c r="LJ80" i="6" s="1"/>
  <c r="LJ82" i="6" s="1"/>
  <c r="LJ48" i="6" l="1"/>
  <c r="C300" i="7"/>
  <c r="LI6" i="6"/>
  <c r="LI57" i="6"/>
  <c r="LI61" i="6" s="1"/>
  <c r="LI11" i="6" s="1"/>
  <c r="LJ40" i="6"/>
  <c r="LJ43" i="6"/>
  <c r="D300" i="7" l="1"/>
  <c r="LK37" i="6" s="1"/>
  <c r="LK58" i="6"/>
  <c r="LK60" i="6" s="1"/>
  <c r="F300" i="7"/>
  <c r="LJ44" i="6"/>
  <c r="LJ47" i="6"/>
  <c r="LJ52" i="6" s="1"/>
  <c r="LJ8" i="6"/>
  <c r="LJ9" i="6" s="1"/>
  <c r="LJ5" i="6" l="1"/>
  <c r="LJ7" i="6" s="1"/>
  <c r="LJ4" i="6"/>
  <c r="LJ56" i="6"/>
  <c r="LK72" i="6"/>
  <c r="LK78" i="6" s="1"/>
  <c r="LK80" i="6" s="1"/>
  <c r="LK82" i="6" s="1"/>
  <c r="E300" i="7"/>
  <c r="LK42" i="6"/>
  <c r="LK39" i="6"/>
  <c r="LK48" i="6" l="1"/>
  <c r="C301" i="7"/>
  <c r="LK40" i="6"/>
  <c r="LK43" i="6"/>
  <c r="LJ57" i="6"/>
  <c r="LJ61" i="6" s="1"/>
  <c r="LJ11" i="6" s="1"/>
  <c r="LJ6" i="6"/>
  <c r="LK44" i="6" l="1"/>
  <c r="LK8" i="6"/>
  <c r="LK9" i="6" s="1"/>
  <c r="LK47" i="6"/>
  <c r="LK52" i="6" s="1"/>
  <c r="F301" i="7"/>
  <c r="D301" i="7"/>
  <c r="LL37" i="6" s="1"/>
  <c r="LL58" i="6"/>
  <c r="LL60" i="6" s="1"/>
  <c r="E301" i="7" l="1"/>
  <c r="LL72" i="6"/>
  <c r="LL78" i="6" s="1"/>
  <c r="LL80" i="6" s="1"/>
  <c r="LL82" i="6" s="1"/>
  <c r="LL42" i="6"/>
  <c r="LL39" i="6"/>
  <c r="LK4" i="6"/>
  <c r="LK5" i="6"/>
  <c r="LK7" i="6" s="1"/>
  <c r="LK56" i="6"/>
  <c r="LL40" i="6" l="1"/>
  <c r="LL43" i="6"/>
  <c r="LK6" i="6"/>
  <c r="LK57" i="6"/>
  <c r="LK61" i="6" s="1"/>
  <c r="LK11" i="6" s="1"/>
  <c r="LL48" i="6"/>
  <c r="C302" i="7"/>
  <c r="LL44" i="6" l="1"/>
  <c r="LL47" i="6"/>
  <c r="LL52" i="6" s="1"/>
  <c r="LL8" i="6"/>
  <c r="LL9" i="6" s="1"/>
  <c r="D302" i="7"/>
  <c r="LM37" i="6" s="1"/>
  <c r="F302" i="7"/>
  <c r="LM58" i="6"/>
  <c r="LN58" i="6" l="1"/>
  <c r="LM60" i="6"/>
  <c r="LN60" i="6" s="1"/>
  <c r="E302" i="7"/>
  <c r="LM72" i="6"/>
  <c r="LM39" i="6"/>
  <c r="LM42" i="6"/>
  <c r="LN42" i="6" s="1"/>
  <c r="LN37" i="6"/>
  <c r="LL5" i="6"/>
  <c r="LL7" i="6" s="1"/>
  <c r="LL4" i="6"/>
  <c r="LL56" i="6"/>
  <c r="LM78" i="6" l="1"/>
  <c r="LN72" i="6"/>
  <c r="LL6" i="6"/>
  <c r="LL57" i="6"/>
  <c r="LL61" i="6" s="1"/>
  <c r="LL11" i="6" s="1"/>
  <c r="LM40" i="6"/>
  <c r="LM43" i="6"/>
  <c r="LN39" i="6"/>
  <c r="LN40" i="6" s="1"/>
  <c r="LM48" i="6"/>
  <c r="LN48" i="6" s="1"/>
  <c r="C303" i="7"/>
  <c r="F303" i="7" l="1"/>
  <c r="LO58" i="6"/>
  <c r="LO60" i="6" s="1"/>
  <c r="D303" i="7"/>
  <c r="LO37" i="6" s="1"/>
  <c r="LM44" i="6"/>
  <c r="LM47" i="6"/>
  <c r="LM8" i="6"/>
  <c r="LN43" i="6"/>
  <c r="LN44" i="6" s="1"/>
  <c r="LM80" i="6"/>
  <c r="LN78" i="6"/>
  <c r="LM52" i="6" l="1"/>
  <c r="LN47" i="6"/>
  <c r="LM82" i="6"/>
  <c r="LN82" i="6" s="1"/>
  <c r="LN80" i="6"/>
  <c r="LO39" i="6"/>
  <c r="LO42" i="6"/>
  <c r="LM9" i="6"/>
  <c r="LN9" i="6" s="1"/>
  <c r="LN8" i="6"/>
  <c r="E303" i="7"/>
  <c r="LO72" i="6"/>
  <c r="LO78" i="6" l="1"/>
  <c r="LO48" i="6"/>
  <c r="C304" i="7"/>
  <c r="LO43" i="6"/>
  <c r="LO40" i="6"/>
  <c r="LM4" i="6"/>
  <c r="LN4" i="6" s="1"/>
  <c r="LM5" i="6"/>
  <c r="LN52" i="6"/>
  <c r="LM56" i="6"/>
  <c r="LN56" i="6" l="1"/>
  <c r="LM57" i="6"/>
  <c r="LM61" i="6" s="1"/>
  <c r="LM6" i="6"/>
  <c r="LP58" i="6"/>
  <c r="LP60" i="6" s="1"/>
  <c r="F304" i="7"/>
  <c r="D304" i="7"/>
  <c r="LP37" i="6" s="1"/>
  <c r="LO44" i="6"/>
  <c r="LO47" i="6"/>
  <c r="LO8" i="6"/>
  <c r="LN5" i="6"/>
  <c r="LM7" i="6"/>
  <c r="LO80" i="6"/>
  <c r="LN7" i="6" l="1"/>
  <c r="LN13" i="6" s="1"/>
  <c r="LO9" i="6"/>
  <c r="LO82" i="6"/>
  <c r="LO52" i="6"/>
  <c r="LP39" i="6"/>
  <c r="LP42" i="6"/>
  <c r="LP72" i="6"/>
  <c r="E304" i="7"/>
  <c r="LN61" i="6"/>
  <c r="LN11" i="6" s="1"/>
  <c r="LN12" i="6" s="1"/>
  <c r="LM11" i="6"/>
  <c r="LN6" i="6"/>
  <c r="LN57" i="6"/>
  <c r="LP78" i="6" l="1"/>
  <c r="LP40" i="6"/>
  <c r="LP43" i="6"/>
  <c r="LP48" i="6"/>
  <c r="C305" i="7"/>
  <c r="LO4" i="6"/>
  <c r="LO5" i="6"/>
  <c r="LO56" i="6"/>
  <c r="LP80" i="6" l="1"/>
  <c r="LO57" i="6"/>
  <c r="LO61" i="6" s="1"/>
  <c r="LO11" i="6" s="1"/>
  <c r="LO6" i="6"/>
  <c r="LP44" i="6"/>
  <c r="LP8" i="6"/>
  <c r="LP47" i="6"/>
  <c r="LO7" i="6"/>
  <c r="D305" i="7"/>
  <c r="LQ37" i="6" s="1"/>
  <c r="LQ58" i="6"/>
  <c r="LQ60" i="6" s="1"/>
  <c r="F305" i="7"/>
  <c r="E305" i="7" l="1"/>
  <c r="LQ72" i="6"/>
  <c r="LQ42" i="6"/>
  <c r="LQ39" i="6"/>
  <c r="LP52" i="6"/>
  <c r="LP9" i="6"/>
  <c r="LP82" i="6"/>
  <c r="LQ48" i="6" l="1"/>
  <c r="C306" i="7"/>
  <c r="LQ43" i="6"/>
  <c r="LQ40" i="6"/>
  <c r="LP5" i="6"/>
  <c r="LP4" i="6"/>
  <c r="LP56" i="6"/>
  <c r="LQ78" i="6"/>
  <c r="LQ80" i="6" l="1"/>
  <c r="LP6" i="6"/>
  <c r="LP57" i="6"/>
  <c r="LP61" i="6" s="1"/>
  <c r="LP11" i="6" s="1"/>
  <c r="LP7" i="6"/>
  <c r="LQ44" i="6"/>
  <c r="LQ8" i="6"/>
  <c r="LQ47" i="6"/>
  <c r="D306" i="7"/>
  <c r="LR37" i="6" s="1"/>
  <c r="F306" i="7"/>
  <c r="LR58" i="6"/>
  <c r="LR60" i="6" s="1"/>
  <c r="LR39" i="6" l="1"/>
  <c r="LR42" i="6"/>
  <c r="LQ52" i="6"/>
  <c r="LQ9" i="6"/>
  <c r="E306" i="7"/>
  <c r="LR72" i="6"/>
  <c r="LQ82" i="6"/>
  <c r="LR40" i="6" l="1"/>
  <c r="LR43" i="6"/>
  <c r="LR78" i="6"/>
  <c r="LR48" i="6"/>
  <c r="C307" i="7"/>
  <c r="LQ4" i="6"/>
  <c r="LQ5" i="6"/>
  <c r="LQ56" i="6"/>
  <c r="LR44" i="6" l="1"/>
  <c r="LR47" i="6"/>
  <c r="LR8" i="6"/>
  <c r="LQ7" i="6"/>
  <c r="LQ6" i="6"/>
  <c r="LQ57" i="6"/>
  <c r="LQ61" i="6" s="1"/>
  <c r="LQ11" i="6" s="1"/>
  <c r="D307" i="7"/>
  <c r="LS37" i="6" s="1"/>
  <c r="LS58" i="6"/>
  <c r="LS60" i="6" s="1"/>
  <c r="F307" i="7"/>
  <c r="LR80" i="6"/>
  <c r="LS72" i="6" l="1"/>
  <c r="E307" i="7"/>
  <c r="LR52" i="6"/>
  <c r="LS42" i="6"/>
  <c r="LS39" i="6"/>
  <c r="LR82" i="6"/>
  <c r="LR9" i="6"/>
  <c r="LS48" i="6" l="1"/>
  <c r="C308" i="7"/>
  <c r="LS78" i="6"/>
  <c r="LS43" i="6"/>
  <c r="LS40" i="6"/>
  <c r="LR5" i="6"/>
  <c r="LR4" i="6"/>
  <c r="LR56" i="6"/>
  <c r="D308" i="7" l="1"/>
  <c r="LT37" i="6" s="1"/>
  <c r="F308" i="7"/>
  <c r="LT58" i="6"/>
  <c r="LT60" i="6" s="1"/>
  <c r="LR6" i="6"/>
  <c r="LR57" i="6"/>
  <c r="LR61" i="6" s="1"/>
  <c r="LR11" i="6" s="1"/>
  <c r="LR7" i="6"/>
  <c r="LS44" i="6"/>
  <c r="LS8" i="6"/>
  <c r="LS47" i="6"/>
  <c r="LS80" i="6"/>
  <c r="LS9" i="6" l="1"/>
  <c r="LS52" i="6"/>
  <c r="E308" i="7"/>
  <c r="LT72" i="6"/>
  <c r="LT78" i="6" s="1"/>
  <c r="LT80" i="6" s="1"/>
  <c r="LS82" i="6"/>
  <c r="LT42" i="6"/>
  <c r="LT39" i="6"/>
  <c r="LT82" i="6" l="1"/>
  <c r="LT48" i="6"/>
  <c r="C309" i="7"/>
  <c r="LT40" i="6"/>
  <c r="LT43" i="6"/>
  <c r="LS5" i="6"/>
  <c r="LS4" i="6"/>
  <c r="LS56" i="6"/>
  <c r="D309" i="7" l="1"/>
  <c r="LU37" i="6" s="1"/>
  <c r="LU58" i="6"/>
  <c r="LU60" i="6" s="1"/>
  <c r="F309" i="7"/>
  <c r="LS6" i="6"/>
  <c r="LS57" i="6"/>
  <c r="LS61" i="6" s="1"/>
  <c r="LS11" i="6" s="1"/>
  <c r="LS7" i="6"/>
  <c r="LT47" i="6"/>
  <c r="LT52" i="6" s="1"/>
  <c r="LT8" i="6"/>
  <c r="LT9" i="6" s="1"/>
  <c r="LT44" i="6"/>
  <c r="LT5" i="6" l="1"/>
  <c r="LT7" i="6" s="1"/>
  <c r="LT4" i="6"/>
  <c r="LT56" i="6"/>
  <c r="E309" i="7"/>
  <c r="LU72" i="6"/>
  <c r="LU78" i="6" s="1"/>
  <c r="LU80" i="6" s="1"/>
  <c r="LU82" i="6" s="1"/>
  <c r="LU42" i="6"/>
  <c r="LU39" i="6"/>
  <c r="LU43" i="6" l="1"/>
  <c r="LU40" i="6"/>
  <c r="LU48" i="6"/>
  <c r="C310" i="7"/>
  <c r="LT6" i="6"/>
  <c r="LT57" i="6"/>
  <c r="LT61" i="6" s="1"/>
  <c r="LT11" i="6" s="1"/>
  <c r="LU47" i="6" l="1"/>
  <c r="LU52" i="6" s="1"/>
  <c r="LU8" i="6"/>
  <c r="LU9" i="6" s="1"/>
  <c r="LU44" i="6"/>
  <c r="D310" i="7"/>
  <c r="LV37" i="6" s="1"/>
  <c r="F310" i="7"/>
  <c r="LV58" i="6"/>
  <c r="LV60" i="6" s="1"/>
  <c r="LU5" i="6" l="1"/>
  <c r="LU7" i="6" s="1"/>
  <c r="LU4" i="6"/>
  <c r="LU56" i="6"/>
  <c r="E310" i="7"/>
  <c r="LV72" i="6"/>
  <c r="LV78" i="6" s="1"/>
  <c r="LV80" i="6" s="1"/>
  <c r="LV82" i="6" s="1"/>
  <c r="LV39" i="6"/>
  <c r="LV42" i="6"/>
  <c r="LV43" i="6" l="1"/>
  <c r="LV40" i="6"/>
  <c r="LV48" i="6"/>
  <c r="C311" i="7"/>
  <c r="LU6" i="6"/>
  <c r="LU57" i="6"/>
  <c r="LU61" i="6" s="1"/>
  <c r="LU11" i="6" s="1"/>
  <c r="D311" i="7" l="1"/>
  <c r="LW37" i="6" s="1"/>
  <c r="F311" i="7"/>
  <c r="LW58" i="6"/>
  <c r="LW60" i="6" s="1"/>
  <c r="LV8" i="6"/>
  <c r="LV9" i="6" s="1"/>
  <c r="LV44" i="6"/>
  <c r="LV47" i="6"/>
  <c r="LV52" i="6" s="1"/>
  <c r="LW42" i="6" l="1"/>
  <c r="LW39" i="6"/>
  <c r="LV4" i="6"/>
  <c r="LV5" i="6"/>
  <c r="LV7" i="6" s="1"/>
  <c r="LV56" i="6"/>
  <c r="E311" i="7"/>
  <c r="LW72" i="6"/>
  <c r="LW78" i="6" s="1"/>
  <c r="LW80" i="6" s="1"/>
  <c r="LW82" i="6" s="1"/>
  <c r="LW48" i="6" l="1"/>
  <c r="C312" i="7"/>
  <c r="LV6" i="6"/>
  <c r="LV57" i="6"/>
  <c r="LV61" i="6" s="1"/>
  <c r="LV11" i="6" s="1"/>
  <c r="LW40" i="6"/>
  <c r="LW43" i="6"/>
  <c r="LW8" i="6" l="1"/>
  <c r="LW9" i="6" s="1"/>
  <c r="LW47" i="6"/>
  <c r="LW52" i="6" s="1"/>
  <c r="LW44" i="6"/>
  <c r="D312" i="7"/>
  <c r="LX37" i="6" s="1"/>
  <c r="LX58" i="6"/>
  <c r="LX60" i="6" s="1"/>
  <c r="F312" i="7"/>
  <c r="E312" i="7" l="1"/>
  <c r="LX72" i="6"/>
  <c r="LX78" i="6" s="1"/>
  <c r="LX80" i="6" s="1"/>
  <c r="LX82" i="6" s="1"/>
  <c r="LX39" i="6"/>
  <c r="LX42" i="6"/>
  <c r="LW4" i="6"/>
  <c r="LW5" i="6"/>
  <c r="LW7" i="6" s="1"/>
  <c r="LW56" i="6"/>
  <c r="LX48" i="6" l="1"/>
  <c r="C313" i="7"/>
  <c r="LW6" i="6"/>
  <c r="LW57" i="6"/>
  <c r="LW61" i="6" s="1"/>
  <c r="LW11" i="6" s="1"/>
  <c r="LX43" i="6"/>
  <c r="LX40" i="6"/>
  <c r="LX47" i="6" l="1"/>
  <c r="LX52" i="6" s="1"/>
  <c r="LX8" i="6"/>
  <c r="LX9" i="6" s="1"/>
  <c r="LX44" i="6"/>
  <c r="D313" i="7"/>
  <c r="LY37" i="6" s="1"/>
  <c r="LY58" i="6"/>
  <c r="LY60" i="6" s="1"/>
  <c r="F313" i="7"/>
  <c r="LX5" i="6" l="1"/>
  <c r="LX7" i="6" s="1"/>
  <c r="LX4" i="6"/>
  <c r="LX56" i="6"/>
  <c r="E313" i="7"/>
  <c r="LY72" i="6"/>
  <c r="LY78" i="6" s="1"/>
  <c r="LY80" i="6" s="1"/>
  <c r="LY82" i="6" s="1"/>
  <c r="LY42" i="6"/>
  <c r="LY39" i="6"/>
  <c r="LY43" i="6" l="1"/>
  <c r="LY40" i="6"/>
  <c r="LY48" i="6"/>
  <c r="C314" i="7"/>
  <c r="LX6" i="6"/>
  <c r="LX57" i="6"/>
  <c r="LX61" i="6" s="1"/>
  <c r="LX11" i="6" s="1"/>
  <c r="LY44" i="6" l="1"/>
  <c r="LY47" i="6"/>
  <c r="LY52" i="6" s="1"/>
  <c r="LY8" i="6"/>
  <c r="LY9" i="6" s="1"/>
  <c r="D314" i="7"/>
  <c r="LZ37" i="6" s="1"/>
  <c r="F314" i="7"/>
  <c r="LZ58" i="6"/>
  <c r="LZ60" i="6" l="1"/>
  <c r="MA60" i="6" s="1"/>
  <c r="MA58" i="6"/>
  <c r="E314" i="7"/>
  <c r="LZ72" i="6"/>
  <c r="LZ42" i="6"/>
  <c r="MA42" i="6" s="1"/>
  <c r="LZ39" i="6"/>
  <c r="MA37" i="6"/>
  <c r="LY5" i="6"/>
  <c r="LY7" i="6" s="1"/>
  <c r="LY4" i="6"/>
  <c r="LY56" i="6"/>
  <c r="LY6" i="6" l="1"/>
  <c r="LY57" i="6"/>
  <c r="LY61" i="6" s="1"/>
  <c r="LY11" i="6" s="1"/>
  <c r="LZ40" i="6"/>
  <c r="LZ43" i="6"/>
  <c r="MA39" i="6"/>
  <c r="MA40" i="6" s="1"/>
  <c r="LZ78" i="6"/>
  <c r="MA72" i="6"/>
  <c r="LZ48" i="6"/>
  <c r="MA48" i="6" s="1"/>
  <c r="C315" i="7"/>
  <c r="D315" i="7" l="1"/>
  <c r="MB37" i="6" s="1"/>
  <c r="MB58" i="6"/>
  <c r="MB60" i="6" s="1"/>
  <c r="F315" i="7"/>
  <c r="LZ80" i="6"/>
  <c r="MA78" i="6"/>
  <c r="LZ44" i="6"/>
  <c r="LZ47" i="6"/>
  <c r="LZ8" i="6"/>
  <c r="MA43" i="6"/>
  <c r="MA44" i="6" s="1"/>
  <c r="LZ9" i="6" l="1"/>
  <c r="MA9" i="6" s="1"/>
  <c r="MA8" i="6"/>
  <c r="LZ52" i="6"/>
  <c r="MA47" i="6"/>
  <c r="LZ82" i="6"/>
  <c r="MA82" i="6" s="1"/>
  <c r="MA80" i="6"/>
  <c r="MB72" i="6"/>
  <c r="E315" i="7"/>
  <c r="MB39" i="6"/>
  <c r="MB42" i="6"/>
  <c r="MB43" i="6" l="1"/>
  <c r="MB40" i="6"/>
  <c r="MB48" i="6"/>
  <c r="C316" i="7"/>
  <c r="MB78" i="6"/>
  <c r="LZ4" i="6"/>
  <c r="MA4" i="6" s="1"/>
  <c r="LZ5" i="6"/>
  <c r="MA52" i="6"/>
  <c r="LZ56" i="6"/>
  <c r="MA56" i="6" l="1"/>
  <c r="LZ6" i="6"/>
  <c r="LZ57" i="6"/>
  <c r="LZ61" i="6" s="1"/>
  <c r="MA5" i="6"/>
  <c r="LZ7" i="6"/>
  <c r="MB80" i="6"/>
  <c r="F316" i="7"/>
  <c r="MC58" i="6"/>
  <c r="MC60" i="6" s="1"/>
  <c r="D316" i="7"/>
  <c r="MC37" i="6" s="1"/>
  <c r="MB8" i="6"/>
  <c r="MB47" i="6"/>
  <c r="MB44" i="6"/>
  <c r="MB52" i="6" l="1"/>
  <c r="MB56" i="6" s="1"/>
  <c r="MB9" i="6"/>
  <c r="MC42" i="6"/>
  <c r="MC39" i="6"/>
  <c r="E316" i="7"/>
  <c r="MC72" i="6"/>
  <c r="MB82" i="6"/>
  <c r="MA7" i="6"/>
  <c r="MA13" i="6" s="1"/>
  <c r="MA61" i="6"/>
  <c r="MA11" i="6" s="1"/>
  <c r="MA12" i="6" s="1"/>
  <c r="LZ11" i="6"/>
  <c r="MA57" i="6"/>
  <c r="MA6" i="6"/>
  <c r="MC78" i="6" l="1"/>
  <c r="MC48" i="6"/>
  <c r="C317" i="7"/>
  <c r="MC40" i="6"/>
  <c r="MC43" i="6"/>
  <c r="MB6" i="6"/>
  <c r="MB57" i="6"/>
  <c r="MB61" i="6" s="1"/>
  <c r="MB11" i="6" s="1"/>
  <c r="MB5" i="6"/>
  <c r="MB4" i="6"/>
  <c r="MB7" i="6" l="1"/>
  <c r="D317" i="7"/>
  <c r="MD37" i="6" s="1"/>
  <c r="F317" i="7"/>
  <c r="MD58" i="6"/>
  <c r="MD60" i="6" s="1"/>
  <c r="MC47" i="6"/>
  <c r="MC44" i="6"/>
  <c r="MC8" i="6"/>
  <c r="MC80" i="6"/>
  <c r="MD72" i="6" l="1"/>
  <c r="E317" i="7"/>
  <c r="MC82" i="6"/>
  <c r="MC9" i="6"/>
  <c r="MC52" i="6"/>
  <c r="MD39" i="6"/>
  <c r="MD42" i="6"/>
  <c r="MD43" i="6" l="1"/>
  <c r="MD40" i="6"/>
  <c r="MC4" i="6"/>
  <c r="MC5" i="6"/>
  <c r="MC56" i="6"/>
  <c r="MD48" i="6"/>
  <c r="C318" i="7"/>
  <c r="MD78" i="6"/>
  <c r="MC7" i="6" l="1"/>
  <c r="MD80" i="6"/>
  <c r="D318" i="7"/>
  <c r="ME37" i="6" s="1"/>
  <c r="F318" i="7"/>
  <c r="ME58" i="6"/>
  <c r="ME60" i="6" s="1"/>
  <c r="MC57" i="6"/>
  <c r="MC61" i="6" s="1"/>
  <c r="MC11" i="6" s="1"/>
  <c r="MC6" i="6"/>
  <c r="MD44" i="6"/>
  <c r="MD47" i="6"/>
  <c r="MD8" i="6"/>
  <c r="ME72" i="6" l="1"/>
  <c r="E318" i="7"/>
  <c r="MD9" i="6"/>
  <c r="MD52" i="6"/>
  <c r="ME39" i="6"/>
  <c r="ME42" i="6"/>
  <c r="MD82" i="6"/>
  <c r="ME43" i="6" l="1"/>
  <c r="ME40" i="6"/>
  <c r="MD4" i="6"/>
  <c r="MD5" i="6"/>
  <c r="MD56" i="6"/>
  <c r="ME48" i="6"/>
  <c r="C319" i="7"/>
  <c r="ME78" i="6"/>
  <c r="ME80" i="6" l="1"/>
  <c r="MF58" i="6"/>
  <c r="MF60" i="6" s="1"/>
  <c r="D319" i="7"/>
  <c r="MF37" i="6" s="1"/>
  <c r="F319" i="7"/>
  <c r="MD6" i="6"/>
  <c r="MD57" i="6"/>
  <c r="MD61" i="6" s="1"/>
  <c r="MD11" i="6" s="1"/>
  <c r="MD7" i="6"/>
  <c r="ME47" i="6"/>
  <c r="ME8" i="6"/>
  <c r="ME44" i="6"/>
  <c r="ME9" i="6" l="1"/>
  <c r="ME52" i="6"/>
  <c r="E319" i="7"/>
  <c r="MF72" i="6"/>
  <c r="ME82" i="6"/>
  <c r="MF39" i="6"/>
  <c r="MF42" i="6"/>
  <c r="MF48" i="6" l="1"/>
  <c r="C320" i="7"/>
  <c r="MF43" i="6"/>
  <c r="MF40" i="6"/>
  <c r="ME4" i="6"/>
  <c r="ME5" i="6"/>
  <c r="ME56" i="6"/>
  <c r="MF78" i="6"/>
  <c r="MF80" i="6" l="1"/>
  <c r="ME57" i="6"/>
  <c r="ME61" i="6" s="1"/>
  <c r="ME11" i="6" s="1"/>
  <c r="ME6" i="6"/>
  <c r="ME7" i="6"/>
  <c r="MF44" i="6"/>
  <c r="MF47" i="6"/>
  <c r="MF8" i="6"/>
  <c r="D320" i="7"/>
  <c r="MG37" i="6" s="1"/>
  <c r="F320" i="7"/>
  <c r="MG58" i="6"/>
  <c r="MG60" i="6" s="1"/>
  <c r="MF82" i="6" l="1"/>
  <c r="E320" i="7"/>
  <c r="MG72" i="6"/>
  <c r="MG78" i="6" s="1"/>
  <c r="MG80" i="6" s="1"/>
  <c r="MF52" i="6"/>
  <c r="MG42" i="6"/>
  <c r="MG39" i="6"/>
  <c r="MF9" i="6"/>
  <c r="MG43" i="6" l="1"/>
  <c r="MG40" i="6"/>
  <c r="MF5" i="6"/>
  <c r="MF4" i="6"/>
  <c r="MF56" i="6"/>
  <c r="MG82" i="6"/>
  <c r="MG48" i="6"/>
  <c r="C321" i="7"/>
  <c r="MG47" i="6" l="1"/>
  <c r="MG52" i="6" s="1"/>
  <c r="MG8" i="6"/>
  <c r="MG9" i="6" s="1"/>
  <c r="MG44" i="6"/>
  <c r="MH58" i="6"/>
  <c r="MH60" i="6" s="1"/>
  <c r="D321" i="7"/>
  <c r="MH37" i="6" s="1"/>
  <c r="F321" i="7"/>
  <c r="MF6" i="6"/>
  <c r="MF57" i="6"/>
  <c r="MF61" i="6" s="1"/>
  <c r="MF11" i="6" s="1"/>
  <c r="MF7" i="6"/>
  <c r="MG4" i="6" l="1"/>
  <c r="MG5" i="6"/>
  <c r="MG7" i="6" s="1"/>
  <c r="MH42" i="6"/>
  <c r="MH39" i="6"/>
  <c r="MG56" i="6"/>
  <c r="E321" i="7"/>
  <c r="MH72" i="6"/>
  <c r="MH78" i="6" s="1"/>
  <c r="MH80" i="6" s="1"/>
  <c r="MH82" i="6" s="1"/>
  <c r="MH48" i="6" l="1"/>
  <c r="C322" i="7"/>
  <c r="MG6" i="6"/>
  <c r="MG57" i="6"/>
  <c r="MG61" i="6" s="1"/>
  <c r="MG11" i="6" s="1"/>
  <c r="MH40" i="6"/>
  <c r="MH43" i="6"/>
  <c r="MH44" i="6" l="1"/>
  <c r="MH47" i="6"/>
  <c r="MH52" i="6" s="1"/>
  <c r="MH8" i="6"/>
  <c r="MH9" i="6" s="1"/>
  <c r="MI58" i="6"/>
  <c r="MI60" i="6" s="1"/>
  <c r="F322" i="7"/>
  <c r="D322" i="7"/>
  <c r="MI37" i="6" s="1"/>
  <c r="MI42" i="6" l="1"/>
  <c r="MI39" i="6"/>
  <c r="MH5" i="6"/>
  <c r="MH7" i="6" s="1"/>
  <c r="MH4" i="6"/>
  <c r="MH56" i="6"/>
  <c r="E322" i="7"/>
  <c r="MI72" i="6"/>
  <c r="MI78" i="6" s="1"/>
  <c r="MI80" i="6" s="1"/>
  <c r="MI82" i="6" s="1"/>
  <c r="MI48" i="6" l="1"/>
  <c r="C323" i="7"/>
  <c r="MH6" i="6"/>
  <c r="MH57" i="6"/>
  <c r="MH61" i="6" s="1"/>
  <c r="MH11" i="6" s="1"/>
  <c r="MI40" i="6"/>
  <c r="MI43" i="6"/>
  <c r="MI47" i="6" l="1"/>
  <c r="MI52" i="6" s="1"/>
  <c r="MI44" i="6"/>
  <c r="MI8" i="6"/>
  <c r="MI9" i="6" s="1"/>
  <c r="MJ58" i="6"/>
  <c r="MJ60" i="6" s="1"/>
  <c r="F323" i="7"/>
  <c r="D323" i="7"/>
  <c r="MJ37" i="6" s="1"/>
  <c r="MJ42" i="6" l="1"/>
  <c r="MJ39" i="6"/>
  <c r="MI4" i="6"/>
  <c r="MI5" i="6"/>
  <c r="MI7" i="6" s="1"/>
  <c r="MI56" i="6"/>
  <c r="E323" i="7"/>
  <c r="MJ72" i="6"/>
  <c r="MJ78" i="6" s="1"/>
  <c r="MJ80" i="6" s="1"/>
  <c r="MJ82" i="6" s="1"/>
  <c r="MJ48" i="6" l="1"/>
  <c r="C324" i="7"/>
  <c r="MI6" i="6"/>
  <c r="MI57" i="6"/>
  <c r="MI61" i="6" s="1"/>
  <c r="MI11" i="6" s="1"/>
  <c r="MJ43" i="6"/>
  <c r="MJ40" i="6"/>
  <c r="MJ47" i="6" l="1"/>
  <c r="MJ52" i="6" s="1"/>
  <c r="MJ8" i="6"/>
  <c r="MJ9" i="6" s="1"/>
  <c r="MJ44" i="6"/>
  <c r="F324" i="7"/>
  <c r="MK58" i="6"/>
  <c r="MK60" i="6" s="1"/>
  <c r="D324" i="7"/>
  <c r="MK37" i="6" s="1"/>
  <c r="MK39" i="6" l="1"/>
  <c r="MK42" i="6"/>
  <c r="MJ5" i="6"/>
  <c r="MJ7" i="6" s="1"/>
  <c r="MJ4" i="6"/>
  <c r="MJ56" i="6"/>
  <c r="E324" i="7"/>
  <c r="MK72" i="6"/>
  <c r="MK78" i="6" s="1"/>
  <c r="MK80" i="6" s="1"/>
  <c r="MK82" i="6" s="1"/>
  <c r="MK43" i="6" l="1"/>
  <c r="MK40" i="6"/>
  <c r="MK48" i="6"/>
  <c r="C325" i="7"/>
  <c r="MJ6" i="6"/>
  <c r="MJ57" i="6"/>
  <c r="MJ61" i="6" s="1"/>
  <c r="MJ11" i="6" s="1"/>
  <c r="MK44" i="6" l="1"/>
  <c r="MK47" i="6"/>
  <c r="MK52" i="6" s="1"/>
  <c r="MK8" i="6"/>
  <c r="MK9" i="6" s="1"/>
  <c r="D325" i="7"/>
  <c r="ML37" i="6" s="1"/>
  <c r="F325" i="7"/>
  <c r="ML58" i="6"/>
  <c r="ML60" i="6" s="1"/>
  <c r="E325" i="7" l="1"/>
  <c r="ML72" i="6"/>
  <c r="ML78" i="6" s="1"/>
  <c r="ML80" i="6" s="1"/>
  <c r="ML82" i="6" s="1"/>
  <c r="ML42" i="6"/>
  <c r="ML39" i="6"/>
  <c r="MK4" i="6"/>
  <c r="MK5" i="6"/>
  <c r="MK7" i="6" s="1"/>
  <c r="MK56" i="6"/>
  <c r="ML48" i="6" l="1"/>
  <c r="C326" i="7"/>
  <c r="MK6" i="6"/>
  <c r="MK57" i="6"/>
  <c r="MK61" i="6" s="1"/>
  <c r="MK11" i="6" s="1"/>
  <c r="ML43" i="6"/>
  <c r="ML40" i="6"/>
  <c r="ML47" i="6" l="1"/>
  <c r="ML52" i="6" s="1"/>
  <c r="ML44" i="6"/>
  <c r="ML8" i="6"/>
  <c r="ML9" i="6" s="1"/>
  <c r="F326" i="7"/>
  <c r="MM58" i="6"/>
  <c r="D326" i="7"/>
  <c r="MM37" i="6" s="1"/>
  <c r="MM42" i="6" l="1"/>
  <c r="MN42" i="6" s="1"/>
  <c r="MM39" i="6"/>
  <c r="MN37" i="6"/>
  <c r="MM60" i="6"/>
  <c r="MN60" i="6" s="1"/>
  <c r="MN58" i="6"/>
  <c r="E326" i="7"/>
  <c r="MM72" i="6"/>
  <c r="ML5" i="6"/>
  <c r="ML7" i="6" s="1"/>
  <c r="ML4" i="6"/>
  <c r="ML56" i="6"/>
  <c r="ML6" i="6" l="1"/>
  <c r="ML57" i="6"/>
  <c r="ML61" i="6" s="1"/>
  <c r="ML11" i="6" s="1"/>
  <c r="MM78" i="6"/>
  <c r="MN72" i="6"/>
  <c r="MM48" i="6"/>
  <c r="MN48" i="6" s="1"/>
  <c r="C327" i="7"/>
  <c r="MM40" i="6"/>
  <c r="MM43" i="6"/>
  <c r="MN39" i="6"/>
  <c r="MN40" i="6" s="1"/>
  <c r="MM47" i="6" l="1"/>
  <c r="MM8" i="6"/>
  <c r="MM44" i="6"/>
  <c r="MN43" i="6"/>
  <c r="MN44" i="6" s="1"/>
  <c r="F327" i="7"/>
  <c r="D327" i="7"/>
  <c r="MO37" i="6" s="1"/>
  <c r="MO58" i="6"/>
  <c r="MO60" i="6" s="1"/>
  <c r="MM80" i="6"/>
  <c r="MN78" i="6"/>
  <c r="MO42" i="6" l="1"/>
  <c r="MO39" i="6"/>
  <c r="E327" i="7"/>
  <c r="MO72" i="6"/>
  <c r="MM9" i="6"/>
  <c r="MN9" i="6" s="1"/>
  <c r="MN8" i="6"/>
  <c r="MM82" i="6"/>
  <c r="MN82" i="6" s="1"/>
  <c r="MN80" i="6"/>
  <c r="MM52" i="6"/>
  <c r="MN47" i="6"/>
  <c r="MO78" i="6" l="1"/>
  <c r="MO40" i="6"/>
  <c r="MO43" i="6"/>
  <c r="MM4" i="6"/>
  <c r="MN4" i="6" s="1"/>
  <c r="MM5" i="6"/>
  <c r="MN52" i="6"/>
  <c r="MM56" i="6"/>
  <c r="MO48" i="6"/>
  <c r="C328" i="7"/>
  <c r="MN56" i="6" l="1"/>
  <c r="MM6" i="6"/>
  <c r="MM57" i="6"/>
  <c r="MM61" i="6" s="1"/>
  <c r="MN5" i="6"/>
  <c r="MM7" i="6"/>
  <c r="MO44" i="6"/>
  <c r="MO47" i="6"/>
  <c r="MO8" i="6"/>
  <c r="D328" i="7"/>
  <c r="MP37" i="6" s="1"/>
  <c r="MP58" i="6"/>
  <c r="MP60" i="6" s="1"/>
  <c r="F328" i="7"/>
  <c r="MO80" i="6"/>
  <c r="E328" i="7" l="1"/>
  <c r="MP72" i="6"/>
  <c r="MP39" i="6"/>
  <c r="MP42" i="6"/>
  <c r="MO9" i="6"/>
  <c r="MN61" i="6"/>
  <c r="MN11" i="6" s="1"/>
  <c r="MN12" i="6" s="1"/>
  <c r="MM11" i="6"/>
  <c r="MO82" i="6"/>
  <c r="MO52" i="6"/>
  <c r="MN7" i="6"/>
  <c r="MN13" i="6" s="1"/>
  <c r="MN6" i="6"/>
  <c r="MN57" i="6"/>
  <c r="MO5" i="6" l="1"/>
  <c r="MO4" i="6"/>
  <c r="MO56" i="6"/>
  <c r="MP43" i="6"/>
  <c r="MP40" i="6"/>
  <c r="MP78" i="6"/>
  <c r="MP48" i="6"/>
  <c r="C329" i="7"/>
  <c r="MP80" i="6" l="1"/>
  <c r="MP44" i="6"/>
  <c r="MP8" i="6"/>
  <c r="MP47" i="6"/>
  <c r="MO6" i="6"/>
  <c r="MO57" i="6"/>
  <c r="MO61" i="6" s="1"/>
  <c r="MO11" i="6" s="1"/>
  <c r="D329" i="7"/>
  <c r="MQ37" i="6" s="1"/>
  <c r="F329" i="7"/>
  <c r="MQ58" i="6"/>
  <c r="MQ60" i="6" s="1"/>
  <c r="MO7" i="6"/>
  <c r="E329" i="7" l="1"/>
  <c r="MQ72" i="6"/>
  <c r="MQ42" i="6"/>
  <c r="MQ39" i="6"/>
  <c r="MP52" i="6"/>
  <c r="MP9" i="6"/>
  <c r="MP82" i="6"/>
  <c r="MP5" i="6" l="1"/>
  <c r="MP4" i="6"/>
  <c r="MP56" i="6"/>
  <c r="MQ43" i="6"/>
  <c r="MQ40" i="6"/>
  <c r="MQ78" i="6"/>
  <c r="MQ48" i="6"/>
  <c r="C330" i="7"/>
  <c r="MQ80" i="6" l="1"/>
  <c r="MQ44" i="6"/>
  <c r="MQ47" i="6"/>
  <c r="MQ8" i="6"/>
  <c r="MP57" i="6"/>
  <c r="MP61" i="6" s="1"/>
  <c r="MP11" i="6" s="1"/>
  <c r="MP6" i="6"/>
  <c r="F330" i="7"/>
  <c r="D330" i="7"/>
  <c r="MR37" i="6" s="1"/>
  <c r="MR58" i="6"/>
  <c r="MR60" i="6" s="1"/>
  <c r="MP7" i="6"/>
  <c r="MR42" i="6" l="1"/>
  <c r="MR39" i="6"/>
  <c r="MR72" i="6"/>
  <c r="E330" i="7"/>
  <c r="MQ9" i="6"/>
  <c r="MQ52" i="6"/>
  <c r="MQ82" i="6"/>
  <c r="MR78" i="6" l="1"/>
  <c r="MR43" i="6"/>
  <c r="MR40" i="6"/>
  <c r="MQ5" i="6"/>
  <c r="MQ4" i="6"/>
  <c r="MQ56" i="6"/>
  <c r="MR48" i="6"/>
  <c r="C331" i="7"/>
  <c r="MQ6" i="6" l="1"/>
  <c r="MQ57" i="6"/>
  <c r="MQ61" i="6" s="1"/>
  <c r="MQ11" i="6" s="1"/>
  <c r="MQ7" i="6"/>
  <c r="MR8" i="6"/>
  <c r="MR44" i="6"/>
  <c r="MR47" i="6"/>
  <c r="F331" i="7"/>
  <c r="MS58" i="6"/>
  <c r="MS60" i="6" s="1"/>
  <c r="D331" i="7"/>
  <c r="MS37" i="6" s="1"/>
  <c r="MR80" i="6"/>
  <c r="MS39" i="6" l="1"/>
  <c r="MS42" i="6"/>
  <c r="MR82" i="6"/>
  <c r="E331" i="7"/>
  <c r="MS72" i="6"/>
  <c r="MR52" i="6"/>
  <c r="MR9" i="6"/>
  <c r="MR4" i="6" l="1"/>
  <c r="MR5" i="6"/>
  <c r="MR56" i="6"/>
  <c r="MS48" i="6"/>
  <c r="C332" i="7"/>
  <c r="MS78" i="6"/>
  <c r="MS43" i="6"/>
  <c r="MS40" i="6"/>
  <c r="MS80" i="6" l="1"/>
  <c r="MR7" i="6"/>
  <c r="MS8" i="6"/>
  <c r="MS44" i="6"/>
  <c r="MS47" i="6"/>
  <c r="D332" i="7"/>
  <c r="MT37" i="6" s="1"/>
  <c r="F332" i="7"/>
  <c r="MT58" i="6"/>
  <c r="MT60" i="6" s="1"/>
  <c r="MR6" i="6"/>
  <c r="MR57" i="6"/>
  <c r="MR61" i="6" s="1"/>
  <c r="MR11" i="6" s="1"/>
  <c r="E332" i="7" l="1"/>
  <c r="MT72" i="6"/>
  <c r="MT78" i="6" s="1"/>
  <c r="MT80" i="6" s="1"/>
  <c r="MS52" i="6"/>
  <c r="MT39" i="6"/>
  <c r="MT42" i="6"/>
  <c r="MS9" i="6"/>
  <c r="MS82" i="6"/>
  <c r="MT82" i="6" l="1"/>
  <c r="MT43" i="6"/>
  <c r="MT40" i="6"/>
  <c r="MS5" i="6"/>
  <c r="MS4" i="6"/>
  <c r="MS56" i="6"/>
  <c r="MT48" i="6"/>
  <c r="C333" i="7"/>
  <c r="MS6" i="6" l="1"/>
  <c r="MS57" i="6"/>
  <c r="MS61" i="6" s="1"/>
  <c r="MS11" i="6" s="1"/>
  <c r="D333" i="7"/>
  <c r="MU37" i="6" s="1"/>
  <c r="F333" i="7"/>
  <c r="MU58" i="6"/>
  <c r="MU60" i="6" s="1"/>
  <c r="MS7" i="6"/>
  <c r="MT47" i="6"/>
  <c r="MT52" i="6" s="1"/>
  <c r="MT56" i="6" s="1"/>
  <c r="MT44" i="6"/>
  <c r="MT8" i="6"/>
  <c r="MT9" i="6" s="1"/>
  <c r="MT6" i="6" l="1"/>
  <c r="MT57" i="6"/>
  <c r="MT61" i="6" s="1"/>
  <c r="MT11" i="6" s="1"/>
  <c r="MU42" i="6"/>
  <c r="MU39" i="6"/>
  <c r="MT5" i="6"/>
  <c r="MT7" i="6" s="1"/>
  <c r="MT4" i="6"/>
  <c r="E333" i="7"/>
  <c r="MU72" i="6"/>
  <c r="MU78" i="6" s="1"/>
  <c r="MU80" i="6" s="1"/>
  <c r="MU82" i="6" s="1"/>
  <c r="MU48" i="6" l="1"/>
  <c r="C334" i="7"/>
  <c r="MU40" i="6"/>
  <c r="MU43" i="6"/>
  <c r="MU44" i="6" l="1"/>
  <c r="MU8" i="6"/>
  <c r="MU9" i="6" s="1"/>
  <c r="MU47" i="6"/>
  <c r="MU52" i="6" s="1"/>
  <c r="MV58" i="6"/>
  <c r="MV60" i="6" s="1"/>
  <c r="D334" i="7"/>
  <c r="MV37" i="6" s="1"/>
  <c r="F334" i="7"/>
  <c r="MV39" i="6" l="1"/>
  <c r="MV42" i="6"/>
  <c r="E334" i="7"/>
  <c r="MV72" i="6"/>
  <c r="MV78" i="6" s="1"/>
  <c r="MV80" i="6" s="1"/>
  <c r="MV82" i="6" s="1"/>
  <c r="MU4" i="6"/>
  <c r="MU5" i="6"/>
  <c r="MU7" i="6" s="1"/>
  <c r="MU56" i="6"/>
  <c r="MV48" i="6" l="1"/>
  <c r="C335" i="7"/>
  <c r="MU6" i="6"/>
  <c r="MU57" i="6"/>
  <c r="MU61" i="6" s="1"/>
  <c r="MU11" i="6" s="1"/>
  <c r="MV40" i="6"/>
  <c r="MV43" i="6"/>
  <c r="MV44" i="6" l="1"/>
  <c r="MV8" i="6"/>
  <c r="MV9" i="6" s="1"/>
  <c r="MV47" i="6"/>
  <c r="MV52" i="6" s="1"/>
  <c r="F335" i="7"/>
  <c r="D335" i="7"/>
  <c r="MW37" i="6" s="1"/>
  <c r="MW58" i="6"/>
  <c r="MW60" i="6" s="1"/>
  <c r="E335" i="7" l="1"/>
  <c r="MW72" i="6"/>
  <c r="MW78" i="6" s="1"/>
  <c r="MW80" i="6" s="1"/>
  <c r="MW82" i="6" s="1"/>
  <c r="MW39" i="6"/>
  <c r="MW42" i="6"/>
  <c r="MV4" i="6"/>
  <c r="MV5" i="6"/>
  <c r="MV7" i="6" s="1"/>
  <c r="MV56" i="6"/>
  <c r="MV6" i="6" l="1"/>
  <c r="MV57" i="6"/>
  <c r="MV61" i="6" s="1"/>
  <c r="MV11" i="6" s="1"/>
  <c r="MW40" i="6"/>
  <c r="MW43" i="6"/>
  <c r="MW48" i="6"/>
  <c r="C336" i="7"/>
  <c r="MX58" i="6" l="1"/>
  <c r="MX60" i="6" s="1"/>
  <c r="D336" i="7"/>
  <c r="MX37" i="6" s="1"/>
  <c r="F336" i="7"/>
  <c r="MW47" i="6"/>
  <c r="MW52" i="6" s="1"/>
  <c r="MW44" i="6"/>
  <c r="MW8" i="6"/>
  <c r="MW9" i="6" s="1"/>
  <c r="MW4" i="6" l="1"/>
  <c r="MW5" i="6"/>
  <c r="MW7" i="6" s="1"/>
  <c r="MW56" i="6"/>
  <c r="MX72" i="6"/>
  <c r="MX78" i="6" s="1"/>
  <c r="MX80" i="6" s="1"/>
  <c r="MX82" i="6" s="1"/>
  <c r="E336" i="7"/>
  <c r="MX42" i="6"/>
  <c r="MX39" i="6"/>
  <c r="MX43" i="6" l="1"/>
  <c r="MX40" i="6"/>
  <c r="MX48" i="6"/>
  <c r="C337" i="7"/>
  <c r="MW6" i="6"/>
  <c r="MW57" i="6"/>
  <c r="MW61" i="6" s="1"/>
  <c r="MW11" i="6" s="1"/>
  <c r="MX44" i="6" l="1"/>
  <c r="MX47" i="6"/>
  <c r="MX52" i="6" s="1"/>
  <c r="MX8" i="6"/>
  <c r="MX9" i="6" s="1"/>
  <c r="MY58" i="6"/>
  <c r="MY60" i="6" s="1"/>
  <c r="F337" i="7"/>
  <c r="D337" i="7"/>
  <c r="MY37" i="6" s="1"/>
  <c r="MY39" i="6" l="1"/>
  <c r="MY42" i="6"/>
  <c r="MY72" i="6"/>
  <c r="MY78" i="6" s="1"/>
  <c r="MY80" i="6" s="1"/>
  <c r="MY82" i="6" s="1"/>
  <c r="E337" i="7"/>
  <c r="MX5" i="6"/>
  <c r="MX7" i="6" s="1"/>
  <c r="MX4" i="6"/>
  <c r="MX56" i="6"/>
  <c r="MY48" i="6" l="1"/>
  <c r="C338" i="7"/>
  <c r="MX57" i="6"/>
  <c r="MX61" i="6" s="1"/>
  <c r="MX11" i="6" s="1"/>
  <c r="MX6" i="6"/>
  <c r="MY40" i="6"/>
  <c r="MY43" i="6"/>
  <c r="MY44" i="6" l="1"/>
  <c r="MY47" i="6"/>
  <c r="MY52" i="6" s="1"/>
  <c r="MY8" i="6"/>
  <c r="MY9" i="6" s="1"/>
  <c r="F338" i="7"/>
  <c r="MZ58" i="6"/>
  <c r="D338" i="7"/>
  <c r="MZ37" i="6" s="1"/>
  <c r="MZ39" i="6" l="1"/>
  <c r="MZ42" i="6"/>
  <c r="NA42" i="6" s="1"/>
  <c r="NA37" i="6"/>
  <c r="NA58" i="6"/>
  <c r="MZ60" i="6"/>
  <c r="NA60" i="6" s="1"/>
  <c r="E338" i="7"/>
  <c r="MZ72" i="6"/>
  <c r="MY4" i="6"/>
  <c r="MY5" i="6"/>
  <c r="MY7" i="6" s="1"/>
  <c r="MY56" i="6"/>
  <c r="MY6" i="6" l="1"/>
  <c r="MY57" i="6"/>
  <c r="MY61" i="6" s="1"/>
  <c r="MY11" i="6" s="1"/>
  <c r="MZ78" i="6"/>
  <c r="NA72" i="6"/>
  <c r="MZ48" i="6"/>
  <c r="NA48" i="6" s="1"/>
  <c r="C339" i="7"/>
  <c r="MZ40" i="6"/>
  <c r="MZ43" i="6"/>
  <c r="NA39" i="6"/>
  <c r="NA40" i="6" s="1"/>
  <c r="NB58" i="6" l="1"/>
  <c r="NB60" i="6" s="1"/>
  <c r="F339" i="7"/>
  <c r="D339" i="7"/>
  <c r="NB37" i="6" s="1"/>
  <c r="MZ44" i="6"/>
  <c r="MZ8" i="6"/>
  <c r="MZ47" i="6"/>
  <c r="NA43" i="6"/>
  <c r="NA44" i="6" s="1"/>
  <c r="MZ80" i="6"/>
  <c r="NA78" i="6"/>
  <c r="MZ82" i="6" l="1"/>
  <c r="NA82" i="6" s="1"/>
  <c r="NA80" i="6"/>
  <c r="NB42" i="6"/>
  <c r="NB39" i="6"/>
  <c r="MZ52" i="6"/>
  <c r="NA47" i="6"/>
  <c r="MZ9" i="6"/>
  <c r="NA9" i="6" s="1"/>
  <c r="NA8" i="6"/>
  <c r="E339" i="7"/>
  <c r="NB72" i="6"/>
  <c r="NB78" i="6" l="1"/>
  <c r="NB48" i="6"/>
  <c r="C340" i="7"/>
  <c r="MZ4" i="6"/>
  <c r="NA4" i="6" s="1"/>
  <c r="MZ5" i="6"/>
  <c r="NA52" i="6"/>
  <c r="MZ56" i="6"/>
  <c r="NB40" i="6"/>
  <c r="NB43" i="6"/>
  <c r="NB44" i="6" l="1"/>
  <c r="NB47" i="6"/>
  <c r="NB8" i="6"/>
  <c r="MZ6" i="6"/>
  <c r="NA56" i="6"/>
  <c r="MZ57" i="6"/>
  <c r="MZ61" i="6" s="1"/>
  <c r="NA5" i="6"/>
  <c r="MZ7" i="6"/>
  <c r="NC58" i="6"/>
  <c r="NC60" i="6" s="1"/>
  <c r="F340" i="7"/>
  <c r="D340" i="7"/>
  <c r="NC37" i="6" s="1"/>
  <c r="NB80" i="6"/>
  <c r="NC39" i="6" l="1"/>
  <c r="NC42" i="6"/>
  <c r="NA61" i="6"/>
  <c r="NA11" i="6" s="1"/>
  <c r="NA12" i="6" s="1"/>
  <c r="MZ11" i="6"/>
  <c r="NB82" i="6"/>
  <c r="E340" i="7"/>
  <c r="NC72" i="6"/>
  <c r="NA7" i="6"/>
  <c r="NA13" i="6" s="1"/>
  <c r="NA57" i="6"/>
  <c r="NA6" i="6"/>
  <c r="NB9" i="6"/>
  <c r="NB52" i="6"/>
  <c r="NB56" i="6" s="1"/>
  <c r="NB57" i="6" l="1"/>
  <c r="NB61" i="6" s="1"/>
  <c r="NB11" i="6" s="1"/>
  <c r="NB6" i="6"/>
  <c r="NC78" i="6"/>
  <c r="NC48" i="6"/>
  <c r="C341" i="7"/>
  <c r="NB4" i="6"/>
  <c r="NB5" i="6"/>
  <c r="NC40" i="6"/>
  <c r="NC43" i="6"/>
  <c r="NC47" i="6" l="1"/>
  <c r="NC8" i="6"/>
  <c r="NC44" i="6"/>
  <c r="NB7" i="6"/>
  <c r="D341" i="7"/>
  <c r="ND37" i="6" s="1"/>
  <c r="F341" i="7"/>
  <c r="ND58" i="6"/>
  <c r="ND60" i="6" s="1"/>
  <c r="NC80" i="6"/>
  <c r="E341" i="7" l="1"/>
  <c r="ND72" i="6"/>
  <c r="NC82" i="6"/>
  <c r="ND42" i="6"/>
  <c r="ND39" i="6"/>
  <c r="NC9" i="6"/>
  <c r="NC52" i="6"/>
  <c r="NC5" i="6" l="1"/>
  <c r="NC4" i="6"/>
  <c r="NC56" i="6"/>
  <c r="ND43" i="6"/>
  <c r="ND40" i="6"/>
  <c r="ND78" i="6"/>
  <c r="ND48" i="6"/>
  <c r="C342" i="7"/>
  <c r="D342" i="7" l="1"/>
  <c r="NE37" i="6" s="1"/>
  <c r="NE58" i="6"/>
  <c r="NE60" i="6" s="1"/>
  <c r="F342" i="7"/>
  <c r="ND80" i="6"/>
  <c r="ND47" i="6"/>
  <c r="ND44" i="6"/>
  <c r="ND8" i="6"/>
  <c r="NC6" i="6"/>
  <c r="NC57" i="6"/>
  <c r="NC61" i="6" s="1"/>
  <c r="NC11" i="6" s="1"/>
  <c r="NC7" i="6"/>
  <c r="ND82" i="6" l="1"/>
  <c r="ND9" i="6"/>
  <c r="ND52" i="6"/>
  <c r="NE72" i="6"/>
  <c r="E342" i="7"/>
  <c r="NE39" i="6"/>
  <c r="NE42" i="6"/>
  <c r="NE40" i="6" l="1"/>
  <c r="NE43" i="6"/>
  <c r="NE48" i="6"/>
  <c r="C343" i="7"/>
  <c r="NE78" i="6"/>
  <c r="ND4" i="6"/>
  <c r="ND5" i="6"/>
  <c r="ND56" i="6"/>
  <c r="ND57" i="6" l="1"/>
  <c r="ND61" i="6" s="1"/>
  <c r="ND11" i="6" s="1"/>
  <c r="ND6" i="6"/>
  <c r="ND7" i="6"/>
  <c r="NE80" i="6"/>
  <c r="D343" i="7"/>
  <c r="NF37" i="6" s="1"/>
  <c r="F343" i="7"/>
  <c r="NF58" i="6"/>
  <c r="NF60" i="6" s="1"/>
  <c r="NE44" i="6"/>
  <c r="NE47" i="6"/>
  <c r="NE8" i="6"/>
  <c r="NE9" i="6" l="1"/>
  <c r="NF39" i="6"/>
  <c r="NF42" i="6"/>
  <c r="NE82" i="6"/>
  <c r="NE52" i="6"/>
  <c r="E343" i="7"/>
  <c r="NF72" i="6"/>
  <c r="NF48" i="6" l="1"/>
  <c r="C344" i="7"/>
  <c r="NE5" i="6"/>
  <c r="NE4" i="6"/>
  <c r="NE56" i="6"/>
  <c r="NF40" i="6"/>
  <c r="NF43" i="6"/>
  <c r="NF78" i="6"/>
  <c r="NF80" i="6" l="1"/>
  <c r="NF44" i="6"/>
  <c r="NF8" i="6"/>
  <c r="NF47" i="6"/>
  <c r="NE6" i="6"/>
  <c r="NE57" i="6"/>
  <c r="NE61" i="6" s="1"/>
  <c r="NE11" i="6" s="1"/>
  <c r="NE7" i="6"/>
  <c r="F344" i="7"/>
  <c r="D344" i="7"/>
  <c r="NG37" i="6" s="1"/>
  <c r="NG58" i="6"/>
  <c r="NG60" i="6" s="1"/>
  <c r="NG42" i="6" l="1"/>
  <c r="NG39" i="6"/>
  <c r="E344" i="7"/>
  <c r="NG72" i="6"/>
  <c r="NG78" i="6" s="1"/>
  <c r="NG80" i="6" s="1"/>
  <c r="NF52" i="6"/>
  <c r="NF9" i="6"/>
  <c r="NF82" i="6"/>
  <c r="NG82" i="6" l="1"/>
  <c r="NG48" i="6"/>
  <c r="C345" i="7"/>
  <c r="NG40" i="6"/>
  <c r="NG43" i="6"/>
  <c r="NF4" i="6"/>
  <c r="NF5" i="6"/>
  <c r="NF56" i="6"/>
  <c r="NF57" i="6" l="1"/>
  <c r="NF61" i="6" s="1"/>
  <c r="NF11" i="6" s="1"/>
  <c r="NF6" i="6"/>
  <c r="NF7" i="6"/>
  <c r="NG8" i="6"/>
  <c r="NG9" i="6" s="1"/>
  <c r="NG44" i="6"/>
  <c r="NG47" i="6"/>
  <c r="NG52" i="6" s="1"/>
  <c r="F345" i="7"/>
  <c r="D345" i="7"/>
  <c r="NH37" i="6" s="1"/>
  <c r="NH58" i="6"/>
  <c r="NH60" i="6" s="1"/>
  <c r="E345" i="7" l="1"/>
  <c r="NH72" i="6"/>
  <c r="NH78" i="6" s="1"/>
  <c r="NH80" i="6" s="1"/>
  <c r="NH82" i="6" s="1"/>
  <c r="NG5" i="6"/>
  <c r="NG7" i="6" s="1"/>
  <c r="NG4" i="6"/>
  <c r="NH39" i="6"/>
  <c r="NH42" i="6"/>
  <c r="NG56" i="6"/>
  <c r="NH43" i="6" l="1"/>
  <c r="NH40" i="6"/>
  <c r="NG6" i="6"/>
  <c r="NG57" i="6"/>
  <c r="NG61" i="6" s="1"/>
  <c r="NG11" i="6" s="1"/>
  <c r="NH48" i="6"/>
  <c r="C346" i="7"/>
  <c r="D346" i="7" l="1"/>
  <c r="NI37" i="6" s="1"/>
  <c r="F346" i="7"/>
  <c r="NI58" i="6"/>
  <c r="NI60" i="6" s="1"/>
  <c r="NH47" i="6"/>
  <c r="NH52" i="6" s="1"/>
  <c r="NH8" i="6"/>
  <c r="NH9" i="6" s="1"/>
  <c r="NH44" i="6"/>
  <c r="NH5" i="6" l="1"/>
  <c r="NH7" i="6" s="1"/>
  <c r="NH4" i="6"/>
  <c r="NH56" i="6"/>
  <c r="E346" i="7"/>
  <c r="NI72" i="6"/>
  <c r="NI78" i="6" s="1"/>
  <c r="NI80" i="6" s="1"/>
  <c r="NI82" i="6" s="1"/>
  <c r="NI42" i="6"/>
  <c r="NI39" i="6"/>
  <c r="NI48" i="6" l="1"/>
  <c r="C347" i="7"/>
  <c r="NH57" i="6"/>
  <c r="NH61" i="6" s="1"/>
  <c r="NH11" i="6" s="1"/>
  <c r="NH6" i="6"/>
  <c r="NI43" i="6"/>
  <c r="NI40" i="6"/>
  <c r="NI47" i="6" l="1"/>
  <c r="NI52" i="6" s="1"/>
  <c r="NI44" i="6"/>
  <c r="NI8" i="6"/>
  <c r="NI9" i="6" s="1"/>
  <c r="NJ58" i="6"/>
  <c r="NJ60" i="6" s="1"/>
  <c r="F347" i="7"/>
  <c r="D347" i="7"/>
  <c r="NJ37" i="6" s="1"/>
  <c r="NJ39" i="6" l="1"/>
  <c r="NJ42" i="6"/>
  <c r="E347" i="7"/>
  <c r="NJ72" i="6"/>
  <c r="NJ78" i="6" s="1"/>
  <c r="NJ80" i="6" s="1"/>
  <c r="NJ82" i="6" s="1"/>
  <c r="NI4" i="6"/>
  <c r="NI5" i="6"/>
  <c r="NI7" i="6" s="1"/>
  <c r="NI56" i="6"/>
  <c r="NJ48" i="6" l="1"/>
  <c r="C348" i="7"/>
  <c r="NI6" i="6"/>
  <c r="NI57" i="6"/>
  <c r="NI61" i="6" s="1"/>
  <c r="NI11" i="6" s="1"/>
  <c r="NJ40" i="6"/>
  <c r="NJ43" i="6"/>
  <c r="NJ44" i="6" l="1"/>
  <c r="NJ47" i="6"/>
  <c r="NJ52" i="6" s="1"/>
  <c r="NJ8" i="6"/>
  <c r="NJ9" i="6" s="1"/>
  <c r="F348" i="7"/>
  <c r="NK58" i="6"/>
  <c r="NK60" i="6" s="1"/>
  <c r="D348" i="7"/>
  <c r="NK37" i="6" s="1"/>
  <c r="NK39" i="6" l="1"/>
  <c r="NK42" i="6"/>
  <c r="E348" i="7"/>
  <c r="NK72" i="6"/>
  <c r="NK78" i="6" s="1"/>
  <c r="NK80" i="6" s="1"/>
  <c r="NK82" i="6" s="1"/>
  <c r="NJ4" i="6"/>
  <c r="NJ5" i="6"/>
  <c r="NJ7" i="6" s="1"/>
  <c r="NJ56" i="6"/>
  <c r="NJ57" i="6" l="1"/>
  <c r="NJ61" i="6" s="1"/>
  <c r="NJ11" i="6" s="1"/>
  <c r="NJ6" i="6"/>
  <c r="NK48" i="6"/>
  <c r="C349" i="7"/>
  <c r="NK43" i="6"/>
  <c r="NK40" i="6"/>
  <c r="NK47" i="6" l="1"/>
  <c r="NK52" i="6" s="1"/>
  <c r="NK44" i="6"/>
  <c r="NK8" i="6"/>
  <c r="NK9" i="6" s="1"/>
  <c r="NL58" i="6"/>
  <c r="NL60" i="6" s="1"/>
  <c r="F349" i="7"/>
  <c r="D349" i="7"/>
  <c r="NL37" i="6" s="1"/>
  <c r="NL39" i="6" l="1"/>
  <c r="NL42" i="6"/>
  <c r="E349" i="7"/>
  <c r="NL72" i="6"/>
  <c r="NL78" i="6" s="1"/>
  <c r="NL80" i="6" s="1"/>
  <c r="NL82" i="6" s="1"/>
  <c r="NK4" i="6"/>
  <c r="NK5" i="6"/>
  <c r="NK7" i="6" s="1"/>
  <c r="NK56" i="6"/>
  <c r="NL48" i="6" l="1"/>
  <c r="C350" i="7"/>
  <c r="NK6" i="6"/>
  <c r="NK57" i="6"/>
  <c r="NK61" i="6" s="1"/>
  <c r="NK11" i="6" s="1"/>
  <c r="NL40" i="6"/>
  <c r="NL43" i="6"/>
  <c r="NL47" i="6" l="1"/>
  <c r="NL52" i="6" s="1"/>
  <c r="NL8" i="6"/>
  <c r="NL9" i="6" s="1"/>
  <c r="NL44" i="6"/>
  <c r="D350" i="7"/>
  <c r="NM37" i="6" s="1"/>
  <c r="F350" i="7"/>
  <c r="NM58" i="6"/>
  <c r="NM60" i="6" l="1"/>
  <c r="NN60" i="6" s="1"/>
  <c r="NN58" i="6"/>
  <c r="NM72" i="6"/>
  <c r="E350" i="7"/>
  <c r="NM42" i="6"/>
  <c r="NN42" i="6" s="1"/>
  <c r="NM39" i="6"/>
  <c r="NN37" i="6"/>
  <c r="NL4" i="6"/>
  <c r="NL5" i="6"/>
  <c r="NL7" i="6" s="1"/>
  <c r="NL56" i="6"/>
  <c r="NL57" i="6" l="1"/>
  <c r="NL61" i="6" s="1"/>
  <c r="NL11" i="6" s="1"/>
  <c r="NL6" i="6"/>
  <c r="NM78" i="6"/>
  <c r="NN72" i="6"/>
  <c r="NM40" i="6"/>
  <c r="NM43" i="6"/>
  <c r="NN39" i="6"/>
  <c r="NN40" i="6" s="1"/>
  <c r="NM48" i="6"/>
  <c r="NN48" i="6" s="1"/>
  <c r="C351" i="7"/>
  <c r="F351" i="7" l="1"/>
  <c r="NO58" i="6"/>
  <c r="NO60" i="6" s="1"/>
  <c r="D351" i="7"/>
  <c r="NO37" i="6" s="1"/>
  <c r="NM8" i="6"/>
  <c r="NM44" i="6"/>
  <c r="NM47" i="6"/>
  <c r="NN43" i="6"/>
  <c r="NN44" i="6" s="1"/>
  <c r="NM80" i="6"/>
  <c r="NN78" i="6"/>
  <c r="NO39" i="6" l="1"/>
  <c r="NO42" i="6"/>
  <c r="NM82" i="6"/>
  <c r="NN82" i="6" s="1"/>
  <c r="NN80" i="6"/>
  <c r="NM9" i="6"/>
  <c r="NN9" i="6" s="1"/>
  <c r="NN8" i="6"/>
  <c r="NM52" i="6"/>
  <c r="NN47" i="6"/>
  <c r="E351" i="7"/>
  <c r="NO72" i="6"/>
  <c r="NO48" i="6" l="1"/>
  <c r="C352" i="7"/>
  <c r="NM5" i="6"/>
  <c r="NM4" i="6"/>
  <c r="NN4" i="6" s="1"/>
  <c r="NN52" i="6"/>
  <c r="NM56" i="6"/>
  <c r="NO78" i="6"/>
  <c r="NO40" i="6"/>
  <c r="NO43" i="6"/>
  <c r="NO47" i="6" l="1"/>
  <c r="NO8" i="6"/>
  <c r="NO44" i="6"/>
  <c r="NO80" i="6"/>
  <c r="NN56" i="6"/>
  <c r="NM6" i="6"/>
  <c r="NM57" i="6"/>
  <c r="NM61" i="6" s="1"/>
  <c r="NN5" i="6"/>
  <c r="NM7" i="6"/>
  <c r="D352" i="7"/>
  <c r="NP37" i="6" s="1"/>
  <c r="F352" i="7"/>
  <c r="NP58" i="6"/>
  <c r="NP60" i="6" s="1"/>
  <c r="NP39" i="6" l="1"/>
  <c r="NP42" i="6"/>
  <c r="NN7" i="6"/>
  <c r="NN13" i="6" s="1"/>
  <c r="NN61" i="6"/>
  <c r="NN11" i="6" s="1"/>
  <c r="NN12" i="6" s="1"/>
  <c r="NM11" i="6"/>
  <c r="NN6" i="6"/>
  <c r="NN57" i="6"/>
  <c r="NP72" i="6"/>
  <c r="E352" i="7"/>
  <c r="NO82" i="6"/>
  <c r="NO9" i="6"/>
  <c r="NO52" i="6"/>
  <c r="NO56" i="6" s="1"/>
  <c r="NP78" i="6" l="1"/>
  <c r="NO6" i="6"/>
  <c r="NO57" i="6"/>
  <c r="NO61" i="6" s="1"/>
  <c r="NO11" i="6" s="1"/>
  <c r="NO5" i="6"/>
  <c r="NO4" i="6"/>
  <c r="NP48" i="6"/>
  <c r="C353" i="7"/>
  <c r="NP43" i="6"/>
  <c r="NP40" i="6"/>
  <c r="NO7" i="6" l="1"/>
  <c r="NP47" i="6"/>
  <c r="NP44" i="6"/>
  <c r="NP8" i="6"/>
  <c r="F353" i="7"/>
  <c r="NQ58" i="6"/>
  <c r="NQ60" i="6" s="1"/>
  <c r="D353" i="7"/>
  <c r="NQ37" i="6" s="1"/>
  <c r="NP80" i="6"/>
  <c r="NP82" i="6" l="1"/>
  <c r="NQ39" i="6"/>
  <c r="NQ42" i="6"/>
  <c r="E353" i="7"/>
  <c r="NQ72" i="6"/>
  <c r="NP9" i="6"/>
  <c r="NP52" i="6"/>
  <c r="NQ78" i="6" l="1"/>
  <c r="NQ40" i="6"/>
  <c r="NQ43" i="6"/>
  <c r="NP5" i="6"/>
  <c r="NP4" i="6"/>
  <c r="NP56" i="6"/>
  <c r="NQ48" i="6"/>
  <c r="C354" i="7"/>
  <c r="NP6" i="6" l="1"/>
  <c r="NP57" i="6"/>
  <c r="NP61" i="6" s="1"/>
  <c r="NP11" i="6" s="1"/>
  <c r="NP7" i="6"/>
  <c r="NQ44" i="6"/>
  <c r="NQ47" i="6"/>
  <c r="NQ8" i="6"/>
  <c r="NR58" i="6"/>
  <c r="NR60" i="6" s="1"/>
  <c r="D354" i="7"/>
  <c r="NR37" i="6" s="1"/>
  <c r="F354" i="7"/>
  <c r="NQ80" i="6"/>
  <c r="NQ82" i="6" l="1"/>
  <c r="E354" i="7"/>
  <c r="NR72" i="6"/>
  <c r="NQ9" i="6"/>
  <c r="NQ52" i="6"/>
  <c r="NR39" i="6"/>
  <c r="NR42" i="6"/>
  <c r="NR78" i="6" l="1"/>
  <c r="NR48" i="6"/>
  <c r="C355" i="7"/>
  <c r="NR40" i="6"/>
  <c r="NR43" i="6"/>
  <c r="NQ4" i="6"/>
  <c r="NQ5" i="6"/>
  <c r="NQ56" i="6"/>
  <c r="NR8" i="6" l="1"/>
  <c r="NR47" i="6"/>
  <c r="NR44" i="6"/>
  <c r="NQ57" i="6"/>
  <c r="NQ61" i="6" s="1"/>
  <c r="NQ11" i="6" s="1"/>
  <c r="NQ6" i="6"/>
  <c r="NQ7" i="6"/>
  <c r="NS58" i="6"/>
  <c r="NS60" i="6" s="1"/>
  <c r="D355" i="7"/>
  <c r="NS37" i="6" s="1"/>
  <c r="F355" i="7"/>
  <c r="NR80" i="6"/>
  <c r="NR82" i="6" l="1"/>
  <c r="E355" i="7"/>
  <c r="NS72" i="6"/>
  <c r="NR52" i="6"/>
  <c r="NS42" i="6"/>
  <c r="NS39" i="6"/>
  <c r="NR9" i="6"/>
  <c r="NS40" i="6" l="1"/>
  <c r="NS43" i="6"/>
  <c r="NS78" i="6"/>
  <c r="NS48" i="6"/>
  <c r="C356" i="7"/>
  <c r="NR5" i="6"/>
  <c r="NR4" i="6"/>
  <c r="NR56" i="6"/>
  <c r="NR6" i="6" l="1"/>
  <c r="NR57" i="6"/>
  <c r="NR61" i="6" s="1"/>
  <c r="NR11" i="6" s="1"/>
  <c r="D356" i="7"/>
  <c r="NT37" i="6" s="1"/>
  <c r="F356" i="7"/>
  <c r="NT58" i="6"/>
  <c r="NT60" i="6" s="1"/>
  <c r="NR7" i="6"/>
  <c r="NS44" i="6"/>
  <c r="NS47" i="6"/>
  <c r="NS8" i="6"/>
  <c r="NS80" i="6"/>
  <c r="NS9" i="6" l="1"/>
  <c r="NS52" i="6"/>
  <c r="NT42" i="6"/>
  <c r="NT39" i="6"/>
  <c r="NS82" i="6"/>
  <c r="E356" i="7"/>
  <c r="NT72" i="6"/>
  <c r="NT78" i="6" s="1"/>
  <c r="NT80" i="6" s="1"/>
  <c r="NT82" i="6" l="1"/>
  <c r="NT48" i="6"/>
  <c r="C357" i="7"/>
  <c r="NT43" i="6"/>
  <c r="NT40" i="6"/>
  <c r="NS5" i="6"/>
  <c r="NS4" i="6"/>
  <c r="NS56" i="6"/>
  <c r="NS57" i="6" l="1"/>
  <c r="NS61" i="6" s="1"/>
  <c r="NS11" i="6" s="1"/>
  <c r="NS6" i="6"/>
  <c r="NS7" i="6"/>
  <c r="NT47" i="6"/>
  <c r="NT52" i="6" s="1"/>
  <c r="NT56" i="6" s="1"/>
  <c r="NT8" i="6"/>
  <c r="NT9" i="6" s="1"/>
  <c r="NT44" i="6"/>
  <c r="F357" i="7"/>
  <c r="NU58" i="6"/>
  <c r="NU60" i="6" s="1"/>
  <c r="D357" i="7"/>
  <c r="NU37" i="6" s="1"/>
  <c r="NT6" i="6" l="1"/>
  <c r="NT57" i="6"/>
  <c r="NT61" i="6" s="1"/>
  <c r="NT11" i="6" s="1"/>
  <c r="NU39" i="6"/>
  <c r="NU42" i="6"/>
  <c r="E357" i="7"/>
  <c r="NU72" i="6"/>
  <c r="NU78" i="6" s="1"/>
  <c r="NU80" i="6" s="1"/>
  <c r="NU82" i="6" s="1"/>
  <c r="NT4" i="6"/>
  <c r="NT5" i="6"/>
  <c r="NT7" i="6" s="1"/>
  <c r="NU48" i="6" l="1"/>
  <c r="C358" i="7"/>
  <c r="NU43" i="6"/>
  <c r="NU40" i="6"/>
  <c r="NU47" i="6" l="1"/>
  <c r="NU52" i="6" s="1"/>
  <c r="NU44" i="6"/>
  <c r="NU8" i="6"/>
  <c r="NU9" i="6" s="1"/>
  <c r="F358" i="7"/>
  <c r="D358" i="7"/>
  <c r="NV37" i="6" s="1"/>
  <c r="NV58" i="6"/>
  <c r="NV60" i="6" s="1"/>
  <c r="E358" i="7" l="1"/>
  <c r="NV72" i="6"/>
  <c r="NV78" i="6" s="1"/>
  <c r="NV80" i="6" s="1"/>
  <c r="NV82" i="6" s="1"/>
  <c r="NV39" i="6"/>
  <c r="NV42" i="6"/>
  <c r="NU5" i="6"/>
  <c r="NU7" i="6" s="1"/>
  <c r="NU4" i="6"/>
  <c r="NU56" i="6"/>
  <c r="NU6" i="6" l="1"/>
  <c r="NU57" i="6"/>
  <c r="NU61" i="6" s="1"/>
  <c r="NU11" i="6" s="1"/>
  <c r="NV43" i="6"/>
  <c r="NV40" i="6"/>
  <c r="NV48" i="6"/>
  <c r="C359" i="7"/>
  <c r="F359" i="7" l="1"/>
  <c r="D359" i="7"/>
  <c r="NW37" i="6" s="1"/>
  <c r="NW58" i="6"/>
  <c r="NW60" i="6" s="1"/>
  <c r="NV47" i="6"/>
  <c r="NV52" i="6" s="1"/>
  <c r="NV44" i="6"/>
  <c r="NV8" i="6"/>
  <c r="NV9" i="6" s="1"/>
  <c r="NV5" i="6" l="1"/>
  <c r="NV7" i="6" s="1"/>
  <c r="NV4" i="6"/>
  <c r="NV56" i="6"/>
  <c r="NW42" i="6"/>
  <c r="NW39" i="6"/>
  <c r="E359" i="7"/>
  <c r="NW72" i="6"/>
  <c r="NW78" i="6" s="1"/>
  <c r="NW80" i="6" s="1"/>
  <c r="NW82" i="6" s="1"/>
  <c r="NW48" i="6" l="1"/>
  <c r="C360" i="7"/>
  <c r="NW43" i="6"/>
  <c r="NW40" i="6"/>
  <c r="NV6" i="6"/>
  <c r="NV57" i="6"/>
  <c r="NV61" i="6" s="1"/>
  <c r="NV11" i="6" s="1"/>
  <c r="NW44" i="6" l="1"/>
  <c r="NW47" i="6"/>
  <c r="NW52" i="6" s="1"/>
  <c r="NW8" i="6"/>
  <c r="NW9" i="6" s="1"/>
  <c r="F360" i="7"/>
  <c r="D360" i="7"/>
  <c r="NX37" i="6" s="1"/>
  <c r="NX58" i="6"/>
  <c r="NX60" i="6" s="1"/>
  <c r="NX42" i="6" l="1"/>
  <c r="NX39" i="6"/>
  <c r="E360" i="7"/>
  <c r="NX72" i="6"/>
  <c r="NX78" i="6" s="1"/>
  <c r="NX80" i="6" s="1"/>
  <c r="NX82" i="6" s="1"/>
  <c r="NW4" i="6"/>
  <c r="NW5" i="6"/>
  <c r="NW7" i="6" s="1"/>
  <c r="NW56" i="6"/>
  <c r="NW6" i="6" l="1"/>
  <c r="NW57" i="6"/>
  <c r="NW61" i="6" s="1"/>
  <c r="NW11" i="6" s="1"/>
  <c r="NX48" i="6"/>
  <c r="C361" i="7"/>
  <c r="NX43" i="6"/>
  <c r="NX40" i="6"/>
  <c r="NX47" i="6" l="1"/>
  <c r="NX52" i="6" s="1"/>
  <c r="NX44" i="6"/>
  <c r="NX8" i="6"/>
  <c r="NX9" i="6" s="1"/>
  <c r="D361" i="7"/>
  <c r="NY37" i="6" s="1"/>
  <c r="NY58" i="6"/>
  <c r="NY60" i="6" s="1"/>
  <c r="F361" i="7"/>
  <c r="NY39" i="6" l="1"/>
  <c r="NY42" i="6"/>
  <c r="E361" i="7"/>
  <c r="NY72" i="6"/>
  <c r="NY78" i="6" s="1"/>
  <c r="NY80" i="6" s="1"/>
  <c r="NY82" i="6" s="1"/>
  <c r="NX4" i="6"/>
  <c r="NX5" i="6"/>
  <c r="NX7" i="6" s="1"/>
  <c r="NX56" i="6"/>
  <c r="NX6" i="6" l="1"/>
  <c r="NX57" i="6"/>
  <c r="NX61" i="6" s="1"/>
  <c r="NX11" i="6" s="1"/>
  <c r="NY48" i="6"/>
  <c r="C362" i="7"/>
  <c r="NY43" i="6"/>
  <c r="NY40" i="6"/>
  <c r="NY47" i="6" l="1"/>
  <c r="NY52" i="6" s="1"/>
  <c r="NY44" i="6"/>
  <c r="NY8" i="6"/>
  <c r="NY9" i="6" s="1"/>
  <c r="F362" i="7"/>
  <c r="D362" i="7"/>
  <c r="NZ37" i="6" s="1"/>
  <c r="NZ58" i="6"/>
  <c r="NZ42" i="6" l="1"/>
  <c r="OA42" i="6" s="1"/>
  <c r="NZ39" i="6"/>
  <c r="OA37" i="6"/>
  <c r="OA58" i="6"/>
  <c r="NZ60" i="6"/>
  <c r="OA60" i="6" s="1"/>
  <c r="E362" i="7"/>
  <c r="NZ72" i="6"/>
  <c r="NY4" i="6"/>
  <c r="NY5" i="6"/>
  <c r="NY7" i="6" s="1"/>
  <c r="NY56" i="6"/>
  <c r="NZ78" i="6" l="1"/>
  <c r="OA72" i="6"/>
  <c r="NY6" i="6"/>
  <c r="NY57" i="6"/>
  <c r="NY61" i="6" s="1"/>
  <c r="NY11" i="6" s="1"/>
  <c r="NZ48" i="6"/>
  <c r="OA48" i="6" s="1"/>
  <c r="C363" i="7"/>
  <c r="NZ40" i="6"/>
  <c r="NZ43" i="6"/>
  <c r="OA39" i="6"/>
  <c r="OA40" i="6" s="1"/>
  <c r="F363" i="7" l="1"/>
  <c r="OB58" i="6"/>
  <c r="OB60" i="6" s="1"/>
  <c r="D363" i="7"/>
  <c r="OB37" i="6" s="1"/>
  <c r="NZ47" i="6"/>
  <c r="NZ8" i="6"/>
  <c r="NZ44" i="6"/>
  <c r="OA43" i="6"/>
  <c r="OA44" i="6" s="1"/>
  <c r="NZ80" i="6"/>
  <c r="OA78" i="6"/>
  <c r="NZ52" i="6" l="1"/>
  <c r="OA47" i="6"/>
  <c r="NZ9" i="6"/>
  <c r="OA9" i="6" s="1"/>
  <c r="OA8" i="6"/>
  <c r="OB42" i="6"/>
  <c r="OB39" i="6"/>
  <c r="NZ82" i="6"/>
  <c r="OA82" i="6" s="1"/>
  <c r="OA80" i="6"/>
  <c r="OB72" i="6"/>
  <c r="E363" i="7"/>
  <c r="OB48" i="6" l="1"/>
  <c r="C364" i="7"/>
  <c r="OB43" i="6"/>
  <c r="OB40" i="6"/>
  <c r="OB78" i="6"/>
  <c r="NZ4" i="6"/>
  <c r="OA4" i="6" s="1"/>
  <c r="NZ5" i="6"/>
  <c r="OA52" i="6"/>
  <c r="NZ56" i="6"/>
  <c r="OB44" i="6" l="1"/>
  <c r="OB47" i="6"/>
  <c r="OB8" i="6"/>
  <c r="OA56" i="6"/>
  <c r="NZ6" i="6"/>
  <c r="NZ57" i="6"/>
  <c r="NZ61" i="6" s="1"/>
  <c r="OA5" i="6"/>
  <c r="NZ7" i="6"/>
  <c r="OB80" i="6"/>
  <c r="F364" i="7"/>
  <c r="OC58" i="6"/>
  <c r="OC60" i="6" s="1"/>
  <c r="D364" i="7"/>
  <c r="OC37" i="6" s="1"/>
  <c r="C365" i="7"/>
  <c r="OA7" i="6" l="1"/>
  <c r="OA13" i="6" s="1"/>
  <c r="E364" i="7"/>
  <c r="OC48" i="6" s="1"/>
  <c r="OC72" i="6"/>
  <c r="OB82" i="6"/>
  <c r="NZ11" i="6"/>
  <c r="OA61" i="6"/>
  <c r="OA11" i="6" s="1"/>
  <c r="OA12" i="6" s="1"/>
  <c r="OA6" i="6"/>
  <c r="OA57" i="6"/>
  <c r="OB9" i="6"/>
  <c r="OB52" i="6"/>
  <c r="OC42" i="6"/>
  <c r="OC39" i="6"/>
  <c r="F365" i="7"/>
  <c r="D365" i="7"/>
  <c r="OD37" i="6" s="1"/>
  <c r="C366" i="7"/>
  <c r="OD58" i="6"/>
  <c r="OD60" i="6" s="1"/>
  <c r="OB4" i="6" l="1"/>
  <c r="OB5" i="6"/>
  <c r="OC78" i="6"/>
  <c r="OD42" i="6"/>
  <c r="OD39" i="6"/>
  <c r="OB56" i="6"/>
  <c r="C367" i="7"/>
  <c r="D366" i="7"/>
  <c r="OE37" i="6" s="1"/>
  <c r="F366" i="7"/>
  <c r="OE58" i="6"/>
  <c r="OE60" i="6" s="1"/>
  <c r="E365" i="7"/>
  <c r="OD48" i="6" s="1"/>
  <c r="OD72" i="6"/>
  <c r="OD78" i="6" s="1"/>
  <c r="OD80" i="6" s="1"/>
  <c r="OC43" i="6"/>
  <c r="OC40" i="6"/>
  <c r="E366" i="7" l="1"/>
  <c r="OE48" i="6" s="1"/>
  <c r="OE72" i="6"/>
  <c r="OE78" i="6" s="1"/>
  <c r="OE80" i="6" s="1"/>
  <c r="OC80" i="6"/>
  <c r="D367" i="7"/>
  <c r="OF37" i="6" s="1"/>
  <c r="F367" i="7"/>
  <c r="C368" i="7"/>
  <c r="OF58" i="6"/>
  <c r="OF60" i="6" s="1"/>
  <c r="OB57" i="6"/>
  <c r="OB61" i="6" s="1"/>
  <c r="OB11" i="6" s="1"/>
  <c r="OB6" i="6"/>
  <c r="OD43" i="6"/>
  <c r="OD40" i="6"/>
  <c r="OC47" i="6"/>
  <c r="OC8" i="6"/>
  <c r="OC44" i="6"/>
  <c r="OB7" i="6"/>
  <c r="OE42" i="6"/>
  <c r="OE39" i="6"/>
  <c r="OF42" i="6" l="1"/>
  <c r="OF39" i="6"/>
  <c r="OC9" i="6"/>
  <c r="OC82" i="6"/>
  <c r="OD82" i="6" s="1"/>
  <c r="OE82" i="6" s="1"/>
  <c r="OD8" i="6"/>
  <c r="OD9" i="6" s="1"/>
  <c r="OD44" i="6"/>
  <c r="OD47" i="6"/>
  <c r="OD52" i="6" s="1"/>
  <c r="OE40" i="6"/>
  <c r="OE43" i="6"/>
  <c r="F368" i="7"/>
  <c r="D368" i="7"/>
  <c r="OG37" i="6" s="1"/>
  <c r="OG58" i="6"/>
  <c r="OG60" i="6" s="1"/>
  <c r="C369" i="7"/>
  <c r="E367" i="7"/>
  <c r="OF48" i="6" s="1"/>
  <c r="OF72" i="6"/>
  <c r="OC52" i="6"/>
  <c r="OG72" i="6" l="1"/>
  <c r="OG78" i="6" s="1"/>
  <c r="OG80" i="6" s="1"/>
  <c r="E368" i="7"/>
  <c r="OG48" i="6" s="1"/>
  <c r="OD5" i="6"/>
  <c r="OD4" i="6"/>
  <c r="OG42" i="6"/>
  <c r="OG39" i="6"/>
  <c r="OE44" i="6"/>
  <c r="OE47" i="6"/>
  <c r="OE52" i="6" s="1"/>
  <c r="OE8" i="6"/>
  <c r="OE9" i="6" s="1"/>
  <c r="OC5" i="6"/>
  <c r="OC4" i="6"/>
  <c r="OC56" i="6"/>
  <c r="OF78" i="6"/>
  <c r="F369" i="7"/>
  <c r="D369" i="7"/>
  <c r="OH37" i="6" s="1"/>
  <c r="C370" i="7"/>
  <c r="OH58" i="6"/>
  <c r="OH60" i="6" s="1"/>
  <c r="OF43" i="6"/>
  <c r="OF40" i="6"/>
  <c r="OH42" i="6" l="1"/>
  <c r="OH39" i="6"/>
  <c r="OC7" i="6"/>
  <c r="OD7" i="6" s="1"/>
  <c r="OF47" i="6"/>
  <c r="OF44" i="6"/>
  <c r="OF8" i="6"/>
  <c r="OF9" i="6" s="1"/>
  <c r="OE5" i="6"/>
  <c r="OE4" i="6"/>
  <c r="E369" i="7"/>
  <c r="OH48" i="6" s="1"/>
  <c r="OH72" i="6"/>
  <c r="OH78" i="6" s="1"/>
  <c r="OH80" i="6" s="1"/>
  <c r="F370" i="7"/>
  <c r="C371" i="7"/>
  <c r="OI58" i="6"/>
  <c r="OI60" i="6" s="1"/>
  <c r="D370" i="7"/>
  <c r="OI37" i="6" s="1"/>
  <c r="OG40" i="6"/>
  <c r="OG43" i="6"/>
  <c r="OF80" i="6"/>
  <c r="OC57" i="6"/>
  <c r="OC61" i="6" s="1"/>
  <c r="OC11" i="6" s="1"/>
  <c r="OD56" i="6"/>
  <c r="OC6" i="6"/>
  <c r="E370" i="7" l="1"/>
  <c r="OI48" i="6" s="1"/>
  <c r="OI72" i="6"/>
  <c r="OI78" i="6" s="1"/>
  <c r="OI80" i="6" s="1"/>
  <c r="OE56" i="6"/>
  <c r="OD57" i="6"/>
  <c r="OD61" i="6" s="1"/>
  <c r="OD11" i="6" s="1"/>
  <c r="OD6" i="6"/>
  <c r="OF82" i="6"/>
  <c r="OG82" i="6" s="1"/>
  <c r="OH82" i="6" s="1"/>
  <c r="OF52" i="6"/>
  <c r="OE7" i="6"/>
  <c r="OG47" i="6"/>
  <c r="OG52" i="6" s="1"/>
  <c r="OG8" i="6"/>
  <c r="OG9" i="6" s="1"/>
  <c r="OG44" i="6"/>
  <c r="OH43" i="6"/>
  <c r="OH40" i="6"/>
  <c r="OJ58" i="6"/>
  <c r="OJ60" i="6" s="1"/>
  <c r="D371" i="7"/>
  <c r="OJ37" i="6" s="1"/>
  <c r="F371" i="7"/>
  <c r="C372" i="7"/>
  <c r="OI42" i="6"/>
  <c r="OI39" i="6"/>
  <c r="OF4" i="6" l="1"/>
  <c r="OF5" i="6"/>
  <c r="OF7" i="6" s="1"/>
  <c r="OI43" i="6"/>
  <c r="OI40" i="6"/>
  <c r="OF56" i="6"/>
  <c r="OE57" i="6"/>
  <c r="OE61" i="6" s="1"/>
  <c r="OE11" i="6" s="1"/>
  <c r="OE6" i="6"/>
  <c r="OH47" i="6"/>
  <c r="OH8" i="6"/>
  <c r="OH9" i="6" s="1"/>
  <c r="OH44" i="6"/>
  <c r="C373" i="7"/>
  <c r="D372" i="7"/>
  <c r="OK37" i="6" s="1"/>
  <c r="F372" i="7"/>
  <c r="OK58" i="6"/>
  <c r="OK60" i="6" s="1"/>
  <c r="E371" i="7"/>
  <c r="OJ48" i="6" s="1"/>
  <c r="OJ72" i="6"/>
  <c r="OJ78" i="6" s="1"/>
  <c r="OJ80" i="6" s="1"/>
  <c r="OJ42" i="6"/>
  <c r="OJ39" i="6"/>
  <c r="OI82" i="6"/>
  <c r="OG4" i="6"/>
  <c r="OG5" i="6"/>
  <c r="OJ82" i="6" l="1"/>
  <c r="OG7" i="6"/>
  <c r="OJ43" i="6"/>
  <c r="OJ40" i="6"/>
  <c r="OH52" i="6"/>
  <c r="OG56" i="6"/>
  <c r="OF6" i="6"/>
  <c r="OF57" i="6"/>
  <c r="OF61" i="6" s="1"/>
  <c r="OF11" i="6" s="1"/>
  <c r="E372" i="7"/>
  <c r="OK48" i="6" s="1"/>
  <c r="OK72" i="6"/>
  <c r="OK78" i="6" s="1"/>
  <c r="OK80" i="6" s="1"/>
  <c r="OK39" i="6"/>
  <c r="OK42" i="6"/>
  <c r="OI8" i="6"/>
  <c r="OI9" i="6" s="1"/>
  <c r="OI47" i="6"/>
  <c r="OI52" i="6" s="1"/>
  <c r="OI44" i="6"/>
  <c r="D373" i="7"/>
  <c r="OL37" i="6" s="1"/>
  <c r="F373" i="7"/>
  <c r="OL58" i="6"/>
  <c r="OL60" i="6" s="1"/>
  <c r="C374" i="7"/>
  <c r="OK82" i="6" l="1"/>
  <c r="OK43" i="6"/>
  <c r="OK40" i="6"/>
  <c r="C375" i="7"/>
  <c r="D374" i="7"/>
  <c r="OM37" i="6" s="1"/>
  <c r="F374" i="7"/>
  <c r="OM58" i="6"/>
  <c r="OH56" i="6"/>
  <c r="OG6" i="6"/>
  <c r="OG57" i="6"/>
  <c r="OG61" i="6" s="1"/>
  <c r="OG11" i="6" s="1"/>
  <c r="OL42" i="6"/>
  <c r="OL39" i="6"/>
  <c r="OJ44" i="6"/>
  <c r="OJ47" i="6"/>
  <c r="OJ52" i="6" s="1"/>
  <c r="OJ8" i="6"/>
  <c r="OJ9" i="6" s="1"/>
  <c r="E373" i="7"/>
  <c r="OL48" i="6" s="1"/>
  <c r="OL72" i="6"/>
  <c r="OL78" i="6" s="1"/>
  <c r="OL80" i="6" s="1"/>
  <c r="OH5" i="6"/>
  <c r="OH7" i="6" s="1"/>
  <c r="OH4" i="6"/>
  <c r="OI5" i="6"/>
  <c r="OI4" i="6"/>
  <c r="OL82" i="6" l="1"/>
  <c r="OI7" i="6"/>
  <c r="OI56" i="6"/>
  <c r="OH6" i="6"/>
  <c r="OH57" i="6"/>
  <c r="OH61" i="6" s="1"/>
  <c r="OH11" i="6" s="1"/>
  <c r="OM60" i="6"/>
  <c r="ON60" i="6" s="1"/>
  <c r="ON58" i="6"/>
  <c r="E374" i="7"/>
  <c r="OM48" i="6" s="1"/>
  <c r="ON48" i="6" s="1"/>
  <c r="OM72" i="6"/>
  <c r="D375" i="7"/>
  <c r="OO37" i="6" s="1"/>
  <c r="F375" i="7"/>
  <c r="C376" i="7"/>
  <c r="OO58" i="6"/>
  <c r="OO60" i="6" s="1"/>
  <c r="OM42" i="6"/>
  <c r="ON42" i="6" s="1"/>
  <c r="OM39" i="6"/>
  <c r="ON37" i="6"/>
  <c r="OJ5" i="6"/>
  <c r="OJ4" i="6"/>
  <c r="OL40" i="6"/>
  <c r="OL43" i="6"/>
  <c r="OK8" i="6"/>
  <c r="OK9" i="6" s="1"/>
  <c r="OK47" i="6"/>
  <c r="OK52" i="6" s="1"/>
  <c r="OK44" i="6"/>
  <c r="OJ7" i="6" l="1"/>
  <c r="OM40" i="6"/>
  <c r="OM43" i="6"/>
  <c r="ON39" i="6"/>
  <c r="ON40" i="6" s="1"/>
  <c r="D376" i="7"/>
  <c r="OP37" i="6" s="1"/>
  <c r="C377" i="7"/>
  <c r="F376" i="7"/>
  <c r="OP58" i="6"/>
  <c r="OP60" i="6" s="1"/>
  <c r="E375" i="7"/>
  <c r="OO48" i="6" s="1"/>
  <c r="OO72" i="6"/>
  <c r="OL44" i="6"/>
  <c r="OL47" i="6"/>
  <c r="OL52" i="6" s="1"/>
  <c r="OL8" i="6"/>
  <c r="OL9" i="6" s="1"/>
  <c r="OO42" i="6"/>
  <c r="OO39" i="6"/>
  <c r="OK4" i="6"/>
  <c r="OK5" i="6"/>
  <c r="OM78" i="6"/>
  <c r="ON72" i="6"/>
  <c r="OI6" i="6"/>
  <c r="OI57" i="6"/>
  <c r="OI61" i="6" s="1"/>
  <c r="OI11" i="6" s="1"/>
  <c r="OJ56" i="6"/>
  <c r="OK7" i="6" l="1"/>
  <c r="OO40" i="6"/>
  <c r="OO43" i="6"/>
  <c r="OL5" i="6"/>
  <c r="OL4" i="6"/>
  <c r="OK56" i="6"/>
  <c r="OJ6" i="6"/>
  <c r="OJ57" i="6"/>
  <c r="OJ61" i="6" s="1"/>
  <c r="OJ11" i="6" s="1"/>
  <c r="OO78" i="6"/>
  <c r="E376" i="7"/>
  <c r="OP48" i="6" s="1"/>
  <c r="OP72" i="6"/>
  <c r="OP78" i="6" s="1"/>
  <c r="OP80" i="6" s="1"/>
  <c r="OP42" i="6"/>
  <c r="OP39" i="6"/>
  <c r="OM47" i="6"/>
  <c r="OM44" i="6"/>
  <c r="OM8" i="6"/>
  <c r="ON43" i="6"/>
  <c r="ON44" i="6" s="1"/>
  <c r="C378" i="7"/>
  <c r="D377" i="7"/>
  <c r="OQ37" i="6" s="1"/>
  <c r="OQ58" i="6"/>
  <c r="OQ60" i="6" s="1"/>
  <c r="F377" i="7"/>
  <c r="OM80" i="6"/>
  <c r="ON78" i="6"/>
  <c r="OL7" i="6" l="1"/>
  <c r="OP40" i="6"/>
  <c r="OP43" i="6"/>
  <c r="OO80" i="6"/>
  <c r="E377" i="7"/>
  <c r="OQ48" i="6" s="1"/>
  <c r="OQ72" i="6"/>
  <c r="OQ78" i="6" s="1"/>
  <c r="OQ80" i="6" s="1"/>
  <c r="OM82" i="6"/>
  <c r="ON82" i="6" s="1"/>
  <c r="ON80" i="6"/>
  <c r="OQ42" i="6"/>
  <c r="OQ39" i="6"/>
  <c r="OK6" i="6"/>
  <c r="OK57" i="6"/>
  <c r="OK61" i="6" s="1"/>
  <c r="OK11" i="6" s="1"/>
  <c r="OL56" i="6"/>
  <c r="F378" i="7"/>
  <c r="D378" i="7"/>
  <c r="OR37" i="6" s="1"/>
  <c r="C379" i="7"/>
  <c r="OR58" i="6"/>
  <c r="OR60" i="6" s="1"/>
  <c r="OM9" i="6"/>
  <c r="ON9" i="6" s="1"/>
  <c r="ON8" i="6"/>
  <c r="OO44" i="6"/>
  <c r="OO47" i="6"/>
  <c r="OO8" i="6"/>
  <c r="OM52" i="6"/>
  <c r="ON47" i="6"/>
  <c r="OO82" i="6" l="1"/>
  <c r="OP82" i="6" s="1"/>
  <c r="OQ82" i="6" s="1"/>
  <c r="OL6" i="6"/>
  <c r="OM56" i="6"/>
  <c r="OL57" i="6"/>
  <c r="OL61" i="6" s="1"/>
  <c r="OL11" i="6" s="1"/>
  <c r="OM5" i="6"/>
  <c r="OM4" i="6"/>
  <c r="ON4" i="6" s="1"/>
  <c r="ON52" i="6"/>
  <c r="OO9" i="6"/>
  <c r="OQ40" i="6"/>
  <c r="OQ43" i="6"/>
  <c r="OO52" i="6"/>
  <c r="C380" i="7"/>
  <c r="D379" i="7"/>
  <c r="OS37" i="6" s="1"/>
  <c r="OS58" i="6"/>
  <c r="OS60" i="6" s="1"/>
  <c r="F379" i="7"/>
  <c r="OR42" i="6"/>
  <c r="OR39" i="6"/>
  <c r="OP47" i="6"/>
  <c r="OP52" i="6" s="1"/>
  <c r="OP44" i="6"/>
  <c r="OP8" i="6"/>
  <c r="OP9" i="6" s="1"/>
  <c r="E378" i="7"/>
  <c r="OR48" i="6" s="1"/>
  <c r="OR72" i="6"/>
  <c r="OR78" i="6" s="1"/>
  <c r="OR80" i="6" s="1"/>
  <c r="OR82" i="6" l="1"/>
  <c r="ON5" i="6"/>
  <c r="OM7" i="6"/>
  <c r="OO5" i="6"/>
  <c r="OO4" i="6"/>
  <c r="OQ44" i="6"/>
  <c r="OQ47" i="6"/>
  <c r="OQ8" i="6"/>
  <c r="OQ9" i="6" s="1"/>
  <c r="E379" i="7"/>
  <c r="OS48" i="6" s="1"/>
  <c r="OS72" i="6"/>
  <c r="OS78" i="6" s="1"/>
  <c r="OS80" i="6" s="1"/>
  <c r="OP4" i="6"/>
  <c r="OP5" i="6"/>
  <c r="OR40" i="6"/>
  <c r="OR43" i="6"/>
  <c r="OS42" i="6"/>
  <c r="OS39" i="6"/>
  <c r="C381" i="7"/>
  <c r="F380" i="7"/>
  <c r="D380" i="7"/>
  <c r="OT37" i="6" s="1"/>
  <c r="OT58" i="6"/>
  <c r="OT60" i="6" s="1"/>
  <c r="OM6" i="6"/>
  <c r="ON56" i="6"/>
  <c r="OM57" i="6"/>
  <c r="OM61" i="6" s="1"/>
  <c r="OS82" i="6" l="1"/>
  <c r="ON57" i="6"/>
  <c r="OO56" i="6"/>
  <c r="ON6" i="6"/>
  <c r="ON61" i="6"/>
  <c r="ON11" i="6" s="1"/>
  <c r="ON12" i="6" s="1"/>
  <c r="OM11" i="6"/>
  <c r="OT42" i="6"/>
  <c r="OT39" i="6"/>
  <c r="E380" i="7"/>
  <c r="OT48" i="6" s="1"/>
  <c r="OT72" i="6"/>
  <c r="OT78" i="6" s="1"/>
  <c r="OT80" i="6" s="1"/>
  <c r="D381" i="7"/>
  <c r="OU37" i="6" s="1"/>
  <c r="C382" i="7"/>
  <c r="F381" i="7"/>
  <c r="OU58" i="6"/>
  <c r="OU60" i="6" s="1"/>
  <c r="OQ52" i="6"/>
  <c r="OS43" i="6"/>
  <c r="OS40" i="6"/>
  <c r="OR47" i="6"/>
  <c r="OR52" i="6" s="1"/>
  <c r="OR8" i="6"/>
  <c r="OR44" i="6"/>
  <c r="ON7" i="6"/>
  <c r="ON13" i="6" s="1"/>
  <c r="OO7" i="6"/>
  <c r="OP7" i="6" s="1"/>
  <c r="OT82" i="6" l="1"/>
  <c r="OU39" i="6"/>
  <c r="OU42" i="6"/>
  <c r="OR9" i="6"/>
  <c r="OR4" i="6"/>
  <c r="OR5" i="6"/>
  <c r="OS8" i="6"/>
  <c r="OS9" i="6" s="1"/>
  <c r="OS44" i="6"/>
  <c r="OS47" i="6"/>
  <c r="OS52" i="6" s="1"/>
  <c r="OV58" i="6"/>
  <c r="OV60" i="6" s="1"/>
  <c r="F382" i="7"/>
  <c r="C383" i="7"/>
  <c r="D382" i="7"/>
  <c r="OV37" i="6" s="1"/>
  <c r="OT40" i="6"/>
  <c r="OT43" i="6"/>
  <c r="OQ5" i="6"/>
  <c r="OQ7" i="6" s="1"/>
  <c r="OQ4" i="6"/>
  <c r="OO6" i="6"/>
  <c r="OO57" i="6"/>
  <c r="OO61" i="6" s="1"/>
  <c r="OO11" i="6" s="1"/>
  <c r="OP56" i="6"/>
  <c r="E381" i="7"/>
  <c r="OU48" i="6" s="1"/>
  <c r="OU72" i="6"/>
  <c r="OU78" i="6" s="1"/>
  <c r="OU80" i="6" s="1"/>
  <c r="OU82" i="6" l="1"/>
  <c r="OR7" i="6"/>
  <c r="OP6" i="6"/>
  <c r="OQ56" i="6"/>
  <c r="OP57" i="6"/>
  <c r="OP61" i="6" s="1"/>
  <c r="OP11" i="6" s="1"/>
  <c r="OS4" i="6"/>
  <c r="OS5" i="6"/>
  <c r="OV42" i="6"/>
  <c r="OV39" i="6"/>
  <c r="OT44" i="6"/>
  <c r="OT8" i="6"/>
  <c r="OT9" i="6" s="1"/>
  <c r="OT47" i="6"/>
  <c r="OT52" i="6" s="1"/>
  <c r="D383" i="7"/>
  <c r="OW37" i="6" s="1"/>
  <c r="OW58" i="6"/>
  <c r="OW60" i="6" s="1"/>
  <c r="C384" i="7"/>
  <c r="F383" i="7"/>
  <c r="E382" i="7"/>
  <c r="OV48" i="6" s="1"/>
  <c r="OV72" i="6"/>
  <c r="OV78" i="6" s="1"/>
  <c r="OV80" i="6" s="1"/>
  <c r="OU43" i="6"/>
  <c r="OU40" i="6"/>
  <c r="OV82" i="6" l="1"/>
  <c r="OS7" i="6"/>
  <c r="OV43" i="6"/>
  <c r="OV40" i="6"/>
  <c r="E383" i="7"/>
  <c r="OW48" i="6" s="1"/>
  <c r="OW72" i="6"/>
  <c r="OW78" i="6" s="1"/>
  <c r="OW80" i="6" s="1"/>
  <c r="C385" i="7"/>
  <c r="D384" i="7"/>
  <c r="OX37" i="6" s="1"/>
  <c r="F384" i="7"/>
  <c r="OX58" i="6"/>
  <c r="OX60" i="6" s="1"/>
  <c r="OU47" i="6"/>
  <c r="OU8" i="6"/>
  <c r="OU44" i="6"/>
  <c r="OR56" i="6"/>
  <c r="OQ6" i="6"/>
  <c r="OQ57" i="6"/>
  <c r="OQ61" i="6" s="1"/>
  <c r="OQ11" i="6" s="1"/>
  <c r="OW42" i="6"/>
  <c r="OW39" i="6"/>
  <c r="OT4" i="6"/>
  <c r="OT5" i="6"/>
  <c r="OW82" i="6" l="1"/>
  <c r="OX39" i="6"/>
  <c r="OX42" i="6"/>
  <c r="F385" i="7"/>
  <c r="OY58" i="6"/>
  <c r="OY60" i="6" s="1"/>
  <c r="D385" i="7"/>
  <c r="OY37" i="6" s="1"/>
  <c r="C386" i="7"/>
  <c r="OS56" i="6"/>
  <c r="OR6" i="6"/>
  <c r="OR57" i="6"/>
  <c r="OR61" i="6" s="1"/>
  <c r="OR11" i="6" s="1"/>
  <c r="OU9" i="6"/>
  <c r="OU52" i="6"/>
  <c r="OX72" i="6"/>
  <c r="OX78" i="6" s="1"/>
  <c r="OX80" i="6" s="1"/>
  <c r="E384" i="7"/>
  <c r="OX48" i="6" s="1"/>
  <c r="OV44" i="6"/>
  <c r="OV47" i="6"/>
  <c r="OV52" i="6" s="1"/>
  <c r="OV8" i="6"/>
  <c r="OV9" i="6" s="1"/>
  <c r="OW43" i="6"/>
  <c r="OW40" i="6"/>
  <c r="OT7" i="6"/>
  <c r="OX82" i="6" l="1"/>
  <c r="OY42" i="6"/>
  <c r="OY39" i="6"/>
  <c r="OU4" i="6"/>
  <c r="OU5" i="6"/>
  <c r="OU7" i="6" s="1"/>
  <c r="OT56" i="6"/>
  <c r="OS6" i="6"/>
  <c r="OS57" i="6"/>
  <c r="OS61" i="6" s="1"/>
  <c r="OS11" i="6" s="1"/>
  <c r="D386" i="7"/>
  <c r="OZ37" i="6" s="1"/>
  <c r="OZ58" i="6"/>
  <c r="F386" i="7"/>
  <c r="C387" i="7"/>
  <c r="OV5" i="6"/>
  <c r="OV4" i="6"/>
  <c r="E385" i="7"/>
  <c r="OY48" i="6" s="1"/>
  <c r="OY72" i="6"/>
  <c r="OY78" i="6" s="1"/>
  <c r="OY80" i="6" s="1"/>
  <c r="OW44" i="6"/>
  <c r="OW8" i="6"/>
  <c r="OW9" i="6" s="1"/>
  <c r="OW47" i="6"/>
  <c r="OW52" i="6" s="1"/>
  <c r="OX40" i="6"/>
  <c r="OX43" i="6"/>
  <c r="OY82" i="6" l="1"/>
  <c r="OV7" i="6"/>
  <c r="F387" i="7"/>
  <c r="C388" i="7"/>
  <c r="D387" i="7"/>
  <c r="PB37" i="6" s="1"/>
  <c r="PB58" i="6"/>
  <c r="PB60" i="6" s="1"/>
  <c r="E386" i="7"/>
  <c r="OZ48" i="6" s="1"/>
  <c r="PA48" i="6" s="1"/>
  <c r="OZ72" i="6"/>
  <c r="OT6" i="6"/>
  <c r="OT57" i="6"/>
  <c r="OT61" i="6" s="1"/>
  <c r="OT11" i="6" s="1"/>
  <c r="OU56" i="6"/>
  <c r="OW5" i="6"/>
  <c r="OW4" i="6"/>
  <c r="OZ42" i="6"/>
  <c r="PA42" i="6" s="1"/>
  <c r="OZ39" i="6"/>
  <c r="PA37" i="6"/>
  <c r="PA58" i="6"/>
  <c r="OZ60" i="6"/>
  <c r="PA60" i="6" s="1"/>
  <c r="OX8" i="6"/>
  <c r="OX9" i="6" s="1"/>
  <c r="OX44" i="6"/>
  <c r="OX47" i="6"/>
  <c r="OX52" i="6" s="1"/>
  <c r="OY40" i="6"/>
  <c r="OY43" i="6"/>
  <c r="OW7" i="6" l="1"/>
  <c r="OZ43" i="6"/>
  <c r="OZ40" i="6"/>
  <c r="PA39" i="6"/>
  <c r="PA40" i="6" s="1"/>
  <c r="OV56" i="6"/>
  <c r="OU6" i="6"/>
  <c r="OU57" i="6"/>
  <c r="OU61" i="6" s="1"/>
  <c r="OU11" i="6" s="1"/>
  <c r="OY44" i="6"/>
  <c r="OY47" i="6"/>
  <c r="OY52" i="6" s="1"/>
  <c r="OY8" i="6"/>
  <c r="OY9" i="6" s="1"/>
  <c r="OX5" i="6"/>
  <c r="OX4" i="6"/>
  <c r="OZ78" i="6"/>
  <c r="PA72" i="6"/>
  <c r="PB42" i="6"/>
  <c r="PB39" i="6"/>
  <c r="C389" i="7"/>
  <c r="D388" i="7"/>
  <c r="PC37" i="6" s="1"/>
  <c r="F388" i="7"/>
  <c r="PC58" i="6"/>
  <c r="PC60" i="6" s="1"/>
  <c r="E387" i="7"/>
  <c r="PB48" i="6" s="1"/>
  <c r="PB72" i="6"/>
  <c r="OX7" i="6" l="1"/>
  <c r="PC42" i="6"/>
  <c r="PC39" i="6"/>
  <c r="OZ80" i="6"/>
  <c r="PA78" i="6"/>
  <c r="C390" i="7"/>
  <c r="F389" i="7"/>
  <c r="D389" i="7"/>
  <c r="PD37" i="6" s="1"/>
  <c r="PD58" i="6"/>
  <c r="PD60" i="6" s="1"/>
  <c r="OW56" i="6"/>
  <c r="OV6" i="6"/>
  <c r="OV57" i="6"/>
  <c r="OV61" i="6" s="1"/>
  <c r="OV11" i="6" s="1"/>
  <c r="OY5" i="6"/>
  <c r="OY4" i="6"/>
  <c r="PB43" i="6"/>
  <c r="PB40" i="6"/>
  <c r="PB78" i="6"/>
  <c r="E388" i="7"/>
  <c r="PC48" i="6" s="1"/>
  <c r="PC72" i="6"/>
  <c r="PC78" i="6" s="1"/>
  <c r="PC80" i="6" s="1"/>
  <c r="OZ47" i="6"/>
  <c r="OZ8" i="6"/>
  <c r="OZ44" i="6"/>
  <c r="PA43" i="6"/>
  <c r="PA44" i="6" s="1"/>
  <c r="OY7" i="6" l="1"/>
  <c r="OZ9" i="6"/>
  <c r="PA9" i="6" s="1"/>
  <c r="PA8" i="6"/>
  <c r="OX56" i="6"/>
  <c r="OW6" i="6"/>
  <c r="OW57" i="6"/>
  <c r="OW61" i="6" s="1"/>
  <c r="OW11" i="6" s="1"/>
  <c r="OZ52" i="6"/>
  <c r="PA47" i="6"/>
  <c r="E389" i="7"/>
  <c r="PD48" i="6" s="1"/>
  <c r="PD72" i="6"/>
  <c r="PD78" i="6" s="1"/>
  <c r="PD80" i="6" s="1"/>
  <c r="C391" i="7"/>
  <c r="F390" i="7"/>
  <c r="D390" i="7"/>
  <c r="PE37" i="6" s="1"/>
  <c r="PE58" i="6"/>
  <c r="PE60" i="6" s="1"/>
  <c r="PD42" i="6"/>
  <c r="PD39" i="6"/>
  <c r="PB80" i="6"/>
  <c r="PC43" i="6"/>
  <c r="PC40" i="6"/>
  <c r="OZ82" i="6"/>
  <c r="PA82" i="6" s="1"/>
  <c r="PA80" i="6"/>
  <c r="PB8" i="6"/>
  <c r="PB44" i="6"/>
  <c r="PB47" i="6"/>
  <c r="PB82" i="6" l="1"/>
  <c r="PC82" i="6" s="1"/>
  <c r="PD82" i="6" s="1"/>
  <c r="PE39" i="6"/>
  <c r="PE42" i="6"/>
  <c r="PB52" i="6"/>
  <c r="C392" i="7"/>
  <c r="F391" i="7"/>
  <c r="PF58" i="6"/>
  <c r="PF60" i="6" s="1"/>
  <c r="D391" i="7"/>
  <c r="PF37" i="6" s="1"/>
  <c r="PC8" i="6"/>
  <c r="PC9" i="6" s="1"/>
  <c r="PC44" i="6"/>
  <c r="PC47" i="6"/>
  <c r="PC52" i="6" s="1"/>
  <c r="OZ5" i="6"/>
  <c r="OZ4" i="6"/>
  <c r="PA4" i="6" s="1"/>
  <c r="PA52" i="6"/>
  <c r="PE72" i="6"/>
  <c r="PE78" i="6" s="1"/>
  <c r="PE80" i="6" s="1"/>
  <c r="E390" i="7"/>
  <c r="PE48" i="6" s="1"/>
  <c r="PB9" i="6"/>
  <c r="PD43" i="6"/>
  <c r="PD40" i="6"/>
  <c r="OY56" i="6"/>
  <c r="OX57" i="6"/>
  <c r="OX61" i="6" s="1"/>
  <c r="OX11" i="6" s="1"/>
  <c r="OX6" i="6"/>
  <c r="PA5" i="6" l="1"/>
  <c r="OZ7" i="6"/>
  <c r="PE82" i="6"/>
  <c r="PE43" i="6"/>
  <c r="PE40" i="6"/>
  <c r="PC5" i="6"/>
  <c r="PC4" i="6"/>
  <c r="PB4" i="6"/>
  <c r="PB5" i="6"/>
  <c r="OZ56" i="6"/>
  <c r="OY6" i="6"/>
  <c r="OY57" i="6"/>
  <c r="OY61" i="6" s="1"/>
  <c r="OY11" i="6" s="1"/>
  <c r="PD47" i="6"/>
  <c r="PD52" i="6" s="1"/>
  <c r="PD8" i="6"/>
  <c r="PD9" i="6" s="1"/>
  <c r="PD44" i="6"/>
  <c r="E391" i="7"/>
  <c r="PF48" i="6" s="1"/>
  <c r="PF72" i="6"/>
  <c r="PF42" i="6"/>
  <c r="PF39" i="6"/>
  <c r="F392" i="7"/>
  <c r="C393" i="7"/>
  <c r="D392" i="7"/>
  <c r="PG37" i="6" s="1"/>
  <c r="PG58" i="6"/>
  <c r="PG60" i="6" s="1"/>
  <c r="PG39" i="6" l="1"/>
  <c r="PG42" i="6"/>
  <c r="PE47" i="6"/>
  <c r="PE44" i="6"/>
  <c r="PE8" i="6"/>
  <c r="F393" i="7"/>
  <c r="PH58" i="6"/>
  <c r="PH60" i="6" s="1"/>
  <c r="D393" i="7"/>
  <c r="PH37" i="6" s="1"/>
  <c r="C394" i="7"/>
  <c r="PA56" i="6"/>
  <c r="OZ6" i="6"/>
  <c r="OZ57" i="6"/>
  <c r="OZ61" i="6" s="1"/>
  <c r="PF78" i="6"/>
  <c r="E392" i="7"/>
  <c r="PG48" i="6" s="1"/>
  <c r="PG72" i="6"/>
  <c r="PG78" i="6" s="1"/>
  <c r="PG80" i="6" s="1"/>
  <c r="PF40" i="6"/>
  <c r="PF43" i="6"/>
  <c r="PD5" i="6"/>
  <c r="PD4" i="6"/>
  <c r="PB7" i="6"/>
  <c r="PC7" i="6" s="1"/>
  <c r="PA7" i="6"/>
  <c r="PA13" i="6" s="1"/>
  <c r="PD7" i="6" l="1"/>
  <c r="PG43" i="6"/>
  <c r="PG40" i="6"/>
  <c r="PA61" i="6"/>
  <c r="PA11" i="6" s="1"/>
  <c r="PA12" i="6" s="1"/>
  <c r="OZ11" i="6"/>
  <c r="PB56" i="6"/>
  <c r="PA6" i="6"/>
  <c r="PA57" i="6"/>
  <c r="PF80" i="6"/>
  <c r="E393" i="7"/>
  <c r="PH48" i="6" s="1"/>
  <c r="PH72" i="6"/>
  <c r="PH78" i="6" s="1"/>
  <c r="PH80" i="6" s="1"/>
  <c r="PF44" i="6"/>
  <c r="PF47" i="6"/>
  <c r="PF52" i="6" s="1"/>
  <c r="PF8" i="6"/>
  <c r="PF9" i="6" s="1"/>
  <c r="PE9" i="6"/>
  <c r="PH42" i="6"/>
  <c r="PH39" i="6"/>
  <c r="F394" i="7"/>
  <c r="D394" i="7"/>
  <c r="PI37" i="6" s="1"/>
  <c r="C395" i="7"/>
  <c r="PI58" i="6"/>
  <c r="PI60" i="6" s="1"/>
  <c r="PE52" i="6"/>
  <c r="PF5" i="6" l="1"/>
  <c r="PF4" i="6"/>
  <c r="PE5" i="6"/>
  <c r="PE4" i="6"/>
  <c r="E394" i="7"/>
  <c r="PI48" i="6" s="1"/>
  <c r="PI72" i="6"/>
  <c r="PI78" i="6" s="1"/>
  <c r="PI80" i="6" s="1"/>
  <c r="PC56" i="6"/>
  <c r="PB6" i="6"/>
  <c r="PB57" i="6"/>
  <c r="PB61" i="6" s="1"/>
  <c r="PB11" i="6" s="1"/>
  <c r="PF82" i="6"/>
  <c r="PG82" i="6" s="1"/>
  <c r="PH82" i="6" s="1"/>
  <c r="PH43" i="6"/>
  <c r="PH40" i="6"/>
  <c r="D395" i="7"/>
  <c r="PJ37" i="6" s="1"/>
  <c r="C396" i="7"/>
  <c r="F395" i="7"/>
  <c r="PJ58" i="6"/>
  <c r="PJ60" i="6" s="1"/>
  <c r="PI42" i="6"/>
  <c r="PI39" i="6"/>
  <c r="PG44" i="6"/>
  <c r="PG47" i="6"/>
  <c r="PG8" i="6"/>
  <c r="PC57" i="6" l="1"/>
  <c r="PC61" i="6" s="1"/>
  <c r="PC11" i="6" s="1"/>
  <c r="PD56" i="6"/>
  <c r="PC6" i="6"/>
  <c r="E395" i="7"/>
  <c r="PJ48" i="6" s="1"/>
  <c r="PJ72" i="6"/>
  <c r="PJ78" i="6" s="1"/>
  <c r="PJ80" i="6" s="1"/>
  <c r="PH47" i="6"/>
  <c r="PH52" i="6" s="1"/>
  <c r="PH44" i="6"/>
  <c r="PH8" i="6"/>
  <c r="PH9" i="6" s="1"/>
  <c r="PG9" i="6"/>
  <c r="PI82" i="6"/>
  <c r="C397" i="7"/>
  <c r="F396" i="7"/>
  <c r="PK58" i="6"/>
  <c r="PK60" i="6" s="1"/>
  <c r="D396" i="7"/>
  <c r="PK37" i="6" s="1"/>
  <c r="PG52" i="6"/>
  <c r="PE7" i="6"/>
  <c r="PF7" i="6" s="1"/>
  <c r="PI40" i="6"/>
  <c r="PI43" i="6"/>
  <c r="PJ39" i="6"/>
  <c r="PJ42" i="6"/>
  <c r="PJ82" i="6" l="1"/>
  <c r="E396" i="7"/>
  <c r="PK48" i="6" s="1"/>
  <c r="PK72" i="6"/>
  <c r="PK78" i="6" s="1"/>
  <c r="PK80" i="6" s="1"/>
  <c r="PJ40" i="6"/>
  <c r="PJ43" i="6"/>
  <c r="PI47" i="6"/>
  <c r="PI52" i="6" s="1"/>
  <c r="PI44" i="6"/>
  <c r="PI8" i="6"/>
  <c r="PH4" i="6"/>
  <c r="PH5" i="6"/>
  <c r="PG5" i="6"/>
  <c r="PG7" i="6" s="1"/>
  <c r="PG4" i="6"/>
  <c r="D397" i="7"/>
  <c r="PL37" i="6" s="1"/>
  <c r="C398" i="7"/>
  <c r="F397" i="7"/>
  <c r="PL58" i="6"/>
  <c r="PL60" i="6" s="1"/>
  <c r="PK42" i="6"/>
  <c r="PK39" i="6"/>
  <c r="PE56" i="6"/>
  <c r="PD6" i="6"/>
  <c r="PD57" i="6"/>
  <c r="PD61" i="6" s="1"/>
  <c r="PD11" i="6" s="1"/>
  <c r="PH7" i="6" l="1"/>
  <c r="D398" i="7"/>
  <c r="PM37" i="6" s="1"/>
  <c r="PM58" i="6"/>
  <c r="F398" i="7"/>
  <c r="C399" i="7"/>
  <c r="PI9" i="6"/>
  <c r="PE6" i="6"/>
  <c r="PF56" i="6"/>
  <c r="PE57" i="6"/>
  <c r="PE61" i="6" s="1"/>
  <c r="PE11" i="6" s="1"/>
  <c r="PK43" i="6"/>
  <c r="PK40" i="6"/>
  <c r="PI5" i="6"/>
  <c r="PI4" i="6"/>
  <c r="PJ44" i="6"/>
  <c r="PJ8" i="6"/>
  <c r="PJ9" i="6" s="1"/>
  <c r="PJ47" i="6"/>
  <c r="PJ52" i="6" s="1"/>
  <c r="E397" i="7"/>
  <c r="PL48" i="6" s="1"/>
  <c r="PL72" i="6"/>
  <c r="PL78" i="6" s="1"/>
  <c r="PL80" i="6" s="1"/>
  <c r="PK82" i="6"/>
  <c r="PL42" i="6"/>
  <c r="PL39" i="6"/>
  <c r="PI7" i="6" l="1"/>
  <c r="PK8" i="6"/>
  <c r="PK9" i="6" s="1"/>
  <c r="PK47" i="6"/>
  <c r="PK52" i="6" s="1"/>
  <c r="PK44" i="6"/>
  <c r="PL43" i="6"/>
  <c r="PL40" i="6"/>
  <c r="PF57" i="6"/>
  <c r="PF61" i="6" s="1"/>
  <c r="PF11" i="6" s="1"/>
  <c r="PG56" i="6"/>
  <c r="PF6" i="6"/>
  <c r="PL82" i="6"/>
  <c r="C400" i="7"/>
  <c r="F399" i="7"/>
  <c r="D399" i="7"/>
  <c r="PO37" i="6" s="1"/>
  <c r="PO58" i="6"/>
  <c r="PO60" i="6" s="1"/>
  <c r="PM39" i="6"/>
  <c r="PM42" i="6"/>
  <c r="PN42" i="6" s="1"/>
  <c r="PN37" i="6"/>
  <c r="PM72" i="6"/>
  <c r="E398" i="7"/>
  <c r="PM48" i="6" s="1"/>
  <c r="PN48" i="6" s="1"/>
  <c r="PJ5" i="6"/>
  <c r="PJ4" i="6"/>
  <c r="PN58" i="6"/>
  <c r="PM60" i="6"/>
  <c r="PN60" i="6" s="1"/>
  <c r="PJ7" i="6" l="1"/>
  <c r="E399" i="7"/>
  <c r="PO48" i="6" s="1"/>
  <c r="PO72" i="6"/>
  <c r="PL8" i="6"/>
  <c r="PL9" i="6" s="1"/>
  <c r="PL44" i="6"/>
  <c r="PL47" i="6"/>
  <c r="PL52" i="6" s="1"/>
  <c r="PM78" i="6"/>
  <c r="PN72" i="6"/>
  <c r="PO39" i="6"/>
  <c r="PO42" i="6"/>
  <c r="PH56" i="6"/>
  <c r="PG6" i="6"/>
  <c r="PG57" i="6"/>
  <c r="PG61" i="6" s="1"/>
  <c r="PG11" i="6" s="1"/>
  <c r="PK4" i="6"/>
  <c r="PK5" i="6"/>
  <c r="PM40" i="6"/>
  <c r="PM43" i="6"/>
  <c r="PN39" i="6"/>
  <c r="PN40" i="6" s="1"/>
  <c r="D400" i="7"/>
  <c r="PP37" i="6" s="1"/>
  <c r="F400" i="7"/>
  <c r="PP58" i="6"/>
  <c r="PP60" i="6" s="1"/>
  <c r="C401" i="7"/>
  <c r="PK7" i="6" l="1"/>
  <c r="F401" i="7"/>
  <c r="D401" i="7"/>
  <c r="PQ37" i="6" s="1"/>
  <c r="C402" i="7"/>
  <c r="PQ58" i="6"/>
  <c r="PQ60" i="6" s="1"/>
  <c r="PO43" i="6"/>
  <c r="PO40" i="6"/>
  <c r="PI56" i="6"/>
  <c r="PH57" i="6"/>
  <c r="PH61" i="6" s="1"/>
  <c r="PH11" i="6" s="1"/>
  <c r="PH6" i="6"/>
  <c r="PP42" i="6"/>
  <c r="PP39" i="6"/>
  <c r="PL5" i="6"/>
  <c r="PL4" i="6"/>
  <c r="PM80" i="6"/>
  <c r="PN78" i="6"/>
  <c r="PM44" i="6"/>
  <c r="PM8" i="6"/>
  <c r="PM47" i="6"/>
  <c r="PN43" i="6"/>
  <c r="PN44" i="6" s="1"/>
  <c r="E400" i="7"/>
  <c r="PP48" i="6" s="1"/>
  <c r="PP72" i="6"/>
  <c r="PP78" i="6" s="1"/>
  <c r="PP80" i="6" s="1"/>
  <c r="PO78" i="6"/>
  <c r="PL7" i="6" l="1"/>
  <c r="PQ72" i="6"/>
  <c r="PQ78" i="6" s="1"/>
  <c r="PQ80" i="6" s="1"/>
  <c r="E401" i="7"/>
  <c r="PQ48" i="6" s="1"/>
  <c r="PM52" i="6"/>
  <c r="PN47" i="6"/>
  <c r="PJ56" i="6"/>
  <c r="PI6" i="6"/>
  <c r="PI57" i="6"/>
  <c r="PI61" i="6" s="1"/>
  <c r="PI11" i="6" s="1"/>
  <c r="PM9" i="6"/>
  <c r="PN9" i="6" s="1"/>
  <c r="PN8" i="6"/>
  <c r="PO47" i="6"/>
  <c r="PO8" i="6"/>
  <c r="PO44" i="6"/>
  <c r="PP40" i="6"/>
  <c r="PP43" i="6"/>
  <c r="PO80" i="6"/>
  <c r="F402" i="7"/>
  <c r="C403" i="7"/>
  <c r="D402" i="7"/>
  <c r="PR37" i="6" s="1"/>
  <c r="PR58" i="6"/>
  <c r="PR60" i="6" s="1"/>
  <c r="PM82" i="6"/>
  <c r="PN82" i="6" s="1"/>
  <c r="PN80" i="6"/>
  <c r="PQ42" i="6"/>
  <c r="PQ39" i="6"/>
  <c r="PO82" i="6" l="1"/>
  <c r="PP82" i="6" s="1"/>
  <c r="PQ82" i="6" s="1"/>
  <c r="PQ43" i="6"/>
  <c r="PQ40" i="6"/>
  <c r="PR39" i="6"/>
  <c r="PR42" i="6"/>
  <c r="C404" i="7"/>
  <c r="D403" i="7"/>
  <c r="PS37" i="6" s="1"/>
  <c r="F403" i="7"/>
  <c r="PS58" i="6"/>
  <c r="PS60" i="6" s="1"/>
  <c r="E402" i="7"/>
  <c r="PR48" i="6" s="1"/>
  <c r="PR72" i="6"/>
  <c r="PR78" i="6" s="1"/>
  <c r="PR80" i="6" s="1"/>
  <c r="PK56" i="6"/>
  <c r="PJ6" i="6"/>
  <c r="PJ57" i="6"/>
  <c r="PJ61" i="6" s="1"/>
  <c r="PJ11" i="6" s="1"/>
  <c r="PP47" i="6"/>
  <c r="PP52" i="6" s="1"/>
  <c r="PP44" i="6"/>
  <c r="PP8" i="6"/>
  <c r="PP9" i="6" s="1"/>
  <c r="PO9" i="6"/>
  <c r="PO52" i="6"/>
  <c r="PM4" i="6"/>
  <c r="PN4" i="6" s="1"/>
  <c r="PM5" i="6"/>
  <c r="PN52" i="6"/>
  <c r="PR82" i="6" l="1"/>
  <c r="PQ47" i="6"/>
  <c r="PQ44" i="6"/>
  <c r="PQ8" i="6"/>
  <c r="PN5" i="6"/>
  <c r="PM7" i="6"/>
  <c r="PL56" i="6"/>
  <c r="PK6" i="6"/>
  <c r="PK57" i="6"/>
  <c r="PK61" i="6" s="1"/>
  <c r="PK11" i="6" s="1"/>
  <c r="PO5" i="6"/>
  <c r="PO4" i="6"/>
  <c r="E403" i="7"/>
  <c r="PS48" i="6" s="1"/>
  <c r="PS72" i="6"/>
  <c r="PS78" i="6" s="1"/>
  <c r="PS80" i="6" s="1"/>
  <c r="C405" i="7"/>
  <c r="F404" i="7"/>
  <c r="D404" i="7"/>
  <c r="PT37" i="6" s="1"/>
  <c r="PT58" i="6"/>
  <c r="PT60" i="6" s="1"/>
  <c r="PS39" i="6"/>
  <c r="PS42" i="6"/>
  <c r="PR43" i="6"/>
  <c r="PR40" i="6"/>
  <c r="PP5" i="6"/>
  <c r="PP4" i="6"/>
  <c r="PS82" i="6" l="1"/>
  <c r="PR47" i="6"/>
  <c r="PR52" i="6" s="1"/>
  <c r="PR44" i="6"/>
  <c r="PR8" i="6"/>
  <c r="PR9" i="6" s="1"/>
  <c r="PM56" i="6"/>
  <c r="PL6" i="6"/>
  <c r="PL57" i="6"/>
  <c r="PL61" i="6" s="1"/>
  <c r="PL11" i="6" s="1"/>
  <c r="PN7" i="6"/>
  <c r="PN13" i="6" s="1"/>
  <c r="PO7" i="6"/>
  <c r="PP7" i="6" s="1"/>
  <c r="PS43" i="6"/>
  <c r="PS40" i="6"/>
  <c r="PT42" i="6"/>
  <c r="PT39" i="6"/>
  <c r="E404" i="7"/>
  <c r="PT48" i="6" s="1"/>
  <c r="PT72" i="6"/>
  <c r="PT78" i="6" s="1"/>
  <c r="PT80" i="6" s="1"/>
  <c r="PT82" i="6" s="1"/>
  <c r="PQ9" i="6"/>
  <c r="F405" i="7"/>
  <c r="D405" i="7"/>
  <c r="PU37" i="6" s="1"/>
  <c r="PU58" i="6"/>
  <c r="PU60" i="6" s="1"/>
  <c r="C406" i="7"/>
  <c r="PQ52" i="6"/>
  <c r="E405" i="7" l="1"/>
  <c r="PU48" i="6" s="1"/>
  <c r="PU72" i="6"/>
  <c r="PU78" i="6" s="1"/>
  <c r="PU80" i="6" s="1"/>
  <c r="PU39" i="6"/>
  <c r="PU42" i="6"/>
  <c r="PN56" i="6"/>
  <c r="PM6" i="6"/>
  <c r="PM57" i="6"/>
  <c r="PM61" i="6" s="1"/>
  <c r="D406" i="7"/>
  <c r="PV37" i="6" s="1"/>
  <c r="C407" i="7"/>
  <c r="F406" i="7"/>
  <c r="PV58" i="6"/>
  <c r="PV60" i="6" s="1"/>
  <c r="PT43" i="6"/>
  <c r="PT40" i="6"/>
  <c r="PQ5" i="6"/>
  <c r="PQ7" i="6" s="1"/>
  <c r="PQ4" i="6"/>
  <c r="PS44" i="6"/>
  <c r="PS47" i="6"/>
  <c r="PS8" i="6"/>
  <c r="PR4" i="6"/>
  <c r="PR5" i="6"/>
  <c r="PR7" i="6" l="1"/>
  <c r="D407" i="7"/>
  <c r="PW37" i="6" s="1"/>
  <c r="C408" i="7"/>
  <c r="PW58" i="6"/>
  <c r="PW60" i="6" s="1"/>
  <c r="F407" i="7"/>
  <c r="PN61" i="6"/>
  <c r="PN11" i="6" s="1"/>
  <c r="PN12" i="6" s="1"/>
  <c r="PM11" i="6"/>
  <c r="PS9" i="6"/>
  <c r="PS52" i="6"/>
  <c r="PO56" i="6"/>
  <c r="PN6" i="6"/>
  <c r="PN57" i="6"/>
  <c r="PT47" i="6"/>
  <c r="PT52" i="6" s="1"/>
  <c r="PT8" i="6"/>
  <c r="PT9" i="6" s="1"/>
  <c r="PT44" i="6"/>
  <c r="PV72" i="6"/>
  <c r="PV78" i="6" s="1"/>
  <c r="PV80" i="6" s="1"/>
  <c r="E406" i="7"/>
  <c r="PV48" i="6" s="1"/>
  <c r="PV39" i="6"/>
  <c r="PV42" i="6"/>
  <c r="PU40" i="6"/>
  <c r="PU43" i="6"/>
  <c r="PU82" i="6"/>
  <c r="PV82" i="6" l="1"/>
  <c r="E407" i="7"/>
  <c r="PW48" i="6" s="1"/>
  <c r="PW72" i="6"/>
  <c r="PW78" i="6" s="1"/>
  <c r="PW80" i="6" s="1"/>
  <c r="F408" i="7"/>
  <c r="C409" i="7"/>
  <c r="PX58" i="6"/>
  <c r="PX60" i="6" s="1"/>
  <c r="D408" i="7"/>
  <c r="PX37" i="6" s="1"/>
  <c r="PW39" i="6"/>
  <c r="PW42" i="6"/>
  <c r="PP56" i="6"/>
  <c r="PO57" i="6"/>
  <c r="PO61" i="6" s="1"/>
  <c r="PO11" i="6" s="1"/>
  <c r="PO6" i="6"/>
  <c r="PU44" i="6"/>
  <c r="PU8" i="6"/>
  <c r="PU47" i="6"/>
  <c r="PS5" i="6"/>
  <c r="PS4" i="6"/>
  <c r="PV43" i="6"/>
  <c r="PV40" i="6"/>
  <c r="PT5" i="6"/>
  <c r="PT4" i="6"/>
  <c r="PW82" i="6" l="1"/>
  <c r="PX39" i="6"/>
  <c r="PX42" i="6"/>
  <c r="PS7" i="6"/>
  <c r="PT7" i="6" s="1"/>
  <c r="PU52" i="6"/>
  <c r="PU9" i="6"/>
  <c r="PQ56" i="6"/>
  <c r="PP6" i="6"/>
  <c r="PP57" i="6"/>
  <c r="PP61" i="6" s="1"/>
  <c r="PP11" i="6" s="1"/>
  <c r="PW43" i="6"/>
  <c r="PW40" i="6"/>
  <c r="PV47" i="6"/>
  <c r="PV52" i="6" s="1"/>
  <c r="PV8" i="6"/>
  <c r="PV9" i="6" s="1"/>
  <c r="PV44" i="6"/>
  <c r="C410" i="7"/>
  <c r="D409" i="7"/>
  <c r="PY37" i="6" s="1"/>
  <c r="PY58" i="6"/>
  <c r="PY60" i="6" s="1"/>
  <c r="F409" i="7"/>
  <c r="E408" i="7"/>
  <c r="PX48" i="6" s="1"/>
  <c r="PX72" i="6"/>
  <c r="PX78" i="6" s="1"/>
  <c r="PX80" i="6" s="1"/>
  <c r="PX82" i="6" l="1"/>
  <c r="PU4" i="6"/>
  <c r="PU5" i="6"/>
  <c r="PU7" i="6" s="1"/>
  <c r="PY39" i="6"/>
  <c r="PY42" i="6"/>
  <c r="PV4" i="6"/>
  <c r="PV5" i="6"/>
  <c r="PQ57" i="6"/>
  <c r="PQ61" i="6" s="1"/>
  <c r="PQ11" i="6" s="1"/>
  <c r="PR56" i="6"/>
  <c r="PQ6" i="6"/>
  <c r="C411" i="7"/>
  <c r="F410" i="7"/>
  <c r="D410" i="7"/>
  <c r="PZ37" i="6" s="1"/>
  <c r="PZ58" i="6"/>
  <c r="PX40" i="6"/>
  <c r="PX43" i="6"/>
  <c r="PW44" i="6"/>
  <c r="PW47" i="6"/>
  <c r="PW52" i="6" s="1"/>
  <c r="PW8" i="6"/>
  <c r="PW9" i="6" s="1"/>
  <c r="E409" i="7"/>
  <c r="PY48" i="6" s="1"/>
  <c r="PY72" i="6"/>
  <c r="PY78" i="6" s="1"/>
  <c r="PY80" i="6" s="1"/>
  <c r="PY82" i="6" l="1"/>
  <c r="PZ39" i="6"/>
  <c r="PZ42" i="6"/>
  <c r="QA42" i="6" s="1"/>
  <c r="QA37" i="6"/>
  <c r="PW4" i="6"/>
  <c r="PW5" i="6"/>
  <c r="E410" i="7"/>
  <c r="PZ48" i="6" s="1"/>
  <c r="QA48" i="6" s="1"/>
  <c r="PZ72" i="6"/>
  <c r="PY43" i="6"/>
  <c r="PY40" i="6"/>
  <c r="PZ60" i="6"/>
  <c r="QA60" i="6" s="1"/>
  <c r="QA58" i="6"/>
  <c r="C412" i="7"/>
  <c r="D411" i="7"/>
  <c r="QB37" i="6" s="1"/>
  <c r="F411" i="7"/>
  <c r="QB58" i="6"/>
  <c r="QB60" i="6" s="1"/>
  <c r="PR57" i="6"/>
  <c r="PR61" i="6" s="1"/>
  <c r="PR11" i="6" s="1"/>
  <c r="PR6" i="6"/>
  <c r="PS56" i="6"/>
  <c r="PX44" i="6"/>
  <c r="PX8" i="6"/>
  <c r="PX9" i="6" s="1"/>
  <c r="PX47" i="6"/>
  <c r="PX52" i="6" s="1"/>
  <c r="PV7" i="6"/>
  <c r="PW7" i="6" l="1"/>
  <c r="PZ40" i="6"/>
  <c r="PZ43" i="6"/>
  <c r="QA39" i="6"/>
  <c r="QA40" i="6" s="1"/>
  <c r="D412" i="7"/>
  <c r="QC37" i="6" s="1"/>
  <c r="F412" i="7"/>
  <c r="C413" i="7"/>
  <c r="QC58" i="6"/>
  <c r="QC60" i="6" s="1"/>
  <c r="QB72" i="6"/>
  <c r="E411" i="7"/>
  <c r="QB48" i="6" s="1"/>
  <c r="PX5" i="6"/>
  <c r="PX4" i="6"/>
  <c r="QB39" i="6"/>
  <c r="QB42" i="6"/>
  <c r="PY47" i="6"/>
  <c r="PY52" i="6" s="1"/>
  <c r="PY44" i="6"/>
  <c r="PY8" i="6"/>
  <c r="PY9" i="6" s="1"/>
  <c r="PZ78" i="6"/>
  <c r="QA72" i="6"/>
  <c r="PS6" i="6"/>
  <c r="PS57" i="6"/>
  <c r="PS61" i="6" s="1"/>
  <c r="PS11" i="6" s="1"/>
  <c r="PT56" i="6"/>
  <c r="PX7" i="6" l="1"/>
  <c r="QD58" i="6"/>
  <c r="QD60" i="6" s="1"/>
  <c r="D413" i="7"/>
  <c r="QD37" i="6" s="1"/>
  <c r="F413" i="7"/>
  <c r="C414" i="7"/>
  <c r="QB78" i="6"/>
  <c r="QB43" i="6"/>
  <c r="QB40" i="6"/>
  <c r="PT6" i="6"/>
  <c r="PU56" i="6"/>
  <c r="PT57" i="6"/>
  <c r="PT61" i="6" s="1"/>
  <c r="PT11" i="6" s="1"/>
  <c r="E412" i="7"/>
  <c r="QC48" i="6" s="1"/>
  <c r="QC72" i="6"/>
  <c r="QC78" i="6" s="1"/>
  <c r="QC80" i="6" s="1"/>
  <c r="PZ80" i="6"/>
  <c r="QA78" i="6"/>
  <c r="PY4" i="6"/>
  <c r="PY5" i="6"/>
  <c r="QC42" i="6"/>
  <c r="QC39" i="6"/>
  <c r="PZ44" i="6"/>
  <c r="PZ47" i="6"/>
  <c r="PZ8" i="6"/>
  <c r="QA43" i="6"/>
  <c r="QA44" i="6" s="1"/>
  <c r="PY7" i="6" l="1"/>
  <c r="PU57" i="6"/>
  <c r="PU61" i="6" s="1"/>
  <c r="PU11" i="6" s="1"/>
  <c r="PU6" i="6"/>
  <c r="PV56" i="6"/>
  <c r="PZ52" i="6"/>
  <c r="QA47" i="6"/>
  <c r="QB47" i="6"/>
  <c r="QB44" i="6"/>
  <c r="QB8" i="6"/>
  <c r="QB80" i="6"/>
  <c r="F414" i="7"/>
  <c r="QE58" i="6"/>
  <c r="QE60" i="6" s="1"/>
  <c r="D414" i="7"/>
  <c r="QE37" i="6" s="1"/>
  <c r="C415" i="7"/>
  <c r="PZ9" i="6"/>
  <c r="QA9" i="6" s="1"/>
  <c r="QA8" i="6"/>
  <c r="QC43" i="6"/>
  <c r="QC40" i="6"/>
  <c r="QD72" i="6"/>
  <c r="QD78" i="6" s="1"/>
  <c r="QD80" i="6" s="1"/>
  <c r="E413" i="7"/>
  <c r="QD48" i="6" s="1"/>
  <c r="QD42" i="6"/>
  <c r="QD39" i="6"/>
  <c r="PZ82" i="6"/>
  <c r="QA82" i="6" s="1"/>
  <c r="QA80" i="6"/>
  <c r="QB82" i="6" l="1"/>
  <c r="QC82" i="6" s="1"/>
  <c r="QD82" i="6" s="1"/>
  <c r="E414" i="7"/>
  <c r="QE48" i="6" s="1"/>
  <c r="QE72" i="6"/>
  <c r="QE78" i="6" s="1"/>
  <c r="QE80" i="6" s="1"/>
  <c r="QD43" i="6"/>
  <c r="QD40" i="6"/>
  <c r="QB9" i="6"/>
  <c r="QC47" i="6"/>
  <c r="QC52" i="6" s="1"/>
  <c r="QC44" i="6"/>
  <c r="QC8" i="6"/>
  <c r="QC9" i="6" s="1"/>
  <c r="QB52" i="6"/>
  <c r="PZ5" i="6"/>
  <c r="PZ4" i="6"/>
  <c r="QA4" i="6" s="1"/>
  <c r="QA52" i="6"/>
  <c r="QF58" i="6"/>
  <c r="QF60" i="6" s="1"/>
  <c r="F415" i="7"/>
  <c r="D415" i="7"/>
  <c r="QF37" i="6" s="1"/>
  <c r="C416" i="7"/>
  <c r="PV6" i="6"/>
  <c r="PW56" i="6"/>
  <c r="PV57" i="6"/>
  <c r="PV61" i="6" s="1"/>
  <c r="PV11" i="6" s="1"/>
  <c r="QE42" i="6"/>
  <c r="QE39" i="6"/>
  <c r="QB4" i="6" l="1"/>
  <c r="QB5" i="6"/>
  <c r="C417" i="7"/>
  <c r="F416" i="7"/>
  <c r="QG58" i="6"/>
  <c r="QG60" i="6" s="1"/>
  <c r="D416" i="7"/>
  <c r="QG37" i="6" s="1"/>
  <c r="QE82" i="6"/>
  <c r="QF42" i="6"/>
  <c r="QF39" i="6"/>
  <c r="QD44" i="6"/>
  <c r="QD47" i="6"/>
  <c r="QD8" i="6"/>
  <c r="QD9" i="6" s="1"/>
  <c r="PX56" i="6"/>
  <c r="PW6" i="6"/>
  <c r="PW57" i="6"/>
  <c r="PW61" i="6" s="1"/>
  <c r="PW11" i="6" s="1"/>
  <c r="QC5" i="6"/>
  <c r="QC4" i="6"/>
  <c r="QF72" i="6"/>
  <c r="QF78" i="6" s="1"/>
  <c r="QF80" i="6" s="1"/>
  <c r="E415" i="7"/>
  <c r="QF48" i="6" s="1"/>
  <c r="QE43" i="6"/>
  <c r="QE40" i="6"/>
  <c r="QA5" i="6"/>
  <c r="PZ7" i="6"/>
  <c r="QF82" i="6" l="1"/>
  <c r="QF40" i="6"/>
  <c r="QF43" i="6"/>
  <c r="QE44" i="6"/>
  <c r="QE8" i="6"/>
  <c r="QE47" i="6"/>
  <c r="QE52" i="6" s="1"/>
  <c r="QG39" i="6"/>
  <c r="QG42" i="6"/>
  <c r="QH58" i="6"/>
  <c r="QH60" i="6" s="1"/>
  <c r="C418" i="7"/>
  <c r="F417" i="7"/>
  <c r="D417" i="7"/>
  <c r="QH37" i="6" s="1"/>
  <c r="PY56" i="6"/>
  <c r="PX57" i="6"/>
  <c r="PX61" i="6" s="1"/>
  <c r="PX11" i="6" s="1"/>
  <c r="PX6" i="6"/>
  <c r="QD52" i="6"/>
  <c r="E416" i="7"/>
  <c r="QG48" i="6" s="1"/>
  <c r="QG72" i="6"/>
  <c r="QG78" i="6" s="1"/>
  <c r="QG80" i="6" s="1"/>
  <c r="QA7" i="6"/>
  <c r="QA13" i="6" s="1"/>
  <c r="QB7" i="6"/>
  <c r="QC7" i="6" s="1"/>
  <c r="QG82" i="6" l="1"/>
  <c r="QH42" i="6"/>
  <c r="QH39" i="6"/>
  <c r="QI58" i="6"/>
  <c r="QI60" i="6" s="1"/>
  <c r="F418" i="7"/>
  <c r="C419" i="7"/>
  <c r="D418" i="7"/>
  <c r="QI37" i="6" s="1"/>
  <c r="QD5" i="6"/>
  <c r="QD7" i="6" s="1"/>
  <c r="QD4" i="6"/>
  <c r="QE4" i="6"/>
  <c r="QE5" i="6"/>
  <c r="QE9" i="6"/>
  <c r="QG43" i="6"/>
  <c r="QG40" i="6"/>
  <c r="PZ56" i="6"/>
  <c r="PY6" i="6"/>
  <c r="PY57" i="6"/>
  <c r="PY61" i="6" s="1"/>
  <c r="PY11" i="6" s="1"/>
  <c r="QF44" i="6"/>
  <c r="QF47" i="6"/>
  <c r="QF8" i="6"/>
  <c r="QF9" i="6" s="1"/>
  <c r="E417" i="7"/>
  <c r="QH48" i="6" s="1"/>
  <c r="QH72" i="6"/>
  <c r="QH78" i="6" s="1"/>
  <c r="QH80" i="6" s="1"/>
  <c r="QH82" i="6" l="1"/>
  <c r="QE7" i="6"/>
  <c r="QF52" i="6"/>
  <c r="PZ6" i="6"/>
  <c r="PZ57" i="6"/>
  <c r="PZ61" i="6" s="1"/>
  <c r="QA56" i="6"/>
  <c r="QG44" i="6"/>
  <c r="QG47" i="6"/>
  <c r="QG52" i="6" s="1"/>
  <c r="QG8" i="6"/>
  <c r="QI39" i="6"/>
  <c r="QI42" i="6"/>
  <c r="C420" i="7"/>
  <c r="D419" i="7"/>
  <c r="QJ37" i="6" s="1"/>
  <c r="F419" i="7"/>
  <c r="QJ58" i="6"/>
  <c r="QJ60" i="6" s="1"/>
  <c r="E418" i="7"/>
  <c r="QI48" i="6" s="1"/>
  <c r="QI72" i="6"/>
  <c r="QI78" i="6" s="1"/>
  <c r="QH40" i="6"/>
  <c r="QH43" i="6"/>
  <c r="QG9" i="6" l="1"/>
  <c r="QI80" i="6"/>
  <c r="QI82" i="6" s="1"/>
  <c r="QH44" i="6"/>
  <c r="QH47" i="6"/>
  <c r="QH52" i="6" s="1"/>
  <c r="QH8" i="6"/>
  <c r="QH9" i="6" s="1"/>
  <c r="QJ72" i="6"/>
  <c r="QJ78" i="6" s="1"/>
  <c r="QJ80" i="6" s="1"/>
  <c r="QJ82" i="6" s="1"/>
  <c r="E419" i="7"/>
  <c r="QJ48" i="6" s="1"/>
  <c r="QJ39" i="6"/>
  <c r="QJ42" i="6"/>
  <c r="D420" i="7"/>
  <c r="QK37" i="6" s="1"/>
  <c r="F420" i="7"/>
  <c r="C421" i="7"/>
  <c r="QK58" i="6"/>
  <c r="QK60" i="6" s="1"/>
  <c r="QI43" i="6"/>
  <c r="QI40" i="6"/>
  <c r="QG5" i="6"/>
  <c r="QG4" i="6"/>
  <c r="QB56" i="6"/>
  <c r="QA57" i="6"/>
  <c r="QA6" i="6"/>
  <c r="QA61" i="6"/>
  <c r="QA11" i="6" s="1"/>
  <c r="QA12" i="6" s="1"/>
  <c r="PZ11" i="6"/>
  <c r="QF5" i="6"/>
  <c r="QF4" i="6"/>
  <c r="QF7" i="6" l="1"/>
  <c r="QG7" i="6" s="1"/>
  <c r="QC56" i="6"/>
  <c r="QB6" i="6"/>
  <c r="QB57" i="6"/>
  <c r="QB61" i="6" s="1"/>
  <c r="QB11" i="6" s="1"/>
  <c r="QI47" i="6"/>
  <c r="QI52" i="6" s="1"/>
  <c r="QI44" i="6"/>
  <c r="QI8" i="6"/>
  <c r="QI9" i="6" s="1"/>
  <c r="F421" i="7"/>
  <c r="QL58" i="6"/>
  <c r="QL60" i="6" s="1"/>
  <c r="D421" i="7"/>
  <c r="QL37" i="6" s="1"/>
  <c r="C422" i="7"/>
  <c r="QK72" i="6"/>
  <c r="QK78" i="6" s="1"/>
  <c r="QK80" i="6" s="1"/>
  <c r="QK82" i="6" s="1"/>
  <c r="E420" i="7"/>
  <c r="QK48" i="6" s="1"/>
  <c r="QK42" i="6"/>
  <c r="QK39" i="6"/>
  <c r="QJ43" i="6"/>
  <c r="QJ40" i="6"/>
  <c r="QH4" i="6"/>
  <c r="QH5" i="6"/>
  <c r="QH7" i="6" l="1"/>
  <c r="QJ44" i="6"/>
  <c r="QJ8" i="6"/>
  <c r="QJ9" i="6" s="1"/>
  <c r="QJ47" i="6"/>
  <c r="QJ52" i="6" s="1"/>
  <c r="QK43" i="6"/>
  <c r="QK40" i="6"/>
  <c r="F422" i="7"/>
  <c r="C423" i="7"/>
  <c r="D422" i="7"/>
  <c r="QM37" i="6" s="1"/>
  <c r="QM58" i="6"/>
  <c r="QL42" i="6"/>
  <c r="QL39" i="6"/>
  <c r="E421" i="7"/>
  <c r="QL48" i="6" s="1"/>
  <c r="QL72" i="6"/>
  <c r="QL78" i="6" s="1"/>
  <c r="QL80" i="6" s="1"/>
  <c r="QL82" i="6" s="1"/>
  <c r="QI5" i="6"/>
  <c r="QI4" i="6"/>
  <c r="QC57" i="6"/>
  <c r="QC61" i="6" s="1"/>
  <c r="QC11" i="6" s="1"/>
  <c r="QD56" i="6"/>
  <c r="QC6" i="6"/>
  <c r="QI7" i="6" l="1"/>
  <c r="QE56" i="6"/>
  <c r="QD6" i="6"/>
  <c r="QD57" i="6"/>
  <c r="QD61" i="6" s="1"/>
  <c r="QD11" i="6" s="1"/>
  <c r="QL40" i="6"/>
  <c r="QL43" i="6"/>
  <c r="QN58" i="6"/>
  <c r="QM60" i="6"/>
  <c r="QN60" i="6" s="1"/>
  <c r="QM42" i="6"/>
  <c r="QN42" i="6" s="1"/>
  <c r="QM39" i="6"/>
  <c r="QN39" i="6" s="1"/>
  <c r="QN40" i="6" s="1"/>
  <c r="QN37" i="6"/>
  <c r="D423" i="7"/>
  <c r="QO37" i="6" s="1"/>
  <c r="C424" i="7"/>
  <c r="F423" i="7"/>
  <c r="QO58" i="6"/>
  <c r="QO60" i="6" s="1"/>
  <c r="QM72" i="6"/>
  <c r="E422" i="7"/>
  <c r="QM48" i="6" s="1"/>
  <c r="QN48" i="6" s="1"/>
  <c r="QK47" i="6"/>
  <c r="QK52" i="6" s="1"/>
  <c r="QK8" i="6"/>
  <c r="QK9" i="6" s="1"/>
  <c r="QK44" i="6"/>
  <c r="QJ5" i="6"/>
  <c r="QJ4" i="6"/>
  <c r="QJ7" i="6" l="1"/>
  <c r="QK5" i="6"/>
  <c r="QK4" i="6"/>
  <c r="QM78" i="6"/>
  <c r="QN72" i="6"/>
  <c r="E423" i="7"/>
  <c r="QO48" i="6" s="1"/>
  <c r="QO72" i="6"/>
  <c r="F424" i="7"/>
  <c r="D424" i="7"/>
  <c r="QP37" i="6" s="1"/>
  <c r="C425" i="7"/>
  <c r="QP58" i="6"/>
  <c r="QP60" i="6" s="1"/>
  <c r="QO39" i="6"/>
  <c r="QO42" i="6"/>
  <c r="QM40" i="6"/>
  <c r="QM43" i="6"/>
  <c r="QN43" i="6" s="1"/>
  <c r="QN44" i="6" s="1"/>
  <c r="QL47" i="6"/>
  <c r="QL52" i="6" s="1"/>
  <c r="QL44" i="6"/>
  <c r="QL8" i="6"/>
  <c r="QL9" i="6" s="1"/>
  <c r="QF56" i="6"/>
  <c r="QE57" i="6"/>
  <c r="QE61" i="6" s="1"/>
  <c r="QE11" i="6" s="1"/>
  <c r="QE6" i="6"/>
  <c r="QK7" i="6" l="1"/>
  <c r="QM80" i="6"/>
  <c r="QM82" i="6" s="1"/>
  <c r="QN82" i="6" s="1"/>
  <c r="QN78" i="6"/>
  <c r="QG56" i="6"/>
  <c r="QF6" i="6"/>
  <c r="QF57" i="6"/>
  <c r="QF61" i="6" s="1"/>
  <c r="QF11" i="6" s="1"/>
  <c r="QL5" i="6"/>
  <c r="QL4" i="6"/>
  <c r="QM44" i="6"/>
  <c r="QM47" i="6"/>
  <c r="QM8" i="6"/>
  <c r="QO43" i="6"/>
  <c r="QO40" i="6"/>
  <c r="C426" i="7"/>
  <c r="QQ58" i="6"/>
  <c r="QQ60" i="6" s="1"/>
  <c r="F425" i="7"/>
  <c r="D425" i="7"/>
  <c r="QQ37" i="6" s="1"/>
  <c r="QP39" i="6"/>
  <c r="QP42" i="6"/>
  <c r="E424" i="7"/>
  <c r="QP48" i="6" s="1"/>
  <c r="QP72" i="6"/>
  <c r="QP78" i="6" s="1"/>
  <c r="QP80" i="6" s="1"/>
  <c r="QO78" i="6"/>
  <c r="QL7" i="6" l="1"/>
  <c r="QN80" i="6"/>
  <c r="QM9" i="6"/>
  <c r="QN9" i="6" s="1"/>
  <c r="QN8" i="6"/>
  <c r="QM52" i="6"/>
  <c r="QN52" i="6" s="1"/>
  <c r="QN47" i="6"/>
  <c r="QO80" i="6"/>
  <c r="QO82" i="6" s="1"/>
  <c r="QP82" i="6" s="1"/>
  <c r="QP40" i="6"/>
  <c r="QP43" i="6"/>
  <c r="QQ39" i="6"/>
  <c r="QQ42" i="6"/>
  <c r="E425" i="7"/>
  <c r="QQ48" i="6" s="1"/>
  <c r="QQ72" i="6"/>
  <c r="QQ78" i="6" s="1"/>
  <c r="QQ80" i="6" s="1"/>
  <c r="F426" i="7"/>
  <c r="C427" i="7"/>
  <c r="D426" i="7"/>
  <c r="QR37" i="6" s="1"/>
  <c r="QR58" i="6"/>
  <c r="QR60" i="6" s="1"/>
  <c r="QO44" i="6"/>
  <c r="QO8" i="6"/>
  <c r="QO47" i="6"/>
  <c r="QH56" i="6"/>
  <c r="QG6" i="6"/>
  <c r="QG57" i="6"/>
  <c r="QG61" i="6" s="1"/>
  <c r="QG11" i="6" s="1"/>
  <c r="QM5" i="6" l="1"/>
  <c r="QN5" i="6" s="1"/>
  <c r="QM4" i="6"/>
  <c r="QN4" i="6" s="1"/>
  <c r="QQ82" i="6"/>
  <c r="QI56" i="6"/>
  <c r="QH6" i="6"/>
  <c r="QH57" i="6"/>
  <c r="QH61" i="6" s="1"/>
  <c r="QH11" i="6" s="1"/>
  <c r="QO52" i="6"/>
  <c r="QO9" i="6"/>
  <c r="QR39" i="6"/>
  <c r="QR42" i="6"/>
  <c r="C428" i="7"/>
  <c r="F427" i="7"/>
  <c r="D427" i="7"/>
  <c r="QS37" i="6" s="1"/>
  <c r="QS58" i="6"/>
  <c r="QS60" i="6" s="1"/>
  <c r="E426" i="7"/>
  <c r="QR48" i="6" s="1"/>
  <c r="QR72" i="6"/>
  <c r="QQ43" i="6"/>
  <c r="QQ40" i="6"/>
  <c r="QP44" i="6"/>
  <c r="QP8" i="6"/>
  <c r="QP9" i="6" s="1"/>
  <c r="QP47" i="6"/>
  <c r="QP52" i="6" s="1"/>
  <c r="QM7" i="6" l="1"/>
  <c r="QN7" i="6" s="1"/>
  <c r="QN13" i="6" s="1"/>
  <c r="QR78" i="6"/>
  <c r="QP5" i="6"/>
  <c r="QP4" i="6"/>
  <c r="QQ44" i="6"/>
  <c r="QQ8" i="6"/>
  <c r="QQ47" i="6"/>
  <c r="QQ52" i="6" s="1"/>
  <c r="QS42" i="6"/>
  <c r="QS39" i="6"/>
  <c r="QS72" i="6"/>
  <c r="QS78" i="6" s="1"/>
  <c r="QS80" i="6" s="1"/>
  <c r="E427" i="7"/>
  <c r="QS48" i="6" s="1"/>
  <c r="D428" i="7"/>
  <c r="QT37" i="6" s="1"/>
  <c r="C429" i="7"/>
  <c r="QT58" i="6"/>
  <c r="QT60" i="6" s="1"/>
  <c r="F428" i="7"/>
  <c r="QR40" i="6"/>
  <c r="QR43" i="6"/>
  <c r="QO4" i="6"/>
  <c r="QO5" i="6"/>
  <c r="QI6" i="6"/>
  <c r="QJ56" i="6"/>
  <c r="QI57" i="6"/>
  <c r="QI61" i="6" s="1"/>
  <c r="QI11" i="6" s="1"/>
  <c r="QQ9" i="6" l="1"/>
  <c r="QR80" i="6"/>
  <c r="QO7" i="6"/>
  <c r="QP7" i="6" s="1"/>
  <c r="QJ6" i="6"/>
  <c r="QK56" i="6"/>
  <c r="QJ57" i="6"/>
  <c r="QJ61" i="6" s="1"/>
  <c r="QJ11" i="6" s="1"/>
  <c r="QR47" i="6"/>
  <c r="QR52" i="6" s="1"/>
  <c r="QR44" i="6"/>
  <c r="QR8" i="6"/>
  <c r="QR9" i="6" s="1"/>
  <c r="E428" i="7"/>
  <c r="QT48" i="6" s="1"/>
  <c r="QT72" i="6"/>
  <c r="QT78" i="6" s="1"/>
  <c r="QT80" i="6" s="1"/>
  <c r="D429" i="7"/>
  <c r="QU37" i="6" s="1"/>
  <c r="F429" i="7"/>
  <c r="QU58" i="6"/>
  <c r="QU60" i="6" s="1"/>
  <c r="C430" i="7"/>
  <c r="QT39" i="6"/>
  <c r="QT42" i="6"/>
  <c r="QS40" i="6"/>
  <c r="QS43" i="6"/>
  <c r="QQ4" i="6"/>
  <c r="QQ5" i="6"/>
  <c r="QQ7" i="6" l="1"/>
  <c r="QR82" i="6"/>
  <c r="QS82" i="6" s="1"/>
  <c r="QT82" i="6" s="1"/>
  <c r="QS44" i="6"/>
  <c r="QS47" i="6"/>
  <c r="QS8" i="6"/>
  <c r="QT40" i="6"/>
  <c r="QT43" i="6"/>
  <c r="F430" i="7"/>
  <c r="C431" i="7"/>
  <c r="D430" i="7"/>
  <c r="QV37" i="6" s="1"/>
  <c r="QV58" i="6"/>
  <c r="QV60" i="6" s="1"/>
  <c r="E429" i="7"/>
  <c r="QU48" i="6" s="1"/>
  <c r="QU72" i="6"/>
  <c r="QU78" i="6" s="1"/>
  <c r="QU80" i="6" s="1"/>
  <c r="QU39" i="6"/>
  <c r="QU42" i="6"/>
  <c r="QR4" i="6"/>
  <c r="QR5" i="6"/>
  <c r="QK6" i="6"/>
  <c r="QL56" i="6"/>
  <c r="QK57" i="6"/>
  <c r="QK61" i="6" s="1"/>
  <c r="QK11" i="6" s="1"/>
  <c r="QU82" i="6" l="1"/>
  <c r="QS9" i="6"/>
  <c r="QS52" i="6"/>
  <c r="QS4" i="6" s="1"/>
  <c r="QR7" i="6"/>
  <c r="QM56" i="6"/>
  <c r="QL57" i="6"/>
  <c r="QL61" i="6" s="1"/>
  <c r="QL11" i="6" s="1"/>
  <c r="QL6" i="6"/>
  <c r="QU40" i="6"/>
  <c r="QU43" i="6"/>
  <c r="QV39" i="6"/>
  <c r="QV42" i="6"/>
  <c r="D431" i="7"/>
  <c r="QW37" i="6" s="1"/>
  <c r="QW58" i="6"/>
  <c r="QW60" i="6" s="1"/>
  <c r="C432" i="7"/>
  <c r="F431" i="7"/>
  <c r="QV72" i="6"/>
  <c r="E430" i="7"/>
  <c r="QV48" i="6" s="1"/>
  <c r="QT44" i="6"/>
  <c r="QT8" i="6"/>
  <c r="QT9" i="6" s="1"/>
  <c r="QT47" i="6"/>
  <c r="QT52" i="6" s="1"/>
  <c r="QS5" i="6" l="1"/>
  <c r="QS7" i="6" s="1"/>
  <c r="QV78" i="6"/>
  <c r="QT4" i="6"/>
  <c r="QT5" i="6"/>
  <c r="E431" i="7"/>
  <c r="QW48" i="6" s="1"/>
  <c r="QW72" i="6"/>
  <c r="QW78" i="6" s="1"/>
  <c r="QW80" i="6" s="1"/>
  <c r="D432" i="7"/>
  <c r="QX37" i="6" s="1"/>
  <c r="F432" i="7"/>
  <c r="C433" i="7"/>
  <c r="QX58" i="6"/>
  <c r="QX60" i="6" s="1"/>
  <c r="QW39" i="6"/>
  <c r="QW42" i="6"/>
  <c r="QV43" i="6"/>
  <c r="QV40" i="6"/>
  <c r="QU47" i="6"/>
  <c r="QU52" i="6" s="1"/>
  <c r="QU8" i="6"/>
  <c r="QU9" i="6" s="1"/>
  <c r="QU44" i="6"/>
  <c r="QN56" i="6"/>
  <c r="QM6" i="6"/>
  <c r="QM57" i="6"/>
  <c r="QM61" i="6" s="1"/>
  <c r="QT7" i="6" l="1"/>
  <c r="QV80" i="6"/>
  <c r="QN61" i="6"/>
  <c r="QN11" i="6" s="1"/>
  <c r="QN12" i="6" s="1"/>
  <c r="QM11" i="6"/>
  <c r="QO56" i="6"/>
  <c r="QN6" i="6"/>
  <c r="QN57" i="6"/>
  <c r="QU4" i="6"/>
  <c r="QU5" i="6"/>
  <c r="QV47" i="6"/>
  <c r="QV44" i="6"/>
  <c r="QV8" i="6"/>
  <c r="QV9" i="6" s="1"/>
  <c r="QW40" i="6"/>
  <c r="QW43" i="6"/>
  <c r="F433" i="7"/>
  <c r="D433" i="7"/>
  <c r="QY37" i="6" s="1"/>
  <c r="QY58" i="6"/>
  <c r="QY60" i="6" s="1"/>
  <c r="C434" i="7"/>
  <c r="E432" i="7"/>
  <c r="QX48" i="6" s="1"/>
  <c r="QX72" i="6"/>
  <c r="QX78" i="6" s="1"/>
  <c r="QX80" i="6" s="1"/>
  <c r="QX39" i="6"/>
  <c r="QX42" i="6"/>
  <c r="QU7" i="6" l="1"/>
  <c r="QV82" i="6"/>
  <c r="QW82" i="6" s="1"/>
  <c r="QX82" i="6" s="1"/>
  <c r="QV52" i="6"/>
  <c r="QV4" i="6" s="1"/>
  <c r="QX40" i="6"/>
  <c r="QX43" i="6"/>
  <c r="QZ58" i="6"/>
  <c r="F434" i="7"/>
  <c r="C435" i="7"/>
  <c r="D434" i="7"/>
  <c r="QZ37" i="6" s="1"/>
  <c r="RA37" i="6" s="1"/>
  <c r="QY39" i="6"/>
  <c r="QY42" i="6"/>
  <c r="E433" i="7"/>
  <c r="QY48" i="6" s="1"/>
  <c r="QY72" i="6"/>
  <c r="QY78" i="6" s="1"/>
  <c r="QY80" i="6" s="1"/>
  <c r="QW44" i="6"/>
  <c r="QW8" i="6"/>
  <c r="QW47" i="6"/>
  <c r="QW52" i="6" s="1"/>
  <c r="QP56" i="6"/>
  <c r="QO6" i="6"/>
  <c r="QO57" i="6"/>
  <c r="QO61" i="6" s="1"/>
  <c r="QO11" i="6" s="1"/>
  <c r="QV5" i="6" l="1"/>
  <c r="QV7" i="6" s="1"/>
  <c r="QY82" i="6"/>
  <c r="QW9" i="6"/>
  <c r="QQ56" i="6"/>
  <c r="QP6" i="6"/>
  <c r="QP57" i="6"/>
  <c r="QP61" i="6" s="1"/>
  <c r="QP11" i="6" s="1"/>
  <c r="QW4" i="6"/>
  <c r="QW5" i="6"/>
  <c r="QY40" i="6"/>
  <c r="QY43" i="6"/>
  <c r="QZ39" i="6"/>
  <c r="RA39" i="6" s="1"/>
  <c r="RA40" i="6" s="1"/>
  <c r="QZ42" i="6"/>
  <c r="RA42" i="6" s="1"/>
  <c r="D435" i="7"/>
  <c r="RB37" i="6" s="1"/>
  <c r="C436" i="7"/>
  <c r="F435" i="7"/>
  <c r="RB58" i="6"/>
  <c r="RB60" i="6" s="1"/>
  <c r="E434" i="7"/>
  <c r="QZ48" i="6" s="1"/>
  <c r="RA48" i="6" s="1"/>
  <c r="QZ72" i="6"/>
  <c r="QZ60" i="6"/>
  <c r="RA60" i="6" s="1"/>
  <c r="RA58" i="6"/>
  <c r="QX47" i="6"/>
  <c r="QX52" i="6" s="1"/>
  <c r="QX44" i="6"/>
  <c r="QX8" i="6"/>
  <c r="QX9" i="6" s="1"/>
  <c r="QW7" i="6" l="1"/>
  <c r="QZ78" i="6"/>
  <c r="RA72" i="6"/>
  <c r="QX5" i="6"/>
  <c r="QX4" i="6"/>
  <c r="E435" i="7"/>
  <c r="RB48" i="6" s="1"/>
  <c r="RB72" i="6"/>
  <c r="C437" i="7"/>
  <c r="F436" i="7"/>
  <c r="RC58" i="6"/>
  <c r="RC60" i="6" s="1"/>
  <c r="D436" i="7"/>
  <c r="RC37" i="6" s="1"/>
  <c r="RB42" i="6"/>
  <c r="RB39" i="6"/>
  <c r="QZ43" i="6"/>
  <c r="RA43" i="6" s="1"/>
  <c r="RA44" i="6" s="1"/>
  <c r="QZ40" i="6"/>
  <c r="QY8" i="6"/>
  <c r="QY9" i="6" s="1"/>
  <c r="QY47" i="6"/>
  <c r="QY52" i="6" s="1"/>
  <c r="QY44" i="6"/>
  <c r="QQ57" i="6"/>
  <c r="QQ61" i="6" s="1"/>
  <c r="QQ11" i="6" s="1"/>
  <c r="QR56" i="6"/>
  <c r="QQ6" i="6"/>
  <c r="QX7" i="6" l="1"/>
  <c r="QZ80" i="6"/>
  <c r="RA78" i="6"/>
  <c r="QS56" i="6"/>
  <c r="QR57" i="6"/>
  <c r="QR61" i="6" s="1"/>
  <c r="QR11" i="6" s="1"/>
  <c r="QR6" i="6"/>
  <c r="QY5" i="6"/>
  <c r="QY4" i="6"/>
  <c r="QZ44" i="6"/>
  <c r="QZ47" i="6"/>
  <c r="QZ8" i="6"/>
  <c r="RB40" i="6"/>
  <c r="RB43" i="6"/>
  <c r="RC39" i="6"/>
  <c r="RC42" i="6"/>
  <c r="E436" i="7"/>
  <c r="RC48" i="6" s="1"/>
  <c r="RC72" i="6"/>
  <c r="RC78" i="6" s="1"/>
  <c r="RC80" i="6" s="1"/>
  <c r="RD58" i="6"/>
  <c r="RD60" i="6" s="1"/>
  <c r="C438" i="7"/>
  <c r="D437" i="7"/>
  <c r="RD37" i="6" s="1"/>
  <c r="F437" i="7"/>
  <c r="RB78" i="6"/>
  <c r="QY7" i="6" l="1"/>
  <c r="QZ9" i="6"/>
  <c r="RA9" i="6" s="1"/>
  <c r="RA8" i="6"/>
  <c r="QZ52" i="6"/>
  <c r="RA52" i="6" s="1"/>
  <c r="RA47" i="6"/>
  <c r="QZ82" i="6"/>
  <c r="RA82" i="6" s="1"/>
  <c r="RA80" i="6"/>
  <c r="RB80" i="6"/>
  <c r="E437" i="7"/>
  <c r="RD48" i="6" s="1"/>
  <c r="RD72" i="6"/>
  <c r="RD39" i="6"/>
  <c r="RD42" i="6"/>
  <c r="C439" i="7"/>
  <c r="RE58" i="6"/>
  <c r="RE60" i="6" s="1"/>
  <c r="F438" i="7"/>
  <c r="D438" i="7"/>
  <c r="RE37" i="6" s="1"/>
  <c r="RC40" i="6"/>
  <c r="RC43" i="6"/>
  <c r="RB44" i="6"/>
  <c r="RB47" i="6"/>
  <c r="RB8" i="6"/>
  <c r="QS57" i="6"/>
  <c r="QS61" i="6" s="1"/>
  <c r="QS11" i="6" s="1"/>
  <c r="QT56" i="6"/>
  <c r="QS6" i="6"/>
  <c r="QZ4" i="6" l="1"/>
  <c r="RA4" i="6" s="1"/>
  <c r="QZ5" i="6"/>
  <c r="RA5" i="6" s="1"/>
  <c r="RB82" i="6"/>
  <c r="RC82" i="6" s="1"/>
  <c r="RD78" i="6"/>
  <c r="QU56" i="6"/>
  <c r="QT6" i="6"/>
  <c r="QT57" i="6"/>
  <c r="QT61" i="6" s="1"/>
  <c r="QT11" i="6" s="1"/>
  <c r="RB9" i="6"/>
  <c r="RB52" i="6"/>
  <c r="RC47" i="6"/>
  <c r="RC52" i="6" s="1"/>
  <c r="RC44" i="6"/>
  <c r="RC8" i="6"/>
  <c r="RC9" i="6" s="1"/>
  <c r="RE42" i="6"/>
  <c r="RE39" i="6"/>
  <c r="RE72" i="6"/>
  <c r="RE78" i="6" s="1"/>
  <c r="RE80" i="6" s="1"/>
  <c r="E438" i="7"/>
  <c r="RE48" i="6" s="1"/>
  <c r="C440" i="7"/>
  <c r="D439" i="7"/>
  <c r="RF37" i="6" s="1"/>
  <c r="RF58" i="6"/>
  <c r="RF60" i="6" s="1"/>
  <c r="F439" i="7"/>
  <c r="RD40" i="6"/>
  <c r="RD43" i="6"/>
  <c r="QZ7" i="6" l="1"/>
  <c r="RA7" i="6" s="1"/>
  <c r="RA13" i="6" s="1"/>
  <c r="RD80" i="6"/>
  <c r="RD47" i="6"/>
  <c r="RD52" i="6" s="1"/>
  <c r="RD44" i="6"/>
  <c r="RD8" i="6"/>
  <c r="E439" i="7"/>
  <c r="RF48" i="6" s="1"/>
  <c r="RF72" i="6"/>
  <c r="RF78" i="6" s="1"/>
  <c r="RF80" i="6" s="1"/>
  <c r="RF42" i="6"/>
  <c r="RF39" i="6"/>
  <c r="C441" i="7"/>
  <c r="F440" i="7"/>
  <c r="D440" i="7"/>
  <c r="RG37" i="6" s="1"/>
  <c r="RG58" i="6"/>
  <c r="RG60" i="6" s="1"/>
  <c r="RE40" i="6"/>
  <c r="RE43" i="6"/>
  <c r="RC5" i="6"/>
  <c r="RC4" i="6"/>
  <c r="RB5" i="6"/>
  <c r="RB4" i="6"/>
  <c r="QU57" i="6"/>
  <c r="QU61" i="6" s="1"/>
  <c r="QU11" i="6" s="1"/>
  <c r="QV56" i="6"/>
  <c r="QU6" i="6"/>
  <c r="RB7" i="6" l="1"/>
  <c r="RC7" i="6" s="1"/>
  <c r="RD82" i="6"/>
  <c r="RE82" i="6" s="1"/>
  <c r="RF82" i="6" s="1"/>
  <c r="RD9" i="6"/>
  <c r="QW56" i="6"/>
  <c r="QV6" i="6"/>
  <c r="QV57" i="6"/>
  <c r="QV61" i="6" s="1"/>
  <c r="QV11" i="6" s="1"/>
  <c r="RE47" i="6"/>
  <c r="RE8" i="6"/>
  <c r="RE9" i="6" s="1"/>
  <c r="RE44" i="6"/>
  <c r="RG39" i="6"/>
  <c r="RG42" i="6"/>
  <c r="E440" i="7"/>
  <c r="RG48" i="6" s="1"/>
  <c r="RG72" i="6"/>
  <c r="RG78" i="6" s="1"/>
  <c r="RG80" i="6" s="1"/>
  <c r="F441" i="7"/>
  <c r="C442" i="7"/>
  <c r="D441" i="7"/>
  <c r="RH37" i="6" s="1"/>
  <c r="RH58" i="6"/>
  <c r="RH60" i="6" s="1"/>
  <c r="RF40" i="6"/>
  <c r="RF43" i="6"/>
  <c r="RD4" i="6"/>
  <c r="RD5" i="6"/>
  <c r="RG82" i="6" l="1"/>
  <c r="RE52" i="6"/>
  <c r="RE5" i="6" s="1"/>
  <c r="RD7" i="6"/>
  <c r="RF47" i="6"/>
  <c r="RF52" i="6" s="1"/>
  <c r="RF8" i="6"/>
  <c r="RF44" i="6"/>
  <c r="RH39" i="6"/>
  <c r="RH42" i="6"/>
  <c r="D442" i="7"/>
  <c r="RI37" i="6" s="1"/>
  <c r="F442" i="7"/>
  <c r="RI58" i="6"/>
  <c r="RI60" i="6" s="1"/>
  <c r="C443" i="7"/>
  <c r="RH72" i="6"/>
  <c r="E441" i="7"/>
  <c r="RH48" i="6" s="1"/>
  <c r="RG43" i="6"/>
  <c r="RG40" i="6"/>
  <c r="QW6" i="6"/>
  <c r="QX56" i="6"/>
  <c r="QW57" i="6"/>
  <c r="QW61" i="6" s="1"/>
  <c r="QW11" i="6" s="1"/>
  <c r="RE4" i="6" l="1"/>
  <c r="RF9" i="6"/>
  <c r="RE7" i="6"/>
  <c r="RH78" i="6"/>
  <c r="QY56" i="6"/>
  <c r="QX6" i="6"/>
  <c r="QX57" i="6"/>
  <c r="QX61" i="6" s="1"/>
  <c r="QX11" i="6" s="1"/>
  <c r="RG47" i="6"/>
  <c r="RG52" i="6" s="1"/>
  <c r="RG44" i="6"/>
  <c r="RG8" i="6"/>
  <c r="RG9" i="6" s="1"/>
  <c r="RJ58" i="6"/>
  <c r="RJ60" i="6" s="1"/>
  <c r="D443" i="7"/>
  <c r="RJ37" i="6" s="1"/>
  <c r="C444" i="7"/>
  <c r="F443" i="7"/>
  <c r="E442" i="7"/>
  <c r="RI48" i="6" s="1"/>
  <c r="RI72" i="6"/>
  <c r="RI78" i="6" s="1"/>
  <c r="RI80" i="6" s="1"/>
  <c r="RI39" i="6"/>
  <c r="RI42" i="6"/>
  <c r="RH43" i="6"/>
  <c r="RH40" i="6"/>
  <c r="RF4" i="6"/>
  <c r="RF5" i="6"/>
  <c r="RH80" i="6" l="1"/>
  <c r="RF7" i="6"/>
  <c r="RH47" i="6"/>
  <c r="RH52" i="6" s="1"/>
  <c r="RH8" i="6"/>
  <c r="RH9" i="6" s="1"/>
  <c r="RH44" i="6"/>
  <c r="RI43" i="6"/>
  <c r="RI40" i="6"/>
  <c r="E443" i="7"/>
  <c r="RJ48" i="6" s="1"/>
  <c r="RJ72" i="6"/>
  <c r="RJ78" i="6" s="1"/>
  <c r="RJ80" i="6" s="1"/>
  <c r="C445" i="7"/>
  <c r="F444" i="7"/>
  <c r="RK58" i="6"/>
  <c r="RK60" i="6" s="1"/>
  <c r="D444" i="7"/>
  <c r="RK37" i="6" s="1"/>
  <c r="RJ39" i="6"/>
  <c r="RJ42" i="6"/>
  <c r="RG4" i="6"/>
  <c r="RG5" i="6"/>
  <c r="QY6" i="6"/>
  <c r="QY57" i="6"/>
  <c r="QY61" i="6" s="1"/>
  <c r="QY11" i="6" s="1"/>
  <c r="QZ56" i="6"/>
  <c r="RG7" i="6" l="1"/>
  <c r="RH82" i="6"/>
  <c r="RI82" i="6" s="1"/>
  <c r="RJ82" i="6" s="1"/>
  <c r="QZ57" i="6"/>
  <c r="QZ61" i="6" s="1"/>
  <c r="RA56" i="6"/>
  <c r="QZ6" i="6"/>
  <c r="RJ40" i="6"/>
  <c r="RJ43" i="6"/>
  <c r="RK39" i="6"/>
  <c r="RK42" i="6"/>
  <c r="E444" i="7"/>
  <c r="RK48" i="6" s="1"/>
  <c r="RK72" i="6"/>
  <c r="RK78" i="6" s="1"/>
  <c r="RK80" i="6" s="1"/>
  <c r="C446" i="7"/>
  <c r="F445" i="7"/>
  <c r="D445" i="7"/>
  <c r="RL37" i="6" s="1"/>
  <c r="RL58" i="6"/>
  <c r="RL60" i="6" s="1"/>
  <c r="RI44" i="6"/>
  <c r="RI8" i="6"/>
  <c r="RI9" i="6" s="1"/>
  <c r="RI47" i="6"/>
  <c r="RI52" i="6" s="1"/>
  <c r="RH5" i="6"/>
  <c r="RH4" i="6"/>
  <c r="RK82" i="6" l="1"/>
  <c r="RH7" i="6"/>
  <c r="RI4" i="6"/>
  <c r="RI5" i="6"/>
  <c r="RL39" i="6"/>
  <c r="RL42" i="6"/>
  <c r="RL72" i="6"/>
  <c r="RL78" i="6" s="1"/>
  <c r="E445" i="7"/>
  <c r="RL48" i="6" s="1"/>
  <c r="C447" i="7"/>
  <c r="F446" i="7"/>
  <c r="RM58" i="6"/>
  <c r="D446" i="7"/>
  <c r="RM37" i="6" s="1"/>
  <c r="RN37" i="6" s="1"/>
  <c r="RK43" i="6"/>
  <c r="RK40" i="6"/>
  <c r="RJ47" i="6"/>
  <c r="RJ52" i="6" s="1"/>
  <c r="RJ8" i="6"/>
  <c r="RJ9" i="6" s="1"/>
  <c r="RJ44" i="6"/>
  <c r="RA6" i="6"/>
  <c r="RB56" i="6"/>
  <c r="RA57" i="6"/>
  <c r="QZ11" i="6"/>
  <c r="RA61" i="6"/>
  <c r="RA11" i="6" s="1"/>
  <c r="RA12" i="6" s="1"/>
  <c r="RI7" i="6" l="1"/>
  <c r="RL80" i="6"/>
  <c r="RC56" i="6"/>
  <c r="RB57" i="6"/>
  <c r="RB61" i="6" s="1"/>
  <c r="RB11" i="6" s="1"/>
  <c r="RB6" i="6"/>
  <c r="RJ5" i="6"/>
  <c r="RJ4" i="6"/>
  <c r="RK47" i="6"/>
  <c r="RK52" i="6" s="1"/>
  <c r="RK8" i="6"/>
  <c r="RK9" i="6" s="1"/>
  <c r="RK44" i="6"/>
  <c r="RM42" i="6"/>
  <c r="RN42" i="6" s="1"/>
  <c r="RM39" i="6"/>
  <c r="RN39" i="6" s="1"/>
  <c r="RN40" i="6" s="1"/>
  <c r="RM60" i="6"/>
  <c r="RN60" i="6" s="1"/>
  <c r="RN58" i="6"/>
  <c r="E446" i="7"/>
  <c r="RM48" i="6" s="1"/>
  <c r="RN48" i="6" s="1"/>
  <c r="RM72" i="6"/>
  <c r="F447" i="7"/>
  <c r="C448" i="7"/>
  <c r="D447" i="7"/>
  <c r="RL40" i="6"/>
  <c r="RL43" i="6"/>
  <c r="RJ7" i="6" l="1"/>
  <c r="E447" i="7"/>
  <c r="RM78" i="6"/>
  <c r="RN72" i="6"/>
  <c r="RL82" i="6"/>
  <c r="RL47" i="6"/>
  <c r="RL52" i="6" s="1"/>
  <c r="RL8" i="6"/>
  <c r="RL9" i="6" s="1"/>
  <c r="RL44" i="6"/>
  <c r="F448" i="7"/>
  <c r="D448" i="7"/>
  <c r="C449" i="7"/>
  <c r="RM40" i="6"/>
  <c r="RM43" i="6"/>
  <c r="RN43" i="6" s="1"/>
  <c r="RN44" i="6" s="1"/>
  <c r="RK5" i="6"/>
  <c r="RK4" i="6"/>
  <c r="RC6" i="6"/>
  <c r="RC57" i="6"/>
  <c r="RC61" i="6" s="1"/>
  <c r="RC11" i="6" s="1"/>
  <c r="RD56" i="6"/>
  <c r="RK7" i="6" l="1"/>
  <c r="E448" i="7"/>
  <c r="RM80" i="6"/>
  <c r="RN78" i="6"/>
  <c r="RE56" i="6"/>
  <c r="RD6" i="6"/>
  <c r="RD57" i="6"/>
  <c r="RD61" i="6" s="1"/>
  <c r="RD11" i="6" s="1"/>
  <c r="RM8" i="6"/>
  <c r="RM47" i="6"/>
  <c r="RM44" i="6"/>
  <c r="D449" i="7"/>
  <c r="F449" i="7"/>
  <c r="C450" i="7"/>
  <c r="RL5" i="6"/>
  <c r="RL4" i="6"/>
  <c r="RL7" i="6" l="1"/>
  <c r="RM82" i="6"/>
  <c r="RN82" i="6" s="1"/>
  <c r="RN80" i="6"/>
  <c r="E449" i="7"/>
  <c r="RM9" i="6"/>
  <c r="RN9" i="6" s="1"/>
  <c r="RN8" i="6"/>
  <c r="RM52" i="6"/>
  <c r="RN52" i="6" s="1"/>
  <c r="RN47" i="6"/>
  <c r="F450" i="7"/>
  <c r="C451" i="7"/>
  <c r="D450" i="7"/>
  <c r="RF56" i="6"/>
  <c r="RE6" i="6"/>
  <c r="RE57" i="6"/>
  <c r="RE61" i="6" s="1"/>
  <c r="RE11" i="6" s="1"/>
  <c r="RM5" i="6" l="1"/>
  <c r="RN5" i="6" s="1"/>
  <c r="RM4" i="6"/>
  <c r="RN4" i="6" s="1"/>
  <c r="E450" i="7"/>
  <c r="RG56" i="6"/>
  <c r="RF6" i="6"/>
  <c r="RF57" i="6"/>
  <c r="RF61" i="6" s="1"/>
  <c r="RF11" i="6" s="1"/>
  <c r="C452" i="7"/>
  <c r="D451" i="7"/>
  <c r="F451" i="7"/>
  <c r="RM7" i="6" l="1"/>
  <c r="RN7" i="6" s="1"/>
  <c r="RN13" i="6" s="1"/>
  <c r="E451" i="7"/>
  <c r="C453" i="7"/>
  <c r="D452" i="7"/>
  <c r="F452" i="7"/>
  <c r="RH56" i="6"/>
  <c r="RG6" i="6"/>
  <c r="RG57" i="6"/>
  <c r="RG61" i="6" s="1"/>
  <c r="RG11" i="6" s="1"/>
  <c r="E452" i="7" l="1"/>
  <c r="RI56" i="6"/>
  <c r="RH6" i="6"/>
  <c r="RH57" i="6"/>
  <c r="RH61" i="6" s="1"/>
  <c r="RH11" i="6" s="1"/>
  <c r="C454" i="7"/>
  <c r="D453" i="7"/>
  <c r="F453" i="7"/>
  <c r="E453" i="7" l="1"/>
  <c r="D454" i="7"/>
  <c r="F454" i="7"/>
  <c r="C455" i="7"/>
  <c r="RJ56" i="6"/>
  <c r="RI6" i="6"/>
  <c r="RI57" i="6"/>
  <c r="RI61" i="6" s="1"/>
  <c r="RI11" i="6" s="1"/>
  <c r="E454" i="7" l="1"/>
  <c r="RK56" i="6"/>
  <c r="RJ6" i="6"/>
  <c r="RJ57" i="6"/>
  <c r="RJ61" i="6" s="1"/>
  <c r="RJ11" i="6" s="1"/>
  <c r="C456" i="7"/>
  <c r="D455" i="7"/>
  <c r="F455" i="7"/>
  <c r="E455" i="7" l="1"/>
  <c r="D456" i="7"/>
  <c r="C457" i="7"/>
  <c r="F456" i="7"/>
  <c r="RK6" i="6"/>
  <c r="RL56" i="6"/>
  <c r="RK57" i="6"/>
  <c r="RK61" i="6" s="1"/>
  <c r="RK11" i="6" s="1"/>
  <c r="E456" i="7" l="1"/>
  <c r="RL6" i="6"/>
  <c r="RL57" i="6"/>
  <c r="RL61" i="6" s="1"/>
  <c r="RL11" i="6" s="1"/>
  <c r="RM56" i="6"/>
  <c r="F457" i="7"/>
  <c r="D457" i="7"/>
  <c r="C458" i="7"/>
  <c r="E457" i="7" l="1"/>
  <c r="C459" i="7"/>
  <c r="F458" i="7"/>
  <c r="D458" i="7"/>
  <c r="RM6" i="6"/>
  <c r="RN56" i="6"/>
  <c r="RM57" i="6"/>
  <c r="RM61" i="6" s="1"/>
  <c r="E458" i="7" l="1"/>
  <c r="RN61" i="6"/>
  <c r="RN11" i="6" s="1"/>
  <c r="RN12" i="6" s="1"/>
  <c r="RM11" i="6"/>
  <c r="RN6" i="6"/>
  <c r="RN57" i="6"/>
  <c r="C460" i="7"/>
  <c r="D459" i="7"/>
  <c r="F459" i="7"/>
  <c r="E459" i="7" l="1"/>
  <c r="F460" i="7"/>
  <c r="D460" i="7"/>
  <c r="C461" i="7"/>
  <c r="E460" i="7" l="1"/>
  <c r="D461" i="7"/>
  <c r="F461" i="7"/>
  <c r="C462" i="7"/>
  <c r="E461" i="7" l="1"/>
  <c r="C463" i="7"/>
  <c r="D462" i="7"/>
  <c r="F462" i="7"/>
  <c r="E462" i="7" l="1"/>
  <c r="D463" i="7"/>
  <c r="F463" i="7"/>
  <c r="C464" i="7"/>
  <c r="E463" i="7" l="1"/>
  <c r="D464" i="7"/>
  <c r="C465" i="7"/>
  <c r="F464" i="7"/>
  <c r="E464" i="7" l="1"/>
  <c r="C466" i="7"/>
  <c r="D465" i="7"/>
  <c r="F465" i="7"/>
  <c r="E465" i="7" l="1"/>
  <c r="C467" i="7"/>
  <c r="F466" i="7"/>
  <c r="D466" i="7"/>
  <c r="E466" i="7" l="1"/>
  <c r="F467" i="7"/>
  <c r="C468" i="7"/>
  <c r="D467" i="7"/>
  <c r="E467" i="7" l="1"/>
  <c r="D468" i="7"/>
  <c r="F468" i="7"/>
  <c r="C469" i="7"/>
  <c r="E468" i="7" l="1"/>
  <c r="F469" i="7"/>
  <c r="C470" i="7"/>
  <c r="D469" i="7"/>
  <c r="E469" i="7" l="1"/>
  <c r="C471" i="7"/>
  <c r="F470" i="7"/>
  <c r="D470" i="7"/>
  <c r="E470" i="7" l="1"/>
  <c r="C472" i="7"/>
  <c r="D471" i="7"/>
  <c r="F471" i="7"/>
  <c r="E471" i="7" l="1"/>
  <c r="F472" i="7"/>
  <c r="D472" i="7"/>
  <c r="C473" i="7"/>
  <c r="E472" i="7" l="1"/>
  <c r="C474" i="7"/>
  <c r="F473" i="7"/>
  <c r="D473" i="7"/>
  <c r="E473" i="7" l="1"/>
  <c r="D474" i="7"/>
  <c r="F474" i="7"/>
  <c r="C475" i="7"/>
  <c r="E474" i="7" l="1"/>
  <c r="C476" i="7"/>
  <c r="D475" i="7"/>
  <c r="F475" i="7"/>
  <c r="E475" i="7" l="1"/>
  <c r="C477" i="7"/>
  <c r="D476" i="7"/>
  <c r="F476" i="7"/>
  <c r="E476" i="7" l="1"/>
  <c r="F477" i="7"/>
  <c r="D477" i="7"/>
  <c r="C478" i="7"/>
  <c r="E477" i="7" l="1"/>
  <c r="C479" i="7"/>
  <c r="F478" i="7"/>
  <c r="D478" i="7"/>
  <c r="E478" i="7" l="1"/>
  <c r="F479" i="7"/>
  <c r="D479" i="7"/>
  <c r="C480" i="7"/>
  <c r="E479" i="7" l="1"/>
  <c r="C481" i="7"/>
  <c r="F480" i="7"/>
  <c r="D480" i="7"/>
  <c r="E480" i="7" l="1"/>
  <c r="C482" i="7"/>
  <c r="F481" i="7"/>
  <c r="D481" i="7"/>
  <c r="E481" i="7" l="1"/>
  <c r="F482" i="7"/>
  <c r="D482" i="7"/>
  <c r="C483" i="7"/>
  <c r="E482" i="7" l="1"/>
  <c r="F483" i="7"/>
  <c r="C484" i="7"/>
  <c r="D483" i="7"/>
  <c r="E483" i="7" l="1"/>
  <c r="D484" i="7"/>
  <c r="C485" i="7"/>
  <c r="F484" i="7"/>
  <c r="E484" i="7" l="1"/>
  <c r="F485" i="7"/>
  <c r="D485" i="7"/>
  <c r="E485" i="7" l="1"/>
  <c r="H3" i="2" l="1"/>
  <c r="H5" i="2" s="1"/>
  <c r="H7" i="2" s="1"/>
  <c r="E4" i="2" l="1"/>
  <c r="F4" i="2" s="1"/>
  <c r="E3" i="2"/>
  <c r="E5" i="2" s="1"/>
  <c r="E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Spencer Flindt</author>
  </authors>
  <commentList>
    <comment ref="A72" authorId="0" shapeId="0" xr:uid="{F1C69229-ED8E-4ED5-9749-7EB1109183BC}">
      <text>
        <r>
          <rPr>
            <b/>
            <sz val="9"/>
            <color indexed="81"/>
            <rFont val="Tahoma"/>
            <family val="2"/>
          </rPr>
          <t>Spencer Flindt:</t>
        </r>
        <r>
          <rPr>
            <sz val="9"/>
            <color indexed="81"/>
            <rFont val="Tahoma"/>
            <family val="2"/>
          </rPr>
          <t xml:space="preserve">
Principle,Interest,Tax, Insurance. (Principle and Interest being the two that never change)</t>
        </r>
      </text>
    </comment>
  </commentList>
</comments>
</file>

<file path=xl/sharedStrings.xml><?xml version="1.0" encoding="utf-8"?>
<sst xmlns="http://schemas.openxmlformats.org/spreadsheetml/2006/main" count="2235" uniqueCount="698">
  <si>
    <t>zpid</t>
  </si>
  <si>
    <t>rawHomeStatusCd</t>
  </si>
  <si>
    <t>homeStatusForHDP</t>
  </si>
  <si>
    <t>homeStatus</t>
  </si>
  <si>
    <t>homeType</t>
  </si>
  <si>
    <t>address</t>
  </si>
  <si>
    <t>addressZipcode</t>
  </si>
  <si>
    <t>addressCity</t>
  </si>
  <si>
    <t>addressState</t>
  </si>
  <si>
    <t>latitude</t>
  </si>
  <si>
    <t>longitude</t>
  </si>
  <si>
    <t>detailUrl</t>
  </si>
  <si>
    <t>unformattedPrice</t>
  </si>
  <si>
    <t>beds</t>
  </si>
  <si>
    <t>baths</t>
  </si>
  <si>
    <t>area</t>
  </si>
  <si>
    <t>zestimate</t>
  </si>
  <si>
    <t>rentZestimate</t>
  </si>
  <si>
    <t>taxAssessedValue</t>
  </si>
  <si>
    <t>ForSale</t>
  </si>
  <si>
    <t>FOR_SALE</t>
  </si>
  <si>
    <t>(All)</t>
  </si>
  <si>
    <t>Grand Total</t>
  </si>
  <si>
    <t>(blank)</t>
  </si>
  <si>
    <t>Salt Lake City</t>
  </si>
  <si>
    <t>UT</t>
  </si>
  <si>
    <t>MULTI_FAMILY</t>
  </si>
  <si>
    <t>West Valley City</t>
  </si>
  <si>
    <t>South Salt Lake</t>
  </si>
  <si>
    <t>city_tag</t>
  </si>
  <si>
    <t>Millcreek</t>
  </si>
  <si>
    <t>Avenues</t>
  </si>
  <si>
    <t>Sq Ft Multiplier</t>
  </si>
  <si>
    <t>Rent Multiplier</t>
  </si>
  <si>
    <t>84117</t>
  </si>
  <si>
    <t>84124</t>
  </si>
  <si>
    <t>84103</t>
  </si>
  <si>
    <t>84102</t>
  </si>
  <si>
    <t>84111</t>
  </si>
  <si>
    <t>84115</t>
  </si>
  <si>
    <t>84116</t>
  </si>
  <si>
    <t>296672784</t>
  </si>
  <si>
    <t>936 E 1700 S, Salt Lake City, UT 84105</t>
  </si>
  <si>
    <t>84105</t>
  </si>
  <si>
    <t>https://www.zillow.com/homedetails/936-E-1700-S-Salt-Lake-City-UT-84105/296672784_zpid/</t>
  </si>
  <si>
    <t>84109</t>
  </si>
  <si>
    <t>84104</t>
  </si>
  <si>
    <t>84119</t>
  </si>
  <si>
    <t>84106</t>
  </si>
  <si>
    <t>1711 W 400 N, Salt Lake City, UT 84116</t>
  </si>
  <si>
    <t>84601</t>
  </si>
  <si>
    <t>Provo</t>
  </si>
  <si>
    <t>84606</t>
  </si>
  <si>
    <t>84604</t>
  </si>
  <si>
    <t>Orem</t>
  </si>
  <si>
    <t>Monthly Rent</t>
  </si>
  <si>
    <t>Inv GRM</t>
  </si>
  <si>
    <t>Purchase price</t>
  </si>
  <si>
    <t>Beds</t>
  </si>
  <si>
    <t>Calc Rent Mult</t>
  </si>
  <si>
    <t>Sum of Rent Est.</t>
  </si>
  <si>
    <t>3334 S 825 E, Salt Lake City, UT 84106</t>
  </si>
  <si>
    <t>12718744</t>
  </si>
  <si>
    <t>240 N Spencer Ct, Salt Lake City, UT 84103</t>
  </si>
  <si>
    <t>https://www.zillow.com/homedetails/240-N-Spencer-Ct-Salt-Lake-City-UT-84103/12718744_zpid/</t>
  </si>
  <si>
    <t>448903538</t>
  </si>
  <si>
    <t>146 E 2nd Ave, Salt Lake City, UT 84103</t>
  </si>
  <si>
    <t>https://www.zillow.com/homedetails/146-E-2nd-Ave-Salt-Lake-City-UT-84103/448903538_zpid/</t>
  </si>
  <si>
    <t>12739734</t>
  </si>
  <si>
    <t>1195 S 800 W, Salt Lake City, UT 84104</t>
  </si>
  <si>
    <t>https://www.zillow.com/homedetails/1195-S-800-W-Salt-Lake-City-UT-84104/12739734_zpid/</t>
  </si>
  <si>
    <t>2057508524</t>
  </si>
  <si>
    <t>1162 E 400 S, Salt Lake City, UT 84102</t>
  </si>
  <si>
    <t>https://www.zillow.com/homedetails/1162-E-400-S-Salt-Lake-City-UT-84102/2057508524_zpid/</t>
  </si>
  <si>
    <t>827 E 100 S, Salt Lake City, UT 84102</t>
  </si>
  <si>
    <t>449590119</t>
  </si>
  <si>
    <t>1127 E South Temple S, Salt Lake City, UT 84102</t>
  </si>
  <si>
    <t>https://www.zillow.com/homedetails/1127-E-South-Temple-S-Salt-Lake-City-UT-84102/449590119_zpid/</t>
  </si>
  <si>
    <t>12770679</t>
  </si>
  <si>
    <t>1978 S Windsor St, Salt Lake City, UT 84105</t>
  </si>
  <si>
    <t>https://www.zillow.com/homedetails/1978-S-Windsor-St-Salt-Lake-City-UT-84105/12770679_zpid/</t>
  </si>
  <si>
    <t>12756455</t>
  </si>
  <si>
    <t>779 S 400 E, Salt Lake City, UT 84111</t>
  </si>
  <si>
    <t>https://www.zillow.com/homedetails/779-S-400-E-Salt-Lake-City-UT-84111/12756455_zpid/</t>
  </si>
  <si>
    <t>2067895645</t>
  </si>
  <si>
    <t>1330 S 1100 E, Salt Lake City, UT 84105</t>
  </si>
  <si>
    <t>https://www.zillow.com/homedetails/1330-S-1100-E-Salt-Lake-City-UT-84105/2067895645_zpid/</t>
  </si>
  <si>
    <t>447546849</t>
  </si>
  <si>
    <t>215 S 300 E, Salt Lake City, UT 84111</t>
  </si>
  <si>
    <t>https://www.zillow.com/homedetails/215-S-300-E-Salt-Lake-City-UT-84111/447546849_zpid/</t>
  </si>
  <si>
    <t>305058480</t>
  </si>
  <si>
    <t>1470 S Edison St, Salt Lake City, UT 84115</t>
  </si>
  <si>
    <t>https://www.zillow.com/homedetails/1470-S-Edison-St-Salt-Lake-City-UT-84115/305058480_zpid/</t>
  </si>
  <si>
    <t>2071449994</t>
  </si>
  <si>
    <t>653 E 300 S, Salt Lake City, UT 84102</t>
  </si>
  <si>
    <t>https://www.zillow.com/homedetails/653-E-300-S-Salt-Lake-City-UT-84102/2071449994_zpid/</t>
  </si>
  <si>
    <t>2069452025</t>
  </si>
  <si>
    <t>228 S 900 E, Salt Lake City, UT 84102</t>
  </si>
  <si>
    <t>https://www.zillow.com/homedetails/228-S-900-E-Salt-Lake-City-UT-84102/2069452025_zpid/</t>
  </si>
  <si>
    <t>2086478311</t>
  </si>
  <si>
    <t>275 W 500 N, Salt Lake City, UT 84103</t>
  </si>
  <si>
    <t>https://www.zillow.com/homedetails/275-W-500-N-Salt-Lake-City-UT-84103/2086478311_zpid/</t>
  </si>
  <si>
    <t>295331206</t>
  </si>
  <si>
    <t>466 N 200 E, Provo, UT 84606</t>
  </si>
  <si>
    <t>https://www.zillow.com/homedetails/466-N-200-E-Provo-UT-84606/295331206_zpid/</t>
  </si>
  <si>
    <t>11933584</t>
  </si>
  <si>
    <t>2823 N Marrcrest E, Provo, UT 84604</t>
  </si>
  <si>
    <t>https://www.zillow.com/homedetails/2823-N-Marrcrest-E-Provo-UT-84604/11933584_zpid/</t>
  </si>
  <si>
    <t>11888781</t>
  </si>
  <si>
    <t>168 S 300 E, Provo, UT 84606</t>
  </si>
  <si>
    <t>https://www.zillow.com/homedetails/168-S-300-E-Provo-UT-84606/11888781_zpid/</t>
  </si>
  <si>
    <t>11888150</t>
  </si>
  <si>
    <t>1021 W 100 N, Provo, UT 84601</t>
  </si>
  <si>
    <t>https://www.zillow.com/homedetails/1021-W-100-N-Provo-UT-84601/11888150_zpid/</t>
  </si>
  <si>
    <t>Capital</t>
  </si>
  <si>
    <t>Downpayment (%)</t>
  </si>
  <si>
    <t>pp</t>
  </si>
  <si>
    <t>Target GRM</t>
  </si>
  <si>
    <t>Rent</t>
  </si>
  <si>
    <t>Rent / Unit</t>
  </si>
  <si>
    <t>Units</t>
  </si>
  <si>
    <t>CoC</t>
  </si>
  <si>
    <t>NPV</t>
  </si>
  <si>
    <t>IRR</t>
  </si>
  <si>
    <t>Realtor fees</t>
  </si>
  <si>
    <t>Selling</t>
  </si>
  <si>
    <t>Closing costs (buyer)</t>
  </si>
  <si>
    <t>Buying</t>
  </si>
  <si>
    <t>Loan origination fees</t>
  </si>
  <si>
    <t>Inspections/appraisals</t>
  </si>
  <si>
    <t>Capital repairs post-close</t>
  </si>
  <si>
    <t>CF</t>
  </si>
  <si>
    <t>Yr</t>
  </si>
  <si>
    <t>Prop Value</t>
  </si>
  <si>
    <t>MORTGAGE</t>
  </si>
  <si>
    <t>Year</t>
  </si>
  <si>
    <t>Month</t>
  </si>
  <si>
    <t>Rate</t>
  </si>
  <si>
    <t>Payment</t>
  </si>
  <si>
    <t>Interest</t>
  </si>
  <si>
    <t>Principal</t>
  </si>
  <si>
    <t>Balance</t>
  </si>
  <si>
    <t>+</t>
  </si>
  <si>
    <t>Taxes</t>
  </si>
  <si>
    <t>PMI</t>
  </si>
  <si>
    <t>Insurance</t>
  </si>
  <si>
    <t>Total</t>
  </si>
  <si>
    <t>Notes</t>
  </si>
  <si>
    <t>Annually</t>
  </si>
  <si>
    <t>Monthly</t>
  </si>
  <si>
    <t>YoY Inc.</t>
  </si>
  <si>
    <t>Hazard insurance</t>
  </si>
  <si>
    <t>Loan</t>
  </si>
  <si>
    <t>Equity</t>
  </si>
  <si>
    <t>INPUTS</t>
  </si>
  <si>
    <t>Transaction Costs</t>
  </si>
  <si>
    <t>HOLD DUPLEX</t>
  </si>
  <si>
    <t>Financing Inputs</t>
  </si>
  <si>
    <t>Hurdle rate</t>
  </si>
  <si>
    <t>Hold</t>
  </si>
  <si>
    <t>FP4</t>
  </si>
  <si>
    <t>ASSUMPTIONS</t>
  </si>
  <si>
    <t>SLC Duplex</t>
  </si>
  <si>
    <t>MLS #</t>
  </si>
  <si>
    <t>Springville Duplex</t>
  </si>
  <si>
    <t>UofU 7-plex</t>
  </si>
  <si>
    <t>Sugarhouse triplex</t>
  </si>
  <si>
    <t>1600 S 4 plex</t>
  </si>
  <si>
    <t>Texas 1</t>
  </si>
  <si>
    <t>Texas 2</t>
  </si>
  <si>
    <t>Millcreek fourplex</t>
  </si>
  <si>
    <t>UofU 4-plex</t>
  </si>
  <si>
    <t>Marmalade Duplex</t>
  </si>
  <si>
    <t>Monthly Rent Yr1</t>
  </si>
  <si>
    <t>Annual Rent in Year 1</t>
  </si>
  <si>
    <t>Change in Rent</t>
  </si>
  <si>
    <t>Vacancy &amp; Bad Debts Losses</t>
  </si>
  <si>
    <t>Operating Expenses in Year 1</t>
  </si>
  <si>
    <t>Growth Rate in Operating Expenses</t>
  </si>
  <si>
    <t>% per Year</t>
  </si>
  <si>
    <t>Purchase Price</t>
  </si>
  <si>
    <t>Loan-to-Value Ratio</t>
  </si>
  <si>
    <t>% of Asking Price</t>
  </si>
  <si>
    <t>Down Payment</t>
  </si>
  <si>
    <t>Mortgage Interest Rate</t>
  </si>
  <si>
    <t>% Annual</t>
  </si>
  <si>
    <t>Mortgage Amortization Period</t>
  </si>
  <si>
    <t>Months - Monthly Compounding</t>
  </si>
  <si>
    <t>Land-to-Value Ratio</t>
  </si>
  <si>
    <t>% Non-depreciable for Tax</t>
  </si>
  <si>
    <t>Useful Life</t>
  </si>
  <si>
    <t>Years of Tax Depreciable Life</t>
  </si>
  <si>
    <t>Ordinary Income Tax Rate</t>
  </si>
  <si>
    <t>% Marginal Tax Rate</t>
  </si>
  <si>
    <t>Required Rate of Return--100% Equity</t>
  </si>
  <si>
    <t>Required Equity for PMI To Drop Off</t>
  </si>
  <si>
    <t>%</t>
  </si>
  <si>
    <t>Appreciation Rate</t>
  </si>
  <si>
    <t>Inflation</t>
  </si>
  <si>
    <t>Monthly Mortgage Payment</t>
  </si>
  <si>
    <t>NPV Discount Rate</t>
  </si>
  <si>
    <t>N/A</t>
  </si>
  <si>
    <t>Secondary Loan Amount</t>
  </si>
  <si>
    <t>Secondary Loan Rate</t>
  </si>
  <si>
    <t>OPERATING EXPENSES</t>
  </si>
  <si>
    <t>Management Expense</t>
  </si>
  <si>
    <t>Management Fees</t>
  </si>
  <si>
    <t>Advertising/Agent Fees</t>
  </si>
  <si>
    <t>Maintenance / Misc</t>
  </si>
  <si>
    <t>Utilities / HOA</t>
  </si>
  <si>
    <t>Hazard Insurance</t>
  </si>
  <si>
    <t>Property Taxes</t>
  </si>
  <si>
    <t>Interest Expense (Secondary Loan)</t>
  </si>
  <si>
    <t>TOTAL</t>
  </si>
  <si>
    <t>CALCULATIONS</t>
  </si>
  <si>
    <t>Monthly Depreciation</t>
  </si>
  <si>
    <t>Cap Rate</t>
  </si>
  <si>
    <t>* Total positive cashflows (rents minus deductible expenses) are taxed at 'ordinary income tax rate'</t>
  </si>
  <si>
    <t>* Net positive cashflows after taxes are applied to balance of the secondary loan</t>
  </si>
  <si>
    <t xml:space="preserve"> occupy 60 days after closing</t>
  </si>
  <si>
    <t>Assumptions to consider including in the model:</t>
  </si>
  <si>
    <t>Selling Expenses</t>
  </si>
  <si>
    <t>% of Sale Price</t>
  </si>
  <si>
    <t>Mortgage Financing Costs</t>
  </si>
  <si>
    <t>% of Loan Amount</t>
  </si>
  <si>
    <t>Mortgage Prepayment Penalty</t>
  </si>
  <si>
    <t>% of Mortgage Balance</t>
  </si>
  <si>
    <t>Acquisition Costs</t>
  </si>
  <si>
    <t>Capital Gains Tax Rate</t>
  </si>
  <si>
    <t>Depreciation Recapture Tax Rate</t>
  </si>
  <si>
    <t>KEY METRICS</t>
  </si>
  <si>
    <t>Cash Flow</t>
  </si>
  <si>
    <t>Cash Flow (pre-tax)</t>
  </si>
  <si>
    <t>Cash</t>
  </si>
  <si>
    <t>Cash (pre-tax)</t>
  </si>
  <si>
    <t>Net Income</t>
  </si>
  <si>
    <t>Net Income (w/ Appreciation)</t>
  </si>
  <si>
    <t>Market Value</t>
  </si>
  <si>
    <t>Return on Equity</t>
  </si>
  <si>
    <t>Cash on Cash Return</t>
  </si>
  <si>
    <t>INCOME STATEMENT</t>
  </si>
  <si>
    <t>Gross Rental Income</t>
  </si>
  <si>
    <t>Vacancy/Bad Debts</t>
  </si>
  <si>
    <t>TOTAL REVENUE</t>
  </si>
  <si>
    <t>Maintenance</t>
  </si>
  <si>
    <t>Utilities</t>
  </si>
  <si>
    <t>Depreciation</t>
  </si>
  <si>
    <t>TOTAL OPERATING EXPENSES</t>
  </si>
  <si>
    <t>OPERATING MARGIN</t>
  </si>
  <si>
    <t>OPERATING MARGIN %</t>
  </si>
  <si>
    <t>Advertising</t>
  </si>
  <si>
    <t>TOTAL G&amp;A</t>
  </si>
  <si>
    <t>EBITDA</t>
  </si>
  <si>
    <t>EBITDA %</t>
  </si>
  <si>
    <t>Interest Expense (Mortgage)</t>
  </si>
  <si>
    <t>Interest Expense (2nd Loan)</t>
  </si>
  <si>
    <t>EBT</t>
  </si>
  <si>
    <t>EBT %</t>
  </si>
  <si>
    <t>Tax Liability</t>
  </si>
  <si>
    <t>NET INCOME</t>
  </si>
  <si>
    <t>NET INCOME %</t>
  </si>
  <si>
    <t>STATEMENT OF CASH FLOWS</t>
  </si>
  <si>
    <t>Principal (Mortgage)</t>
  </si>
  <si>
    <t>Principal (2nd Loan)</t>
  </si>
  <si>
    <t>Capital Expenditures</t>
  </si>
  <si>
    <t>Add Back Depreciation</t>
  </si>
  <si>
    <t>CASH FLOW</t>
  </si>
  <si>
    <t>BALANCE SHEET</t>
  </si>
  <si>
    <t>ASSETS</t>
  </si>
  <si>
    <t>Balance (Mortgage)</t>
  </si>
  <si>
    <t>Balance (2nd Loan)</t>
  </si>
  <si>
    <t>LIABILITIES</t>
  </si>
  <si>
    <t>EQUITY</t>
  </si>
  <si>
    <t>MISCELLANEOUS</t>
  </si>
  <si>
    <t>Book Value</t>
  </si>
  <si>
    <t>Depreciation (Tax Purposes)</t>
  </si>
  <si>
    <t>MONTHLY CASH FLOW</t>
  </si>
  <si>
    <t>RENT DUE</t>
  </si>
  <si>
    <t>NET AMOUNT COLLECTED</t>
  </si>
  <si>
    <t>Mortgage (PITI)</t>
  </si>
  <si>
    <t>2nd Loan Payment</t>
  </si>
  <si>
    <t>TOTAL EXPENSES</t>
  </si>
  <si>
    <t>NET CASH FLOW (PRE-TAX)</t>
  </si>
  <si>
    <t>ACCOUNT BALANCE</t>
  </si>
  <si>
    <t>2ND LOAN</t>
  </si>
  <si>
    <t>http://www.freddiemac.com/pmms/pmms30.html</t>
  </si>
  <si>
    <t>Annual Avg Mortgage Rate</t>
  </si>
  <si>
    <t> 3.90</t>
  </si>
  <si>
    <t>.</t>
  </si>
  <si>
    <t>n</t>
  </si>
  <si>
    <t>Sale price</t>
  </si>
  <si>
    <t>Mortgage at Sale</t>
  </si>
  <si>
    <t>Selling costs</t>
  </si>
  <si>
    <t>Net Equity Post Sale</t>
  </si>
  <si>
    <t>DaysOnZillow</t>
  </si>
  <si>
    <t>PMT</t>
  </si>
  <si>
    <t>PITI</t>
  </si>
  <si>
    <t>12858462</t>
  </si>
  <si>
    <t>1309 Hidden Creek Ct, Salt Lake City, UT 84117</t>
  </si>
  <si>
    <t>https://www.zillow.com/homedetails/1309-Hidden-Creek-Ct-Salt-Lake-City-UT-84117/12858462_zpid/</t>
  </si>
  <si>
    <t>305058922</t>
  </si>
  <si>
    <t>751 E Scott Ave, Millcreek, UT 84106</t>
  </si>
  <si>
    <t>https://www.zillow.com/homedetails/751-E-Scott-Ave-Millcreek-UT-84106/305058922_zpid/</t>
  </si>
  <si>
    <t>305056275</t>
  </si>
  <si>
    <t>64 N F St, Salt Lake City, UT 84103</t>
  </si>
  <si>
    <t>https://www.zillow.com/homedetails/64-N-F-St-Salt-Lake-City-UT-84103/305056275_zpid/</t>
  </si>
  <si>
    <t>423 E 1st Ave, Salt Lake City, UT 84103</t>
  </si>
  <si>
    <t>450199489</t>
  </si>
  <si>
    <t>1712 S 900 E #2D74EC46B, Salt Lake City, UT 84105</t>
  </si>
  <si>
    <t>https://www.zillow.com/homedetails/1712-S-900-E-2D74EC46B-Salt-Lake-City-UT-84105/450199489_zpid/</t>
  </si>
  <si>
    <t>2070086984</t>
  </si>
  <si>
    <t>1099 S 900 E, Salt Lake City, UT 84105</t>
  </si>
  <si>
    <t>https://www.zillow.com/homedetails/1099-S-900-E-Salt-Lake-City-UT-84105/2070086984_zpid/</t>
  </si>
  <si>
    <t>12779572</t>
  </si>
  <si>
    <t>2200 S Wasatch Dr, Salt Lake City, UT 84109</t>
  </si>
  <si>
    <t>https://www.zillow.com/homedetails/2200-S-Wasatch-Dr-Salt-Lake-City-UT-84109/12779572_zpid/</t>
  </si>
  <si>
    <t>141900680</t>
  </si>
  <si>
    <t>3428 S 300 E, Salt Lake City, UT 84115</t>
  </si>
  <si>
    <t>https://www.zillow.com/homedetails/3428-S-300-E-Salt-Lake-City-UT-84115/141900680_zpid/</t>
  </si>
  <si>
    <t>12765918</t>
  </si>
  <si>
    <t>1769 S Foothill Dr, Salt Lake City, UT 84108</t>
  </si>
  <si>
    <t>84108</t>
  </si>
  <si>
    <t>https://www.zillow.com/homedetails/1769-S-Foothill-Dr-Salt-Lake-City-UT-84108/12765918_zpid/</t>
  </si>
  <si>
    <t>452275124</t>
  </si>
  <si>
    <t>376 E Broadway St, Salt Lake City, UT 84111</t>
  </si>
  <si>
    <t>https://www.zillow.com/homedetails/376-E-Broadway-St-Salt-Lake-City-UT-84111/452275124_zpid/</t>
  </si>
  <si>
    <t>2269 S Green St #1-4, Salt Lake City, UT 84106</t>
  </si>
  <si>
    <t>141900771</t>
  </si>
  <si>
    <t>350 E Mansfield Ave, Salt Lake City, UT 84115</t>
  </si>
  <si>
    <t>https://www.zillow.com/homedetails/350-E-Mansfield-Ave-Salt-Lake-City-UT-84115/141900771_zpid/</t>
  </si>
  <si>
    <t>305058123</t>
  </si>
  <si>
    <t>807 S 500 E, Salt Lake City, UT 84102</t>
  </si>
  <si>
    <t>https://www.zillow.com/homedetails/807-S-500-E-Salt-Lake-City-UT-84102/305058123_zpid/</t>
  </si>
  <si>
    <t>448393500</t>
  </si>
  <si>
    <t>161 S 900 E, Salt Lake City, UT 84102</t>
  </si>
  <si>
    <t>https://www.zillow.com/homedetails/161-S-900-E-Salt-Lake-City-UT-84102/448393500_zpid/</t>
  </si>
  <si>
    <t>Sum of ReqDwnPmt</t>
  </si>
  <si>
    <t>Sum of AvgRentMulti</t>
  </si>
  <si>
    <t>Sum of DaysOnZillow</t>
  </si>
  <si>
    <t>Sum of beds</t>
  </si>
  <si>
    <t>Sum of SqFtMulti</t>
  </si>
  <si>
    <t>Home appreciation</t>
  </si>
  <si>
    <t>Both</t>
  </si>
  <si>
    <t>Select</t>
  </si>
  <si>
    <t>Investment</t>
  </si>
  <si>
    <t>Personal Home</t>
  </si>
  <si>
    <t>Max Price</t>
  </si>
  <si>
    <t>Rent Override</t>
  </si>
  <si>
    <t>Sum of Insurance</t>
  </si>
  <si>
    <t>Sum of Taxes</t>
  </si>
  <si>
    <t>Address</t>
  </si>
  <si>
    <t>CapRate: 4.6%; GRM: 187.8</t>
  </si>
  <si>
    <t>4plex est?</t>
  </si>
  <si>
    <t>CapRate: 4.9%; GRM: 178.8</t>
  </si>
  <si>
    <t>Buyer's Commission</t>
  </si>
  <si>
    <t>Purchase price reduction</t>
  </si>
  <si>
    <t>Earnest Money</t>
  </si>
  <si>
    <t>New Loan</t>
  </si>
  <si>
    <t>Balance of PP</t>
  </si>
  <si>
    <t>PP</t>
  </si>
  <si>
    <t>Deadlines</t>
  </si>
  <si>
    <t>Date</t>
  </si>
  <si>
    <t>Weeks</t>
  </si>
  <si>
    <t>Days</t>
  </si>
  <si>
    <t>Today</t>
  </si>
  <si>
    <t>Seller Disclosure</t>
  </si>
  <si>
    <t xml:space="preserve">Due Dilligence </t>
  </si>
  <si>
    <t>Financing Deadline</t>
  </si>
  <si>
    <t>Settlement Deadline</t>
  </si>
  <si>
    <t>CONTRACT INPUTS</t>
  </si>
  <si>
    <t>=XLOOKUP(1,Pivot!$O$10:$O$131,Pivot!$Q$10:$Q$131,,0)</t>
  </si>
  <si>
    <t>Decrease of Listing</t>
  </si>
  <si>
    <t>NOI</t>
  </si>
  <si>
    <t>CoC Return</t>
  </si>
  <si>
    <t>Closing Costs</t>
  </si>
  <si>
    <t>1309 Hidden Ct</t>
  </si>
  <si>
    <t>12786812</t>
  </si>
  <si>
    <t>3346 S 700 E, South Salt Lake, UT 84106</t>
  </si>
  <si>
    <t>https://www.zillow.com/homedetails/3346-S-700-E-South-Salt-Lake-UT-84106/12786812_zpid/</t>
  </si>
  <si>
    <t>2072623349</t>
  </si>
  <si>
    <t>4468 S Manor Ridge Pl E #19, Salt Lake City, UT 84124</t>
  </si>
  <si>
    <t>https://www.zillow.com/homedetails/4468-S-Manor-Ridge-Pl-E-19-Salt-Lake-City-UT-84124/2072623349_zpid/</t>
  </si>
  <si>
    <t>305056345</t>
  </si>
  <si>
    <t>906 E 3rd Ave, Salt Lake City, UT 84103</t>
  </si>
  <si>
    <t>https://www.zillow.com/homedetails/906-E-3rd-Ave-Salt-Lake-City-UT-84103/305056345_zpid/</t>
  </si>
  <si>
    <t>12775602</t>
  </si>
  <si>
    <t>2487 S 800 E, Salt Lake City, UT 84106</t>
  </si>
  <si>
    <t>https://www.zillow.com/homedetails/2487-S-800-E-Salt-Lake-City-UT-84106/12775602_zpid/</t>
  </si>
  <si>
    <t>141868419</t>
  </si>
  <si>
    <t>365 S Elizabeth St, Salt Lake City, UT 84102</t>
  </si>
  <si>
    <t>https://www.zillow.com/homedetails/365-S-Elizabeth-St-Salt-Lake-City-UT-84102/141868419_zpid/</t>
  </si>
  <si>
    <t>12767993</t>
  </si>
  <si>
    <t>1860 S 1600 E, Salt Lake City, UT 84105</t>
  </si>
  <si>
    <t>https://www.zillow.com/homedetails/1860-S-1600-E-Salt-Lake-City-UT-84105/12767993_zpid/</t>
  </si>
  <si>
    <t>12756964</t>
  </si>
  <si>
    <t>745 S 600 E, Salt Lake City, UT 84102</t>
  </si>
  <si>
    <t>https://www.zillow.com/homedetails/745-S-600-E-Salt-Lake-City-UT-84102/12756964_zpid/</t>
  </si>
  <si>
    <t>12743335</t>
  </si>
  <si>
    <t>2876 W 2730 S, West Valley City, UT 84119</t>
  </si>
  <si>
    <t>https://www.zillow.com/homedetails/2876-W-2730-S-West-Valley-City-UT-84119/12743335_zpid/</t>
  </si>
  <si>
    <t>12774405</t>
  </si>
  <si>
    <t>2544 S 200 E, South Salt Lake, UT 84115</t>
  </si>
  <si>
    <t>https://www.zillow.com/homedetails/2544-S-200-E-South-Salt-Lake-UT-84115/12774405_zpid/</t>
  </si>
  <si>
    <t>12769747</t>
  </si>
  <si>
    <t>1145 E Kensington Ave, Salt Lake City, UT 84105</t>
  </si>
  <si>
    <t>https://www.zillow.com/homedetails/1145-E-Kensington-Ave-Salt-Lake-City-UT-84105/12769747_zpid/</t>
  </si>
  <si>
    <t>448481083</t>
  </si>
  <si>
    <t>1361 S 1000 W, Salt Lake City, UT 84104</t>
  </si>
  <si>
    <t>https://www.zillow.com/homedetails/1361-S-1000-W-Salt-Lake-City-UT-84104/448481083_zpid/</t>
  </si>
  <si>
    <t>12778275</t>
  </si>
  <si>
    <t>2692 S Preston St, Salt Lake City, UT 84106</t>
  </si>
  <si>
    <t>https://www.zillow.com/homedetails/2692-S-Preston-St-Salt-Lake-City-UT-84106/12778275_zpid/</t>
  </si>
  <si>
    <t>83825002</t>
  </si>
  <si>
    <t>465 E 3300 S, Salt Lake City, UT 84115</t>
  </si>
  <si>
    <t>https://www.zillow.com/homedetails/465-E-3300-S-Salt-Lake-City-UT-84115/83825002_zpid/</t>
  </si>
  <si>
    <t>241985957</t>
  </si>
  <si>
    <t>491 S Freedom Blvd #104-204, Provo, UT 84606</t>
  </si>
  <si>
    <t>https://www.zillow.com/homedetails/491-S-Freedom-Blvd-104-204-Provo-UT-84606/241985957_zpid/</t>
  </si>
  <si>
    <t>4plex Guess Price (filter)</t>
  </si>
  <si>
    <t>12854231</t>
  </si>
  <si>
    <t>4401 S 700 E, Millcreek, UT 84107</t>
  </si>
  <si>
    <t>84107</t>
  </si>
  <si>
    <t>https://www.zillow.com/homedetails/4401-S-700-E-Millcreek-UT-84107/12854231_zpid/</t>
  </si>
  <si>
    <t>152 E 3rd Ave N, Salt Lake City, UT 84103</t>
  </si>
  <si>
    <t>305056208</t>
  </si>
  <si>
    <t>288 E 10th Ave, Salt Lake City, UT 84103</t>
  </si>
  <si>
    <t>https://www.zillow.com/homedetails/288-E-10th-Ave-Salt-Lake-City-UT-84103/305056208_zpid/</t>
  </si>
  <si>
    <t>2056043816</t>
  </si>
  <si>
    <t>475 N Wall St, Salt Lake City, UT 84103</t>
  </si>
  <si>
    <t>https://www.zillow.com/homedetails/475-N-Wall-St-Salt-Lake-City-UT-84103/2056043816_zpid/</t>
  </si>
  <si>
    <t>2111734021</t>
  </si>
  <si>
    <t>64 F St, Salt Lake City, UT 84103</t>
  </si>
  <si>
    <t>https://www.zillow.com/homedetails/64-F-St-Salt-Lake-City-UT-84103/2111734021_zpid/</t>
  </si>
  <si>
    <t>446037534</t>
  </si>
  <si>
    <t>606 W North Temple, Salt Lake City, UT 84116</t>
  </si>
  <si>
    <t>https://www.zillow.com/homedetails/606-W-North-Temple-Salt-Lake-City-UT-84116/446037534_zpid/</t>
  </si>
  <si>
    <t>305058103</t>
  </si>
  <si>
    <t>359 E 900 S, Salt Lake City, UT 84111</t>
  </si>
  <si>
    <t>https://www.zillow.com/homedetails/359-E-900-S-Salt-Lake-City-UT-84111/305058103_zpid/</t>
  </si>
  <si>
    <t>12736628</t>
  </si>
  <si>
    <t>363 S 900 W, Salt Lake City, UT 84104</t>
  </si>
  <si>
    <t>https://www.zillow.com/homedetails/363-S-900-W-Salt-Lake-City-UT-84104/12736628_zpid/</t>
  </si>
  <si>
    <t>12783602</t>
  </si>
  <si>
    <t>1314 E Crandall Ave, Salt Lake City, UT 84106</t>
  </si>
  <si>
    <t>https://www.zillow.com/homedetails/1314-E-Crandall-Ave-Salt-Lake-City-UT-84106/12783602_zpid/</t>
  </si>
  <si>
    <t>12756939</t>
  </si>
  <si>
    <t>714 S 600 E, Salt Lake City, UT 84102</t>
  </si>
  <si>
    <t>https://www.zillow.com/homedetails/714-S-600-E-Salt-Lake-City-UT-84102/12756939_zpid/</t>
  </si>
  <si>
    <t>305058432</t>
  </si>
  <si>
    <t>1843 S 900 E, Salt Lake City, UT 84105</t>
  </si>
  <si>
    <t>https://www.zillow.com/homedetails/1843-S-900-E-Salt-Lake-City-UT-84105/305058432_zpid/</t>
  </si>
  <si>
    <t>12743620</t>
  </si>
  <si>
    <t>2870 W 3100 S, West Valley City, UT 84119</t>
  </si>
  <si>
    <t>https://www.zillow.com/homedetails/2870-W-3100-S-West-Valley-City-UT-84119/12743620_zpid/</t>
  </si>
  <si>
    <t>2071958599</t>
  </si>
  <si>
    <t>1326 S Green St E, Salt Lake City, UT 84105</t>
  </si>
  <si>
    <t>https://www.zillow.com/homedetails/1326-S-Green-St-E-Salt-Lake-City-UT-84105/2071958599_zpid/</t>
  </si>
  <si>
    <t>2069403483</t>
  </si>
  <si>
    <t>548 N Redwood Rd W, Salt Lake City, UT 84116</t>
  </si>
  <si>
    <t>https://www.zillow.com/homedetails/548-N-Redwood-Rd-W-Salt-Lake-City-UT-84116/2069403483_zpid/</t>
  </si>
  <si>
    <t>350304499</t>
  </si>
  <si>
    <t>1019 E 1700 S, Salt Lake City, UT 84105</t>
  </si>
  <si>
    <t>https://www.zillow.com/homedetails/1019-E-1700-S-Salt-Lake-City-UT-84105/350304499_zpid/</t>
  </si>
  <si>
    <t>12757584</t>
  </si>
  <si>
    <t>182 E Kelsey Ave, Salt Lake City, UT 84111</t>
  </si>
  <si>
    <t>https://www.zillow.com/homedetails/182-E-Kelsey-Ave-Salt-Lake-City-UT-84111/12757584_zpid/</t>
  </si>
  <si>
    <t>2066606417</t>
  </si>
  <si>
    <t>2519 S 300 E, Salt Lake City, UT 84115</t>
  </si>
  <si>
    <t>https://www.zillow.com/homedetails/2519-S-300-E-Salt-Lake-City-UT-84115/2066606417_zpid/</t>
  </si>
  <si>
    <t>305059086</t>
  </si>
  <si>
    <t>416 E Scott Ave, Salt Lake City, UT 84115</t>
  </si>
  <si>
    <t>https://www.zillow.com/homedetails/416-E-Scott-Ave-Salt-Lake-City-UT-84115/305059086_zpid/</t>
  </si>
  <si>
    <t>339788697</t>
  </si>
  <si>
    <t>435 S 900 W, Salt Lake City, UT 84104</t>
  </si>
  <si>
    <t>https://www.zillow.com/homedetails/435-S-900-W-Salt-Lake-City-UT-84104/339788697_zpid/</t>
  </si>
  <si>
    <t>12788213</t>
  </si>
  <si>
    <t>458 E Lambourne Ave, Salt Lake City, UT 84115</t>
  </si>
  <si>
    <t>https://www.zillow.com/homedetails/458-E-Lambourne-Ave-Salt-Lake-City-UT-84115/12788213_zpid/</t>
  </si>
  <si>
    <t>2072633717</t>
  </si>
  <si>
    <t>1436 S Roberta St E, Salt Lake City, UT 84115</t>
  </si>
  <si>
    <t>https://www.zillow.com/homedetails/1436-S-Roberta-St-E-Salt-Lake-City-UT-84115/2072633717_zpid/</t>
  </si>
  <si>
    <t>141900655</t>
  </si>
  <si>
    <t>3139 S 300 E, Salt Lake City, UT 84115</t>
  </si>
  <si>
    <t>https://www.zillow.com/homedetails/3139-S-300-E-Salt-Lake-City-UT-84115/141900655_zpid/</t>
  </si>
  <si>
    <t>456077092</t>
  </si>
  <si>
    <t>261 N Redwood Rd W #1, Salt Lake City, UT 84116</t>
  </si>
  <si>
    <t>https://www.zillow.com/homedetails/261-N-Redwood-Rd-W-1-Salt-Lake-City-UT-84116/456077092_zpid/</t>
  </si>
  <si>
    <t>141900683</t>
  </si>
  <si>
    <t>311 E 3360 S, Salt Lake City, UT 84115</t>
  </si>
  <si>
    <t>https://www.zillow.com/homedetails/311-E-3360-S-Salt-Lake-City-UT-84115/141900683_zpid/</t>
  </si>
  <si>
    <t>446075585</t>
  </si>
  <si>
    <t>72 N Chicago St, Salt Lake City, UT 84116</t>
  </si>
  <si>
    <t>https://www.zillow.com/homedetails/72-N-Chicago-St-Salt-Lake-City-UT-84116/446075585_zpid/</t>
  </si>
  <si>
    <t>51685122</t>
  </si>
  <si>
    <t>932 N 1760 W, Provo, UT 84604</t>
  </si>
  <si>
    <t>https://www.zillow.com/homedetails/932-N-1760-W-Provo-UT-84604/51685122_zpid/</t>
  </si>
  <si>
    <t>84058</t>
  </si>
  <si>
    <t>11902043</t>
  </si>
  <si>
    <t>810 N 600 W, Provo, UT 84604</t>
  </si>
  <si>
    <t>https://www.zillow.com/homedetails/810-N-600-W-Provo-UT-84604/11902043_zpid/</t>
  </si>
  <si>
    <t>CapRate: 5.6%; GRM: 156.5</t>
  </si>
  <si>
    <t>CapRate: 3.8%; GRM: 207.1</t>
  </si>
  <si>
    <t>CapRate: 3.9%; GRM: 186.3</t>
  </si>
  <si>
    <t>CapRate: 3.0%; GRM: 238.1</t>
  </si>
  <si>
    <t>CapRate: 5.9%; GRM: 149.1</t>
  </si>
  <si>
    <t>Rose Park</t>
  </si>
  <si>
    <t>CapRate: 4.1%; GRM: 188.6</t>
  </si>
  <si>
    <t>CapRate: 5.0%; GRM: 164.1</t>
  </si>
  <si>
    <t>2071487064</t>
  </si>
  <si>
    <t>1249 E Sierra Way S, Salt Lake City, UT 84106</t>
  </si>
  <si>
    <t>https://www.zillow.com/homedetails/1249-E-Sierra-Way-S-Salt-Lake-City-UT-84106/2071487064_zpid/</t>
  </si>
  <si>
    <t>12790416</t>
  </si>
  <si>
    <t>1021 E Millbert Ave, Salt Lake City, UT 84106</t>
  </si>
  <si>
    <t>https://www.zillow.com/homedetails/1021-E-Millbert-Ave-Salt-Lake-City-UT-84106/12790416_zpid/</t>
  </si>
  <si>
    <t>2072768525</t>
  </si>
  <si>
    <t>728 E Empire Ave S, Salt Lake City, UT 84106</t>
  </si>
  <si>
    <t>https://www.zillow.com/homedetails/728-E-Empire-Ave-S-Salt-Lake-City-UT-84106/2072768525_zpid/</t>
  </si>
  <si>
    <t>12790388</t>
  </si>
  <si>
    <t>815 E White Maple Way, Salt Lake City, UT 84106</t>
  </si>
  <si>
    <t>https://www.zillow.com/homedetails/815-E-White-Maple-Way-Salt-Lake-City-UT-84106/12790388_zpid/</t>
  </si>
  <si>
    <t>12786814</t>
  </si>
  <si>
    <t>3366 S 700 E, South Salt Lake, UT 84106</t>
  </si>
  <si>
    <t>https://www.zillow.com/homedetails/3366-S-700-E-South-Salt-Lake-UT-84106/12786814_zpid/</t>
  </si>
  <si>
    <t>457658909</t>
  </si>
  <si>
    <t>1756 E Water Pine Ct #106, Holladay, UT 84117</t>
  </si>
  <si>
    <t>Holladay</t>
  </si>
  <si>
    <t>https://www.zillow.com/homedetails/1756-E-Water-Pine-Ct-106-Holladay-UT-84117/457658909_zpid/</t>
  </si>
  <si>
    <t>2071960249</t>
  </si>
  <si>
    <t>3605 S 900 E, Salt Lake City, UT 84106</t>
  </si>
  <si>
    <t>https://www.zillow.com/homedetails/3605-S-900-E-Salt-Lake-City-UT-84106/2071960249_zpid/</t>
  </si>
  <si>
    <t>2069834554</t>
  </si>
  <si>
    <t>3532 S 900 E, Salt Lake City, UT 84106</t>
  </si>
  <si>
    <t>https://www.zillow.com/homedetails/3532-S-900-E-Salt-Lake-City-UT-84106/2069834554_zpid/</t>
  </si>
  <si>
    <t>457664204</t>
  </si>
  <si>
    <t>1752 E Water Pine Ct #107, Holladay, UT 84117</t>
  </si>
  <si>
    <t>https://www.zillow.com/homedetails/1752-E-Water-Pine-Ct-107-Holladay-UT-84117/457664204_zpid/</t>
  </si>
  <si>
    <t>2054779738</t>
  </si>
  <si>
    <t>182 N N St, Salt Lake City, UT 84103</t>
  </si>
  <si>
    <t>https://www.zillow.com/homedetails/182-N-N-St-Salt-Lake-City-UT-84103/2054779738_zpid/</t>
  </si>
  <si>
    <t>305056306</t>
  </si>
  <si>
    <t>609 E 6th Ave, Salt Lake City, UT 84103</t>
  </si>
  <si>
    <t>https://www.zillow.com/homedetails/609-E-6th-Ave-Salt-Lake-City-UT-84103/305056306_zpid/</t>
  </si>
  <si>
    <t>12717625</t>
  </si>
  <si>
    <t>692 N Cortez St, Salt Lake City, UT 84103</t>
  </si>
  <si>
    <t>https://www.zillow.com/homedetails/692-N-Cortez-St-Salt-Lake-City-UT-84103/12717625_zpid/</t>
  </si>
  <si>
    <t>457411105</t>
  </si>
  <si>
    <t>803 E 6th Ave N, Salt Lake City, UT 84103</t>
  </si>
  <si>
    <t>https://www.zillow.com/homedetails/803-E-6th-Ave-N-Salt-Lake-City-UT-84103/457411105_zpid/</t>
  </si>
  <si>
    <t>457759632</t>
  </si>
  <si>
    <t>155 E 2nd Ave, Salt Lake City, UT 84103</t>
  </si>
  <si>
    <t>https://www.zillow.com/homedetails/155-E-2nd-Ave-Salt-Lake-City-UT-84103/457759632_zpid/</t>
  </si>
  <si>
    <t>457554835</t>
  </si>
  <si>
    <t>221 L St, Salt Lake City, UT 84103</t>
  </si>
  <si>
    <t>https://www.zillow.com/homedetails/221-L-St-Salt-Lake-City-UT-84103/457554835_zpid/</t>
  </si>
  <si>
    <t>2072852614</t>
  </si>
  <si>
    <t>679 E 2nd Ave N, Salt Lake City, UT 84103</t>
  </si>
  <si>
    <t>https://www.zillow.com/homedetails/679-E-2nd-Ave-N-Salt-Lake-City-UT-84103/2072852614_zpid/</t>
  </si>
  <si>
    <t>12719546</t>
  </si>
  <si>
    <t>465 E 6th Ave, Salt Lake City, UT 84103</t>
  </si>
  <si>
    <t>https://www.zillow.com/homedetails/465-E-6th-Ave-Salt-Lake-City-UT-84103/12719546_zpid/</t>
  </si>
  <si>
    <t>2078110535</t>
  </si>
  <si>
    <t>694 N West Capitol St W, Salt Lake City, UT 84103</t>
  </si>
  <si>
    <t>https://www.zillow.com/homedetails/694-N-West-Capitol-St-W-Salt-Lake-City-UT-84103/2078110535_zpid/</t>
  </si>
  <si>
    <t>305058059</t>
  </si>
  <si>
    <t>563 S Denver St, Salt Lake City, UT 84111</t>
  </si>
  <si>
    <t>https://www.zillow.com/homedetails/563-S-Denver-St-Salt-Lake-City-UT-84111/305058059_zpid/</t>
  </si>
  <si>
    <t>12777839</t>
  </si>
  <si>
    <t>1815 E Hillcrest Ave, Salt Lake City, UT 84106</t>
  </si>
  <si>
    <t>https://www.zillow.com/homedetails/1815-E-Hillcrest-Ave-Salt-Lake-City-UT-84106/12777839_zpid/</t>
  </si>
  <si>
    <t>2072954111</t>
  </si>
  <si>
    <t>1150 E 500 S, Salt Lake City, UT 84102</t>
  </si>
  <si>
    <t>https://www.zillow.com/homedetails/1150-E-500-S-Salt-Lake-City-UT-84102/2072954111_zpid/</t>
  </si>
  <si>
    <t>12771200</t>
  </si>
  <si>
    <t>1914 S 1300 E, Salt Lake City, UT 84105</t>
  </si>
  <si>
    <t>https://www.zillow.com/homedetails/1914-S-1300-E-Salt-Lake-City-UT-84105/12771200_zpid/</t>
  </si>
  <si>
    <t>455517659</t>
  </si>
  <si>
    <t>1902 S Main St, Salt Lake City, UT 84115</t>
  </si>
  <si>
    <t>https://www.zillow.com/homedetails/1902-S-Main-St-Salt-Lake-City-UT-84115/455517659_zpid/</t>
  </si>
  <si>
    <t>12757225</t>
  </si>
  <si>
    <t>564 E 800 S, Salt Lake City, UT 84102</t>
  </si>
  <si>
    <t>https://www.zillow.com/homedetails/564-E-800-S-Salt-Lake-City-UT-84102/12757225_zpid/</t>
  </si>
  <si>
    <t>12772179</t>
  </si>
  <si>
    <t>1612 S 500 E, Salt Lake City, UT 84105</t>
  </si>
  <si>
    <t>https://www.zillow.com/homedetails/1612-S-500-E-Salt-Lake-City-UT-84105/12772179_zpid/</t>
  </si>
  <si>
    <t>12754434</t>
  </si>
  <si>
    <t>504 S 900 E, Salt Lake City, UT 84102</t>
  </si>
  <si>
    <t>https://www.zillow.com/homedetails/504-S-900-E-Salt-Lake-City-UT-84102/12754434_zpid/</t>
  </si>
  <si>
    <t>2067184166</t>
  </si>
  <si>
    <t>694 N West Capitol St, Salt Lake City, UT 84103</t>
  </si>
  <si>
    <t>https://www.zillow.com/homedetails/694-N-West-Capitol-St-Salt-Lake-City-UT-84103/2067184166_zpid/</t>
  </si>
  <si>
    <t>12739350</t>
  </si>
  <si>
    <t>1229 S Emery St, Salt Lake City, UT 84104</t>
  </si>
  <si>
    <t>https://www.zillow.com/homedetails/1229-S-Emery-St-Salt-Lake-City-UT-84104/12739350_zpid/</t>
  </si>
  <si>
    <t>12777941</t>
  </si>
  <si>
    <t>1838 E Hillcrest Ave, Salt Lake City, UT 84106</t>
  </si>
  <si>
    <t>https://www.zillow.com/homedetails/1838-E-Hillcrest-Ave-Salt-Lake-City-UT-84106/12777941_zpid/</t>
  </si>
  <si>
    <t>305058100</t>
  </si>
  <si>
    <t>509 E 800 S, Salt Lake City, UT 84102</t>
  </si>
  <si>
    <t>https://www.zillow.com/homedetails/509-E-800-S-Salt-Lake-City-UT-84102/305058100_zpid/</t>
  </si>
  <si>
    <t>12775486</t>
  </si>
  <si>
    <t>1252 E Driggs Ave, Salt Lake City, UT 84106</t>
  </si>
  <si>
    <t>https://www.zillow.com/homedetails/1252-E-Driggs-Ave-Salt-Lake-City-UT-84106/12775486_zpid/</t>
  </si>
  <si>
    <t>305058405</t>
  </si>
  <si>
    <t>1260 E Emerson Ave, Salt Lake City, UT 84105</t>
  </si>
  <si>
    <t>https://www.zillow.com/homedetails/1260-E-Emerson-Ave-Salt-Lake-City-UT-84105/305058405_zpid/</t>
  </si>
  <si>
    <t>141869764</t>
  </si>
  <si>
    <t>351 S 300 E, Salt Lake City, UT 84111</t>
  </si>
  <si>
    <t>https://www.zillow.com/homedetails/351-S-300-E-Salt-Lake-City-UT-84111/141869764_zpid/</t>
  </si>
  <si>
    <t>12754309</t>
  </si>
  <si>
    <t>538 S 800 E, Salt Lake City, UT 84102</t>
  </si>
  <si>
    <t>https://www.zillow.com/homedetails/538-S-800-E-Salt-Lake-City-UT-84102/12754309_zpid/</t>
  </si>
  <si>
    <t>2069353394</t>
  </si>
  <si>
    <t>1027 E Emerson Ave S, Salt Lake City, UT 84105</t>
  </si>
  <si>
    <t>https://www.zillow.com/homedetails/1027-E-Emerson-Ave-S-Salt-Lake-City-UT-84105/2069353394_zpid/</t>
  </si>
  <si>
    <t>2129868447</t>
  </si>
  <si>
    <t>1169 E 200 S, Salt Lake City, UT 84102</t>
  </si>
  <si>
    <t>https://www.zillow.com/homedetails/1169-E-200-S-Salt-Lake-City-UT-84102/2129868447_zpid/</t>
  </si>
  <si>
    <t>12745498</t>
  </si>
  <si>
    <t>3321 S Valcrest Dr, West Valley City, UT 84119</t>
  </si>
  <si>
    <t>https://www.zillow.com/homedetails/3321-S-Valcrest-Dr-West-Valley-City-UT-84119/12745498_zpid/</t>
  </si>
  <si>
    <t>12744174</t>
  </si>
  <si>
    <t>3431 S Hillsdale Dr, West Valley City, UT 84119</t>
  </si>
  <si>
    <t>https://www.zillow.com/homedetails/3431-S-Hillsdale-Dr-West-Valley-City-UT-84119/12744174_zpid/</t>
  </si>
  <si>
    <t>456968277</t>
  </si>
  <si>
    <t>2689 S 500 E, Salt Lake City, UT 84106</t>
  </si>
  <si>
    <t>https://www.zillow.com/homedetails/2689-S-500-E-Salt-Lake-City-UT-84106/456968277_zpid/</t>
  </si>
  <si>
    <t>305058154</t>
  </si>
  <si>
    <t>1175 S 300 E, Salt Lake City, UT 84111</t>
  </si>
  <si>
    <t>https://www.zillow.com/homedetails/1175-S-300-E-Salt-Lake-City-UT-84111/305058154_zpid/</t>
  </si>
  <si>
    <t>12741902</t>
  </si>
  <si>
    <t>2339 S Derby St, West Valley City, UT 84119</t>
  </si>
  <si>
    <t>https://www.zillow.com/homedetails/2339-S-Derby-St-West-Valley-City-UT-84119/12741902_zpid/</t>
  </si>
  <si>
    <t>12744286</t>
  </si>
  <si>
    <t>2483 W Robin Rd, West Valley City, UT 84119</t>
  </si>
  <si>
    <t>https://www.zillow.com/homedetails/2483-W-Robin-Rd-West-Valley-City-UT-84119/12744286_zpid/</t>
  </si>
  <si>
    <t>2072768030</t>
  </si>
  <si>
    <t>1237 S Lake St E, Salt Lake City, UT 84105</t>
  </si>
  <si>
    <t>https://www.zillow.com/homedetails/1237-S-Lake-St-E-Salt-Lake-City-UT-84105/2072768030_zpid/</t>
  </si>
  <si>
    <t>457834492</t>
  </si>
  <si>
    <t>1155 E 200 S, Salt Lake City, UT 84102</t>
  </si>
  <si>
    <t>https://www.zillow.com/homedetails/1155-E-200-S-Salt-Lake-City-UT-84102/457834492_zpid/</t>
  </si>
  <si>
    <t>448294568</t>
  </si>
  <si>
    <t>828 E Logan Ave S, Salt Lake City, UT 84105</t>
  </si>
  <si>
    <t>https://www.zillow.com/homedetails/828-E-Logan-Ave-S-Salt-Lake-City-UT-84105/448294568_zpid/</t>
  </si>
  <si>
    <t>305058187</t>
  </si>
  <si>
    <t>850 S Lake St, Salt Lake City, UT 84105</t>
  </si>
  <si>
    <t>https://www.zillow.com/homedetails/850-S-Lake-St-Salt-Lake-City-UT-84105/305058187_zpid/</t>
  </si>
  <si>
    <t>12753475</t>
  </si>
  <si>
    <t>862 E Menlo Ave, Salt Lake City, UT 84102</t>
  </si>
  <si>
    <t>https://www.zillow.com/homedetails/862-E-Menlo-Ave-Salt-Lake-City-UT-84102/12753475_zpid/</t>
  </si>
  <si>
    <t>333158912</t>
  </si>
  <si>
    <t>2754 W 3835 S, West Valley City, UT 84119</t>
  </si>
  <si>
    <t>https://www.zillow.com/homedetails/2754-W-3835-S-West-Valley-City-UT-84119/333158912_zpid/</t>
  </si>
  <si>
    <t>141854429</t>
  </si>
  <si>
    <t>2530 S Parkcrest Dr, West Valley City, UT 84119</t>
  </si>
  <si>
    <t>https://www.zillow.com/homedetails/2530-S-Parkcrest-Dr-West-Valley-City-UT-84119/141854429_zpid/</t>
  </si>
  <si>
    <t>2070079252</t>
  </si>
  <si>
    <t>778 N 300 W, Salt Lake City, UT 84103</t>
  </si>
  <si>
    <t>https://www.zillow.com/homedetails/778-N-300-W-Salt-Lake-City-UT-84103/2070079252_zpid/</t>
  </si>
  <si>
    <t>12784155</t>
  </si>
  <si>
    <t>2795 S Imperial St, Salt Lake City, UT 84106</t>
  </si>
  <si>
    <t>https://www.zillow.com/homedetails/2795-S-Imperial-St-Salt-Lake-City-UT-84106/12784155_zpid/</t>
  </si>
  <si>
    <t>2071381728</t>
  </si>
  <si>
    <t>1401 S 300 E, Salt Lake City, UT 84115</t>
  </si>
  <si>
    <t>https://www.zillow.com/homedetails/1401-S-300-E-Salt-Lake-City-UT-84115/2071381728_zpid/</t>
  </si>
  <si>
    <t>12736020</t>
  </si>
  <si>
    <t>266 S 900 W, Salt Lake City, UT 84104</t>
  </si>
  <si>
    <t>https://www.zillow.com/homedetails/266-S-900-W-Salt-Lake-City-UT-84104/12736020_zpid/</t>
  </si>
  <si>
    <t>145678295</t>
  </si>
  <si>
    <t>1966 S Windsor St, Salt Lake City, UT 84105</t>
  </si>
  <si>
    <t>https://www.zillow.com/homedetails/1966-S-Windsor-St-Salt-Lake-City-UT-84105/145678295_zpid/</t>
  </si>
  <si>
    <t>11947258</t>
  </si>
  <si>
    <t>2241 N 1060 W, Provo, UT 84604</t>
  </si>
  <si>
    <t>https://www.zillow.com/homedetails/2241-N-1060-W-Provo-UT-84604/11947258_zpid/</t>
  </si>
  <si>
    <t>448842659</t>
  </si>
  <si>
    <t>398 N 2380 W, Provo, UT 84601</t>
  </si>
  <si>
    <t>https://www.zillow.com/homedetails/398-N-2380-W-Provo-UT-84601/448842659_zpid/</t>
  </si>
  <si>
    <t>295331884</t>
  </si>
  <si>
    <t>215 S 400 W, Provo, UT 84601</t>
  </si>
  <si>
    <t>https://www.zillow.com/homedetails/215-S-400-W-Provo-UT-84601/295331884_zpid/</t>
  </si>
  <si>
    <t>11888006</t>
  </si>
  <si>
    <t>159 S 900 W, Provo, UT 84601</t>
  </si>
  <si>
    <t>https://www.zillow.com/homedetails/159-S-900-W-Provo-UT-84601/11888006_zpid/</t>
  </si>
  <si>
    <t>456947148</t>
  </si>
  <si>
    <t>2149 S Nevada Ave #A-D, Provo, UT 84606</t>
  </si>
  <si>
    <t>https://www.zillow.com/homedetails/2149-S-Nevada-Ave-A-D-Provo-UT-84606/456947148_zpid/</t>
  </si>
  <si>
    <t>11945268</t>
  </si>
  <si>
    <t>1939 N 700 W, Provo, UT 84604</t>
  </si>
  <si>
    <t>https://www.zillow.com/homedetails/1939-N-700-W-Provo-UT-84604/11945268_zpid/</t>
  </si>
  <si>
    <t>2069383511</t>
  </si>
  <si>
    <t>270 S 900 W #2, Provo, UT 84601</t>
  </si>
  <si>
    <t>https://www.zillow.com/homedetails/270-S-900-W-2-Provo-UT-84601/2069383511_zpid/</t>
  </si>
  <si>
    <t>11889043</t>
  </si>
  <si>
    <t>489 S 500 E, Provo, UT 84606</t>
  </si>
  <si>
    <t>https://www.zillow.com/homedetails/489-S-500-E-Provo-UT-84606/11889043_zpid/</t>
  </si>
  <si>
    <t>2061726659</t>
  </si>
  <si>
    <t>1531 S 450th St E, Orem, UT 84058</t>
  </si>
  <si>
    <t>https://www.zillow.com/homedetails/1531-S-450th-St-E-Orem-UT-84058/2061726659_zpid/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</si>
</sst>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8" formatCode="&quot;$&quot;#,##0.00_);[Red]\(&quot;$&quot;#,##0.00\)"/>
    <numFmt numFmtId="164" formatCode="#,##0;\(#,##0\);\-"/>
    <numFmt numFmtId="165" formatCode="#,##0.00;\(#,##0.00\);\-"/>
    <numFmt numFmtId="166" formatCode="#,##0_);\(#,##0\);\–_);&quot;–&quot;_)"/>
    <numFmt numFmtId="167" formatCode="0.000%"/>
    <numFmt numFmtId="168" formatCode="0.0%_);\(0.0%\);&quot;–&quot;_)"/>
    <numFmt numFmtId="169" formatCode="#,##0.00000000000"/>
    <numFmt numFmtId="170" formatCode="0.0%"/>
    <numFmt numFmtId="171" formatCode="&quot;$&quot;#,##0.0_);[Red]\(&quot;$&quot;#,##0.0\)"/>
    <numFmt numFmtId="172" formatCode="#,##0.0_);\(#,##0.0\);\–_);&quot;–&quot;_)"/>
    <numFmt numFmtId="173" formatCode="0.0"/>
    <numFmt numFmtId="174" formatCode="mmm\ yyyy"/>
    <numFmt numFmtId="175" formatCode="0.000"/>
    <numFmt numFmtId="176" formatCode="_(* #,##0_);_(* \(#,##0\);_(* &quot;-&quot;??_);_(@_)"/>
  </numFmts>
  <fonts count="4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i/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i/>
      <sz val="16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i/>
      <sz val="10"/>
      <color theme="0"/>
      <name val="Aptos Narrow"/>
      <family val="2"/>
      <scheme val="minor"/>
    </font>
    <font>
      <i/>
      <sz val="10"/>
      <color theme="0"/>
      <name val="Aptos Narrow"/>
      <family val="2"/>
      <scheme val="minor"/>
    </font>
    <font>
      <b/>
      <i/>
      <sz val="10"/>
      <color rgb="FF0000FF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rgb="FF464645"/>
      <name val="Arial"/>
      <family val="2"/>
    </font>
    <font>
      <sz val="10"/>
      <color rgb="FF464645"/>
      <name val="Arial"/>
      <family val="2"/>
    </font>
    <font>
      <sz val="11"/>
      <color theme="9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B5CAE5"/>
      </bottom>
      <diagonal/>
    </border>
    <border>
      <left/>
      <right/>
      <top/>
      <bottom style="medium">
        <color rgb="FFB5CAE5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20" fillId="0" borderId="0"/>
    <xf numFmtId="0" fontId="26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34">
    <xf numFmtId="0" fontId="0" fillId="0" borderId="0" xfId="0"/>
    <xf numFmtId="0" fontId="0" fillId="0" borderId="0" xfId="0" pivotButton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9" fontId="18" fillId="0" borderId="0" xfId="0" applyNumberFormat="1" applyFont="1"/>
    <xf numFmtId="164" fontId="18" fillId="0" borderId="0" xfId="0" applyNumberFormat="1" applyFont="1"/>
    <xf numFmtId="9" fontId="0" fillId="0" borderId="0" xfId="0" applyNumberFormat="1"/>
    <xf numFmtId="10" fontId="0" fillId="0" borderId="0" xfId="0" applyNumberFormat="1"/>
    <xf numFmtId="166" fontId="0" fillId="0" borderId="0" xfId="0" applyNumberFormat="1" applyAlignment="1">
      <alignment horizontal="center"/>
    </xf>
    <xf numFmtId="0" fontId="20" fillId="0" borderId="0" xfId="43"/>
    <xf numFmtId="14" fontId="19" fillId="0" borderId="0" xfId="43" applyNumberFormat="1" applyFont="1"/>
    <xf numFmtId="3" fontId="19" fillId="0" borderId="0" xfId="43" applyNumberFormat="1" applyFont="1"/>
    <xf numFmtId="3" fontId="20" fillId="0" borderId="0" xfId="43" applyNumberFormat="1"/>
    <xf numFmtId="0" fontId="21" fillId="0" borderId="0" xfId="43" applyFont="1" applyAlignment="1">
      <alignment horizontal="center"/>
    </xf>
    <xf numFmtId="14" fontId="21" fillId="0" borderId="0" xfId="43" applyNumberFormat="1" applyFont="1" applyAlignment="1">
      <alignment horizontal="center"/>
    </xf>
    <xf numFmtId="3" fontId="21" fillId="0" borderId="0" xfId="43" applyNumberFormat="1" applyFont="1" applyAlignment="1">
      <alignment horizontal="center"/>
    </xf>
    <xf numFmtId="3" fontId="22" fillId="0" borderId="0" xfId="43" applyNumberFormat="1" applyFont="1"/>
    <xf numFmtId="0" fontId="21" fillId="0" borderId="0" xfId="43" applyFont="1"/>
    <xf numFmtId="14" fontId="23" fillId="0" borderId="0" xfId="43" applyNumberFormat="1" applyFont="1"/>
    <xf numFmtId="167" fontId="23" fillId="0" borderId="0" xfId="43" applyNumberFormat="1" applyFont="1"/>
    <xf numFmtId="3" fontId="23" fillId="0" borderId="0" xfId="43" applyNumberFormat="1" applyFont="1"/>
    <xf numFmtId="167" fontId="20" fillId="0" borderId="0" xfId="43" applyNumberFormat="1"/>
    <xf numFmtId="14" fontId="21" fillId="0" borderId="0" xfId="43" applyNumberFormat="1" applyFont="1"/>
    <xf numFmtId="0" fontId="20" fillId="0" borderId="10" xfId="43" applyBorder="1"/>
    <xf numFmtId="3" fontId="20" fillId="0" borderId="10" xfId="43" applyNumberFormat="1" applyBorder="1"/>
    <xf numFmtId="167" fontId="24" fillId="0" borderId="0" xfId="43" applyNumberFormat="1" applyFont="1"/>
    <xf numFmtId="3" fontId="21" fillId="0" borderId="0" xfId="43" applyNumberFormat="1" applyFont="1"/>
    <xf numFmtId="14" fontId="20" fillId="0" borderId="10" xfId="43" applyNumberFormat="1" applyBorder="1"/>
    <xf numFmtId="4" fontId="23" fillId="0" borderId="10" xfId="43" applyNumberFormat="1" applyFont="1" applyBorder="1"/>
    <xf numFmtId="168" fontId="23" fillId="0" borderId="10" xfId="43" applyNumberFormat="1" applyFont="1" applyBorder="1" applyAlignment="1">
      <alignment horizontal="center"/>
    </xf>
    <xf numFmtId="3" fontId="24" fillId="0" borderId="0" xfId="43" applyNumberFormat="1" applyFont="1"/>
    <xf numFmtId="169" fontId="20" fillId="0" borderId="0" xfId="43" applyNumberFormat="1"/>
    <xf numFmtId="14" fontId="21" fillId="0" borderId="10" xfId="43" applyNumberFormat="1" applyFont="1" applyBorder="1"/>
    <xf numFmtId="4" fontId="21" fillId="0" borderId="10" xfId="43" applyNumberFormat="1" applyFont="1" applyBorder="1"/>
    <xf numFmtId="3" fontId="23" fillId="0" borderId="10" xfId="43" applyNumberFormat="1" applyFont="1" applyBorder="1"/>
    <xf numFmtId="170" fontId="23" fillId="0" borderId="10" xfId="43" applyNumberFormat="1" applyFont="1" applyBorder="1" applyAlignment="1">
      <alignment horizontal="center"/>
    </xf>
    <xf numFmtId="14" fontId="20" fillId="0" borderId="0" xfId="43" applyNumberFormat="1"/>
    <xf numFmtId="0" fontId="25" fillId="0" borderId="0" xfId="0" applyFont="1"/>
    <xf numFmtId="0" fontId="27" fillId="34" borderId="0" xfId="0" applyFont="1" applyFill="1"/>
    <xf numFmtId="0" fontId="1" fillId="0" borderId="0" xfId="45"/>
    <xf numFmtId="0" fontId="16" fillId="35" borderId="0" xfId="45" applyFont="1" applyFill="1" applyAlignment="1">
      <alignment horizontal="center"/>
    </xf>
    <xf numFmtId="0" fontId="16" fillId="0" borderId="0" xfId="45" applyFont="1"/>
    <xf numFmtId="0" fontId="16" fillId="0" borderId="0" xfId="45" applyFont="1" applyAlignment="1">
      <alignment horizontal="center"/>
    </xf>
    <xf numFmtId="0" fontId="26" fillId="36" borderId="0" xfId="44" applyFill="1"/>
    <xf numFmtId="0" fontId="0" fillId="36" borderId="0" xfId="45" applyFont="1" applyFill="1"/>
    <xf numFmtId="0" fontId="0" fillId="0" borderId="0" xfId="45" applyFont="1"/>
    <xf numFmtId="0" fontId="1" fillId="37" borderId="0" xfId="45" applyFill="1"/>
    <xf numFmtId="1" fontId="1" fillId="0" borderId="0" xfId="45" applyNumberFormat="1"/>
    <xf numFmtId="10" fontId="1" fillId="37" borderId="0" xfId="46" applyNumberFormat="1" applyFont="1" applyFill="1"/>
    <xf numFmtId="37" fontId="1" fillId="37" borderId="0" xfId="45" applyNumberFormat="1" applyFill="1"/>
    <xf numFmtId="1" fontId="1" fillId="37" borderId="0" xfId="45" applyNumberFormat="1" applyFill="1"/>
    <xf numFmtId="6" fontId="0" fillId="37" borderId="0" xfId="45" applyNumberFormat="1" applyFont="1" applyFill="1"/>
    <xf numFmtId="0" fontId="28" fillId="0" borderId="0" xfId="45" applyFont="1"/>
    <xf numFmtId="3" fontId="1" fillId="37" borderId="0" xfId="45" applyNumberFormat="1" applyFill="1"/>
    <xf numFmtId="171" fontId="1" fillId="37" borderId="0" xfId="45" applyNumberFormat="1" applyFill="1"/>
    <xf numFmtId="6" fontId="29" fillId="37" borderId="0" xfId="45" applyNumberFormat="1" applyFont="1" applyFill="1"/>
    <xf numFmtId="9" fontId="1" fillId="37" borderId="0" xfId="42" applyFont="1" applyFill="1"/>
    <xf numFmtId="9" fontId="1" fillId="37" borderId="0" xfId="45" applyNumberFormat="1" applyFill="1"/>
    <xf numFmtId="0" fontId="28" fillId="0" borderId="0" xfId="0" applyFont="1"/>
    <xf numFmtId="10" fontId="1" fillId="37" borderId="0" xfId="42" applyNumberFormat="1" applyFont="1" applyFill="1"/>
    <xf numFmtId="172" fontId="28" fillId="0" borderId="0" xfId="45" applyNumberFormat="1" applyFont="1"/>
    <xf numFmtId="0" fontId="0" fillId="37" borderId="0" xfId="45" applyFont="1" applyFill="1"/>
    <xf numFmtId="9" fontId="1" fillId="0" borderId="0" xfId="42" applyFont="1" applyFill="1"/>
    <xf numFmtId="0" fontId="1" fillId="37" borderId="0" xfId="42" applyNumberFormat="1" applyFont="1" applyFill="1"/>
    <xf numFmtId="6" fontId="1" fillId="0" borderId="0" xfId="45" applyNumberFormat="1"/>
    <xf numFmtId="166" fontId="1" fillId="37" borderId="0" xfId="45" applyNumberFormat="1" applyFill="1"/>
    <xf numFmtId="1" fontId="0" fillId="0" borderId="0" xfId="42" applyNumberFormat="1" applyFont="1"/>
    <xf numFmtId="164" fontId="1" fillId="37" borderId="0" xfId="45" applyNumberFormat="1" applyFill="1"/>
    <xf numFmtId="0" fontId="30" fillId="0" borderId="0" xfId="45" applyFont="1"/>
    <xf numFmtId="0" fontId="30" fillId="37" borderId="0" xfId="45" applyFont="1" applyFill="1"/>
    <xf numFmtId="10" fontId="1" fillId="0" borderId="0" xfId="42" applyNumberFormat="1" applyFont="1"/>
    <xf numFmtId="173" fontId="1" fillId="0" borderId="0" xfId="45" applyNumberFormat="1"/>
    <xf numFmtId="0" fontId="1" fillId="0" borderId="0" xfId="45" quotePrefix="1"/>
    <xf numFmtId="0" fontId="31" fillId="0" borderId="0" xfId="0" applyFont="1" applyAlignment="1">
      <alignment horizontal="left"/>
    </xf>
    <xf numFmtId="174" fontId="31" fillId="0" borderId="0" xfId="0" applyNumberFormat="1" applyFont="1" applyAlignment="1">
      <alignment horizontal="center"/>
    </xf>
    <xf numFmtId="174" fontId="31" fillId="33" borderId="0" xfId="0" applyNumberFormat="1" applyFont="1" applyFill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174" fontId="32" fillId="0" borderId="0" xfId="0" applyNumberFormat="1" applyFont="1" applyAlignment="1">
      <alignment horizontal="center"/>
    </xf>
    <xf numFmtId="175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0" fontId="33" fillId="34" borderId="11" xfId="0" applyFont="1" applyFill="1" applyBorder="1" applyAlignment="1">
      <alignment horizontal="left"/>
    </xf>
    <xf numFmtId="174" fontId="34" fillId="34" borderId="11" xfId="0" applyNumberFormat="1" applyFont="1" applyFill="1" applyBorder="1" applyAlignment="1">
      <alignment horizontal="center"/>
    </xf>
    <xf numFmtId="174" fontId="33" fillId="34" borderId="11" xfId="0" applyNumberFormat="1" applyFont="1" applyFill="1" applyBorder="1" applyAlignment="1">
      <alignment horizontal="center"/>
    </xf>
    <xf numFmtId="0" fontId="34" fillId="34" borderId="11" xfId="0" applyFont="1" applyFill="1" applyBorder="1" applyAlignment="1">
      <alignment horizontal="center"/>
    </xf>
    <xf numFmtId="38" fontId="32" fillId="0" borderId="0" xfId="0" applyNumberFormat="1" applyFont="1" applyAlignment="1">
      <alignment horizontal="center"/>
    </xf>
    <xf numFmtId="38" fontId="32" fillId="33" borderId="0" xfId="0" applyNumberFormat="1" applyFont="1" applyFill="1" applyAlignment="1">
      <alignment horizontal="center"/>
    </xf>
    <xf numFmtId="170" fontId="35" fillId="33" borderId="0" xfId="0" applyNumberFormat="1" applyFont="1" applyFill="1" applyAlignment="1">
      <alignment horizontal="center"/>
    </xf>
    <xf numFmtId="0" fontId="32" fillId="0" borderId="0" xfId="0" applyFont="1" applyAlignment="1">
      <alignment horizontal="left" indent="1"/>
    </xf>
    <xf numFmtId="38" fontId="31" fillId="0" borderId="0" xfId="0" applyNumberFormat="1" applyFont="1" applyAlignment="1">
      <alignment horizontal="center"/>
    </xf>
    <xf numFmtId="38" fontId="31" fillId="33" borderId="0" xfId="0" applyNumberFormat="1" applyFont="1" applyFill="1" applyAlignment="1">
      <alignment horizontal="center"/>
    </xf>
    <xf numFmtId="170" fontId="35" fillId="0" borderId="0" xfId="0" applyNumberFormat="1" applyFont="1" applyAlignment="1">
      <alignment horizontal="center"/>
    </xf>
    <xf numFmtId="0" fontId="31" fillId="33" borderId="0" xfId="0" applyFont="1" applyFill="1" applyAlignment="1">
      <alignment horizontal="center"/>
    </xf>
    <xf numFmtId="0" fontId="33" fillId="34" borderId="11" xfId="0" applyFont="1" applyFill="1" applyBorder="1" applyAlignment="1">
      <alignment horizontal="center"/>
    </xf>
    <xf numFmtId="0" fontId="32" fillId="33" borderId="0" xfId="0" applyFont="1" applyFill="1" applyAlignment="1">
      <alignment horizontal="center"/>
    </xf>
    <xf numFmtId="1" fontId="32" fillId="0" borderId="0" xfId="0" applyNumberFormat="1" applyFont="1" applyAlignment="1">
      <alignment horizontal="center"/>
    </xf>
    <xf numFmtId="0" fontId="32" fillId="0" borderId="0" xfId="0" applyFont="1"/>
    <xf numFmtId="38" fontId="31" fillId="0" borderId="0" xfId="0" applyNumberFormat="1" applyFont="1" applyAlignment="1">
      <alignment horizontal="centerContinuous"/>
    </xf>
    <xf numFmtId="14" fontId="38" fillId="38" borderId="12" xfId="0" applyNumberFormat="1" applyFont="1" applyFill="1" applyBorder="1" applyAlignment="1">
      <alignment horizontal="left" vertical="center" wrapText="1"/>
    </xf>
    <xf numFmtId="0" fontId="39" fillId="0" borderId="12" xfId="0" applyFont="1" applyBorder="1" applyAlignment="1">
      <alignment vertical="center" wrapText="1"/>
    </xf>
    <xf numFmtId="0" fontId="0" fillId="0" borderId="0" xfId="0" quotePrefix="1"/>
    <xf numFmtId="0" fontId="38" fillId="0" borderId="12" xfId="0" applyFont="1" applyBorder="1" applyAlignment="1">
      <alignment horizontal="left" vertical="center" wrapText="1"/>
    </xf>
    <xf numFmtId="0" fontId="39" fillId="0" borderId="13" xfId="0" applyFont="1" applyBorder="1" applyAlignment="1">
      <alignment vertical="center" wrapText="1"/>
    </xf>
    <xf numFmtId="0" fontId="38" fillId="0" borderId="13" xfId="0" applyFont="1" applyBorder="1" applyAlignment="1">
      <alignment horizontal="left" vertical="center" wrapText="1"/>
    </xf>
    <xf numFmtId="0" fontId="0" fillId="0" borderId="14" xfId="0" applyBorder="1"/>
    <xf numFmtId="38" fontId="0" fillId="0" borderId="0" xfId="0" applyNumberFormat="1"/>
    <xf numFmtId="0" fontId="16" fillId="0" borderId="0" xfId="0" applyFont="1"/>
    <xf numFmtId="8" fontId="0" fillId="0" borderId="0" xfId="0" applyNumberFormat="1"/>
    <xf numFmtId="176" fontId="0" fillId="0" borderId="0" xfId="0" applyNumberFormat="1"/>
    <xf numFmtId="6" fontId="0" fillId="0" borderId="0" xfId="0" applyNumberFormat="1"/>
    <xf numFmtId="164" fontId="30" fillId="37" borderId="0" xfId="45" applyNumberFormat="1" applyFont="1" applyFill="1"/>
    <xf numFmtId="10" fontId="40" fillId="0" borderId="0" xfId="0" applyNumberFormat="1" applyFont="1"/>
    <xf numFmtId="0" fontId="40" fillId="0" borderId="0" xfId="0" applyFont="1"/>
    <xf numFmtId="0" fontId="0" fillId="0" borderId="0" xfId="0" applyAlignment="1">
      <alignment horizontal="left"/>
    </xf>
    <xf numFmtId="37" fontId="1" fillId="0" borderId="0" xfId="45" applyNumberFormat="1"/>
    <xf numFmtId="37" fontId="1" fillId="0" borderId="0" xfId="45" applyNumberFormat="1" applyAlignment="1">
      <alignment horizontal="right"/>
    </xf>
    <xf numFmtId="0" fontId="16" fillId="0" borderId="16" xfId="45" applyFont="1" applyBorder="1"/>
    <xf numFmtId="37" fontId="41" fillId="0" borderId="16" xfId="45" applyNumberFormat="1" applyFont="1" applyBorder="1" applyAlignment="1">
      <alignment horizontal="right"/>
    </xf>
    <xf numFmtId="37" fontId="41" fillId="0" borderId="0" xfId="45" applyNumberFormat="1" applyFont="1" applyAlignment="1">
      <alignment horizontal="right"/>
    </xf>
    <xf numFmtId="0" fontId="42" fillId="0" borderId="0" xfId="45" applyFont="1"/>
    <xf numFmtId="14" fontId="1" fillId="0" borderId="0" xfId="45" applyNumberFormat="1"/>
    <xf numFmtId="164" fontId="1" fillId="37" borderId="0" xfId="45" quotePrefix="1" applyNumberFormat="1" applyFill="1"/>
    <xf numFmtId="0" fontId="0" fillId="34" borderId="0" xfId="0" applyFill="1"/>
    <xf numFmtId="2" fontId="0" fillId="34" borderId="0" xfId="0" applyNumberFormat="1" applyFill="1"/>
    <xf numFmtId="164" fontId="43" fillId="0" borderId="0" xfId="0" applyNumberFormat="1" applyFont="1"/>
    <xf numFmtId="164" fontId="40" fillId="0" borderId="0" xfId="0" applyNumberFormat="1" applyFont="1"/>
    <xf numFmtId="170" fontId="18" fillId="0" borderId="0" xfId="0" applyNumberFormat="1" applyFont="1"/>
    <xf numFmtId="164" fontId="1" fillId="0" borderId="0" xfId="45" applyNumberFormat="1"/>
    <xf numFmtId="170" fontId="1" fillId="0" borderId="0" xfId="45" applyNumberFormat="1"/>
    <xf numFmtId="10" fontId="1" fillId="0" borderId="0" xfId="45" applyNumberFormat="1"/>
    <xf numFmtId="167" fontId="1" fillId="0" borderId="0" xfId="45" applyNumberFormat="1"/>
    <xf numFmtId="0" fontId="0" fillId="0" borderId="15" xfId="0" applyBorder="1"/>
    <xf numFmtId="0" fontId="26" fillId="0" borderId="0" xfId="44"/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4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764A66B6-7569-4170-9812-98B81790A7E5}"/>
    <cellStyle name="Normal 2 2" xfId="45" xr:uid="{707EA552-B7C6-4190-9FC2-5245221E86A6}"/>
    <cellStyle name="Note" xfId="15" builtinId="10" customBuiltin="1"/>
    <cellStyle name="Output" xfId="10" builtinId="21" customBuiltin="1"/>
    <cellStyle name="Percent" xfId="42" builtinId="5"/>
    <cellStyle name="Percent 2" xfId="46" xr:uid="{7B526301-7522-47F5-AE63-BA43FD290DC3}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4" formatCode="#,##0;\(#,##0\);\-"/>
    </dxf>
    <dxf>
      <numFmt numFmtId="176" formatCode="_(* #,##0_);_(* \(#,##0\);_(* &quot;-&quot;??_);_(@_)"/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3000396803519932"/>
          <c:y val="3.97378641948433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Rate_Data!$P$31</c:f>
              <c:strCache>
                <c:ptCount val="1"/>
                <c:pt idx="0">
                  <c:v>Annual Avg Mortgage Rate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Rate_Data!$O$32:$O$59</c:f>
              <c:numCache>
                <c:formatCode>General</c:formatCode>
                <c:ptCount val="28"/>
                <c:pt idx="0">
                  <c:v>2020</c:v>
                </c:pt>
                <c:pt idx="1">
                  <c:v>2019</c:v>
                </c:pt>
                <c:pt idx="2">
                  <c:v>2018</c:v>
                </c:pt>
                <c:pt idx="3">
                  <c:v>2017</c:v>
                </c:pt>
                <c:pt idx="4">
                  <c:v>2016</c:v>
                </c:pt>
                <c:pt idx="5">
                  <c:v>2015</c:v>
                </c:pt>
                <c:pt idx="6">
                  <c:v>2014</c:v>
                </c:pt>
                <c:pt idx="7">
                  <c:v>2013</c:v>
                </c:pt>
                <c:pt idx="8">
                  <c:v>2012</c:v>
                </c:pt>
                <c:pt idx="9">
                  <c:v>2011</c:v>
                </c:pt>
                <c:pt idx="10">
                  <c:v>2010</c:v>
                </c:pt>
                <c:pt idx="11">
                  <c:v>2009</c:v>
                </c:pt>
                <c:pt idx="12">
                  <c:v>2008</c:v>
                </c:pt>
                <c:pt idx="13">
                  <c:v>2007</c:v>
                </c:pt>
                <c:pt idx="14">
                  <c:v>2006</c:v>
                </c:pt>
                <c:pt idx="15">
                  <c:v>2005</c:v>
                </c:pt>
                <c:pt idx="16">
                  <c:v>2004</c:v>
                </c:pt>
                <c:pt idx="17">
                  <c:v>2003</c:v>
                </c:pt>
                <c:pt idx="18">
                  <c:v>2002</c:v>
                </c:pt>
                <c:pt idx="19">
                  <c:v>2001</c:v>
                </c:pt>
                <c:pt idx="20">
                  <c:v>2000</c:v>
                </c:pt>
                <c:pt idx="21">
                  <c:v>1999</c:v>
                </c:pt>
                <c:pt idx="22">
                  <c:v>1998</c:v>
                </c:pt>
                <c:pt idx="23">
                  <c:v>1997</c:v>
                </c:pt>
                <c:pt idx="24">
                  <c:v>1996</c:v>
                </c:pt>
                <c:pt idx="25">
                  <c:v>1995</c:v>
                </c:pt>
                <c:pt idx="26">
                  <c:v>1994</c:v>
                </c:pt>
                <c:pt idx="27">
                  <c:v>1993</c:v>
                </c:pt>
              </c:numCache>
            </c:numRef>
          </c:xVal>
          <c:yVal>
            <c:numRef>
              <c:f>Rate_Data!$P$32:$P$59</c:f>
              <c:numCache>
                <c:formatCode>General</c:formatCode>
                <c:ptCount val="28"/>
                <c:pt idx="0">
                  <c:v>3.2</c:v>
                </c:pt>
                <c:pt idx="1">
                  <c:v>3.94</c:v>
                </c:pt>
                <c:pt idx="2">
                  <c:v>4.54</c:v>
                </c:pt>
                <c:pt idx="3">
                  <c:v>3.99</c:v>
                </c:pt>
                <c:pt idx="4">
                  <c:v>3.65</c:v>
                </c:pt>
                <c:pt idx="5">
                  <c:v>3.85</c:v>
                </c:pt>
                <c:pt idx="6">
                  <c:v>4.17</c:v>
                </c:pt>
                <c:pt idx="7">
                  <c:v>3.98</c:v>
                </c:pt>
                <c:pt idx="8">
                  <c:v>3.66</c:v>
                </c:pt>
                <c:pt idx="9">
                  <c:v>4.45</c:v>
                </c:pt>
                <c:pt idx="10">
                  <c:v>4.6900000000000004</c:v>
                </c:pt>
                <c:pt idx="11">
                  <c:v>5.04</c:v>
                </c:pt>
                <c:pt idx="12">
                  <c:v>6.03</c:v>
                </c:pt>
                <c:pt idx="13">
                  <c:v>6.34</c:v>
                </c:pt>
                <c:pt idx="14">
                  <c:v>6.41</c:v>
                </c:pt>
                <c:pt idx="15">
                  <c:v>5.87</c:v>
                </c:pt>
                <c:pt idx="16">
                  <c:v>5.84</c:v>
                </c:pt>
                <c:pt idx="17">
                  <c:v>5.83</c:v>
                </c:pt>
                <c:pt idx="18">
                  <c:v>6.54</c:v>
                </c:pt>
                <c:pt idx="19">
                  <c:v>6.97</c:v>
                </c:pt>
                <c:pt idx="20">
                  <c:v>8.0500000000000007</c:v>
                </c:pt>
                <c:pt idx="21">
                  <c:v>7.44</c:v>
                </c:pt>
                <c:pt idx="22">
                  <c:v>6.94</c:v>
                </c:pt>
                <c:pt idx="23">
                  <c:v>7.6</c:v>
                </c:pt>
                <c:pt idx="24">
                  <c:v>7.81</c:v>
                </c:pt>
                <c:pt idx="25">
                  <c:v>7.93</c:v>
                </c:pt>
                <c:pt idx="26">
                  <c:v>8.3800000000000008</c:v>
                </c:pt>
                <c:pt idx="27">
                  <c:v>7.31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69-4A5F-AE61-AA2154327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713928"/>
        <c:axId val="706709336"/>
      </c:scatterChart>
      <c:valAx>
        <c:axId val="706713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709336"/>
        <c:crosses val="autoZero"/>
        <c:crossBetween val="midCat"/>
      </c:valAx>
      <c:valAx>
        <c:axId val="706709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713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Rate_Data!$C$1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Rate_Data!$B$2:$B$277</c:f>
              <c:numCache>
                <c:formatCode>m/d/yyyy</c:formatCode>
                <c:ptCount val="276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42005</c:v>
                </c:pt>
                <c:pt idx="61">
                  <c:v>42036</c:v>
                </c:pt>
                <c:pt idx="62">
                  <c:v>42064</c:v>
                </c:pt>
                <c:pt idx="63">
                  <c:v>42095</c:v>
                </c:pt>
                <c:pt idx="64">
                  <c:v>42125</c:v>
                </c:pt>
                <c:pt idx="65">
                  <c:v>42156</c:v>
                </c:pt>
                <c:pt idx="66">
                  <c:v>42186</c:v>
                </c:pt>
                <c:pt idx="67">
                  <c:v>42217</c:v>
                </c:pt>
                <c:pt idx="68">
                  <c:v>42248</c:v>
                </c:pt>
                <c:pt idx="69">
                  <c:v>42278</c:v>
                </c:pt>
                <c:pt idx="70">
                  <c:v>42309</c:v>
                </c:pt>
                <c:pt idx="71">
                  <c:v>42339</c:v>
                </c:pt>
                <c:pt idx="72">
                  <c:v>41640</c:v>
                </c:pt>
                <c:pt idx="73">
                  <c:v>41671</c:v>
                </c:pt>
                <c:pt idx="74">
                  <c:v>41699</c:v>
                </c:pt>
                <c:pt idx="75">
                  <c:v>41730</c:v>
                </c:pt>
                <c:pt idx="76">
                  <c:v>41760</c:v>
                </c:pt>
                <c:pt idx="77">
                  <c:v>41791</c:v>
                </c:pt>
                <c:pt idx="78">
                  <c:v>41821</c:v>
                </c:pt>
                <c:pt idx="79">
                  <c:v>41852</c:v>
                </c:pt>
                <c:pt idx="80">
                  <c:v>41883</c:v>
                </c:pt>
                <c:pt idx="81">
                  <c:v>41913</c:v>
                </c:pt>
                <c:pt idx="82">
                  <c:v>41944</c:v>
                </c:pt>
                <c:pt idx="83">
                  <c:v>41974</c:v>
                </c:pt>
                <c:pt idx="84">
                  <c:v>41275</c:v>
                </c:pt>
                <c:pt idx="85">
                  <c:v>41306</c:v>
                </c:pt>
                <c:pt idx="86">
                  <c:v>41334</c:v>
                </c:pt>
                <c:pt idx="87">
                  <c:v>41365</c:v>
                </c:pt>
                <c:pt idx="88">
                  <c:v>41395</c:v>
                </c:pt>
                <c:pt idx="89">
                  <c:v>41426</c:v>
                </c:pt>
                <c:pt idx="90">
                  <c:v>41456</c:v>
                </c:pt>
                <c:pt idx="91">
                  <c:v>41487</c:v>
                </c:pt>
                <c:pt idx="92">
                  <c:v>41518</c:v>
                </c:pt>
                <c:pt idx="93">
                  <c:v>41548</c:v>
                </c:pt>
                <c:pt idx="94">
                  <c:v>41579</c:v>
                </c:pt>
                <c:pt idx="95">
                  <c:v>41609</c:v>
                </c:pt>
                <c:pt idx="96">
                  <c:v>40909</c:v>
                </c:pt>
                <c:pt idx="97">
                  <c:v>40940</c:v>
                </c:pt>
                <c:pt idx="98">
                  <c:v>40969</c:v>
                </c:pt>
                <c:pt idx="99">
                  <c:v>41000</c:v>
                </c:pt>
                <c:pt idx="100">
                  <c:v>41030</c:v>
                </c:pt>
                <c:pt idx="101">
                  <c:v>41061</c:v>
                </c:pt>
                <c:pt idx="102">
                  <c:v>41091</c:v>
                </c:pt>
                <c:pt idx="103">
                  <c:v>41122</c:v>
                </c:pt>
                <c:pt idx="104">
                  <c:v>41153</c:v>
                </c:pt>
                <c:pt idx="105">
                  <c:v>41183</c:v>
                </c:pt>
                <c:pt idx="106">
                  <c:v>41214</c:v>
                </c:pt>
                <c:pt idx="107">
                  <c:v>41244</c:v>
                </c:pt>
                <c:pt idx="108">
                  <c:v>40544</c:v>
                </c:pt>
                <c:pt idx="109">
                  <c:v>40575</c:v>
                </c:pt>
                <c:pt idx="110">
                  <c:v>40603</c:v>
                </c:pt>
                <c:pt idx="111">
                  <c:v>40634</c:v>
                </c:pt>
                <c:pt idx="112">
                  <c:v>40664</c:v>
                </c:pt>
                <c:pt idx="113">
                  <c:v>40695</c:v>
                </c:pt>
                <c:pt idx="114">
                  <c:v>40725</c:v>
                </c:pt>
                <c:pt idx="115">
                  <c:v>40756</c:v>
                </c:pt>
                <c:pt idx="116">
                  <c:v>40787</c:v>
                </c:pt>
                <c:pt idx="117">
                  <c:v>40817</c:v>
                </c:pt>
                <c:pt idx="118">
                  <c:v>40848</c:v>
                </c:pt>
                <c:pt idx="119">
                  <c:v>40878</c:v>
                </c:pt>
                <c:pt idx="120">
                  <c:v>40179</c:v>
                </c:pt>
                <c:pt idx="121">
                  <c:v>40210</c:v>
                </c:pt>
                <c:pt idx="122">
                  <c:v>40238</c:v>
                </c:pt>
                <c:pt idx="123">
                  <c:v>40269</c:v>
                </c:pt>
                <c:pt idx="124">
                  <c:v>40299</c:v>
                </c:pt>
                <c:pt idx="125">
                  <c:v>40330</c:v>
                </c:pt>
                <c:pt idx="126">
                  <c:v>40360</c:v>
                </c:pt>
                <c:pt idx="127">
                  <c:v>40391</c:v>
                </c:pt>
                <c:pt idx="128">
                  <c:v>40422</c:v>
                </c:pt>
                <c:pt idx="129">
                  <c:v>40452</c:v>
                </c:pt>
                <c:pt idx="130">
                  <c:v>40483</c:v>
                </c:pt>
                <c:pt idx="131">
                  <c:v>40513</c:v>
                </c:pt>
                <c:pt idx="132">
                  <c:v>39814</c:v>
                </c:pt>
                <c:pt idx="133">
                  <c:v>39845</c:v>
                </c:pt>
                <c:pt idx="134">
                  <c:v>39873</c:v>
                </c:pt>
                <c:pt idx="135">
                  <c:v>39904</c:v>
                </c:pt>
                <c:pt idx="136">
                  <c:v>39934</c:v>
                </c:pt>
                <c:pt idx="137">
                  <c:v>39965</c:v>
                </c:pt>
                <c:pt idx="138">
                  <c:v>39995</c:v>
                </c:pt>
                <c:pt idx="139">
                  <c:v>40026</c:v>
                </c:pt>
                <c:pt idx="140">
                  <c:v>40057</c:v>
                </c:pt>
                <c:pt idx="141">
                  <c:v>40087</c:v>
                </c:pt>
                <c:pt idx="142">
                  <c:v>40118</c:v>
                </c:pt>
                <c:pt idx="143">
                  <c:v>40148</c:v>
                </c:pt>
                <c:pt idx="144">
                  <c:v>39448</c:v>
                </c:pt>
                <c:pt idx="145">
                  <c:v>39479</c:v>
                </c:pt>
                <c:pt idx="146">
                  <c:v>39508</c:v>
                </c:pt>
                <c:pt idx="147">
                  <c:v>39539</c:v>
                </c:pt>
                <c:pt idx="148">
                  <c:v>39569</c:v>
                </c:pt>
                <c:pt idx="149">
                  <c:v>39600</c:v>
                </c:pt>
                <c:pt idx="150">
                  <c:v>39630</c:v>
                </c:pt>
                <c:pt idx="151">
                  <c:v>39661</c:v>
                </c:pt>
                <c:pt idx="152">
                  <c:v>39692</c:v>
                </c:pt>
                <c:pt idx="153">
                  <c:v>39722</c:v>
                </c:pt>
                <c:pt idx="154">
                  <c:v>39753</c:v>
                </c:pt>
                <c:pt idx="155">
                  <c:v>39783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38718</c:v>
                </c:pt>
                <c:pt idx="169">
                  <c:v>38749</c:v>
                </c:pt>
                <c:pt idx="170">
                  <c:v>38777</c:v>
                </c:pt>
                <c:pt idx="171">
                  <c:v>38808</c:v>
                </c:pt>
                <c:pt idx="172">
                  <c:v>38838</c:v>
                </c:pt>
                <c:pt idx="173">
                  <c:v>38869</c:v>
                </c:pt>
                <c:pt idx="174">
                  <c:v>38899</c:v>
                </c:pt>
                <c:pt idx="175">
                  <c:v>38930</c:v>
                </c:pt>
                <c:pt idx="176">
                  <c:v>38961</c:v>
                </c:pt>
                <c:pt idx="177">
                  <c:v>38991</c:v>
                </c:pt>
                <c:pt idx="178">
                  <c:v>39022</c:v>
                </c:pt>
                <c:pt idx="179">
                  <c:v>39052</c:v>
                </c:pt>
                <c:pt idx="180">
                  <c:v>38353</c:v>
                </c:pt>
                <c:pt idx="181">
                  <c:v>38384</c:v>
                </c:pt>
                <c:pt idx="182">
                  <c:v>38412</c:v>
                </c:pt>
                <c:pt idx="183">
                  <c:v>38443</c:v>
                </c:pt>
                <c:pt idx="184">
                  <c:v>38473</c:v>
                </c:pt>
                <c:pt idx="185">
                  <c:v>38504</c:v>
                </c:pt>
                <c:pt idx="186">
                  <c:v>38534</c:v>
                </c:pt>
                <c:pt idx="187">
                  <c:v>38565</c:v>
                </c:pt>
                <c:pt idx="188">
                  <c:v>38596</c:v>
                </c:pt>
                <c:pt idx="189">
                  <c:v>38626</c:v>
                </c:pt>
                <c:pt idx="190">
                  <c:v>38657</c:v>
                </c:pt>
                <c:pt idx="191">
                  <c:v>38687</c:v>
                </c:pt>
                <c:pt idx="192">
                  <c:v>37987</c:v>
                </c:pt>
                <c:pt idx="193">
                  <c:v>38018</c:v>
                </c:pt>
                <c:pt idx="194">
                  <c:v>38047</c:v>
                </c:pt>
                <c:pt idx="195">
                  <c:v>38078</c:v>
                </c:pt>
                <c:pt idx="196">
                  <c:v>38108</c:v>
                </c:pt>
                <c:pt idx="197">
                  <c:v>38139</c:v>
                </c:pt>
                <c:pt idx="198">
                  <c:v>38169</c:v>
                </c:pt>
                <c:pt idx="199">
                  <c:v>38200</c:v>
                </c:pt>
                <c:pt idx="200">
                  <c:v>38231</c:v>
                </c:pt>
                <c:pt idx="201">
                  <c:v>38261</c:v>
                </c:pt>
                <c:pt idx="202">
                  <c:v>38292</c:v>
                </c:pt>
                <c:pt idx="203">
                  <c:v>38322</c:v>
                </c:pt>
                <c:pt idx="204">
                  <c:v>37622</c:v>
                </c:pt>
                <c:pt idx="205">
                  <c:v>37653</c:v>
                </c:pt>
                <c:pt idx="206">
                  <c:v>37681</c:v>
                </c:pt>
                <c:pt idx="207">
                  <c:v>37712</c:v>
                </c:pt>
                <c:pt idx="208">
                  <c:v>37742</c:v>
                </c:pt>
                <c:pt idx="209">
                  <c:v>37773</c:v>
                </c:pt>
                <c:pt idx="210">
                  <c:v>37803</c:v>
                </c:pt>
                <c:pt idx="211">
                  <c:v>37834</c:v>
                </c:pt>
                <c:pt idx="212">
                  <c:v>37865</c:v>
                </c:pt>
                <c:pt idx="213">
                  <c:v>37895</c:v>
                </c:pt>
                <c:pt idx="214">
                  <c:v>37926</c:v>
                </c:pt>
                <c:pt idx="215">
                  <c:v>37956</c:v>
                </c:pt>
                <c:pt idx="216">
                  <c:v>37257</c:v>
                </c:pt>
                <c:pt idx="217">
                  <c:v>37288</c:v>
                </c:pt>
                <c:pt idx="218">
                  <c:v>37316</c:v>
                </c:pt>
                <c:pt idx="219">
                  <c:v>37347</c:v>
                </c:pt>
                <c:pt idx="220">
                  <c:v>37377</c:v>
                </c:pt>
                <c:pt idx="221">
                  <c:v>37408</c:v>
                </c:pt>
                <c:pt idx="222">
                  <c:v>37438</c:v>
                </c:pt>
                <c:pt idx="223">
                  <c:v>37469</c:v>
                </c:pt>
                <c:pt idx="224">
                  <c:v>37500</c:v>
                </c:pt>
                <c:pt idx="225">
                  <c:v>37530</c:v>
                </c:pt>
                <c:pt idx="226">
                  <c:v>37561</c:v>
                </c:pt>
                <c:pt idx="227">
                  <c:v>37591</c:v>
                </c:pt>
                <c:pt idx="228">
                  <c:v>36892</c:v>
                </c:pt>
                <c:pt idx="229">
                  <c:v>36923</c:v>
                </c:pt>
                <c:pt idx="230">
                  <c:v>36951</c:v>
                </c:pt>
                <c:pt idx="231">
                  <c:v>36982</c:v>
                </c:pt>
                <c:pt idx="232">
                  <c:v>37012</c:v>
                </c:pt>
                <c:pt idx="233">
                  <c:v>37043</c:v>
                </c:pt>
                <c:pt idx="234">
                  <c:v>37073</c:v>
                </c:pt>
                <c:pt idx="235">
                  <c:v>37104</c:v>
                </c:pt>
                <c:pt idx="236">
                  <c:v>37135</c:v>
                </c:pt>
                <c:pt idx="237">
                  <c:v>37165</c:v>
                </c:pt>
                <c:pt idx="238">
                  <c:v>37196</c:v>
                </c:pt>
                <c:pt idx="239">
                  <c:v>37226</c:v>
                </c:pt>
                <c:pt idx="240">
                  <c:v>36526</c:v>
                </c:pt>
                <c:pt idx="241">
                  <c:v>36557</c:v>
                </c:pt>
                <c:pt idx="242">
                  <c:v>36586</c:v>
                </c:pt>
                <c:pt idx="243">
                  <c:v>36617</c:v>
                </c:pt>
                <c:pt idx="244">
                  <c:v>36647</c:v>
                </c:pt>
                <c:pt idx="245">
                  <c:v>36678</c:v>
                </c:pt>
                <c:pt idx="246">
                  <c:v>36708</c:v>
                </c:pt>
                <c:pt idx="247">
                  <c:v>36739</c:v>
                </c:pt>
                <c:pt idx="248">
                  <c:v>36770</c:v>
                </c:pt>
                <c:pt idx="249">
                  <c:v>36800</c:v>
                </c:pt>
                <c:pt idx="250">
                  <c:v>36831</c:v>
                </c:pt>
                <c:pt idx="251">
                  <c:v>36861</c:v>
                </c:pt>
                <c:pt idx="252">
                  <c:v>36161</c:v>
                </c:pt>
                <c:pt idx="253">
                  <c:v>36192</c:v>
                </c:pt>
                <c:pt idx="254">
                  <c:v>36220</c:v>
                </c:pt>
                <c:pt idx="255">
                  <c:v>36251</c:v>
                </c:pt>
                <c:pt idx="256">
                  <c:v>36281</c:v>
                </c:pt>
                <c:pt idx="257">
                  <c:v>36312</c:v>
                </c:pt>
                <c:pt idx="258">
                  <c:v>36342</c:v>
                </c:pt>
                <c:pt idx="259">
                  <c:v>36373</c:v>
                </c:pt>
                <c:pt idx="260">
                  <c:v>36404</c:v>
                </c:pt>
                <c:pt idx="261">
                  <c:v>36434</c:v>
                </c:pt>
                <c:pt idx="262">
                  <c:v>36465</c:v>
                </c:pt>
                <c:pt idx="263">
                  <c:v>36495</c:v>
                </c:pt>
                <c:pt idx="264">
                  <c:v>35796</c:v>
                </c:pt>
                <c:pt idx="265">
                  <c:v>35827</c:v>
                </c:pt>
                <c:pt idx="266">
                  <c:v>35855</c:v>
                </c:pt>
                <c:pt idx="267">
                  <c:v>35886</c:v>
                </c:pt>
                <c:pt idx="268">
                  <c:v>35916</c:v>
                </c:pt>
                <c:pt idx="269">
                  <c:v>35947</c:v>
                </c:pt>
                <c:pt idx="270">
                  <c:v>35977</c:v>
                </c:pt>
                <c:pt idx="271">
                  <c:v>36008</c:v>
                </c:pt>
                <c:pt idx="272">
                  <c:v>36039</c:v>
                </c:pt>
                <c:pt idx="273">
                  <c:v>36069</c:v>
                </c:pt>
                <c:pt idx="274">
                  <c:v>36100</c:v>
                </c:pt>
                <c:pt idx="275">
                  <c:v>36130</c:v>
                </c:pt>
              </c:numCache>
            </c:numRef>
          </c:xVal>
          <c:yVal>
            <c:numRef>
              <c:f>Rate_Data!$C$2:$C$277</c:f>
              <c:numCache>
                <c:formatCode>General</c:formatCode>
                <c:ptCount val="276"/>
                <c:pt idx="0">
                  <c:v>3.62</c:v>
                </c:pt>
                <c:pt idx="1">
                  <c:v>3.47</c:v>
                </c:pt>
                <c:pt idx="2">
                  <c:v>3.45</c:v>
                </c:pt>
                <c:pt idx="3">
                  <c:v>3.31</c:v>
                </c:pt>
                <c:pt idx="4">
                  <c:v>3.23</c:v>
                </c:pt>
                <c:pt idx="5">
                  <c:v>3.16</c:v>
                </c:pt>
                <c:pt idx="6">
                  <c:v>3.02</c:v>
                </c:pt>
                <c:pt idx="7">
                  <c:v>2.94</c:v>
                </c:pt>
                <c:pt idx="8">
                  <c:v>2.89</c:v>
                </c:pt>
                <c:pt idx="9">
                  <c:v>2.89</c:v>
                </c:pt>
                <c:pt idx="10">
                  <c:v>2.89</c:v>
                </c:pt>
                <c:pt idx="11">
                  <c:v>2.89</c:v>
                </c:pt>
                <c:pt idx="12">
                  <c:v>4.46</c:v>
                </c:pt>
                <c:pt idx="13">
                  <c:v>4.37</c:v>
                </c:pt>
                <c:pt idx="14">
                  <c:v>4.2699999999999996</c:v>
                </c:pt>
                <c:pt idx="15">
                  <c:v>4.1399999999999997</c:v>
                </c:pt>
                <c:pt idx="16">
                  <c:v>4.07</c:v>
                </c:pt>
                <c:pt idx="17">
                  <c:v>3.8</c:v>
                </c:pt>
                <c:pt idx="18">
                  <c:v>3.77</c:v>
                </c:pt>
                <c:pt idx="19">
                  <c:v>3.62</c:v>
                </c:pt>
                <c:pt idx="20">
                  <c:v>3.61</c:v>
                </c:pt>
                <c:pt idx="21">
                  <c:v>3.69</c:v>
                </c:pt>
                <c:pt idx="22">
                  <c:v>3.7</c:v>
                </c:pt>
                <c:pt idx="23">
                  <c:v>3.72</c:v>
                </c:pt>
                <c:pt idx="24">
                  <c:v>4.03</c:v>
                </c:pt>
                <c:pt idx="25">
                  <c:v>4.33</c:v>
                </c:pt>
                <c:pt idx="26">
                  <c:v>4.4400000000000004</c:v>
                </c:pt>
                <c:pt idx="27">
                  <c:v>4.47</c:v>
                </c:pt>
                <c:pt idx="28">
                  <c:v>4.59</c:v>
                </c:pt>
                <c:pt idx="29">
                  <c:v>4.57</c:v>
                </c:pt>
                <c:pt idx="30">
                  <c:v>4.53</c:v>
                </c:pt>
                <c:pt idx="31">
                  <c:v>4.55</c:v>
                </c:pt>
                <c:pt idx="32">
                  <c:v>4.63</c:v>
                </c:pt>
                <c:pt idx="33">
                  <c:v>4.83</c:v>
                </c:pt>
                <c:pt idx="34">
                  <c:v>4.87</c:v>
                </c:pt>
                <c:pt idx="35">
                  <c:v>4.6399999999999997</c:v>
                </c:pt>
                <c:pt idx="36">
                  <c:v>4.1500000000000004</c:v>
                </c:pt>
                <c:pt idx="37">
                  <c:v>4.17</c:v>
                </c:pt>
                <c:pt idx="38">
                  <c:v>4.2</c:v>
                </c:pt>
                <c:pt idx="39">
                  <c:v>4.05</c:v>
                </c:pt>
                <c:pt idx="40">
                  <c:v>4.01</c:v>
                </c:pt>
                <c:pt idx="41">
                  <c:v>3.9</c:v>
                </c:pt>
                <c:pt idx="42">
                  <c:v>3.97</c:v>
                </c:pt>
                <c:pt idx="43">
                  <c:v>3.88</c:v>
                </c:pt>
                <c:pt idx="44">
                  <c:v>3.81</c:v>
                </c:pt>
                <c:pt idx="45">
                  <c:v>0</c:v>
                </c:pt>
                <c:pt idx="46">
                  <c:v>3.92</c:v>
                </c:pt>
                <c:pt idx="47">
                  <c:v>3.95</c:v>
                </c:pt>
                <c:pt idx="48">
                  <c:v>3.87</c:v>
                </c:pt>
                <c:pt idx="49">
                  <c:v>3.66</c:v>
                </c:pt>
                <c:pt idx="50">
                  <c:v>3.69</c:v>
                </c:pt>
                <c:pt idx="51">
                  <c:v>3.61</c:v>
                </c:pt>
                <c:pt idx="52">
                  <c:v>3.6</c:v>
                </c:pt>
                <c:pt idx="53">
                  <c:v>3.57</c:v>
                </c:pt>
                <c:pt idx="54">
                  <c:v>3.44</c:v>
                </c:pt>
                <c:pt idx="55">
                  <c:v>3.44</c:v>
                </c:pt>
                <c:pt idx="56">
                  <c:v>3.46</c:v>
                </c:pt>
                <c:pt idx="57">
                  <c:v>3.47</c:v>
                </c:pt>
                <c:pt idx="58">
                  <c:v>3.77</c:v>
                </c:pt>
                <c:pt idx="59">
                  <c:v>4.2</c:v>
                </c:pt>
                <c:pt idx="60">
                  <c:v>3.67</c:v>
                </c:pt>
                <c:pt idx="61">
                  <c:v>3.71</c:v>
                </c:pt>
                <c:pt idx="62">
                  <c:v>3.77</c:v>
                </c:pt>
                <c:pt idx="63">
                  <c:v>3.67</c:v>
                </c:pt>
                <c:pt idx="64">
                  <c:v>3.84</c:v>
                </c:pt>
                <c:pt idx="65">
                  <c:v>3.98</c:v>
                </c:pt>
                <c:pt idx="66">
                  <c:v>4.05</c:v>
                </c:pt>
                <c:pt idx="67">
                  <c:v>3.91</c:v>
                </c:pt>
                <c:pt idx="68">
                  <c:v>3.89</c:v>
                </c:pt>
                <c:pt idx="69">
                  <c:v>3.8</c:v>
                </c:pt>
                <c:pt idx="70">
                  <c:v>3.94</c:v>
                </c:pt>
                <c:pt idx="71">
                  <c:v>3.96</c:v>
                </c:pt>
                <c:pt idx="72">
                  <c:v>4.43</c:v>
                </c:pt>
                <c:pt idx="73">
                  <c:v>4.3</c:v>
                </c:pt>
                <c:pt idx="74">
                  <c:v>4.34</c:v>
                </c:pt>
                <c:pt idx="75">
                  <c:v>4.34</c:v>
                </c:pt>
                <c:pt idx="76">
                  <c:v>4.1900000000000004</c:v>
                </c:pt>
                <c:pt idx="77">
                  <c:v>4.16</c:v>
                </c:pt>
                <c:pt idx="78">
                  <c:v>4.13</c:v>
                </c:pt>
                <c:pt idx="79">
                  <c:v>4.12</c:v>
                </c:pt>
                <c:pt idx="80">
                  <c:v>4.16</c:v>
                </c:pt>
                <c:pt idx="81">
                  <c:v>4.04</c:v>
                </c:pt>
                <c:pt idx="82">
                  <c:v>4</c:v>
                </c:pt>
                <c:pt idx="83">
                  <c:v>3.86</c:v>
                </c:pt>
                <c:pt idx="84">
                  <c:v>3.41</c:v>
                </c:pt>
                <c:pt idx="85">
                  <c:v>3.53</c:v>
                </c:pt>
                <c:pt idx="86">
                  <c:v>3.57</c:v>
                </c:pt>
                <c:pt idx="87">
                  <c:v>3.45</c:v>
                </c:pt>
                <c:pt idx="88">
                  <c:v>3.54</c:v>
                </c:pt>
                <c:pt idx="89">
                  <c:v>4.07</c:v>
                </c:pt>
                <c:pt idx="90">
                  <c:v>4.37</c:v>
                </c:pt>
                <c:pt idx="91">
                  <c:v>4.46</c:v>
                </c:pt>
                <c:pt idx="92">
                  <c:v>4.49</c:v>
                </c:pt>
                <c:pt idx="93">
                  <c:v>4.1900000000000004</c:v>
                </c:pt>
                <c:pt idx="94">
                  <c:v>4.26</c:v>
                </c:pt>
                <c:pt idx="95">
                  <c:v>4.46</c:v>
                </c:pt>
                <c:pt idx="96">
                  <c:v>3.92</c:v>
                </c:pt>
                <c:pt idx="97">
                  <c:v>3.89</c:v>
                </c:pt>
                <c:pt idx="98">
                  <c:v>3.95</c:v>
                </c:pt>
                <c:pt idx="99">
                  <c:v>3.91</c:v>
                </c:pt>
                <c:pt idx="100">
                  <c:v>3.8</c:v>
                </c:pt>
                <c:pt idx="101">
                  <c:v>3.68</c:v>
                </c:pt>
                <c:pt idx="102">
                  <c:v>3.55</c:v>
                </c:pt>
                <c:pt idx="103">
                  <c:v>3.6</c:v>
                </c:pt>
                <c:pt idx="104">
                  <c:v>3.5</c:v>
                </c:pt>
                <c:pt idx="105">
                  <c:v>3.38</c:v>
                </c:pt>
                <c:pt idx="106">
                  <c:v>3.35</c:v>
                </c:pt>
                <c:pt idx="107">
                  <c:v>3.35</c:v>
                </c:pt>
                <c:pt idx="108">
                  <c:v>4.76</c:v>
                </c:pt>
                <c:pt idx="109">
                  <c:v>4.95</c:v>
                </c:pt>
                <c:pt idx="110">
                  <c:v>4.84</c:v>
                </c:pt>
                <c:pt idx="111">
                  <c:v>4.84</c:v>
                </c:pt>
                <c:pt idx="112">
                  <c:v>4.6399999999999997</c:v>
                </c:pt>
                <c:pt idx="113">
                  <c:v>4.51</c:v>
                </c:pt>
                <c:pt idx="114">
                  <c:v>4.55</c:v>
                </c:pt>
                <c:pt idx="115">
                  <c:v>4.2699999999999996</c:v>
                </c:pt>
                <c:pt idx="116">
                  <c:v>4.1100000000000003</c:v>
                </c:pt>
                <c:pt idx="117">
                  <c:v>4.07</c:v>
                </c:pt>
                <c:pt idx="118">
                  <c:v>3.99</c:v>
                </c:pt>
                <c:pt idx="119">
                  <c:v>3.96</c:v>
                </c:pt>
                <c:pt idx="120">
                  <c:v>5.03</c:v>
                </c:pt>
                <c:pt idx="121">
                  <c:v>4.99</c:v>
                </c:pt>
                <c:pt idx="122">
                  <c:v>4.97</c:v>
                </c:pt>
                <c:pt idx="123">
                  <c:v>0</c:v>
                </c:pt>
                <c:pt idx="124">
                  <c:v>4.8899999999999997</c:v>
                </c:pt>
                <c:pt idx="125">
                  <c:v>4.74</c:v>
                </c:pt>
                <c:pt idx="126">
                  <c:v>4.5599999999999996</c:v>
                </c:pt>
                <c:pt idx="127">
                  <c:v>4.43</c:v>
                </c:pt>
                <c:pt idx="128">
                  <c:v>4.3499999999999996</c:v>
                </c:pt>
                <c:pt idx="129">
                  <c:v>4.2300000000000004</c:v>
                </c:pt>
                <c:pt idx="130">
                  <c:v>4.3</c:v>
                </c:pt>
                <c:pt idx="131">
                  <c:v>4.71</c:v>
                </c:pt>
                <c:pt idx="132">
                  <c:v>5.05</c:v>
                </c:pt>
                <c:pt idx="133">
                  <c:v>5.13</c:v>
                </c:pt>
                <c:pt idx="134">
                  <c:v>5</c:v>
                </c:pt>
                <c:pt idx="135">
                  <c:v>4.8099999999999996</c:v>
                </c:pt>
                <c:pt idx="136">
                  <c:v>4.8600000000000003</c:v>
                </c:pt>
                <c:pt idx="137">
                  <c:v>5.42</c:v>
                </c:pt>
                <c:pt idx="138">
                  <c:v>5.22</c:v>
                </c:pt>
                <c:pt idx="139">
                  <c:v>5.19</c:v>
                </c:pt>
                <c:pt idx="140">
                  <c:v>5.0599999999999996</c:v>
                </c:pt>
                <c:pt idx="141">
                  <c:v>4.95</c:v>
                </c:pt>
                <c:pt idx="142">
                  <c:v>4.88</c:v>
                </c:pt>
                <c:pt idx="143">
                  <c:v>4.93</c:v>
                </c:pt>
                <c:pt idx="144">
                  <c:v>5.76</c:v>
                </c:pt>
                <c:pt idx="145">
                  <c:v>5.92</c:v>
                </c:pt>
                <c:pt idx="146">
                  <c:v>5.97</c:v>
                </c:pt>
                <c:pt idx="147">
                  <c:v>5.92</c:v>
                </c:pt>
                <c:pt idx="148">
                  <c:v>6.04</c:v>
                </c:pt>
                <c:pt idx="149">
                  <c:v>6.32</c:v>
                </c:pt>
                <c:pt idx="150">
                  <c:v>6.43</c:v>
                </c:pt>
                <c:pt idx="151">
                  <c:v>6.48</c:v>
                </c:pt>
                <c:pt idx="152">
                  <c:v>6.04</c:v>
                </c:pt>
                <c:pt idx="153">
                  <c:v>6.2</c:v>
                </c:pt>
                <c:pt idx="154">
                  <c:v>6.09</c:v>
                </c:pt>
                <c:pt idx="155">
                  <c:v>5.29</c:v>
                </c:pt>
                <c:pt idx="156">
                  <c:v>6.22</c:v>
                </c:pt>
                <c:pt idx="157">
                  <c:v>6.29</c:v>
                </c:pt>
                <c:pt idx="158">
                  <c:v>6.16</c:v>
                </c:pt>
                <c:pt idx="159">
                  <c:v>6.18</c:v>
                </c:pt>
                <c:pt idx="160">
                  <c:v>6.26</c:v>
                </c:pt>
                <c:pt idx="161">
                  <c:v>6.66</c:v>
                </c:pt>
                <c:pt idx="162">
                  <c:v>6.7</c:v>
                </c:pt>
                <c:pt idx="163">
                  <c:v>6.57</c:v>
                </c:pt>
                <c:pt idx="164">
                  <c:v>6.38</c:v>
                </c:pt>
                <c:pt idx="165">
                  <c:v>6.38</c:v>
                </c:pt>
                <c:pt idx="166">
                  <c:v>6.21</c:v>
                </c:pt>
                <c:pt idx="167">
                  <c:v>6.1</c:v>
                </c:pt>
                <c:pt idx="168">
                  <c:v>6.15</c:v>
                </c:pt>
                <c:pt idx="169">
                  <c:v>6.25</c:v>
                </c:pt>
                <c:pt idx="170">
                  <c:v>6.32</c:v>
                </c:pt>
                <c:pt idx="171">
                  <c:v>6.51</c:v>
                </c:pt>
                <c:pt idx="172">
                  <c:v>6.6</c:v>
                </c:pt>
                <c:pt idx="173">
                  <c:v>6.68</c:v>
                </c:pt>
                <c:pt idx="174">
                  <c:v>6.76</c:v>
                </c:pt>
                <c:pt idx="175">
                  <c:v>6.52</c:v>
                </c:pt>
                <c:pt idx="176">
                  <c:v>6.4</c:v>
                </c:pt>
                <c:pt idx="177">
                  <c:v>6.36</c:v>
                </c:pt>
                <c:pt idx="178">
                  <c:v>6.24</c:v>
                </c:pt>
                <c:pt idx="179">
                  <c:v>6.14</c:v>
                </c:pt>
                <c:pt idx="180">
                  <c:v>5.71</c:v>
                </c:pt>
                <c:pt idx="181">
                  <c:v>5.63</c:v>
                </c:pt>
                <c:pt idx="182">
                  <c:v>5.93</c:v>
                </c:pt>
                <c:pt idx="183">
                  <c:v>5.86</c:v>
                </c:pt>
                <c:pt idx="184">
                  <c:v>5.72</c:v>
                </c:pt>
                <c:pt idx="185">
                  <c:v>5.58</c:v>
                </c:pt>
                <c:pt idx="186">
                  <c:v>5.7</c:v>
                </c:pt>
                <c:pt idx="187">
                  <c:v>5.82</c:v>
                </c:pt>
                <c:pt idx="188">
                  <c:v>5.77</c:v>
                </c:pt>
                <c:pt idx="189">
                  <c:v>6.07</c:v>
                </c:pt>
                <c:pt idx="190">
                  <c:v>6.33</c:v>
                </c:pt>
                <c:pt idx="191">
                  <c:v>6.27</c:v>
                </c:pt>
                <c:pt idx="192">
                  <c:v>5.71</c:v>
                </c:pt>
                <c:pt idx="193">
                  <c:v>5.64</c:v>
                </c:pt>
                <c:pt idx="194">
                  <c:v>5.45</c:v>
                </c:pt>
                <c:pt idx="195">
                  <c:v>5.83</c:v>
                </c:pt>
                <c:pt idx="196">
                  <c:v>6.27</c:v>
                </c:pt>
                <c:pt idx="197">
                  <c:v>6.29</c:v>
                </c:pt>
                <c:pt idx="198">
                  <c:v>6.06</c:v>
                </c:pt>
                <c:pt idx="199">
                  <c:v>5.87</c:v>
                </c:pt>
                <c:pt idx="200">
                  <c:v>5.75</c:v>
                </c:pt>
                <c:pt idx="201">
                  <c:v>5.72</c:v>
                </c:pt>
                <c:pt idx="202">
                  <c:v>5.73</c:v>
                </c:pt>
                <c:pt idx="203">
                  <c:v>5.75</c:v>
                </c:pt>
                <c:pt idx="204">
                  <c:v>5.92</c:v>
                </c:pt>
                <c:pt idx="205">
                  <c:v>5.84</c:v>
                </c:pt>
                <c:pt idx="206">
                  <c:v>5.75</c:v>
                </c:pt>
                <c:pt idx="207">
                  <c:v>5.81</c:v>
                </c:pt>
                <c:pt idx="208">
                  <c:v>5.48</c:v>
                </c:pt>
                <c:pt idx="209">
                  <c:v>5.23</c:v>
                </c:pt>
                <c:pt idx="210">
                  <c:v>5.63</c:v>
                </c:pt>
                <c:pt idx="211">
                  <c:v>6.26</c:v>
                </c:pt>
                <c:pt idx="212">
                  <c:v>6.15</c:v>
                </c:pt>
                <c:pt idx="213">
                  <c:v>5.95</c:v>
                </c:pt>
                <c:pt idx="214">
                  <c:v>5.93</c:v>
                </c:pt>
                <c:pt idx="215">
                  <c:v>5.88</c:v>
                </c:pt>
                <c:pt idx="216">
                  <c:v>7</c:v>
                </c:pt>
                <c:pt idx="217">
                  <c:v>6.89</c:v>
                </c:pt>
                <c:pt idx="218">
                  <c:v>7.01</c:v>
                </c:pt>
                <c:pt idx="219">
                  <c:v>6.99</c:v>
                </c:pt>
                <c:pt idx="220">
                  <c:v>6.81</c:v>
                </c:pt>
                <c:pt idx="221">
                  <c:v>6.65</c:v>
                </c:pt>
                <c:pt idx="222">
                  <c:v>6.49</c:v>
                </c:pt>
                <c:pt idx="223">
                  <c:v>6.29</c:v>
                </c:pt>
                <c:pt idx="224">
                  <c:v>6.09</c:v>
                </c:pt>
                <c:pt idx="225">
                  <c:v>6.11</c:v>
                </c:pt>
                <c:pt idx="226">
                  <c:v>6.07</c:v>
                </c:pt>
                <c:pt idx="227">
                  <c:v>6.05</c:v>
                </c:pt>
                <c:pt idx="228">
                  <c:v>7.03</c:v>
                </c:pt>
                <c:pt idx="229">
                  <c:v>7.05</c:v>
                </c:pt>
                <c:pt idx="230">
                  <c:v>6.95</c:v>
                </c:pt>
                <c:pt idx="231">
                  <c:v>7.08</c:v>
                </c:pt>
                <c:pt idx="232">
                  <c:v>7.15</c:v>
                </c:pt>
                <c:pt idx="233">
                  <c:v>7.16</c:v>
                </c:pt>
                <c:pt idx="234">
                  <c:v>7.13</c:v>
                </c:pt>
                <c:pt idx="235">
                  <c:v>6.95</c:v>
                </c:pt>
                <c:pt idx="236">
                  <c:v>6.82</c:v>
                </c:pt>
                <c:pt idx="237">
                  <c:v>6.62</c:v>
                </c:pt>
                <c:pt idx="238">
                  <c:v>6.66</c:v>
                </c:pt>
                <c:pt idx="239">
                  <c:v>7.07</c:v>
                </c:pt>
                <c:pt idx="240">
                  <c:v>8.2100000000000009</c:v>
                </c:pt>
                <c:pt idx="241">
                  <c:v>8.33</c:v>
                </c:pt>
                <c:pt idx="242">
                  <c:v>8.24</c:v>
                </c:pt>
                <c:pt idx="243">
                  <c:v>8.15</c:v>
                </c:pt>
                <c:pt idx="244">
                  <c:v>8.52</c:v>
                </c:pt>
                <c:pt idx="245">
                  <c:v>8.2899999999999991</c:v>
                </c:pt>
                <c:pt idx="246">
                  <c:v>8.15</c:v>
                </c:pt>
                <c:pt idx="247">
                  <c:v>8.0299999999999994</c:v>
                </c:pt>
                <c:pt idx="248">
                  <c:v>7.91</c:v>
                </c:pt>
                <c:pt idx="249">
                  <c:v>7.8</c:v>
                </c:pt>
                <c:pt idx="250">
                  <c:v>7.75</c:v>
                </c:pt>
                <c:pt idx="251">
                  <c:v>7.38</c:v>
                </c:pt>
                <c:pt idx="252">
                  <c:v>6.79</c:v>
                </c:pt>
                <c:pt idx="253">
                  <c:v>6.81</c:v>
                </c:pt>
                <c:pt idx="254">
                  <c:v>7.04</c:v>
                </c:pt>
                <c:pt idx="255">
                  <c:v>6.92</c:v>
                </c:pt>
                <c:pt idx="256">
                  <c:v>7.15</c:v>
                </c:pt>
                <c:pt idx="257">
                  <c:v>7.55</c:v>
                </c:pt>
                <c:pt idx="258">
                  <c:v>7.63</c:v>
                </c:pt>
                <c:pt idx="259">
                  <c:v>7.94</c:v>
                </c:pt>
                <c:pt idx="260">
                  <c:v>7.82</c:v>
                </c:pt>
                <c:pt idx="261">
                  <c:v>7.85</c:v>
                </c:pt>
                <c:pt idx="262">
                  <c:v>7.74</c:v>
                </c:pt>
                <c:pt idx="263">
                  <c:v>7.91</c:v>
                </c:pt>
                <c:pt idx="264">
                  <c:v>6.99</c:v>
                </c:pt>
                <c:pt idx="265">
                  <c:v>7.04</c:v>
                </c:pt>
                <c:pt idx="266">
                  <c:v>7.13</c:v>
                </c:pt>
                <c:pt idx="267">
                  <c:v>7.14</c:v>
                </c:pt>
                <c:pt idx="268">
                  <c:v>7.14</c:v>
                </c:pt>
                <c:pt idx="269">
                  <c:v>7</c:v>
                </c:pt>
                <c:pt idx="270">
                  <c:v>6.95</c:v>
                </c:pt>
                <c:pt idx="271">
                  <c:v>6.92</c:v>
                </c:pt>
                <c:pt idx="272">
                  <c:v>6.72</c:v>
                </c:pt>
                <c:pt idx="273">
                  <c:v>6.71</c:v>
                </c:pt>
                <c:pt idx="274">
                  <c:v>6.87</c:v>
                </c:pt>
                <c:pt idx="275">
                  <c:v>6.74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0E-419D-9C4F-697E141E8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9802632"/>
        <c:axId val="819799680"/>
      </c:scatterChart>
      <c:valAx>
        <c:axId val="819802632"/>
        <c:scaling>
          <c:orientation val="minMax"/>
          <c:min val="3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799680"/>
        <c:crosses val="autoZero"/>
        <c:crossBetween val="midCat"/>
      </c:valAx>
      <c:valAx>
        <c:axId val="81979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802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236561</xdr:colOff>
      <xdr:row>7</xdr:row>
      <xdr:rowOff>155800</xdr:rowOff>
    </xdr:from>
    <xdr:to>
      <xdr:col>23</xdr:col>
      <xdr:colOff>543508</xdr:colOff>
      <xdr:row>19</xdr:row>
      <xdr:rowOff>74764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74375F-8D0F-47A2-B8F1-4F405B699A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463944</xdr:colOff>
      <xdr:row>4</xdr:row>
      <xdr:rowOff>8225</xdr:rowOff>
    </xdr:from>
    <xdr:to>
      <xdr:col>15</xdr:col>
      <xdr:colOff>511078</xdr:colOff>
      <xdr:row>18</xdr:row>
      <xdr:rowOff>104300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568978-3E0A-459C-B09F-5C23E7DC4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pencer Flindt" refreshedDate="45977.619506365743" createdVersion="8" refreshedVersion="8" minRefreshableVersion="3" recordCount="134" xr:uid="{9B16B7CD-DCFF-48F1-B938-E104ED3DB3AA}">
  <cacheSource type="worksheet">
    <worksheetSource ref="A1:AB989" sheet="sale_data"/>
  </cacheSource>
  <cacheFields count="35">
    <cacheField name="zpid" numFmtId="0">
      <sharedItems containsBlank="1"/>
    </cacheField>
    <cacheField name="rawHomeStatusCd" numFmtId="0">
      <sharedItems containsBlank="1"/>
    </cacheField>
    <cacheField name="homeStatusForHDP" numFmtId="0">
      <sharedItems containsBlank="1"/>
    </cacheField>
    <cacheField name="homeStatus" numFmtId="0">
      <sharedItems containsBlank="1" count="2">
        <s v="FOR_SALE"/>
        <m/>
      </sharedItems>
    </cacheField>
    <cacheField name="homeType" numFmtId="0">
      <sharedItems containsBlank="1" count="2">
        <s v="MULTI_FAMILY"/>
        <m/>
      </sharedItems>
    </cacheField>
    <cacheField name="address" numFmtId="0">
      <sharedItems containsBlank="1" count="244">
        <s v="1249 E Sierra Way S, Salt Lake City, UT 84106"/>
        <s v="1021 E Millbert Ave, Salt Lake City, UT 84106"/>
        <s v="728 E Empire Ave S, Salt Lake City, UT 84106"/>
        <s v="3346 S 700 E, South Salt Lake, UT 84106"/>
        <s v="815 E White Maple Way, Salt Lake City, UT 84106"/>
        <s v="4401 S 700 E, Millcreek, UT 84107"/>
        <s v="1309 Hidden Creek Ct, Salt Lake City, UT 84117"/>
        <s v="3366 S 700 E, South Salt Lake, UT 84106"/>
        <s v="4468 S Manor Ridge Pl E #19, Salt Lake City, UT 84124"/>
        <s v="1756 E Water Pine Ct #106, Holladay, UT 84117"/>
        <s v="3605 S 900 E, Salt Lake City, UT 84106"/>
        <s v="751 E Scott Ave, Millcreek, UT 84106"/>
        <s v="3532 S 900 E, Salt Lake City, UT 84106"/>
        <s v="1752 E Water Pine Ct #107, Holladay, UT 84117"/>
        <s v="182 N N St, Salt Lake City, UT 84103"/>
        <s v="609 E 6th Ave, Salt Lake City, UT 84103"/>
        <s v="692 N Cortez St, Salt Lake City, UT 84103"/>
        <s v="803 E 6th Ave N, Salt Lake City, UT 84103"/>
        <s v="155 E 2nd Ave, Salt Lake City, UT 84103"/>
        <s v="221 L St, Salt Lake City, UT 84103"/>
        <s v="240 N Spencer Ct, Salt Lake City, UT 84103"/>
        <s v="679 E 2nd Ave N, Salt Lake City, UT 84103"/>
        <s v="288 E 10th Ave, Salt Lake City, UT 84103"/>
        <s v="64 N F St, Salt Lake City, UT 84103"/>
        <s v="1127 E South Temple S, Salt Lake City, UT 84102"/>
        <s v="906 E 3rd Ave, Salt Lake City, UT 84103"/>
        <s v="465 E 6th Ave, Salt Lake City, UT 84103"/>
        <s v="64 F St, Salt Lake City, UT 84103"/>
        <s v="475 N Wall St, Salt Lake City, UT 84103"/>
        <s v="146 E 2nd Ave, Salt Lake City, UT 84103"/>
        <s v="694 N West Capitol St W, Salt Lake City, UT 84103"/>
        <s v="365 S Elizabeth St, Salt Lake City, UT 84102"/>
        <s v="563 S Denver St, Salt Lake City, UT 84111"/>
        <s v="1815 E Hillcrest Ave, Salt Lake City, UT 84106"/>
        <s v="1150 E 500 S, Salt Lake City, UT 84102"/>
        <s v="1914 S 1300 E, Salt Lake City, UT 84105"/>
        <s v="1902 S Main St, Salt Lake City, UT 84115"/>
        <s v="564 E 800 S, Salt Lake City, UT 84102"/>
        <s v="779 S 400 E, Salt Lake City, UT 84111"/>
        <s v="1612 S 500 E, Salt Lake City, UT 84105"/>
        <s v="504 S 900 E, Salt Lake City, UT 84102"/>
        <s v="936 E 1700 S, Salt Lake City, UT 84105"/>
        <s v="694 N West Capitol St, Salt Lake City, UT 84103"/>
        <s v="1712 S 900 E #2D74EC46B, Salt Lake City, UT 84105"/>
        <s v="1229 S Emery St, Salt Lake City, UT 84104"/>
        <s v="1838 E Hillcrest Ave, Salt Lake City, UT 84106"/>
        <s v="745 S 600 E, Salt Lake City, UT 84102"/>
        <s v="606 W North Temple, Salt Lake City, UT 84116"/>
        <s v="509 E 800 S, Salt Lake City, UT 84102"/>
        <s v="714 S 600 E, Salt Lake City, UT 84102"/>
        <s v="1252 E Driggs Ave, Salt Lake City, UT 84106"/>
        <s v="1260 E Emerson Ave, Salt Lake City, UT 84105"/>
        <s v="1145 E Kensington Ave, Salt Lake City, UT 84105"/>
        <s v="2200 S Wasatch Dr, Salt Lake City, UT 84109"/>
        <s v="351 S 300 E, Salt Lake City, UT 84111"/>
        <s v="538 S 800 E, Salt Lake City, UT 84102"/>
        <s v="1027 E Emerson Ave S, Salt Lake City, UT 84105"/>
        <s v="363 S 900 W, Salt Lake City, UT 84104"/>
        <s v="1169 E 200 S, Salt Lake City, UT 84102"/>
        <s v="3321 S Valcrest Dr, West Valley City, UT 84119"/>
        <s v="1099 S 900 E, Salt Lake City, UT 84105"/>
        <s v="1314 E Crandall Ave, Salt Lake City, UT 84106"/>
        <s v="1769 S Foothill Dr, Salt Lake City, UT 84108"/>
        <s v="548 N Redwood Rd W, Salt Lake City, UT 84116"/>
        <s v="3431 S Hillsdale Dr, West Valley City, UT 84119"/>
        <s v="1843 S 900 E, Salt Lake City, UT 84105"/>
        <s v="3428 S 300 E, Salt Lake City, UT 84115"/>
        <s v="2689 S 500 E, Salt Lake City, UT 84106"/>
        <s v="1175 S 300 E, Salt Lake City, UT 84111"/>
        <s v="2339 S Derby St, West Valley City, UT 84119"/>
        <s v="2483 W Robin Rd, West Valley City, UT 84119"/>
        <s v="2692 S Preston St, Salt Lake City, UT 84106"/>
        <s v="1361 S 1000 W, Salt Lake City, UT 84104"/>
        <s v="1330 S 1100 E, Salt Lake City, UT 84105"/>
        <s v="359 E 900 S, Salt Lake City, UT 84111"/>
        <s v="1978 S Windsor St, Salt Lake City, UT 84105"/>
        <s v="1326 S Green St E, Salt Lake City, UT 84105"/>
        <s v="2876 W 2730 S, West Valley City, UT 84119"/>
        <s v="228 S 900 E, Salt Lake City, UT 84102"/>
        <s v="1237 S Lake St E, Salt Lake City, UT 84105"/>
        <s v="275 W 500 N, Salt Lake City, UT 84103"/>
        <s v="215 S 300 E, Salt Lake City, UT 84111"/>
        <s v="435 S 900 W, Salt Lake City, UT 84104"/>
        <s v="1155 E 200 S, Salt Lake City, UT 84102"/>
        <s v="828 E Logan Ave S, Salt Lake City, UT 84105"/>
        <s v="1860 S 1600 E, Salt Lake City, UT 84105"/>
        <s v="850 S Lake St, Salt Lake City, UT 84105"/>
        <s v="350 E Mansfield Ave, Salt Lake City, UT 84115"/>
        <s v="862 E Menlo Ave, Salt Lake City, UT 84102"/>
        <s v="2754 W 3835 S, West Valley City, UT 84119"/>
        <s v="807 S 500 E, Salt Lake City, UT 84102"/>
        <s v="1195 S 800 W, Salt Lake City, UT 84104"/>
        <s v="1470 S Edison St, Salt Lake City, UT 84115"/>
        <s v="653 E 300 S, Salt Lake City, UT 84102"/>
        <s v="1162 E 400 S, Salt Lake City, UT 84102"/>
        <s v="161 S 900 E, Salt Lake City, UT 84102"/>
        <s v="2530 S Parkcrest Dr, West Valley City, UT 84119"/>
        <s v="778 N 300 W, Salt Lake City, UT 84103"/>
        <s v="2795 S Imperial St, Salt Lake City, UT 84106"/>
        <s v="416 E Scott Ave, Salt Lake City, UT 84115"/>
        <s v="1019 E 1700 S, Salt Lake City, UT 84105"/>
        <s v="1401 S 300 E, Salt Lake City, UT 84115"/>
        <s v="2519 S 300 E, Salt Lake City, UT 84115"/>
        <s v="458 E Lambourne Ave, Salt Lake City, UT 84115"/>
        <s v="376 E Broadway St, Salt Lake City, UT 84111"/>
        <s v="2870 W 3100 S, West Valley City, UT 84119"/>
        <s v="3139 S 300 E, Salt Lake City, UT 84115"/>
        <s v="465 E 3300 S, Salt Lake City, UT 84115"/>
        <s v="1436 S Roberta St E, Salt Lake City, UT 84115"/>
        <s v="182 E Kelsey Ave, Salt Lake City, UT 84111"/>
        <s v="311 E 3360 S, Salt Lake City, UT 84115"/>
        <s v="2544 S 200 E, South Salt Lake, UT 84115"/>
        <s v="2487 S 800 E, Salt Lake City, UT 84106"/>
        <s v="266 S 900 W, Salt Lake City, UT 84104"/>
        <s v="261 N Redwood Rd W #1, Salt Lake City, UT 84116"/>
        <s v="72 N Chicago St, Salt Lake City, UT 84116"/>
        <s v="1966 S Windsor St, Salt Lake City, UT 84105"/>
        <s v="2241 N 1060 W, Provo, UT 84604"/>
        <s v="398 N 2380 W, Provo, UT 84601"/>
        <s v="215 S 400 W, Provo, UT 84601"/>
        <s v="159 S 900 W, Provo, UT 84601"/>
        <s v="2149 S Nevada Ave #A-D, Provo, UT 84606"/>
        <s v="1939 N 700 W, Provo, UT 84604"/>
        <s v="270 S 900 W #2, Provo, UT 84601"/>
        <s v="2823 N Marrcrest E, Provo, UT 84604"/>
        <s v="932 N 1760 W, Provo, UT 84604"/>
        <s v="489 S 500 E, Provo, UT 84606"/>
        <s v="466 N 200 E, Provo, UT 84606"/>
        <s v="168 S 300 E, Provo, UT 84606"/>
        <s v="491 S Freedom Blvd #104-204, Provo, UT 84606"/>
        <s v="810 N 600 W, Provo, UT 84604"/>
        <s v="1531 S 450th St E, Orem, UT 84058"/>
        <s v="1021 W 100 N, Provo, UT 84601"/>
        <m/>
        <s v="1363 E 4170 S, Millcreek, UT 84124" u="1"/>
        <s v="1089 E Sagehill Dr, Salt Lake City, UT 84124" u="1"/>
        <s v="841 E White Maple Way, Salt Lake City, UT 84106" u="1"/>
        <s v="4211 S 1300 E, Millcreek, UT 84124" u="1"/>
        <s v="4372 S 900 E, Salt Lake City, UT 84124" u="1"/>
        <s v="833 E Whitemaple Way #MGRMMRGGR, Salt Lake City, UT 84106" u="1"/>
        <s v="4360 S 900 E, Salt Lake City, UT 84124" u="1"/>
        <s v="3915 Feramorz Dr, Salt Lake City, UT 84124" u="1"/>
        <s v="4222 S 1100 E, Millcreek, UT 84124" u="1"/>
        <s v="877 E 4900 S, Salt Lake City, UT 84107" u="1"/>
        <s v="602 N De Soto St, Salt Lake City, UT 84103" u="1"/>
        <s v="152 E 3rd Ave N, Salt Lake City, UT 84103" u="1"/>
        <s v="423 E 1st Ave, Salt Lake City, UT 84103" u="1"/>
        <s v="827 E 100 S, Salt Lake City, UT 84102" u="1"/>
        <s v="48 E 200 N, Salt Lake City, UT 84103" u="1"/>
        <s v="136 S 700 E #2, Salt Lake City, UT 84102" u="1"/>
        <s v="537 N Darwin St W, Salt Lake City, UT 84103" u="1"/>
        <s v="173 N K St E, Salt Lake City, UT 84103" u="1"/>
        <s v="1124 E 100 S, Salt Lake City, UT 84102" u="1"/>
        <s v="359 S 1100 E, Salt Lake City, UT 84102" u="1"/>
        <s v="1582 E Zenith Ave S, Salt Lake City, UT 84106" u="1"/>
        <s v="1190 S 800 E, Salt Lake City, UT 84105" u="1"/>
        <s v="2500 S 700 E, Salt Lake City, UT 84106" u="1"/>
        <s v="237 S 800 E, Salt Lake City, UT 84102" u="1"/>
        <s v="1067 S 400 E, Salt Lake City, UT 84111" u="1"/>
        <s v="956 N 1300 W, Salt Lake City, UT 84116" u="1"/>
        <s v="216 N 800 W, Salt Lake City, UT 84116" u="1"/>
        <s v="222 W Broadway St S, Salt Lake City, UT 84101" u="1"/>
        <s v="1318 E 300 S, Salt Lake City, UT 84102" u="1"/>
        <s v="1075 S Jeremy St, Salt Lake City, UT 84104" u="1"/>
        <s v="3780 S 3520 W, West Valley City, UT 84119" u="1"/>
        <s v="2780 E 3300 S, Salt Lake City, UT 84109" u="1"/>
        <s v="1354 S 1100 E, Salt Lake City, UT 84105" u="1"/>
        <s v="862 E Menlo Ave S, Salt Lake City, UT 84102" u="1"/>
        <s v="938 E Lowell Ave, Salt Lake City, UT 84102" u="1"/>
        <s v="625 E 200 S UNIT 1, Salt Lake City, UT 84102" u="1"/>
        <s v="2331 S 600 E #A &amp; B, Salt Lake City, UT 84106" u="1"/>
        <s v="2346 S 1440 W #2346, West Valley City, UT 84119" u="1"/>
        <s v="1444 S Beacon Dr E, Salt Lake City, UT 84108" u="1"/>
        <s v="2331 S Park St, Salt Lake City, UT 84106" u="1"/>
        <s v="1495 S 200 E, Salt Lake City, UT 84115" u="1"/>
        <s v="1365 W 1300 S, Salt Lake City, UT 84104" u="1"/>
        <s v="172 W Clinton Ave, Salt Lake City, UT 84103" u="1"/>
        <s v="3201 S Hammonton Cir, West Valley City, UT 84119" u="1"/>
        <s v="1116 E 400 S, Salt Lake City, UT 84102" u="1"/>
        <s v="1888 W New York Dr N, Salt Lake City, UT 84116" u="1"/>
        <s v="1871 W Lake Park Dr S, West Valley City, UT 84119" u="1"/>
        <s v="241 N 800 W, Salt Lake City, UT 84116" u="1"/>
        <s v="349 E Coatsville Ave S, Salt Lake City, UT 84115" u="1"/>
        <s v="385 N 1200 W, Salt Lake City, UT 84116" u="1"/>
        <s v="268 W 700 N, Salt Lake City, UT 84103" u="1"/>
        <s v="567 S 800 E, Salt Lake City, UT 84102" u="1"/>
        <s v="672 N 200 W, Salt Lake City, UT 84103" u="1"/>
        <s v="1711 W 400 N, Salt Lake City, UT 84116" u="1"/>
        <s v="1471 W 900 S, Salt Lake City, UT 84104" u="1"/>
        <s v="716 N 300 W, Salt Lake City, UT 84103" u="1"/>
        <s v="Homes Available Soon, theIRIS" u="1"/>
        <s v="691 E 1600 S, Orem, UT 84097" u="1"/>
        <s v="32 E 300 S, Provo, UT 84606" u="1"/>
        <s v="630 N 1100 W, Provo, UT 84601" u="1"/>
        <s v="687 E 1600 S, Orem, UT 84097" u="1"/>
        <s v="513 E Normandy Dr, Provo, UT 84604" u="1"/>
        <s v="319 E 100 N, Provo, UT 84606" u="1"/>
        <s v="355 S 300 E, Provo, UT 84606" u="1"/>
        <s v="657 N 1100 E, Provo, UT 84606" u="1"/>
        <s v="985 S 600 W, Provo, UT 84601" u="1"/>
        <s v="1550 S Main St, Orem, UT 84058" u="1"/>
        <s v="870 W 300 S, Provo, UT 84601" u="1"/>
        <s v="289 N 700 E, Provo, UT 84606" u="1"/>
        <s v="2052 N 940 W, Provo, UT 84604" u="1"/>
        <s v="142 N 100 E, Provo, UT 84606" u="1"/>
        <s v="2036 E Lambourne Ave, Millcreek, UT 84109" u="1"/>
        <s v="1783 E Bermondsey Ct, Holladay, UT 84117" u="1"/>
        <s v="563 E 1st Ave, Salt Lake City, UT 84103" u="1"/>
        <s v="86 N F St, Salt Lake City, UT 84103" u="1"/>
        <s v="427 E 1st Ave, Salt Lake City, UT 84103" u="1"/>
        <s v="22 W 300 N, Salt Lake City, UT 84103" u="1"/>
        <s v="136 S 700 E #1, Salt Lake City, UT 84102" u="1"/>
        <s v="673 E 6th Ave N, Salt Lake City, UT 84103" u="1"/>
        <s v="257 E 2nd Ave, Salt Lake City, UT 84103" u="1"/>
        <s v="241 S 1200 E, Salt Lake City, UT 84102" u="1"/>
        <s v="3503 W Lancer Way S, West Valley City, UT 84119" u="1"/>
        <s v="2594 S Elizabeth St E, Salt Lake City, UT 84106" u="1"/>
        <s v="2172 S 800 E, Salt Lake City, UT 84106" u="1"/>
        <s v="370 E Scott Ave, Salt Lake City, UT 84115" u="1"/>
        <s v="1309 E 400 S, Salt Lake City, UT 84102" u="1"/>
        <s v="733 E Linden Ave, Salt Lake City, UT 84102" u="1"/>
        <s v="915 S 900 E, Salt Lake City, UT 84105" u="1"/>
        <s v="629 S 400 E, Salt Lake City, UT 84111" u="1"/>
        <s v="352 E Hampton Ave S, Salt Lake City, UT 84111" u="1"/>
        <s v="810 E Bryan Ave, Salt Lake City, UT 84105" u="1"/>
        <s v="344 E Utopia Ave, South Salt Lake, UT 84115" u="1"/>
        <s v="1229 S 800 E, Salt Lake City, UT 84105" u="1"/>
        <s v="363 E Downington Ave, Salt Lake City, UT 84115" u="1"/>
        <s v="535 N Grant St, Salt Lake City, UT 84116" u="1"/>
        <s v="1035 W Wenco Dr, Salt Lake City, UT 84104" u="1"/>
        <s v="1140 E Elgin Ave S, Salt Lake City, UT 84106" u="1"/>
        <s v="221 E 2100 S, Salt Lake City, UT 84171" u="1"/>
        <s v="442 N 100 E, Provo, UT 84606" u="1"/>
        <s v="427 E 1070 S, Orem, UT 84097" u="1"/>
        <s v="432 S 100 E, Provo, UT 84606" u="1"/>
        <s v="1588 S 705 E, Orem, UT 84097" u="1"/>
        <s v="1351 Westbridge Cir, Provo, UT 84601" u="1"/>
        <s v="339 S 600 W, Provo, UT 84601" u="1"/>
        <s v="129 N 1100 W, Provo, UT 84601" u="1"/>
        <s v="358 W 400 S, Provo, UT 84601" u="1"/>
        <s v="161 W 200 S, Provo, UT 84601" u="1"/>
        <s v="358 E 100 N, Provo, UT 84606" u="1"/>
        <s v="1955 N 750 W, Provo, UT 84604" u="1"/>
        <s v="1408 W Westbridge Dr, Provo, UT 84601" u="1"/>
      </sharedItems>
    </cacheField>
    <cacheField name="addressZipcode" numFmtId="0">
      <sharedItems containsBlank="1" count="22">
        <s v="84106"/>
        <s v="84107"/>
        <s v="84117"/>
        <s v="84124"/>
        <s v="84103"/>
        <s v="84102"/>
        <s v="84111"/>
        <s v="84105"/>
        <s v="84115"/>
        <s v="84104"/>
        <s v="84116"/>
        <s v="84109"/>
        <s v="84119"/>
        <s v="84108"/>
        <s v="84604"/>
        <s v="84601"/>
        <s v="84606"/>
        <s v="84058"/>
        <m/>
        <s v="84101" u="1"/>
        <s v="84097" u="1"/>
        <s v="84171" u="1"/>
      </sharedItems>
    </cacheField>
    <cacheField name="addressCity" numFmtId="0">
      <sharedItems containsBlank="1" count="8">
        <s v="Salt Lake City"/>
        <s v="South Salt Lake"/>
        <s v="Millcreek"/>
        <s v="Holladay"/>
        <s v="West Valley City"/>
        <s v="Provo"/>
        <s v="Orem"/>
        <m/>
      </sharedItems>
    </cacheField>
    <cacheField name="addressState" numFmtId="0">
      <sharedItems containsBlank="1"/>
    </cacheField>
    <cacheField name="latitude" numFmtId="0">
      <sharedItems containsString="0" containsBlank="1" containsNumber="1" minValue="40.204773000000003" maxValue="40.786247000000003"/>
    </cacheField>
    <cacheField name="longitude" numFmtId="0">
      <sharedItems containsString="0" containsBlank="1" containsNumber="1" minValue="-111.96956" maxValue="-111.61442599999999"/>
    </cacheField>
    <cacheField name="detailUrl" numFmtId="0">
      <sharedItems containsBlank="1" count="244">
        <s v="https://www.zillow.com/homedetails/1249-E-Sierra-Way-S-Salt-Lake-City-UT-84106/2071487064_zpid/"/>
        <s v="https://www.zillow.com/homedetails/1021-E-Millbert-Ave-Salt-Lake-City-UT-84106/12790416_zpid/"/>
        <s v="https://www.zillow.com/homedetails/728-E-Empire-Ave-S-Salt-Lake-City-UT-84106/2072768525_zpid/"/>
        <s v="https://www.zillow.com/homedetails/3346-S-700-E-South-Salt-Lake-UT-84106/12786812_zpid/"/>
        <s v="https://www.zillow.com/homedetails/815-E-White-Maple-Way-Salt-Lake-City-UT-84106/12790388_zpid/"/>
        <s v="https://www.zillow.com/homedetails/4401-S-700-E-Millcreek-UT-84107/12854231_zpid/"/>
        <s v="https://www.zillow.com/homedetails/1309-Hidden-Creek-Ct-Salt-Lake-City-UT-84117/12858462_zpid/"/>
        <s v="https://www.zillow.com/homedetails/3366-S-700-E-South-Salt-Lake-UT-84106/12786814_zpid/"/>
        <s v="https://www.zillow.com/homedetails/4468-S-Manor-Ridge-Pl-E-19-Salt-Lake-City-UT-84124/2072623349_zpid/"/>
        <s v="https://www.zillow.com/homedetails/1756-E-Water-Pine-Ct-106-Holladay-UT-84117/457658909_zpid/"/>
        <s v="https://www.zillow.com/homedetails/3605-S-900-E-Salt-Lake-City-UT-84106/2071960249_zpid/"/>
        <s v="https://www.zillow.com/homedetails/751-E-Scott-Ave-Millcreek-UT-84106/305058922_zpid/"/>
        <s v="https://www.zillow.com/homedetails/3532-S-900-E-Salt-Lake-City-UT-84106/2069834554_zpid/"/>
        <s v="https://www.zillow.com/homedetails/1752-E-Water-Pine-Ct-107-Holladay-UT-84117/457664204_zpid/"/>
        <s v="https://www.zillow.com/homedetails/182-N-N-St-Salt-Lake-City-UT-84103/2054779738_zpid/"/>
        <s v="https://www.zillow.com/homedetails/609-E-6th-Ave-Salt-Lake-City-UT-84103/305056306_zpid/"/>
        <s v="https://www.zillow.com/homedetails/692-N-Cortez-St-Salt-Lake-City-UT-84103/12717625_zpid/"/>
        <s v="https://www.zillow.com/homedetails/803-E-6th-Ave-N-Salt-Lake-City-UT-84103/457411105_zpid/"/>
        <s v="https://www.zillow.com/homedetails/155-E-2nd-Ave-Salt-Lake-City-UT-84103/457759632_zpid/"/>
        <s v="https://www.zillow.com/homedetails/221-L-St-Salt-Lake-City-UT-84103/457554835_zpid/"/>
        <s v="https://www.zillow.com/homedetails/240-N-Spencer-Ct-Salt-Lake-City-UT-84103/12718744_zpid/"/>
        <s v="https://www.zillow.com/homedetails/679-E-2nd-Ave-N-Salt-Lake-City-UT-84103/2072852614_zpid/"/>
        <s v="https://www.zillow.com/homedetails/288-E-10th-Ave-Salt-Lake-City-UT-84103/305056208_zpid/"/>
        <s v="https://www.zillow.com/homedetails/64-N-F-St-Salt-Lake-City-UT-84103/305056275_zpid/"/>
        <s v="https://www.zillow.com/homedetails/1127-E-South-Temple-S-Salt-Lake-City-UT-84102/449590119_zpid/"/>
        <s v="https://www.zillow.com/homedetails/906-E-3rd-Ave-Salt-Lake-City-UT-84103/305056345_zpid/"/>
        <s v="https://www.zillow.com/homedetails/465-E-6th-Ave-Salt-Lake-City-UT-84103/12719546_zpid/"/>
        <s v="https://www.zillow.com/homedetails/64-F-St-Salt-Lake-City-UT-84103/2111734021_zpid/"/>
        <s v="https://www.zillow.com/homedetails/475-N-Wall-St-Salt-Lake-City-UT-84103/2056043816_zpid/"/>
        <s v="https://www.zillow.com/homedetails/146-E-2nd-Ave-Salt-Lake-City-UT-84103/448903538_zpid/"/>
        <s v="https://www.zillow.com/homedetails/694-N-West-Capitol-St-W-Salt-Lake-City-UT-84103/2078110535_zpid/"/>
        <s v="https://www.zillow.com/homedetails/365-S-Elizabeth-St-Salt-Lake-City-UT-84102/141868419_zpid/"/>
        <s v="https://www.zillow.com/homedetails/563-S-Denver-St-Salt-Lake-City-UT-84111/305058059_zpid/"/>
        <s v="https://www.zillow.com/homedetails/1815-E-Hillcrest-Ave-Salt-Lake-City-UT-84106/12777839_zpid/"/>
        <s v="https://www.zillow.com/homedetails/1150-E-500-S-Salt-Lake-City-UT-84102/2072954111_zpid/"/>
        <s v="https://www.zillow.com/homedetails/1914-S-1300-E-Salt-Lake-City-UT-84105/12771200_zpid/"/>
        <s v="https://www.zillow.com/homedetails/1902-S-Main-St-Salt-Lake-City-UT-84115/455517659_zpid/"/>
        <s v="https://www.zillow.com/homedetails/564-E-800-S-Salt-Lake-City-UT-84102/12757225_zpid/"/>
        <s v="https://www.zillow.com/homedetails/779-S-400-E-Salt-Lake-City-UT-84111/12756455_zpid/"/>
        <s v="https://www.zillow.com/homedetails/1612-S-500-E-Salt-Lake-City-UT-84105/12772179_zpid/"/>
        <s v="https://www.zillow.com/homedetails/504-S-900-E-Salt-Lake-City-UT-84102/12754434_zpid/"/>
        <s v="https://www.zillow.com/homedetails/936-E-1700-S-Salt-Lake-City-UT-84105/296672784_zpid/"/>
        <s v="https://www.zillow.com/homedetails/694-N-West-Capitol-St-Salt-Lake-City-UT-84103/2067184166_zpid/"/>
        <s v="https://www.zillow.com/homedetails/1712-S-900-E-2D74EC46B-Salt-Lake-City-UT-84105/450199489_zpid/"/>
        <s v="https://www.zillow.com/homedetails/1229-S-Emery-St-Salt-Lake-City-UT-84104/12739350_zpid/"/>
        <s v="https://www.zillow.com/homedetails/1838-E-Hillcrest-Ave-Salt-Lake-City-UT-84106/12777941_zpid/"/>
        <s v="https://www.zillow.com/homedetails/745-S-600-E-Salt-Lake-City-UT-84102/12756964_zpid/"/>
        <s v="https://www.zillow.com/homedetails/606-W-North-Temple-Salt-Lake-City-UT-84116/446037534_zpid/"/>
        <s v="https://www.zillow.com/homedetails/509-E-800-S-Salt-Lake-City-UT-84102/305058100_zpid/"/>
        <s v="https://www.zillow.com/homedetails/714-S-600-E-Salt-Lake-City-UT-84102/12756939_zpid/"/>
        <s v="https://www.zillow.com/homedetails/1252-E-Driggs-Ave-Salt-Lake-City-UT-84106/12775486_zpid/"/>
        <s v="https://www.zillow.com/homedetails/1260-E-Emerson-Ave-Salt-Lake-City-UT-84105/305058405_zpid/"/>
        <s v="https://www.zillow.com/homedetails/1145-E-Kensington-Ave-Salt-Lake-City-UT-84105/12769747_zpid/"/>
        <s v="https://www.zillow.com/homedetails/2200-S-Wasatch-Dr-Salt-Lake-City-UT-84109/12779572_zpid/"/>
        <s v="https://www.zillow.com/homedetails/351-S-300-E-Salt-Lake-City-UT-84111/141869764_zpid/"/>
        <s v="https://www.zillow.com/homedetails/538-S-800-E-Salt-Lake-City-UT-84102/12754309_zpid/"/>
        <s v="https://www.zillow.com/homedetails/1027-E-Emerson-Ave-S-Salt-Lake-City-UT-84105/2069353394_zpid/"/>
        <s v="https://www.zillow.com/homedetails/363-S-900-W-Salt-Lake-City-UT-84104/12736628_zpid/"/>
        <s v="https://www.zillow.com/homedetails/1169-E-200-S-Salt-Lake-City-UT-84102/2129868447_zpid/"/>
        <s v="https://www.zillow.com/homedetails/3321-S-Valcrest-Dr-West-Valley-City-UT-84119/12745498_zpid/"/>
        <s v="https://www.zillow.com/homedetails/1099-S-900-E-Salt-Lake-City-UT-84105/2070086984_zpid/"/>
        <s v="https://www.zillow.com/homedetails/1314-E-Crandall-Ave-Salt-Lake-City-UT-84106/12783602_zpid/"/>
        <s v="https://www.zillow.com/homedetails/1769-S-Foothill-Dr-Salt-Lake-City-UT-84108/12765918_zpid/"/>
        <s v="https://www.zillow.com/homedetails/548-N-Redwood-Rd-W-Salt-Lake-City-UT-84116/2069403483_zpid/"/>
        <s v="https://www.zillow.com/homedetails/3431-S-Hillsdale-Dr-West-Valley-City-UT-84119/12744174_zpid/"/>
        <s v="https://www.zillow.com/homedetails/1843-S-900-E-Salt-Lake-City-UT-84105/305058432_zpid/"/>
        <s v="https://www.zillow.com/homedetails/3428-S-300-E-Salt-Lake-City-UT-84115/141900680_zpid/"/>
        <s v="https://www.zillow.com/homedetails/2689-S-500-E-Salt-Lake-City-UT-84106/456968277_zpid/"/>
        <s v="https://www.zillow.com/homedetails/1175-S-300-E-Salt-Lake-City-UT-84111/305058154_zpid/"/>
        <s v="https://www.zillow.com/homedetails/2339-S-Derby-St-West-Valley-City-UT-84119/12741902_zpid/"/>
        <s v="https://www.zillow.com/homedetails/2483-W-Robin-Rd-West-Valley-City-UT-84119/12744286_zpid/"/>
        <s v="https://www.zillow.com/homedetails/2692-S-Preston-St-Salt-Lake-City-UT-84106/12778275_zpid/"/>
        <s v="https://www.zillow.com/homedetails/1361-S-1000-W-Salt-Lake-City-UT-84104/448481083_zpid/"/>
        <s v="https://www.zillow.com/homedetails/1330-S-1100-E-Salt-Lake-City-UT-84105/2067895645_zpid/"/>
        <s v="https://www.zillow.com/homedetails/359-E-900-S-Salt-Lake-City-UT-84111/305058103_zpid/"/>
        <s v="https://www.zillow.com/homedetails/1978-S-Windsor-St-Salt-Lake-City-UT-84105/12770679_zpid/"/>
        <s v="https://www.zillow.com/homedetails/1326-S-Green-St-E-Salt-Lake-City-UT-84105/2071958599_zpid/"/>
        <s v="https://www.zillow.com/homedetails/2876-W-2730-S-West-Valley-City-UT-84119/12743335_zpid/"/>
        <s v="https://www.zillow.com/homedetails/228-S-900-E-Salt-Lake-City-UT-84102/2069452025_zpid/"/>
        <s v="https://www.zillow.com/homedetails/1237-S-Lake-St-E-Salt-Lake-City-UT-84105/2072768030_zpid/"/>
        <s v="https://www.zillow.com/homedetails/275-W-500-N-Salt-Lake-City-UT-84103/2086478311_zpid/"/>
        <s v="https://www.zillow.com/homedetails/215-S-300-E-Salt-Lake-City-UT-84111/447546849_zpid/"/>
        <s v="https://www.zillow.com/homedetails/435-S-900-W-Salt-Lake-City-UT-84104/339788697_zpid/"/>
        <s v="https://www.zillow.com/homedetails/1155-E-200-S-Salt-Lake-City-UT-84102/457834492_zpid/"/>
        <s v="https://www.zillow.com/homedetails/828-E-Logan-Ave-S-Salt-Lake-City-UT-84105/448294568_zpid/"/>
        <s v="https://www.zillow.com/homedetails/1860-S-1600-E-Salt-Lake-City-UT-84105/12767993_zpid/"/>
        <s v="https://www.zillow.com/homedetails/850-S-Lake-St-Salt-Lake-City-UT-84105/305058187_zpid/"/>
        <s v="https://www.zillow.com/homedetails/350-E-Mansfield-Ave-Salt-Lake-City-UT-84115/141900771_zpid/"/>
        <s v="https://www.zillow.com/homedetails/862-E-Menlo-Ave-Salt-Lake-City-UT-84102/12753475_zpid/"/>
        <s v="https://www.zillow.com/homedetails/2754-W-3835-S-West-Valley-City-UT-84119/333158912_zpid/"/>
        <s v="https://www.zillow.com/homedetails/807-S-500-E-Salt-Lake-City-UT-84102/305058123_zpid/"/>
        <s v="https://www.zillow.com/homedetails/1195-S-800-W-Salt-Lake-City-UT-84104/12739734_zpid/"/>
        <s v="https://www.zillow.com/homedetails/1470-S-Edison-St-Salt-Lake-City-UT-84115/305058480_zpid/"/>
        <s v="https://www.zillow.com/homedetails/653-E-300-S-Salt-Lake-City-UT-84102/2071449994_zpid/"/>
        <s v="https://www.zillow.com/homedetails/1162-E-400-S-Salt-Lake-City-UT-84102/2057508524_zpid/"/>
        <s v="https://www.zillow.com/homedetails/161-S-900-E-Salt-Lake-City-UT-84102/448393500_zpid/"/>
        <s v="https://www.zillow.com/homedetails/2530-S-Parkcrest-Dr-West-Valley-City-UT-84119/141854429_zpid/"/>
        <s v="https://www.zillow.com/homedetails/778-N-300-W-Salt-Lake-City-UT-84103/2070079252_zpid/"/>
        <s v="https://www.zillow.com/homedetails/2795-S-Imperial-St-Salt-Lake-City-UT-84106/12784155_zpid/"/>
        <s v="https://www.zillow.com/homedetails/416-E-Scott-Ave-Salt-Lake-City-UT-84115/305059086_zpid/"/>
        <s v="https://www.zillow.com/homedetails/1019-E-1700-S-Salt-Lake-City-UT-84105/350304499_zpid/"/>
        <s v="https://www.zillow.com/homedetails/1401-S-300-E-Salt-Lake-City-UT-84115/2071381728_zpid/"/>
        <s v="https://www.zillow.com/homedetails/2519-S-300-E-Salt-Lake-City-UT-84115/2066606417_zpid/"/>
        <s v="https://www.zillow.com/homedetails/458-E-Lambourne-Ave-Salt-Lake-City-UT-84115/12788213_zpid/"/>
        <s v="https://www.zillow.com/homedetails/376-E-Broadway-St-Salt-Lake-City-UT-84111/452275124_zpid/"/>
        <s v="https://www.zillow.com/homedetails/2870-W-3100-S-West-Valley-City-UT-84119/12743620_zpid/"/>
        <s v="https://www.zillow.com/homedetails/3139-S-300-E-Salt-Lake-City-UT-84115/141900655_zpid/"/>
        <s v="https://www.zillow.com/homedetails/465-E-3300-S-Salt-Lake-City-UT-84115/83825002_zpid/"/>
        <s v="https://www.zillow.com/homedetails/1436-S-Roberta-St-E-Salt-Lake-City-UT-84115/2072633717_zpid/"/>
        <s v="https://www.zillow.com/homedetails/182-E-Kelsey-Ave-Salt-Lake-City-UT-84111/12757584_zpid/"/>
        <s v="https://www.zillow.com/homedetails/311-E-3360-S-Salt-Lake-City-UT-84115/141900683_zpid/"/>
        <s v="https://www.zillow.com/homedetails/2544-S-200-E-South-Salt-Lake-UT-84115/12774405_zpid/"/>
        <s v="https://www.zillow.com/homedetails/2487-S-800-E-Salt-Lake-City-UT-84106/12775602_zpid/"/>
        <s v="https://www.zillow.com/homedetails/266-S-900-W-Salt-Lake-City-UT-84104/12736020_zpid/"/>
        <s v="https://www.zillow.com/homedetails/261-N-Redwood-Rd-W-1-Salt-Lake-City-UT-84116/456077092_zpid/"/>
        <s v="https://www.zillow.com/homedetails/72-N-Chicago-St-Salt-Lake-City-UT-84116/446075585_zpid/"/>
        <s v="https://www.zillow.com/homedetails/1966-S-Windsor-St-Salt-Lake-City-UT-84105/145678295_zpid/"/>
        <s v="https://www.zillow.com/homedetails/2241-N-1060-W-Provo-UT-84604/11947258_zpid/"/>
        <s v="https://www.zillow.com/homedetails/398-N-2380-W-Provo-UT-84601/448842659_zpid/"/>
        <s v="https://www.zillow.com/homedetails/215-S-400-W-Provo-UT-84601/295331884_zpid/"/>
        <s v="https://www.zillow.com/homedetails/159-S-900-W-Provo-UT-84601/11888006_zpid/"/>
        <s v="https://www.zillow.com/homedetails/2149-S-Nevada-Ave-A-D-Provo-UT-84606/456947148_zpid/"/>
        <s v="https://www.zillow.com/homedetails/1939-N-700-W-Provo-UT-84604/11945268_zpid/"/>
        <s v="https://www.zillow.com/homedetails/270-S-900-W-2-Provo-UT-84601/2069383511_zpid/"/>
        <s v="https://www.zillow.com/homedetails/2823-N-Marrcrest-E-Provo-UT-84604/11933584_zpid/"/>
        <s v="https://www.zillow.com/homedetails/932-N-1760-W-Provo-UT-84604/51685122_zpid/"/>
        <s v="https://www.zillow.com/homedetails/489-S-500-E-Provo-UT-84606/11889043_zpid/"/>
        <s v="https://www.zillow.com/homedetails/466-N-200-E-Provo-UT-84606/295331206_zpid/"/>
        <s v="https://www.zillow.com/homedetails/168-S-300-E-Provo-UT-84606/11888781_zpid/"/>
        <s v="https://www.zillow.com/homedetails/491-S-Freedom-Blvd-104-204-Provo-UT-84606/241985957_zpid/"/>
        <s v="https://www.zillow.com/homedetails/810-N-600-W-Provo-UT-84604/11902043_zpid/"/>
        <s v="https://www.zillow.com/homedetails/1531-S-450th-St-E-Orem-UT-84058/2061726659_zpid/"/>
        <s v="https://www.zillow.com/homedetails/1021-W-100-N-Provo-UT-84601/11888150_zpid/"/>
        <m/>
        <s v="https://www.zillow.com/homedetails/1363-E-4170-S-Millcreek-UT-84124/12852767_zpid/" u="1"/>
        <s v="https://www.zillow.com/homedetails/1089-E-Sagehill-Dr-Salt-Lake-City-UT-84124/12854393_zpid/" u="1"/>
        <s v="https://www.zillow.com/homedetails/841-E-White-Maple-Way-Salt-Lake-City-UT-84106/12790391_zpid/" u="1"/>
        <s v="https://www.zillow.com/homedetails/4211-S-1300-E-Millcreek-UT-84124/12854469_zpid/" u="1"/>
        <s v="https://www.zillow.com/homedetails/4372-S-900-E-Salt-Lake-City-UT-84124/12854294_zpid/" u="1"/>
        <s v="https://www.zillow.com/homedetails/833-E-Whitemaple-Way-MGRMMRGGR-Salt-Lake-City-UT-84106/2077511878_zpid/" u="1"/>
        <s v="https://www.zillow.com/homedetails/4360-S-900-E-Salt-Lake-City-UT-84124/445559613_zpid/" u="1"/>
        <s v="https://www.zillow.com/homedetails/3915-Feramorz-Dr-Salt-Lake-City-UT-84124/345252370_zpid/" u="1"/>
        <s v="https://www.zillow.com/homedetails/4222-S-1100-E-Millcreek-UT-84124/12854388_zpid/" u="1"/>
        <s v="https://www.zillow.com/homedetails/877-E-4900-S-Salt-Lake-City-UT-84107/12857798_zpid/" u="1"/>
        <s v="https://www.zillow.com/homedetails/602-N-De-Soto-St-Salt-Lake-City-UT-84103/12717850_zpid/" u="1"/>
        <s v="https://www.zillow.com/homedetails/152-E-3rd-Ave-N-Salt-Lake-City-UT-84103/456787522_zpid/" u="1"/>
        <s v="https://www.zillow.com/homedetails/423-E-1st-Ave-Salt-Lake-City-UT-84103/2071474566_zpid/" u="1"/>
        <s v="https://www.zillow.com/homedetails/827-E-100-S-Salt-Lake-City-UT-84102/145098025_zpid/" u="1"/>
        <s v="https://www.zillow.com/homedetails/48-E-200-N-Salt-Lake-City-UT-84103/305056225_zpid/" u="1"/>
        <s v="https://www.zillow.com/homedetails/136-S-700-E-2-Salt-Lake-City-UT-84102/448298425_zpid/" u="1"/>
        <s v="https://www.zillow.com/homedetails/537-N-Darwin-St-W-Salt-Lake-City-UT-84103/2076597831_zpid/" u="1"/>
        <s v="https://www.zillow.com/homedetails/173-N-K-St-E-Salt-Lake-City-UT-84103/445494717_zpid/" u="1"/>
        <s v="https://www.zillow.com/homedetails/1124-E-100-S-Salt-Lake-City-UT-84102/2082205235_zpid/" u="1"/>
        <s v="https://www.zillow.com/homedetails/359-S-1100-E-Salt-Lake-City-UT-84102/12754576_zpid/" u="1"/>
        <s v="https://www.zillow.com/homedetails/1582-E-Zenith-Ave-S-Salt-Lake-City-UT-84106/456555895_zpid/" u="1"/>
        <s v="https://www.zillow.com/homedetails/1190-S-800-E-Salt-Lake-City-UT-84105/12759528_zpid/" u="1"/>
        <s v="https://www.zillow.com/homedetails/2500-S-700-E-Salt-Lake-City-UT-84106/12775496_zpid/" u="1"/>
        <s v="https://www.zillow.com/homedetails/237-S-800-E-Salt-Lake-City-UT-84102/305064930_zpid/" u="1"/>
        <s v="https://www.zillow.com/homedetails/1067-S-400-E-Salt-Lake-City-UT-84111/12757897_zpid/" u="1"/>
        <s v="https://www.zillow.com/homedetails/956-N-1300-W-Salt-Lake-City-UT-84116/12710800_zpid/" u="1"/>
        <s v="https://www.zillow.com/homedetails/216-N-800-W-Salt-Lake-City-UT-84116/145094430_zpid/" u="1"/>
        <s v="https://www.zillow.com/homedetails/222-W-Broadway-St-S-Salt-Lake-City-UT-84101/448167821_zpid/" u="1"/>
        <s v="https://www.zillow.com/homedetails/1318-E-300-S-Salt-Lake-City-UT-84102/12752792_zpid/" u="1"/>
        <s v="https://www.zillow.com/homedetails/1075-S-Jeremy-St-Salt-Lake-City-UT-84104/12739520_zpid/" u="1"/>
        <s v="https://www.zillow.com/homedetails/3780-S-3520-W-West-Valley-City-UT-84119/12749103_zpid/" u="1"/>
        <s v="https://www.zillow.com/homedetails/2780-E-3300-S-Salt-Lake-City-UT-84109/2095466542_zpid/" u="1"/>
        <s v="https://www.zillow.com/homedetails/1354-S-1100-E-Salt-Lake-City-UT-84105/2121863157_zpid/" u="1"/>
        <s v="https://www.zillow.com/homedetails/862-E-Menlo-Ave-S-Salt-Lake-City-UT-84102/450799311_zpid/" u="1"/>
        <s v="https://www.zillow.com/homedetails/938-E-Lowell-Ave-Salt-Lake-City-UT-84102/455792507_zpid/" u="1"/>
        <s v="https://www.zillow.com/homedetails/625-E-200-S-UNIT-1-Salt-Lake-City-UT-84102/72629800_zpid/" u="1"/>
        <s v="https://www.zillow.com/homedetails/2331-S-600-E-A-B-Salt-Lake-City-UT-84106/455574063_zpid/" u="1"/>
        <s v="https://www.zillow.com/homedetails/2346-S-1440-W-2346-West-Valley-City-UT-84119/455240827_zpid/" u="1"/>
        <s v="https://www.zillow.com/homedetails/1444-S-Beacon-Dr-E-Salt-Lake-City-UT-84108/445588024_zpid/" u="1"/>
        <s v="https://www.zillow.com/homedetails/2331-S-Park-St-Salt-Lake-City-UT-84106/12774280_zpid/" u="1"/>
        <s v="https://www.zillow.com/homedetails/1495-S-200-E-Salt-Lake-City-UT-84115/2091532370_zpid/" u="1"/>
        <s v="https://www.zillow.com/homedetails/1365-W-1300-S-Salt-Lake-City-UT-84104/12738239_zpid/" u="1"/>
        <s v="https://www.zillow.com/homedetails/172-W-Clinton-Ave-Salt-Lake-City-UT-84103/2063495645_zpid/" u="1"/>
        <s v="https://www.zillow.com/homedetails/3201-S-Hammonton-Cir-West-Valley-City-UT-84119/12742854_zpid/" u="1"/>
        <s v="https://www.zillow.com/homedetails/1116-E-400-S-Salt-Lake-City-UT-84102/12754777_zpid/" u="1"/>
        <s v="https://www.zillow.com/homedetails/1888-W-New-York-Dr-N-Salt-Lake-City-UT-84116/2072633873_zpid/" u="1"/>
        <s v="https://www.zillow.com/homedetails/1871-W-Lake-Park-Dr-S-West-Valley-City-UT-84119/2071563607_zpid/" u="1"/>
        <s v="https://www.zillow.com/homedetails/241-N-800-W-Salt-Lake-City-UT-84116/2072951549_zpid/" u="1"/>
        <s v="https://www.zillow.com/homedetails/349-E-Coatsville-Ave-S-Salt-Lake-City-UT-84115/456047686_zpid/" u="1"/>
        <s v="https://www.zillow.com/homedetails/385-N-1200-W-Salt-Lake-City-UT-84116/141823817_zpid/" u="1"/>
        <s v="https://www.zillow.com/homedetails/268-W-700-N-Salt-Lake-City-UT-84103/141819151_zpid/" u="1"/>
        <s v="https://www.zillow.com/homedetails/567-S-800-E-Salt-Lake-City-UT-84102/12754405_zpid/" u="1"/>
        <s v="https://www.zillow.com/homedetails/672-N-200-W-Salt-Lake-City-UT-84103/305055975_zpid/" u="1"/>
        <s v="https://www.zillow.com/homedetails/1711-W-400-N-Salt-Lake-City-UT-84116/12713894_zpid/" u="1"/>
        <s v="https://www.zillow.com/homedetails/1471-W-900-S-Salt-Lake-City-UT-84104/12737738_zpid/" u="1"/>
        <s v="https://www.zillow.com/homedetails/716-N-300-W-Salt-Lake-City-UT-84103/450440392_zpid/" u="1"/>
        <s v="https://www.zillow.com/community/theiris/455767093_zpid/" u="1"/>
        <s v="https://www.zillow.com/homedetails/691-E-1600-S-Orem-UT-84097/68837473_zpid/" u="1"/>
        <s v="https://www.zillow.com/homedetails/32-E-300-S-Provo-UT-84606/190541607_zpid/" u="1"/>
        <s v="https://www.zillow.com/homedetails/630-N-1100-W-Provo-UT-84601/11944925_zpid/" u="1"/>
        <s v="https://www.zillow.com/homedetails/687-E-1600-S-Orem-UT-84097/448451798_zpid/" u="1"/>
        <s v="https://www.zillow.com/homedetails/513-E-Normandy-Dr-Provo-UT-84604/11938818_zpid/" u="1"/>
        <s v="https://www.zillow.com/homedetails/319-E-100-N-Provo-UT-84606/295331158_zpid/" u="1"/>
        <s v="https://www.zillow.com/homedetails/355-S-300-E-Provo-UT-84606/295331112_zpid/" u="1"/>
        <s v="https://www.zillow.com/homedetails/657-N-1100-E-Provo-UT-84606/453833644_zpid/" u="1"/>
        <s v="https://www.zillow.com/homedetails/985-S-600-W-Provo-UT-84601/11949478_zpid/" u="1"/>
        <s v="https://www.zillow.com/homedetails/1550-S-Main-St-Orem-UT-84058/11900791_zpid/" u="1"/>
        <s v="https://www.zillow.com/homedetails/870-W-300-S-Provo-UT-84601/295330994_zpid/" u="1"/>
        <s v="https://www.zillow.com/homedetails/289-N-700-E-Provo-UT-84606/11902902_zpid/" u="1"/>
        <s v="https://www.zillow.com/homedetails/2052-N-940-W-Provo-UT-84604/11900437_zpid/" u="1"/>
        <s v="https://www.zillow.com/homedetails/142-N-100-E-Provo-UT-84606/295331152_zpid/" u="1"/>
        <s v="https://www.zillow.com/homedetails/2036-E-Lambourne-Ave-Millcreek-UT-84109/12782710_zpid/" u="1"/>
        <s v="https://www.zillow.com/homedetails/1783-E-Bermondsey-Ct-Holladay-UT-84117/348285412_zpid/" u="1"/>
        <s v="https://www.zillow.com/homedetails/563-E-1st-Ave-Salt-Lake-City-UT-84103/2055306881_zpid/" u="1"/>
        <s v="https://www.zillow.com/homedetails/86-N-F-St-Salt-Lake-City-UT-84103/305056276_zpid/" u="1"/>
        <s v="https://www.zillow.com/homedetails/427-E-1st-Ave-Salt-Lake-City-UT-84103/305056277_zpid/" u="1"/>
        <s v="https://www.zillow.com/homedetails/22-W-300-N-Salt-Lake-City-UT-84103/12716578_zpid/" u="1"/>
        <s v="https://www.zillow.com/homedetails/136-S-700-E-1-Salt-Lake-City-UT-84102/2053023875_zpid/" u="1"/>
        <s v="https://www.zillow.com/homedetails/673-E-6th-Ave-N-Salt-Lake-City-UT-84103/2059752021_zpid/" u="1"/>
        <s v="https://www.zillow.com/homedetails/257-E-2nd-Ave-Salt-Lake-City-UT-84103/305056290_zpid/" u="1"/>
        <s v="https://www.zillow.com/homedetails/241-S-1200-E-Salt-Lake-City-UT-84102/455350974_zpid/" u="1"/>
        <s v="https://www.zillow.com/homedetails/3503-W-Lancer-Way-S-West-Valley-City-UT-84119/455537507_zpid/" u="1"/>
        <s v="https://www.zillow.com/homedetails/2594-S-Elizabeth-St-E-Salt-Lake-City-UT-84106/453038394_zpid/" u="1"/>
        <s v="https://www.zillow.com/homedetails/2172-S-800-E-Salt-Lake-City-UT-84106/305058648_zpid/" u="1"/>
        <s v="https://www.zillow.com/homedetails/370-E-Scott-Ave-Salt-Lake-City-UT-84115/12788844_zpid/" u="1"/>
        <s v="https://www.zillow.com/homedetails/1309-E-400-S-Salt-Lake-City-UT-84102/70598896_zpid/" u="1"/>
        <s v="https://www.zillow.com/homedetails/733-E-Linden-Ave-Salt-Lake-City-UT-84102/12754138_zpid/" u="1"/>
        <s v="https://www.zillow.com/homedetails/915-S-900-E-Salt-Lake-City-UT-84105/305064990_zpid/" u="1"/>
        <s v="https://www.zillow.com/homedetails/629-S-400-E-Salt-Lake-City-UT-84111/12755933_zpid/" u="1"/>
        <s v="https://www.zillow.com/homedetails/352-E-Hampton-Ave-S-Salt-Lake-City-UT-84111/2069422692_zpid/" u="1"/>
        <s v="https://www.zillow.com/homedetails/810-E-Bryan-Ave-Salt-Lake-City-UT-84105/2115053754_zpid/" u="1"/>
        <s v="https://www.zillow.com/homedetails/344-E-Utopia-Ave-South-Salt-Lake-UT-84115/12773949_zpid/" u="1"/>
        <s v="https://www.zillow.com/homedetails/1229-S-800-E-Salt-Lake-City-UT-84105/141873219_zpid/" u="1"/>
        <s v="https://www.zillow.com/homedetails/363-E-Downington-Ave-Salt-Lake-City-UT-84115/12772869_zpid/" u="1"/>
        <s v="https://www.zillow.com/homedetails/535-N-Grant-St-Salt-Lake-City-UT-84116/304740600_zpid/" u="1"/>
        <s v="https://www.zillow.com/homedetails/1035-W-Wenco-Dr-Salt-Lake-City-UT-84104/12741074_zpid/" u="1"/>
        <s v="https://www.zillow.com/homedetails/1140-E-Elgin-Ave-S-Salt-Lake-City-UT-84106/447476158_zpid/" u="1"/>
        <s v="https://www.zillow.com/homedetails/221-E-2100-S-Salt-Lake-City-UT-84171/343975774_zpid/" u="1"/>
        <s v="https://www.zillow.com/homedetails/442-N-100-E-Provo-UT-84606/295331211_zpid/" u="1"/>
        <s v="https://www.zillow.com/homedetails/427-E-1070-S-Orem-UT-84097/295331469_zpid/" u="1"/>
        <s v="https://www.zillow.com/homedetails/432-S-100-E-Provo-UT-84606/295331105_zpid/" u="1"/>
        <s v="https://www.zillow.com/homedetails/1588-S-705-E-Orem-UT-84097/82722984_zpid/" u="1"/>
        <s v="https://www.zillow.com/homedetails/1351-Westbridge-Cir-Provo-UT-84601/82708429_zpid/" u="1"/>
        <s v="https://www.zillow.com/homedetails/339-S-600-W-Provo-UT-84601/2067767043_zpid/" u="1"/>
        <s v="https://www.zillow.com/homedetails/129-N-1100-W-Provo-UT-84601/11888566_zpid/" u="1"/>
        <s v="https://www.zillow.com/homedetails/358-W-400-S-Provo-UT-84601/295330988_zpid/" u="1"/>
        <s v="https://www.zillow.com/homedetails/161-W-200-S-Provo-UT-84601/295331007_zpid/" u="1"/>
        <s v="https://www.zillow.com/homedetails/358-E-100-N-Provo-UT-84606/11888833_zpid/" u="1"/>
        <s v="https://www.zillow.com/homedetails/1955-N-750-W-Provo-UT-84604/190543898_zpid/" u="1"/>
        <s v="https://www.zillow.com/homedetails/1408-W-Westbridge-Dr-Provo-UT-84601/79765959_zpid/" u="1"/>
      </sharedItems>
    </cacheField>
    <cacheField name="unformattedPrice" numFmtId="0">
      <sharedItems containsString="0" containsBlank="1" containsNumber="1" containsInteger="1" minValue="0" maxValue="27465000" count="201">
        <n v="600000"/>
        <n v="1140000"/>
        <n v="610000"/>
        <n v="615000"/>
        <n v="657000"/>
        <n v="950000"/>
        <n v="720000"/>
        <n v="629900"/>
        <n v="774900"/>
        <n v="1800000"/>
        <n v="1890000"/>
        <n v="1900000"/>
        <n v="850000"/>
        <n v="1000000"/>
        <n v="899000"/>
        <n v="750000"/>
        <n v="6400000"/>
        <n v="715000"/>
        <n v="3699000"/>
        <n v="1725000"/>
        <n v="1225000"/>
        <n v="960000"/>
        <n v="2750000"/>
        <n v="1175000"/>
        <n v="1100000"/>
        <n v="979000"/>
        <n v="2192000"/>
        <n v="4795000"/>
        <n v="645000"/>
        <n v="879000"/>
        <n v="1200000"/>
        <n v="685000"/>
        <n v="625000"/>
        <n v="999995"/>
        <n v="659000"/>
        <n v="550000"/>
        <n v="724900"/>
        <n v="649000"/>
        <n v="1375000"/>
        <n v="10580000"/>
        <n v="649900"/>
        <n v="834900"/>
        <n v="705000"/>
        <n v="6750000"/>
        <n v="749000"/>
        <n v="659900"/>
        <n v="999900"/>
        <n v="734999"/>
        <n v="700000"/>
        <n v="1450000"/>
        <n v="549000"/>
        <n v="1700000"/>
        <n v="602000"/>
        <n v="1250000"/>
        <n v="805000"/>
        <n v="885000"/>
        <n v="799000"/>
        <n v="599000"/>
        <n v="815000"/>
        <n v="925000"/>
        <n v="499900"/>
        <n v="530000"/>
        <n v="824900"/>
        <n v="1149000"/>
        <n v="485000"/>
        <n v="1799000"/>
        <n v="1300000"/>
        <n v="835000"/>
        <n v="2300000"/>
        <n v="789900"/>
        <n v="5300000"/>
        <n v="1550000"/>
        <n v="799900"/>
        <n v="1125000"/>
        <n v="699000"/>
        <n v="800000"/>
        <n v="1150000"/>
        <n v="460000"/>
        <n v="930000"/>
        <n v="2400000"/>
        <n v="490000"/>
        <n v="830000"/>
        <n v="5750000"/>
        <n v="779900"/>
        <n v="2200000"/>
        <n v="2125000"/>
        <n v="3800000"/>
        <n v="725000"/>
        <n v="1530000"/>
        <n v="869000"/>
        <n v="849900"/>
        <n v="605000"/>
        <n v="445000"/>
        <n v="2000000"/>
        <n v="990000"/>
        <n v="1070000"/>
        <n v="400000"/>
        <n v="399900"/>
        <n v="495000"/>
        <n v="1050000"/>
        <n v="389900"/>
        <n v="465000"/>
        <n v="435000"/>
        <n v="909000"/>
        <n v="847900"/>
        <n v="1399999"/>
        <n v="525000"/>
        <m/>
        <n v="729000" u="1"/>
        <n v="575000" u="1"/>
        <n v="10500000" u="1"/>
        <n v="27465000" u="1"/>
        <n v="1680000" u="1"/>
        <n v="735000" u="1"/>
        <n v="650000" u="1"/>
        <n v="825000" u="1"/>
        <n v="875000" u="1"/>
        <n v="719000" u="1"/>
        <n v="4850000" u="1"/>
        <n v="964000" u="1"/>
        <n v="3700000" u="1"/>
        <n v="979900" u="1"/>
        <n v="1880000" u="1"/>
        <n v="870000" u="1"/>
        <n v="894000" u="1"/>
        <n v="699999" u="1"/>
        <n v="898000" u="1"/>
        <n v="895000" u="1"/>
        <n v="6999900" u="1"/>
        <n v="740000" u="1"/>
        <n v="935000" u="1"/>
        <n v="4000000" u="1"/>
        <n v="820000" u="1"/>
        <n v="499000" u="1"/>
        <n v="410000" u="1"/>
        <n v="4250000" u="1"/>
        <n v="1350000" u="1"/>
        <n v="769000" u="1"/>
        <n v="629000" u="1"/>
        <n v="618000" u="1"/>
        <n v="1025000" u="1"/>
        <n v="564900" u="1"/>
        <n v="1995000" u="1"/>
        <n v="539500" u="1"/>
        <n v="1195000" u="1"/>
        <n v="3900000" u="1"/>
        <n v="995000" u="1"/>
        <n v="874999" u="1"/>
        <n v="900000" u="1"/>
        <n v="975000" u="1"/>
        <n v="2650000" u="1"/>
        <n v="1165000" u="1"/>
        <n v="559000" u="1"/>
        <n v="949000" u="1"/>
        <n v="0" u="1"/>
        <n v="489000" u="1"/>
        <n v="945000" u="1"/>
        <n v="884900" u="1"/>
        <n v="500000" u="1"/>
        <n v="475000" u="1"/>
        <n v="689000" u="1"/>
        <n v="899900" u="1"/>
        <n v="660000" u="1"/>
        <n v="998000" u="1"/>
        <n v="1970000" u="1"/>
        <n v="833499" u="1"/>
        <n v="985000" u="1"/>
        <n v="3999999" u="1"/>
        <n v="1275000" u="1"/>
        <n v="974000" u="1"/>
        <n v="4900000" u="1"/>
        <n v="2250000" u="1"/>
        <n v="599900" u="1"/>
        <n v="1099900" u="1"/>
        <n v="365000" u="1"/>
        <n v="1045000" u="1"/>
        <n v="628000" u="1"/>
        <n v="915000" u="1"/>
        <n v="920000" u="1"/>
        <n v="997995" u="1"/>
        <n v="510000" u="1"/>
        <n v="749900" u="1"/>
        <n v="729900" u="1"/>
        <n v="769500" u="1"/>
        <n v="1899000" u="1"/>
        <n v="1049000" u="1"/>
        <n v="560000" u="1"/>
        <n v="2199000" u="1"/>
        <n v="2490000" u="1"/>
        <n v="639900" u="1"/>
        <n v="545000" u="1"/>
        <n v="524900" u="1"/>
        <n v="539900" u="1"/>
        <n v="1795000" u="1"/>
        <n v="894900" u="1"/>
        <n v="769900" u="1"/>
        <n v="844000" u="1"/>
        <n v="540000" u="1"/>
        <n v="780000" u="1"/>
        <n v="639000" u="1"/>
        <n v="399000" u="1"/>
      </sharedItems>
    </cacheField>
    <cacheField name="beds" numFmtId="0">
      <sharedItems containsString="0" containsBlank="1" containsNumber="1" containsInteger="1" minValue="2" maxValue="120" count="26">
        <n v="4"/>
        <n v="8"/>
        <n v="6"/>
        <n v="2"/>
        <n v="3"/>
        <n v="16"/>
        <n v="13"/>
        <n v="5"/>
        <n v="30"/>
        <n v="11"/>
        <n v="10"/>
        <m/>
        <n v="28"/>
        <n v="7"/>
        <n v="40"/>
        <n v="22"/>
        <n v="27"/>
        <n v="20"/>
        <n v="24"/>
        <n v="9"/>
        <n v="18"/>
        <n v="26"/>
        <n v="23"/>
        <n v="12"/>
        <n v="56" u="1"/>
        <n v="120" u="1"/>
      </sharedItems>
    </cacheField>
    <cacheField name="baths" numFmtId="0">
      <sharedItems containsString="0" containsBlank="1" containsNumber="1" containsInteger="1" minValue="0" maxValue="50"/>
    </cacheField>
    <cacheField name="area" numFmtId="0">
      <sharedItems containsString="0" containsBlank="1" containsNumber="1" containsInteger="1" minValue="1" maxValue="29563"/>
    </cacheField>
    <cacheField name="zestimate" numFmtId="0">
      <sharedItems containsString="0" containsBlank="1" containsNumber="1" containsInteger="1" minValue="399400" maxValue="6483100"/>
    </cacheField>
    <cacheField name="rentZestimate" numFmtId="0">
      <sharedItems containsString="0" containsBlank="1" containsNumber="1" containsInteger="1" minValue="1064" maxValue="3997" count="305">
        <n v="2383"/>
        <n v="2537"/>
        <n v="2133"/>
        <n v="2188"/>
        <n v="1960"/>
        <n v="2560"/>
        <n v="2785"/>
        <n v="2013"/>
        <n v="2019"/>
        <m/>
        <n v="1798"/>
        <n v="1761"/>
        <n v="3034"/>
        <n v="2380"/>
        <n v="1758"/>
        <n v="2163"/>
        <n v="2222"/>
        <n v="1789"/>
        <n v="3300"/>
        <n v="2096"/>
        <n v="1302"/>
        <n v="3341"/>
        <n v="1942"/>
        <n v="2552"/>
        <n v="2546"/>
        <n v="3100"/>
        <n v="1529"/>
        <n v="2084"/>
        <n v="1961"/>
        <n v="2061"/>
        <n v="1694"/>
        <n v="2010"/>
        <n v="2193"/>
        <n v="2209"/>
        <n v="2152"/>
        <n v="3189"/>
        <n v="1904"/>
        <n v="2393"/>
        <n v="2125"/>
        <n v="2725"/>
        <n v="2192"/>
        <n v="2439"/>
        <n v="2098"/>
        <n v="1804"/>
        <n v="2717"/>
        <n v="1488"/>
        <n v="2263"/>
        <n v="1701"/>
        <n v="1939"/>
        <n v="1981"/>
        <n v="3179"/>
        <n v="2234"/>
        <n v="3054"/>
        <n v="1882"/>
        <n v="2208"/>
        <n v="1924"/>
        <n v="2260"/>
        <n v="3864"/>
        <n v="1975"/>
        <n v="1821"/>
        <n v="2490"/>
        <n v="2118"/>
        <n v="2195"/>
        <n v="3017"/>
        <n v="2159"/>
        <n v="1751"/>
        <n v="2041"/>
        <n v="3125"/>
        <n v="2245"/>
        <n v="1645"/>
        <n v="2151"/>
        <n v="1678"/>
        <n v="1616"/>
        <n v="2064"/>
        <n v="1721"/>
        <n v="3002"/>
        <n v="1825"/>
        <n v="2264"/>
        <n v="2052"/>
        <n v="1863"/>
        <n v="1555"/>
        <n v="2189"/>
        <n v="1877"/>
        <n v="1833"/>
        <n v="2712"/>
        <n v="1554"/>
        <n v="1417"/>
        <n v="2067"/>
        <n v="2303"/>
        <n v="1470"/>
        <n v="2270"/>
        <n v="2287"/>
        <n v="2806"/>
        <n v="2042"/>
        <n v="1765"/>
        <n v="2344"/>
        <n v="2194"/>
        <n v="1552"/>
        <n v="1891"/>
        <n v="2059"/>
        <n v="1280"/>
        <n v="1708"/>
        <n v="1626"/>
        <n v="1565"/>
        <n v="1404"/>
        <n v="1296"/>
        <n v="1508"/>
        <n v="2363"/>
        <n v="1769"/>
        <n v="1353"/>
        <n v="1831"/>
        <n v="1375"/>
        <n v="2365" u="1"/>
        <n v="2326" u="1"/>
        <n v="1697" u="1"/>
        <n v="2332" u="1"/>
        <n v="2165" u="1"/>
        <n v="2140" u="1"/>
        <n v="1723" u="1"/>
        <n v="2899" u="1"/>
        <n v="2290" u="1"/>
        <n v="1575" u="1"/>
        <n v="2394" u="1"/>
        <n v="2242" u="1"/>
        <n v="1982" u="1"/>
        <n v="2146" u="1"/>
        <n v="2219" u="1"/>
        <n v="2632" u="1"/>
        <n v="2389" u="1"/>
        <n v="3143" u="1"/>
        <n v="2148" u="1"/>
        <n v="2862" u="1"/>
        <n v="1805" u="1"/>
        <n v="2364" u="1"/>
        <n v="2549" u="1"/>
        <n v="2050" u="1"/>
        <n v="3770" u="1"/>
        <n v="2952" u="1"/>
        <n v="2336" u="1"/>
        <n v="2975" u="1"/>
        <n v="2268" u="1"/>
        <n v="1574" u="1"/>
        <n v="3592" u="1"/>
        <n v="2007" u="1"/>
        <n v="1899" u="1"/>
        <n v="1754" u="1"/>
        <n v="2220" u="1"/>
        <n v="2949" u="1"/>
        <n v="2768" u="1"/>
        <n v="1931" u="1"/>
        <n v="1935" u="1"/>
        <n v="1889" u="1"/>
        <n v="2370" u="1"/>
        <n v="2328" u="1"/>
        <n v="2094" u="1"/>
        <n v="2507" u="1"/>
        <n v="2934" u="1"/>
        <n v="1818" u="1"/>
        <n v="2962" u="1"/>
        <n v="2267" u="1"/>
        <n v="1737" u="1"/>
        <n v="1704" u="1"/>
        <n v="2541" u="1"/>
        <n v="1613" u="1"/>
        <n v="2373" u="1"/>
        <n v="3176" u="1"/>
        <n v="2116" u="1"/>
        <n v="2032" u="1"/>
        <n v="2398" u="1"/>
        <n v="1795" u="1"/>
        <n v="3039" u="1"/>
        <n v="3223" u="1"/>
        <n v="2306" u="1"/>
        <n v="1803" u="1"/>
        <n v="1595" u="1"/>
        <n v="1847" u="1"/>
        <n v="2054" u="1"/>
        <n v="2304" u="1"/>
        <n v="2353" u="1"/>
        <n v="1604" u="1"/>
        <n v="2513" u="1"/>
        <n v="1478" u="1"/>
        <n v="1666" u="1"/>
        <n v="2110" u="1"/>
        <n v="1319" u="1"/>
        <n v="2384" u="1"/>
        <n v="3810" u="1"/>
        <n v="2339" u="1"/>
        <n v="2120" u="1"/>
        <n v="1548" u="1"/>
        <n v="2553" u="1"/>
        <n v="1479" u="1"/>
        <n v="2153" u="1"/>
        <n v="2185" u="1"/>
        <n v="1775" u="1"/>
        <n v="2128" u="1"/>
        <n v="1601" u="1"/>
        <n v="2038" u="1"/>
        <n v="1829" u="1"/>
        <n v="1627" u="1"/>
        <n v="2043" u="1"/>
        <n v="1567" u="1"/>
        <n v="1681" u="1"/>
        <n v="1820" u="1"/>
        <n v="1303" u="1"/>
        <n v="1361" u="1"/>
        <n v="1484" u="1"/>
        <n v="1509" u="1"/>
        <n v="1337" u="1"/>
        <n v="2218" u="1"/>
        <n v="2321" u="1"/>
        <n v="2356" u="1"/>
        <n v="2000" u="1"/>
        <n v="3817" u="1"/>
        <n v="2700" u="1"/>
        <n v="2009" u="1"/>
        <n v="2708" u="1"/>
        <n v="1638" u="1"/>
        <n v="2825" u="1"/>
        <n v="3163" u="1"/>
        <n v="3146" u="1"/>
        <n v="2357" u="1"/>
        <n v="2502" u="1"/>
        <n v="2035" u="1"/>
        <n v="2871" u="1"/>
        <n v="3455" u="1"/>
        <n v="3463" u="1"/>
        <n v="3621" u="1"/>
        <n v="3113" u="1"/>
        <n v="1745" u="1"/>
        <n v="2869" u="1"/>
        <n v="1734" u="1"/>
        <n v="1816" u="1"/>
        <n v="1659" u="1"/>
        <n v="1461" u="1"/>
        <n v="2011" u="1"/>
        <n v="1779" u="1"/>
        <n v="1856" u="1"/>
        <n v="2472" u="1"/>
        <n v="2659" u="1"/>
        <n v="2139" u="1"/>
        <n v="2930" u="1"/>
        <n v="1450" u="1"/>
        <n v="2820" u="1"/>
        <n v="2828" u="1"/>
        <n v="2900" u="1"/>
        <n v="2703" u="1"/>
        <n v="1857" u="1"/>
        <n v="2742" u="1"/>
        <n v="2515" u="1"/>
        <n v="2047" u="1"/>
        <n v="1940" u="1"/>
        <n v="1978" u="1"/>
        <n v="3015" u="1"/>
        <n v="2706" u="1"/>
        <n v="3532" u="1"/>
        <n v="2709" u="1"/>
        <n v="1670" u="1"/>
        <n v="1298" u="1"/>
        <n v="2425" u="1"/>
        <n v="2271" u="1"/>
        <n v="1646" u="1"/>
        <n v="2786" u="1"/>
        <n v="2702" u="1"/>
        <n v="2191" u="1"/>
        <n v="2026" u="1"/>
        <n v="1785" u="1"/>
        <n v="2171" u="1"/>
        <n v="3997" u="1"/>
        <n v="2741" u="1"/>
        <n v="1782" u="1"/>
        <n v="2265" u="1"/>
        <n v="2313" u="1"/>
        <n v="1768" u="1"/>
        <n v="1511" u="1"/>
        <n v="2246" u="1"/>
        <n v="1944" u="1"/>
        <n v="2097" u="1"/>
        <n v="1686" u="1"/>
        <n v="1866" u="1"/>
        <n v="3253" u="1"/>
        <n v="1599" u="1"/>
        <n v="3165" u="1"/>
        <n v="1773" u="1"/>
        <n v="1757" u="1"/>
        <n v="1598" u="1"/>
        <n v="1851" u="1"/>
        <n v="2106" u="1"/>
        <n v="1498" u="1"/>
        <n v="2073" u="1"/>
        <n v="1830" u="1"/>
        <n v="1474" u="1"/>
        <n v="1064" u="1"/>
        <n v="1561" u="1"/>
        <n v="1756" u="1"/>
        <n v="1994" u="1"/>
        <n v="1799" u="1"/>
        <n v="1744" u="1"/>
        <n v="1974" u="1"/>
        <n v="1211" u="1"/>
        <n v="1657" u="1"/>
        <n v="1528" u="1"/>
        <n v="1473" u="1"/>
        <n v="1859" u="1"/>
        <n v="1920" u="1"/>
      </sharedItems>
    </cacheField>
    <cacheField name="taxAssessedValue" numFmtId="0">
      <sharedItems containsString="0" containsBlank="1" containsNumber="1" containsInteger="1" minValue="287600" maxValue="1289300"/>
    </cacheField>
    <cacheField name="DaysOnZillow" numFmtId="0">
      <sharedItems containsString="0" containsBlank="1" containsNumber="1" minValue="1.1549652777777779" maxValue="374.06459490740741"/>
    </cacheField>
    <cacheField name="city_tag" numFmtId="0">
      <sharedItems containsBlank="1" count="5">
        <s v="Millcreek"/>
        <s v="Avenues"/>
        <s v="Salt Lake City"/>
        <s v="Provo"/>
        <m/>
      </sharedItems>
    </cacheField>
    <cacheField name="Sq Ft Multiplier" numFmtId="0">
      <sharedItems containsString="0" containsBlank="1" containsNumber="1" minValue="112.28373702422149" maxValue="1070000"/>
    </cacheField>
    <cacheField name="Rent Multiplier" numFmtId="0">
      <sharedItems containsString="0" containsBlank="1" containsNumber="1" minValue="135.20833333333329" maxValue="1783.333333333333"/>
    </cacheField>
    <cacheField name="Taxes" numFmtId="0">
      <sharedItems containsString="0" containsBlank="1" containsNumber="1" minValue="146.21250000000001" maxValue="5201.833333333333"/>
    </cacheField>
    <cacheField name="Insurance" numFmtId="0">
      <sharedItems containsString="0" containsBlank="1" containsNumber="1" minValue="139.7141666666667" maxValue="3791.166666666667"/>
    </cacheField>
    <cacheField name="PMT" numFmtId="0">
      <sharedItems containsString="0" containsBlank="1" containsNumber="1" minValue="1886.9541272837621" maxValue="51202.807557481923"/>
    </cacheField>
    <cacheField name="PITI" numFmtId="0">
      <sharedItems containsString="0" containsBlank="1" containsNumber="1" minValue="2172.8807939504291" maxValue="60195.807557481923"/>
    </cacheField>
    <cacheField name="4plex est?" numFmtId="0">
      <sharedItems containsString="0" containsBlank="1" containsNumber="1" containsInteger="1" minValue="0" maxValue="1" count="3">
        <n v="0"/>
        <n v="1"/>
        <m/>
      </sharedItems>
    </cacheField>
    <cacheField name="Prop_Cat" numFmtId="0" formula="beds&amp;&quot;bed &quot;&amp;baths&amp;&quot;bath :&quot;&amp;area&amp;&quot;sqft&quot;" databaseField="0"/>
    <cacheField name="ReqDwnPmt" numFmtId="0" formula="unformattedPrice*0.25" databaseField="0"/>
    <cacheField name="ZRent_Multiplier" numFmtId="0" formula="unformattedPrice/rentZestimate" databaseField="0"/>
    <cacheField name="ZInv_GRM" numFmtId="0" formula="rentZestimate/unformattedPrice*1000" databaseField="0"/>
    <cacheField name="Rent Est." numFmtId="0" formula="beds*660" databaseField="0"/>
    <cacheField name="AvgRentMulti" numFmtId="0" formula=" IFERROR(AVERAGE('Rent Multiplier',ZRent_Multiplier),'Rent Multiplier')" databaseField="0"/>
    <cacheField name="SqFtMulti" numFmtId="0" formula="unformattedPrice/area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s v="2071487064"/>
    <s v="ForSale"/>
    <s v="FOR_SALE"/>
    <x v="0"/>
    <x v="0"/>
    <x v="0"/>
    <x v="0"/>
    <x v="0"/>
    <s v="UT"/>
    <n v="40.691676999999999"/>
    <n v="-111.85533"/>
    <x v="0"/>
    <x v="0"/>
    <x v="0"/>
    <n v="2"/>
    <n v="1568"/>
    <m/>
    <x v="0"/>
    <m/>
    <n v="2.1217361111111108"/>
    <x v="0"/>
    <n v="382.65306122448982"/>
    <n v="250"/>
    <n v="295"/>
    <n v="215"/>
    <n v="2903.75090118045"/>
    <n v="3413.75090118045"/>
    <x v="0"/>
  </r>
  <r>
    <s v="12790416"/>
    <s v="ForSale"/>
    <s v="FOR_SALE"/>
    <x v="0"/>
    <x v="0"/>
    <x v="1"/>
    <x v="0"/>
    <x v="0"/>
    <s v="UT"/>
    <n v="40.696506999999997"/>
    <n v="-111.86199999999999"/>
    <x v="1"/>
    <x v="1"/>
    <x v="1"/>
    <n v="4"/>
    <n v="4242"/>
    <n v="1108500"/>
    <x v="1"/>
    <n v="980000"/>
    <n v="34.064282407407397"/>
    <x v="0"/>
    <n v="268.74115983026871"/>
    <n v="237.5"/>
    <n v="560.5"/>
    <n v="408.5"/>
    <n v="5517.1267122428544"/>
    <n v="6486.1267122428544"/>
    <x v="1"/>
  </r>
  <r>
    <s v="2072768525"/>
    <s v="ForSale"/>
    <s v="FOR_SALE"/>
    <x v="0"/>
    <x v="0"/>
    <x v="2"/>
    <x v="0"/>
    <x v="0"/>
    <s v="UT"/>
    <n v="40.694389999999999"/>
    <n v="-111.87045000000001"/>
    <x v="2"/>
    <x v="2"/>
    <x v="0"/>
    <n v="2"/>
    <n v="1968"/>
    <n v="605100"/>
    <x v="2"/>
    <m/>
    <n v="10.52726851851852"/>
    <x v="0"/>
    <n v="309.95934959349592"/>
    <n v="254.16666666666671"/>
    <n v="299.91666666666669"/>
    <n v="218.58333333333329"/>
    <n v="2952.1467495334568"/>
    <n v="3470.6467495334568"/>
    <x v="0"/>
  </r>
  <r>
    <s v="12786812"/>
    <s v="ForSale"/>
    <s v="FOR_SALE"/>
    <x v="0"/>
    <x v="0"/>
    <x v="3"/>
    <x v="0"/>
    <x v="1"/>
    <s v="UT"/>
    <n v="40.698459999999997"/>
    <n v="-111.87179"/>
    <x v="3"/>
    <x v="3"/>
    <x v="2"/>
    <n v="2"/>
    <n v="1668"/>
    <n v="606900"/>
    <x v="3"/>
    <n v="464600"/>
    <n v="108.0657523148148"/>
    <x v="0"/>
    <n v="368.70503597122303"/>
    <n v="170.83333333333329"/>
    <n v="302.375"/>
    <n v="220.375"/>
    <n v="2976.3446737099612"/>
    <n v="3499.0946737099612"/>
    <x v="0"/>
  </r>
  <r>
    <s v="12790388"/>
    <s v="ForSale"/>
    <s v="FOR_SALE"/>
    <x v="0"/>
    <x v="0"/>
    <x v="4"/>
    <x v="0"/>
    <x v="0"/>
    <s v="UT"/>
    <n v="40.690437000000003"/>
    <n v="-111.86790999999999"/>
    <x v="4"/>
    <x v="3"/>
    <x v="0"/>
    <n v="2"/>
    <n v="1800"/>
    <n v="608100"/>
    <x v="4"/>
    <n v="471700"/>
    <n v="24.064629629629628"/>
    <x v="0"/>
    <n v="341.66666666666669"/>
    <n v="256.25"/>
    <n v="302.375"/>
    <n v="220.375"/>
    <n v="2976.3446737099612"/>
    <n v="3499.0946737099612"/>
    <x v="0"/>
  </r>
  <r>
    <s v="12854231"/>
    <s v="ForSale"/>
    <s v="FOR_SALE"/>
    <x v="0"/>
    <x v="0"/>
    <x v="5"/>
    <x v="1"/>
    <x v="2"/>
    <s v="UT"/>
    <n v="40.675710000000002"/>
    <n v="-111.87102"/>
    <x v="5"/>
    <x v="4"/>
    <x v="0"/>
    <n v="3"/>
    <n v="2048"/>
    <n v="656000"/>
    <x v="5"/>
    <n v="439200"/>
    <n v="96.759710648148143"/>
    <x v="0"/>
    <n v="320.80078125"/>
    <n v="273.75"/>
    <n v="323.02499999999998"/>
    <n v="235.42500000000001"/>
    <n v="3179.6072367925922"/>
    <n v="3738.057236792592"/>
    <x v="1"/>
  </r>
  <r>
    <s v="12858462"/>
    <s v="ForSale"/>
    <s v="FOR_SALE"/>
    <x v="0"/>
    <x v="0"/>
    <x v="6"/>
    <x v="2"/>
    <x v="0"/>
    <s v="UT"/>
    <n v="40.664496999999997"/>
    <n v="-111.85357"/>
    <x v="6"/>
    <x v="5"/>
    <x v="0"/>
    <n v="4"/>
    <n v="3423"/>
    <n v="935000"/>
    <x v="6"/>
    <n v="1001800"/>
    <n v="143.06533564814811"/>
    <x v="0"/>
    <n v="277.53432661408118"/>
    <n v="395.83333333333331"/>
    <n v="467.08333333333331"/>
    <n v="340.41666666666669"/>
    <n v="4597.6055935357108"/>
    <n v="5405.1055935357108"/>
    <x v="1"/>
  </r>
  <r>
    <s v="12786814"/>
    <s v="ForSale"/>
    <s v="FOR_SALE"/>
    <x v="0"/>
    <x v="0"/>
    <x v="7"/>
    <x v="0"/>
    <x v="1"/>
    <s v="UT"/>
    <n v="40.698129999999999"/>
    <n v="-111.87179"/>
    <x v="7"/>
    <x v="6"/>
    <x v="0"/>
    <n v="4"/>
    <n v="2200"/>
    <n v="708200"/>
    <x v="7"/>
    <n v="555600"/>
    <n v="13.064004629629631"/>
    <x v="0"/>
    <n v="327.27272727272731"/>
    <n v="300"/>
    <n v="354"/>
    <n v="258"/>
    <n v="3484.5010814165389"/>
    <n v="4096.5010814165389"/>
    <x v="1"/>
  </r>
  <r>
    <s v="2072623349"/>
    <s v="ForSale"/>
    <s v="FOR_SALE"/>
    <x v="0"/>
    <x v="0"/>
    <x v="8"/>
    <x v="3"/>
    <x v="0"/>
    <s v="UT"/>
    <n v="40.675020000000004"/>
    <n v="-111.85489"/>
    <x v="8"/>
    <x v="7"/>
    <x v="3"/>
    <n v="3"/>
    <n v="2600"/>
    <n v="624500"/>
    <x v="8"/>
    <m/>
    <n v="112.064537037037"/>
    <x v="0"/>
    <n v="242.2692307692308"/>
    <n v="524.91666666666663"/>
    <n v="309.70083333333332"/>
    <n v="225.7141666666667"/>
    <n v="3048.454487755941"/>
    <n v="3583.869487755941"/>
    <x v="0"/>
  </r>
  <r>
    <s v="457658909"/>
    <s v="ForSale"/>
    <s v="FOR_SALE"/>
    <x v="0"/>
    <x v="0"/>
    <x v="9"/>
    <x v="2"/>
    <x v="3"/>
    <s v="UT"/>
    <n v="40.661749999999998"/>
    <n v="-111.83512"/>
    <x v="9"/>
    <x v="8"/>
    <x v="4"/>
    <n v="3"/>
    <n v="1870"/>
    <n v="772000"/>
    <x v="9"/>
    <m/>
    <n v="24.06420138888889"/>
    <x v="0"/>
    <n v="414.38502673796791"/>
    <n v="430.5"/>
    <n v="380.99250000000001"/>
    <n v="277.67250000000001"/>
    <n v="3750.1942888745498"/>
    <n v="4408.8592888745497"/>
    <x v="1"/>
  </r>
  <r>
    <s v="2071960249"/>
    <s v="ForSale"/>
    <s v="FOR_SALE"/>
    <x v="0"/>
    <x v="0"/>
    <x v="10"/>
    <x v="0"/>
    <x v="0"/>
    <s v="UT"/>
    <n v="40.69294"/>
    <n v="-111.86499999999999"/>
    <x v="10"/>
    <x v="9"/>
    <x v="5"/>
    <n v="8"/>
    <n v="6032"/>
    <n v="1698000"/>
    <x v="10"/>
    <m/>
    <n v="26.064178240740741"/>
    <x v="0"/>
    <n v="298.40848806366051"/>
    <n v="187.5"/>
    <n v="885"/>
    <n v="645"/>
    <n v="8711.2527035413477"/>
    <n v="10241.25270354135"/>
    <x v="1"/>
  </r>
  <r>
    <s v="305058922"/>
    <s v="ForSale"/>
    <s v="FOR_SALE"/>
    <x v="0"/>
    <x v="0"/>
    <x v="11"/>
    <x v="0"/>
    <x v="2"/>
    <s v="UT"/>
    <n v="40.697069999999997"/>
    <n v="-111.86984"/>
    <x v="11"/>
    <x v="10"/>
    <x v="6"/>
    <n v="9"/>
    <n v="7220"/>
    <m/>
    <x v="11"/>
    <n v="432800"/>
    <n v="177.0656944444444"/>
    <x v="0"/>
    <n v="261.77285318559558"/>
    <n v="242.30769230769229"/>
    <n v="929.25"/>
    <n v="677.25"/>
    <n v="9146.8153387184138"/>
    <n v="10753.31533871841"/>
    <x v="1"/>
  </r>
  <r>
    <s v="2069834554"/>
    <s v="ForSale"/>
    <s v="FOR_SALE"/>
    <x v="0"/>
    <x v="0"/>
    <x v="12"/>
    <x v="0"/>
    <x v="0"/>
    <s v="UT"/>
    <n v="40.694369999999999"/>
    <n v="-111.866356"/>
    <x v="12"/>
    <x v="11"/>
    <x v="2"/>
    <n v="6"/>
    <n v="7073"/>
    <n v="1838700"/>
    <x v="12"/>
    <m/>
    <n v="48.065462962962961"/>
    <x v="0"/>
    <n v="268.6271737593666"/>
    <n v="527.77777777777783"/>
    <n v="934.16666666666663"/>
    <n v="680.83333333333337"/>
    <n v="9195.2111870714216"/>
    <n v="10810.21118707142"/>
    <x v="1"/>
  </r>
  <r>
    <s v="457664204"/>
    <s v="ForSale"/>
    <s v="FOR_SALE"/>
    <x v="0"/>
    <x v="0"/>
    <x v="13"/>
    <x v="2"/>
    <x v="3"/>
    <s v="UT"/>
    <n v="40.661749999999998"/>
    <n v="-111.83512"/>
    <x v="13"/>
    <x v="8"/>
    <x v="4"/>
    <n v="3"/>
    <n v="1870"/>
    <n v="772000"/>
    <x v="9"/>
    <m/>
    <n v="24.06420138888889"/>
    <x v="0"/>
    <n v="414.38502673796791"/>
    <n v="430.5"/>
    <n v="380.99250000000001"/>
    <n v="277.67250000000001"/>
    <n v="3750.1942888745498"/>
    <n v="4408.8592888745497"/>
    <x v="1"/>
  </r>
  <r>
    <s v="2054779738"/>
    <s v="ForSale"/>
    <s v="FOR_SALE"/>
    <x v="0"/>
    <x v="0"/>
    <x v="14"/>
    <x v="4"/>
    <x v="0"/>
    <s v="UT"/>
    <n v="40.773594000000003"/>
    <n v="-111.86375"/>
    <x v="14"/>
    <x v="12"/>
    <x v="7"/>
    <n v="3"/>
    <n v="2551"/>
    <n v="832800"/>
    <x v="13"/>
    <m/>
    <n v="18.063402777777782"/>
    <x v="1"/>
    <n v="333.20266562132502"/>
    <n v="283.33333333333331"/>
    <n v="417.91666666666669"/>
    <n v="304.58333333333331"/>
    <n v="4113.647110005636"/>
    <n v="4836.147110005636"/>
    <x v="1"/>
  </r>
  <r>
    <s v="305056306"/>
    <s v="ForSale"/>
    <s v="FOR_SALE"/>
    <x v="0"/>
    <x v="0"/>
    <x v="15"/>
    <x v="4"/>
    <x v="0"/>
    <s v="UT"/>
    <n v="40.776490000000003"/>
    <n v="-111.87108000000001"/>
    <x v="15"/>
    <x v="13"/>
    <x v="0"/>
    <n v="4"/>
    <n v="3468"/>
    <n v="969400"/>
    <x v="14"/>
    <n v="1067600"/>
    <n v="11.0633912037037"/>
    <x v="1"/>
    <n v="288.35063437139559"/>
    <n v="416.66666666666669"/>
    <n v="491.66666666666669"/>
    <n v="358.33333333333331"/>
    <n v="4839.5848353007486"/>
    <n v="5689.5848353007486"/>
    <x v="1"/>
  </r>
  <r>
    <s v="12717625"/>
    <s v="ForSale"/>
    <s v="FOR_SALE"/>
    <x v="0"/>
    <x v="0"/>
    <x v="16"/>
    <x v="4"/>
    <x v="0"/>
    <s v="UT"/>
    <n v="40.784202999999998"/>
    <n v="-111.88693000000001"/>
    <x v="16"/>
    <x v="14"/>
    <x v="0"/>
    <n v="2"/>
    <n v="2218"/>
    <n v="878200"/>
    <x v="15"/>
    <n v="739700"/>
    <n v="44.906087962962957"/>
    <x v="1"/>
    <n v="405.3201082055906"/>
    <n v="374.58333333333331"/>
    <n v="442.00833333333333"/>
    <n v="322.14166666666671"/>
    <n v="4350.7867669353727"/>
    <n v="5114.9367669353724"/>
    <x v="1"/>
  </r>
  <r>
    <s v="457411105"/>
    <s v="ForSale"/>
    <s v="FOR_SALE"/>
    <x v="0"/>
    <x v="0"/>
    <x v="17"/>
    <x v="4"/>
    <x v="0"/>
    <s v="UT"/>
    <n v="40.77637"/>
    <n v="-111.8653"/>
    <x v="17"/>
    <x v="15"/>
    <x v="0"/>
    <n v="2"/>
    <n v="1360"/>
    <n v="736500"/>
    <x v="9"/>
    <m/>
    <n v="32.065081018518519"/>
    <x v="1"/>
    <n v="551.47058823529414"/>
    <n v="312.5"/>
    <n v="368.75"/>
    <n v="268.75"/>
    <n v="3629.6886264755608"/>
    <n v="4267.1886264755613"/>
    <x v="1"/>
  </r>
  <r>
    <s v="457759632"/>
    <s v="ForSale"/>
    <s v="FOR_SALE"/>
    <x v="0"/>
    <x v="0"/>
    <x v="18"/>
    <x v="4"/>
    <x v="0"/>
    <s v="UT"/>
    <n v="40.772033999999998"/>
    <n v="-111.88472"/>
    <x v="18"/>
    <x v="16"/>
    <x v="5"/>
    <n v="16"/>
    <n v="9104"/>
    <n v="5985700"/>
    <x v="9"/>
    <m/>
    <n v="19.064409722222219"/>
    <x v="1"/>
    <n v="702.98769771528998"/>
    <n v="666.66666666666663"/>
    <n v="3146.666666666667"/>
    <n v="2293.333333333333"/>
    <n v="30973.342945924789"/>
    <n v="36413.342945924793"/>
    <x v="1"/>
  </r>
  <r>
    <s v="457554835"/>
    <s v="ForSale"/>
    <s v="FOR_SALE"/>
    <x v="0"/>
    <x v="0"/>
    <x v="19"/>
    <x v="4"/>
    <x v="0"/>
    <s v="UT"/>
    <n v="40.774639999999998"/>
    <n v="-111.86738"/>
    <x v="19"/>
    <x v="17"/>
    <x v="4"/>
    <n v="4"/>
    <n v="2000"/>
    <n v="702000"/>
    <x v="9"/>
    <m/>
    <n v="28.06444444444444"/>
    <x v="1"/>
    <n v="357.5"/>
    <n v="397.22222222222217"/>
    <n v="351.54166666666669"/>
    <n v="256.20833333333331"/>
    <n v="3460.303157240035"/>
    <n v="4068.053157240035"/>
    <x v="1"/>
  </r>
  <r>
    <s v="12718744"/>
    <s v="ForSale"/>
    <s v="FOR_SALE"/>
    <x v="0"/>
    <x v="0"/>
    <x v="20"/>
    <x v="4"/>
    <x v="0"/>
    <s v="UT"/>
    <n v="40.774949999999997"/>
    <n v="-111.88482999999999"/>
    <x v="20"/>
    <x v="18"/>
    <x v="8"/>
    <n v="22"/>
    <n v="14859"/>
    <m/>
    <x v="16"/>
    <n v="624000"/>
    <n v="228.06342592592591"/>
    <x v="1"/>
    <n v="248.94003634161109"/>
    <n v="205.5"/>
    <n v="1818.675"/>
    <n v="1325.4749999999999"/>
    <n v="17901.62430577747"/>
    <n v="21045.774305777471"/>
    <x v="1"/>
  </r>
  <r>
    <s v="2072852614"/>
    <s v="ForSale"/>
    <s v="FOR_SALE"/>
    <x v="0"/>
    <x v="0"/>
    <x v="21"/>
    <x v="4"/>
    <x v="0"/>
    <s v="UT"/>
    <n v="40.772033999999998"/>
    <n v="-111.869225"/>
    <x v="21"/>
    <x v="19"/>
    <x v="9"/>
    <n v="10"/>
    <n v="5287"/>
    <n v="1619400"/>
    <x v="17"/>
    <m/>
    <n v="43.065324074074077"/>
    <x v="1"/>
    <n v="326.2719878948364"/>
    <n v="261.36363636363637"/>
    <n v="848.125"/>
    <n v="618.125"/>
    <n v="8348.2838408937914"/>
    <n v="9814.5338408937914"/>
    <x v="1"/>
  </r>
  <r>
    <s v="305056208"/>
    <s v="ForSale"/>
    <s v="FOR_SALE"/>
    <x v="0"/>
    <x v="0"/>
    <x v="22"/>
    <x v="4"/>
    <x v="0"/>
    <s v="UT"/>
    <n v="40.780506000000003"/>
    <n v="-111.88079999999999"/>
    <x v="22"/>
    <x v="20"/>
    <x v="2"/>
    <n v="4"/>
    <n v="3820"/>
    <n v="1173700"/>
    <x v="18"/>
    <n v="1111100"/>
    <n v="67.065659722222222"/>
    <x v="1"/>
    <n v="320.68062827225128"/>
    <n v="340.27777777777783"/>
    <n v="602.29166666666663"/>
    <n v="438.95833333333331"/>
    <n v="5928.4914232434176"/>
    <n v="6969.7414232434176"/>
    <x v="1"/>
  </r>
  <r>
    <s v="305056275"/>
    <s v="ForSale"/>
    <s v="FOR_SALE"/>
    <x v="0"/>
    <x v="0"/>
    <x v="23"/>
    <x v="4"/>
    <x v="0"/>
    <s v="UT"/>
    <n v="40.771000000000001"/>
    <n v="-111.875755"/>
    <x v="23"/>
    <x v="21"/>
    <x v="2"/>
    <n v="4"/>
    <n v="3600"/>
    <n v="945700"/>
    <x v="19"/>
    <n v="733600"/>
    <n v="106.06527777777779"/>
    <x v="1"/>
    <n v="266.66666666666669"/>
    <n v="266.66666666666669"/>
    <n v="472"/>
    <n v="344"/>
    <n v="4646.0014418887185"/>
    <n v="5462.0014418887185"/>
    <x v="1"/>
  </r>
  <r>
    <s v="449590119"/>
    <s v="ForSale"/>
    <s v="FOR_SALE"/>
    <x v="0"/>
    <x v="0"/>
    <x v="24"/>
    <x v="5"/>
    <x v="0"/>
    <s v="UT"/>
    <n v="40.769350000000003"/>
    <n v="-111.85893"/>
    <x v="24"/>
    <x v="22"/>
    <x v="10"/>
    <n v="8"/>
    <n v="7607"/>
    <m/>
    <x v="9"/>
    <m/>
    <n v="222.06342592592591"/>
    <x v="1"/>
    <n v="361.50913632180891"/>
    <n v="458.33333333333331"/>
    <n v="1352.083333333333"/>
    <n v="985.41666666666663"/>
    <n v="13308.85829707706"/>
    <n v="15646.35829707706"/>
    <x v="1"/>
  </r>
  <r>
    <s v="305056345"/>
    <s v="ForSale"/>
    <s v="FOR_SALE"/>
    <x v="0"/>
    <x v="0"/>
    <x v="25"/>
    <x v="4"/>
    <x v="0"/>
    <s v="UT"/>
    <n v="40.772616999999997"/>
    <n v="-111.86219"/>
    <x v="25"/>
    <x v="23"/>
    <x v="2"/>
    <n v="4"/>
    <n v="3017"/>
    <n v="1140300"/>
    <x v="20"/>
    <n v="852300"/>
    <n v="125.0640509259259"/>
    <x v="1"/>
    <n v="389.45972820682789"/>
    <n v="326.38888888888891"/>
    <n v="577.70833333333337"/>
    <n v="421.04166666666669"/>
    <n v="5686.5121814783797"/>
    <n v="6685.2621814783797"/>
    <x v="1"/>
  </r>
  <r>
    <s v="12719546"/>
    <s v="ForSale"/>
    <s v="FOR_SALE"/>
    <x v="0"/>
    <x v="0"/>
    <x v="26"/>
    <x v="4"/>
    <x v="0"/>
    <s v="UT"/>
    <n v="40.776566000000003"/>
    <n v="-111.87536"/>
    <x v="26"/>
    <x v="24"/>
    <x v="2"/>
    <n v="4"/>
    <n v="3475"/>
    <n v="1063800"/>
    <x v="21"/>
    <n v="656900"/>
    <n v="11.0633912037037"/>
    <x v="1"/>
    <n v="316.54676258992811"/>
    <n v="305.55555555555549"/>
    <n v="540.83333333333337"/>
    <n v="394.16666666666669"/>
    <n v="5323.5433188308234"/>
    <n v="6258.5433188308234"/>
    <x v="1"/>
  </r>
  <r>
    <s v="2111734021"/>
    <s v="ForSale"/>
    <s v="FOR_SALE"/>
    <x v="0"/>
    <x v="0"/>
    <x v="27"/>
    <x v="4"/>
    <x v="0"/>
    <s v="UT"/>
    <n v="40.770960000000002"/>
    <n v="-111.87565600000001"/>
    <x v="27"/>
    <x v="25"/>
    <x v="11"/>
    <n v="0"/>
    <n v="3600"/>
    <n v="953100"/>
    <x v="22"/>
    <m/>
    <n v="66.086342592592587"/>
    <x v="1"/>
    <n v="271.94444444444451"/>
    <n v="1631.666666666667"/>
    <n v="481.34166666666658"/>
    <n v="350.80833333333328"/>
    <n v="4737.9535537594329"/>
    <n v="5570.1035537594335"/>
    <x v="1"/>
  </r>
  <r>
    <s v="2056043816"/>
    <s v="ForSale"/>
    <s v="FOR_SALE"/>
    <x v="0"/>
    <x v="0"/>
    <x v="28"/>
    <x v="4"/>
    <x v="0"/>
    <s v="UT"/>
    <n v="40.779803999999999"/>
    <n v="-111.89279999999999"/>
    <x v="28"/>
    <x v="26"/>
    <x v="5"/>
    <n v="8"/>
    <n v="7000"/>
    <n v="2009300"/>
    <x v="23"/>
    <m/>
    <n v="71.84600694444444"/>
    <x v="1"/>
    <n v="313.14285714285722"/>
    <n v="228.33333333333329"/>
    <n v="1077.7333333333329"/>
    <n v="785.4666666666667"/>
    <n v="10608.36995897924"/>
    <n v="12471.56995897924"/>
    <x v="1"/>
  </r>
  <r>
    <s v="448903538"/>
    <s v="ForSale"/>
    <s v="FOR_SALE"/>
    <x v="0"/>
    <x v="0"/>
    <x v="29"/>
    <x v="4"/>
    <x v="0"/>
    <s v="UT"/>
    <n v="40.771355"/>
    <n v="-111.88500999999999"/>
    <x v="29"/>
    <x v="27"/>
    <x v="12"/>
    <n v="21"/>
    <n v="14850"/>
    <m/>
    <x v="9"/>
    <m/>
    <n v="233.06461805555551"/>
    <x v="1"/>
    <n v="322.89562289562292"/>
    <n v="285.41666666666669"/>
    <n v="2357.541666666667"/>
    <n v="1718.208333333333"/>
    <n v="23205.809285267089"/>
    <n v="27281.559285267089"/>
    <x v="1"/>
  </r>
  <r>
    <s v="2078110535"/>
    <s v="ForSale"/>
    <s v="FOR_SALE"/>
    <x v="0"/>
    <x v="0"/>
    <x v="30"/>
    <x v="4"/>
    <x v="0"/>
    <s v="UT"/>
    <n v="40.784846999999999"/>
    <n v="-111.89469"/>
    <x v="30"/>
    <x v="28"/>
    <x v="3"/>
    <n v="2"/>
    <n v="1367"/>
    <n v="628600"/>
    <x v="24"/>
    <m/>
    <n v="3.134282407407408"/>
    <x v="2"/>
    <n v="471.83613752743241"/>
    <n v="537.5"/>
    <n v="317.125"/>
    <n v="231.125"/>
    <n v="3121.5322187689831"/>
    <n v="3669.7822187689831"/>
    <x v="0"/>
  </r>
  <r>
    <s v="141868419"/>
    <s v="ForSale"/>
    <s v="FOR_SALE"/>
    <x v="0"/>
    <x v="0"/>
    <x v="31"/>
    <x v="5"/>
    <x v="0"/>
    <s v="UT"/>
    <n v="40.761184999999998"/>
    <n v="-111.85792499999999"/>
    <x v="31"/>
    <x v="29"/>
    <x v="2"/>
    <n v="5"/>
    <n v="3072"/>
    <n v="847400"/>
    <x v="25"/>
    <n v="846400"/>
    <n v="106.8586458333333"/>
    <x v="2"/>
    <n v="286.1328125"/>
    <n v="244.16666666666671"/>
    <n v="432.17500000000001"/>
    <n v="314.97500000000002"/>
    <n v="4253.9950702293581"/>
    <n v="5001.1450702293578"/>
    <x v="1"/>
  </r>
  <r>
    <s v="305058059"/>
    <s v="ForSale"/>
    <s v="FOR_SALE"/>
    <x v="0"/>
    <x v="0"/>
    <x v="32"/>
    <x v="6"/>
    <x v="0"/>
    <s v="UT"/>
    <n v="40.756886000000002"/>
    <n v="-111.87811000000001"/>
    <x v="32"/>
    <x v="30"/>
    <x v="1"/>
    <n v="4"/>
    <n v="2422"/>
    <n v="1161000"/>
    <x v="26"/>
    <n v="1033900"/>
    <n v="1.1549652777777779"/>
    <x v="2"/>
    <n v="495.45829892650698"/>
    <n v="250"/>
    <n v="590"/>
    <n v="430"/>
    <n v="5807.5018023608991"/>
    <n v="6827.5018023608991"/>
    <x v="1"/>
  </r>
  <r>
    <s v="12777839"/>
    <s v="ForSale"/>
    <s v="FOR_SALE"/>
    <x v="0"/>
    <x v="0"/>
    <x v="33"/>
    <x v="0"/>
    <x v="0"/>
    <s v="UT"/>
    <n v="40.717019999999998"/>
    <n v="-111.839355"/>
    <x v="33"/>
    <x v="31"/>
    <x v="0"/>
    <n v="2"/>
    <n v="2466"/>
    <m/>
    <x v="27"/>
    <n v="655400"/>
    <n v="9.8127199074074074"/>
    <x v="2"/>
    <n v="277.77777777777783"/>
    <n v="285.41666666666669"/>
    <n v="336.79166666666669"/>
    <n v="245.45833333333329"/>
    <n v="3315.1156121810131"/>
    <n v="3897.3656121810131"/>
    <x v="1"/>
  </r>
  <r>
    <s v="2072954111"/>
    <s v="ForSale"/>
    <s v="FOR_SALE"/>
    <x v="0"/>
    <x v="0"/>
    <x v="34"/>
    <x v="5"/>
    <x v="0"/>
    <s v="UT"/>
    <n v="40.758113999999999"/>
    <n v="-111.85791999999999"/>
    <x v="34"/>
    <x v="24"/>
    <x v="7"/>
    <n v="5"/>
    <n v="2921"/>
    <n v="1056500"/>
    <x v="28"/>
    <m/>
    <n v="20.063437499999999"/>
    <x v="2"/>
    <n v="376.58336186237591"/>
    <n v="366.66666666666669"/>
    <n v="540.83333333333337"/>
    <n v="394.16666666666669"/>
    <n v="5323.5433188308234"/>
    <n v="6258.5433188308234"/>
    <x v="1"/>
  </r>
  <r>
    <s v="12771200"/>
    <s v="ForSale"/>
    <s v="FOR_SALE"/>
    <x v="0"/>
    <x v="0"/>
    <x v="35"/>
    <x v="7"/>
    <x v="0"/>
    <s v="UT"/>
    <n v="40.72842"/>
    <n v="-111.85432"/>
    <x v="35"/>
    <x v="32"/>
    <x v="4"/>
    <n v="2"/>
    <n v="1618"/>
    <n v="607000"/>
    <x v="29"/>
    <n v="504200"/>
    <n v="24.064675925925929"/>
    <x v="2"/>
    <n v="386.27935723114962"/>
    <n v="347.22222222222217"/>
    <n v="307.29166666666669"/>
    <n v="223.95833333333329"/>
    <n v="3024.740522062968"/>
    <n v="3555.990522062968"/>
    <x v="0"/>
  </r>
  <r>
    <s v="455517659"/>
    <s v="ForSale"/>
    <s v="FOR_SALE"/>
    <x v="0"/>
    <x v="0"/>
    <x v="36"/>
    <x v="8"/>
    <x v="0"/>
    <s v="UT"/>
    <n v="40.728897000000003"/>
    <n v="-111.89107"/>
    <x v="36"/>
    <x v="33"/>
    <x v="0"/>
    <n v="2"/>
    <n v="2748"/>
    <n v="994400"/>
    <x v="9"/>
    <m/>
    <n v="109.95902777777781"/>
    <x v="2"/>
    <n v="363.89919941775838"/>
    <n v="416.66458333333333"/>
    <n v="491.66420833333331"/>
    <n v="358.33154166666668"/>
    <n v="4839.5606373765713"/>
    <n v="5689.5563873765714"/>
    <x v="1"/>
  </r>
  <r>
    <s v="12757225"/>
    <s v="ForSale"/>
    <s v="FOR_SALE"/>
    <x v="0"/>
    <x v="0"/>
    <x v="37"/>
    <x v="5"/>
    <x v="0"/>
    <s v="UT"/>
    <n v="40.751860000000001"/>
    <n v="-111.87447"/>
    <x v="37"/>
    <x v="34"/>
    <x v="0"/>
    <n v="2"/>
    <n v="1920"/>
    <n v="648400"/>
    <x v="30"/>
    <n v="482900"/>
    <n v="21.03253472222222"/>
    <x v="2"/>
    <n v="343.22916666666669"/>
    <n v="274.58333333333331"/>
    <n v="324.00833333333333"/>
    <n v="236.14166666666671"/>
    <n v="3189.286406463194"/>
    <n v="3749.4364064631941"/>
    <x v="1"/>
  </r>
  <r>
    <s v="12756455"/>
    <s v="ForSale"/>
    <s v="FOR_SALE"/>
    <x v="0"/>
    <x v="0"/>
    <x v="38"/>
    <x v="6"/>
    <x v="0"/>
    <s v="UT"/>
    <n v="40.752197000000002"/>
    <n v="-111.879265"/>
    <x v="38"/>
    <x v="35"/>
    <x v="4"/>
    <n v="2"/>
    <n v="2314"/>
    <n v="547200"/>
    <x v="31"/>
    <n v="586700"/>
    <n v="200.06400462962961"/>
    <x v="2"/>
    <n v="237.6836646499568"/>
    <n v="305.55555555555549"/>
    <n v="270.41666666666669"/>
    <n v="197.08333333333329"/>
    <n v="2661.7716594154122"/>
    <n v="3129.2716594154122"/>
    <x v="0"/>
  </r>
  <r>
    <s v="12772179"/>
    <s v="ForSale"/>
    <s v="FOR_SALE"/>
    <x v="0"/>
    <x v="0"/>
    <x v="39"/>
    <x v="7"/>
    <x v="0"/>
    <s v="UT"/>
    <n v="40.734394000000002"/>
    <n v="-111.87721000000001"/>
    <x v="39"/>
    <x v="36"/>
    <x v="1"/>
    <n v="4"/>
    <n v="3000"/>
    <n v="709600"/>
    <x v="32"/>
    <n v="648500"/>
    <n v="83.06424768518518"/>
    <x v="2"/>
    <n v="241.6333333333333"/>
    <n v="151.02083333333329"/>
    <n v="356.40916666666658"/>
    <n v="259.75583333333333"/>
    <n v="3508.2150471095129"/>
    <n v="4124.3800471095128"/>
    <x v="1"/>
  </r>
  <r>
    <s v="12754434"/>
    <s v="ForSale"/>
    <s v="FOR_SALE"/>
    <x v="0"/>
    <x v="0"/>
    <x v="40"/>
    <x v="5"/>
    <x v="0"/>
    <s v="UT"/>
    <n v="40.758139999999997"/>
    <n v="-111.86563"/>
    <x v="40"/>
    <x v="37"/>
    <x v="1"/>
    <n v="9"/>
    <n v="5780"/>
    <n v="587600"/>
    <x v="33"/>
    <n v="287600"/>
    <n v="34.065243055555563"/>
    <x v="2"/>
    <n v="112.28373702422149"/>
    <n v="135.20833333333329"/>
    <n v="319.09166666666658"/>
    <n v="232.55833333333331"/>
    <n v="3140.8905581101858"/>
    <n v="3692.5405581101859"/>
    <x v="0"/>
  </r>
  <r>
    <s v="296672784"/>
    <s v="ForSale"/>
    <s v="FOR_SALE"/>
    <x v="0"/>
    <x v="0"/>
    <x v="41"/>
    <x v="7"/>
    <x v="0"/>
    <s v="UT"/>
    <n v="40.733234000000003"/>
    <n v="-111.86441000000001"/>
    <x v="41"/>
    <x v="38"/>
    <x v="13"/>
    <n v="7"/>
    <n v="3110"/>
    <m/>
    <x v="34"/>
    <n v="1092000"/>
    <n v="374.06459490740741"/>
    <x v="2"/>
    <n v="442.12218649517678"/>
    <n v="327.38095238095241"/>
    <n v="676.04166666666663"/>
    <n v="492.70833333333331"/>
    <n v="6654.4291485385293"/>
    <n v="7823.1791485385293"/>
    <x v="1"/>
  </r>
  <r>
    <s v="2067184166"/>
    <s v="ForSale"/>
    <s v="FOR_SALE"/>
    <x v="0"/>
    <x v="0"/>
    <x v="42"/>
    <x v="4"/>
    <x v="0"/>
    <s v="UT"/>
    <n v="40.784846999999999"/>
    <n v="-111.89469"/>
    <x v="42"/>
    <x v="28"/>
    <x v="11"/>
    <m/>
    <n v="1"/>
    <m/>
    <x v="35"/>
    <m/>
    <n v="3.134282407407408"/>
    <x v="2"/>
    <n v="645000"/>
    <n v="1075"/>
    <n v="317.125"/>
    <n v="231.125"/>
    <n v="3121.5322187689831"/>
    <n v="3669.7822187689831"/>
    <x v="0"/>
  </r>
  <r>
    <s v="450199489"/>
    <s v="ForSale"/>
    <s v="FOR_SALE"/>
    <x v="0"/>
    <x v="0"/>
    <x v="43"/>
    <x v="7"/>
    <x v="0"/>
    <s v="UT"/>
    <n v="40.733333999999999"/>
    <n v="-111.86573"/>
    <x v="43"/>
    <x v="39"/>
    <x v="14"/>
    <n v="50"/>
    <n v="25000"/>
    <m/>
    <x v="9"/>
    <m/>
    <n v="145.06571759259259"/>
    <x v="2"/>
    <n v="423.2"/>
    <n v="440.83333333333331"/>
    <n v="5201.833333333333"/>
    <n v="3791.166666666667"/>
    <n v="51202.807557481923"/>
    <n v="60195.807557481923"/>
    <x v="1"/>
  </r>
  <r>
    <s v="12739350"/>
    <s v="ForSale"/>
    <s v="FOR_SALE"/>
    <x v="0"/>
    <x v="0"/>
    <x v="44"/>
    <x v="9"/>
    <x v="0"/>
    <s v="UT"/>
    <n v="40.742274999999999"/>
    <n v="-111.92435999999999"/>
    <x v="44"/>
    <x v="40"/>
    <x v="1"/>
    <n v="4"/>
    <n v="3100"/>
    <n v="636400"/>
    <x v="36"/>
    <n v="577600"/>
    <n v="30.064525462962958"/>
    <x v="2"/>
    <n v="209.64516129032259"/>
    <n v="135.39583333333329"/>
    <n v="319.53416666666658"/>
    <n v="232.88083333333341"/>
    <n v="3145.246184461957"/>
    <n v="3697.661184461957"/>
    <x v="0"/>
  </r>
  <r>
    <s v="12777941"/>
    <s v="ForSale"/>
    <s v="FOR_SALE"/>
    <x v="0"/>
    <x v="0"/>
    <x v="45"/>
    <x v="0"/>
    <x v="0"/>
    <s v="UT"/>
    <n v="40.716476"/>
    <n v="-111.83841"/>
    <x v="45"/>
    <x v="41"/>
    <x v="7"/>
    <n v="3"/>
    <n v="2628"/>
    <n v="825200"/>
    <x v="37"/>
    <n v="595800"/>
    <n v="38.537696759259262"/>
    <x v="2"/>
    <n v="317.69406392694071"/>
    <n v="278.3"/>
    <n v="410.49250000000001"/>
    <n v="299.17250000000001"/>
    <n v="4040.5693789925949"/>
    <n v="4750.2343789925953"/>
    <x v="1"/>
  </r>
  <r>
    <s v="12756964"/>
    <s v="ForSale"/>
    <s v="FOR_SALE"/>
    <x v="0"/>
    <x v="0"/>
    <x v="46"/>
    <x v="5"/>
    <x v="0"/>
    <s v="UT"/>
    <n v="40.752968000000003"/>
    <n v="-111.873375"/>
    <x v="46"/>
    <x v="42"/>
    <x v="0"/>
    <n v="2"/>
    <n v="2626"/>
    <n v="695100"/>
    <x v="38"/>
    <n v="486000"/>
    <n v="113.0602546296296"/>
    <x v="2"/>
    <n v="268.46915460776847"/>
    <n v="293.75"/>
    <n v="346.625"/>
    <n v="252.625"/>
    <n v="3411.9073088870282"/>
    <n v="4011.1573088870282"/>
    <x v="1"/>
  </r>
  <r>
    <s v="446037534"/>
    <s v="ForSale"/>
    <s v="FOR_SALE"/>
    <x v="0"/>
    <x v="0"/>
    <x v="47"/>
    <x v="10"/>
    <x v="0"/>
    <s v="UT"/>
    <n v="40.771439999999998"/>
    <n v="-111.90842000000001"/>
    <x v="47"/>
    <x v="43"/>
    <x v="15"/>
    <n v="22"/>
    <n v="29563"/>
    <n v="6091600"/>
    <x v="9"/>
    <m/>
    <n v="72.065243055555555"/>
    <x v="2"/>
    <n v="228.32594797550991"/>
    <n v="511.36363636363637"/>
    <n v="3318.75"/>
    <n v="2418.75"/>
    <n v="32667.197638280049"/>
    <n v="38404.697638280049"/>
    <x v="1"/>
  </r>
  <r>
    <s v="305058100"/>
    <s v="ForSale"/>
    <s v="FOR_SALE"/>
    <x v="0"/>
    <x v="0"/>
    <x v="48"/>
    <x v="5"/>
    <x v="0"/>
    <s v="UT"/>
    <n v="40.75226"/>
    <n v="-111.876205"/>
    <x v="48"/>
    <x v="44"/>
    <x v="0"/>
    <n v="3"/>
    <n v="3324"/>
    <n v="731300"/>
    <x v="39"/>
    <n v="659900"/>
    <n v="25.07303240740741"/>
    <x v="2"/>
    <n v="225.3309265944645"/>
    <n v="312.08333333333331"/>
    <n v="368.25833333333333"/>
    <n v="268.39166666666671"/>
    <n v="3624.849041640261"/>
    <n v="4261.4990416402607"/>
    <x v="1"/>
  </r>
  <r>
    <s v="12756939"/>
    <s v="ForSale"/>
    <s v="FOR_SALE"/>
    <x v="0"/>
    <x v="0"/>
    <x v="49"/>
    <x v="5"/>
    <x v="0"/>
    <s v="UT"/>
    <n v="40.753647000000001"/>
    <n v="-111.87439000000001"/>
    <x v="49"/>
    <x v="44"/>
    <x v="0"/>
    <n v="2"/>
    <n v="2369"/>
    <n v="741900"/>
    <x v="40"/>
    <n v="635100"/>
    <n v="104.065462962963"/>
    <x v="2"/>
    <n v="316.16715913887708"/>
    <n v="312.08333333333331"/>
    <n v="368.25833333333333"/>
    <n v="268.39166666666671"/>
    <n v="3624.849041640261"/>
    <n v="4261.4990416402607"/>
    <x v="1"/>
  </r>
  <r>
    <s v="12775486"/>
    <s v="ForSale"/>
    <s v="FOR_SALE"/>
    <x v="0"/>
    <x v="0"/>
    <x v="50"/>
    <x v="0"/>
    <x v="0"/>
    <s v="UT"/>
    <n v="40.719147"/>
    <n v="-111.85550000000001"/>
    <x v="50"/>
    <x v="45"/>
    <x v="4"/>
    <n v="2"/>
    <n v="1610"/>
    <m/>
    <x v="41"/>
    <n v="431100"/>
    <n v="18.028240740740738"/>
    <x v="2"/>
    <n v="409.87577639751561"/>
    <n v="366.61111111111109"/>
    <n v="324.45083333333332"/>
    <n v="236.4641666666667"/>
    <n v="3193.6420328149638"/>
    <n v="3754.5570328149638"/>
    <x v="1"/>
  </r>
  <r>
    <s v="305058405"/>
    <s v="ForSale"/>
    <s v="FOR_SALE"/>
    <x v="0"/>
    <x v="0"/>
    <x v="51"/>
    <x v="7"/>
    <x v="0"/>
    <s v="UT"/>
    <n v="40.736910000000002"/>
    <n v="-111.85458"/>
    <x v="51"/>
    <x v="46"/>
    <x v="0"/>
    <n v="3"/>
    <n v="2679"/>
    <n v="969200"/>
    <x v="42"/>
    <n v="907100"/>
    <n v="49.063981481481477"/>
    <x v="2"/>
    <n v="373.2362821948488"/>
    <n v="416.625"/>
    <n v="491.61750000000001"/>
    <n v="358.29750000000001"/>
    <n v="4839.1008768172187"/>
    <n v="5689.0158768172187"/>
    <x v="1"/>
  </r>
  <r>
    <s v="12769747"/>
    <s v="ForSale"/>
    <s v="FOR_SALE"/>
    <x v="0"/>
    <x v="0"/>
    <x v="52"/>
    <x v="7"/>
    <x v="0"/>
    <s v="UT"/>
    <n v="40.736584000000001"/>
    <n v="-111.85817"/>
    <x v="52"/>
    <x v="47"/>
    <x v="0"/>
    <n v="2"/>
    <n v="2597"/>
    <n v="724400"/>
    <x v="43"/>
    <n v="648700"/>
    <n v="134.0643634259259"/>
    <x v="2"/>
    <n v="283.01848286484397"/>
    <n v="306.24958333333331"/>
    <n v="361.37450833333332"/>
    <n v="263.37464166666672"/>
    <n v="3557.0900143612148"/>
    <n v="4181.8391643612149"/>
    <x v="1"/>
  </r>
  <r>
    <s v="12779572"/>
    <s v="ForSale"/>
    <s v="FOR_SALE"/>
    <x v="0"/>
    <x v="0"/>
    <x v="53"/>
    <x v="11"/>
    <x v="0"/>
    <s v="UT"/>
    <n v="40.723396000000001"/>
    <n v="-111.81278"/>
    <x v="53"/>
    <x v="12"/>
    <x v="0"/>
    <n v="3"/>
    <n v="3018"/>
    <n v="832400"/>
    <x v="44"/>
    <n v="862300"/>
    <n v="163.06445601851851"/>
    <x v="2"/>
    <n v="281.64347249834327"/>
    <n v="354.16666666666669"/>
    <n v="417.91666666666669"/>
    <n v="304.58333333333331"/>
    <n v="4113.647110005636"/>
    <n v="4836.147110005636"/>
    <x v="1"/>
  </r>
  <r>
    <s v="141869764"/>
    <s v="ForSale"/>
    <s v="FOR_SALE"/>
    <x v="0"/>
    <x v="0"/>
    <x v="54"/>
    <x v="6"/>
    <x v="0"/>
    <s v="UT"/>
    <n v="40.761560000000003"/>
    <n v="-111.88194"/>
    <x v="54"/>
    <x v="48"/>
    <x v="2"/>
    <n v="4"/>
    <n v="3500"/>
    <n v="681500"/>
    <x v="45"/>
    <n v="958100"/>
    <n v="34.06521990740741"/>
    <x v="2"/>
    <n v="200"/>
    <n v="194.44444444444451"/>
    <n v="344.16666666666669"/>
    <n v="250.83333333333329"/>
    <n v="3387.7093847105239"/>
    <n v="3982.7093847105239"/>
    <x v="1"/>
  </r>
  <r>
    <s v="12754309"/>
    <s v="ForSale"/>
    <s v="FOR_SALE"/>
    <x v="0"/>
    <x v="0"/>
    <x v="55"/>
    <x v="5"/>
    <x v="0"/>
    <s v="UT"/>
    <n v="40.757458"/>
    <n v="-111.86866000000001"/>
    <x v="55"/>
    <x v="5"/>
    <x v="0"/>
    <n v="2"/>
    <n v="2005"/>
    <n v="914000"/>
    <x v="46"/>
    <n v="599900"/>
    <n v="11.063414351851851"/>
    <x v="2"/>
    <n v="473.81546134663341"/>
    <n v="395.83333333333331"/>
    <n v="467.08333333333331"/>
    <n v="340.41666666666669"/>
    <n v="4597.6055935357108"/>
    <n v="5405.1055935357108"/>
    <x v="1"/>
  </r>
  <r>
    <s v="2069353394"/>
    <s v="ForSale"/>
    <s v="FOR_SALE"/>
    <x v="0"/>
    <x v="0"/>
    <x v="56"/>
    <x v="7"/>
    <x v="0"/>
    <s v="UT"/>
    <n v="40.737389999999998"/>
    <n v="-111.86140399999999"/>
    <x v="56"/>
    <x v="49"/>
    <x v="1"/>
    <n v="4"/>
    <n v="4642"/>
    <n v="1385300"/>
    <x v="42"/>
    <m/>
    <n v="46.065509259259258"/>
    <x v="2"/>
    <n v="312.36535975872471"/>
    <n v="302.08333333333331"/>
    <n v="712.91666666666663"/>
    <n v="519.58333333333337"/>
    <n v="7017.3980111860856"/>
    <n v="8249.8980111860856"/>
    <x v="1"/>
  </r>
  <r>
    <s v="12736628"/>
    <s v="ForSale"/>
    <s v="FOR_SALE"/>
    <x v="0"/>
    <x v="0"/>
    <x v="57"/>
    <x v="9"/>
    <x v="0"/>
    <s v="UT"/>
    <n v="40.761208000000003"/>
    <n v="-111.91632"/>
    <x v="57"/>
    <x v="50"/>
    <x v="0"/>
    <n v="2"/>
    <n v="1779"/>
    <n v="542500"/>
    <x v="47"/>
    <n v="509000"/>
    <n v="80.064537037037042"/>
    <x v="2"/>
    <n v="308.60033726812821"/>
    <n v="228.75"/>
    <n v="269.92500000000001"/>
    <n v="196.72499999999999"/>
    <n v="2656.932074580111"/>
    <n v="3123.5820745801111"/>
    <x v="0"/>
  </r>
  <r>
    <s v="2129868447"/>
    <s v="ForSale"/>
    <s v="FOR_SALE"/>
    <x v="0"/>
    <x v="0"/>
    <x v="58"/>
    <x v="5"/>
    <x v="0"/>
    <s v="UT"/>
    <n v="40.76511"/>
    <n v="-111.85885"/>
    <x v="58"/>
    <x v="51"/>
    <x v="1"/>
    <n v="7"/>
    <n v="5212"/>
    <n v="1660100"/>
    <x v="48"/>
    <m/>
    <n v="11.06340277777778"/>
    <x v="2"/>
    <n v="326.17037605525712"/>
    <n v="354.16666666666669"/>
    <n v="835.83333333333337"/>
    <n v="609.16666666666663"/>
    <n v="8227.294220011272"/>
    <n v="9672.294220011272"/>
    <x v="1"/>
  </r>
  <r>
    <s v="12745498"/>
    <s v="ForSale"/>
    <s v="FOR_SALE"/>
    <x v="0"/>
    <x v="0"/>
    <x v="59"/>
    <x v="12"/>
    <x v="4"/>
    <s v="UT"/>
    <n v="40.699849999999998"/>
    <n v="-111.96956"/>
    <x v="59"/>
    <x v="52"/>
    <x v="2"/>
    <n v="4"/>
    <n v="2448"/>
    <n v="592400"/>
    <x v="49"/>
    <n v="430300"/>
    <n v="52.064895833333331"/>
    <x v="2"/>
    <n v="245.9150326797386"/>
    <n v="167.2222222222222"/>
    <n v="295.98333333333329"/>
    <n v="215.7166666666667"/>
    <n v="2913.4300708510509"/>
    <n v="3425.1300708510512"/>
    <x v="0"/>
  </r>
  <r>
    <s v="2070086984"/>
    <s v="ForSale"/>
    <s v="FOR_SALE"/>
    <x v="0"/>
    <x v="0"/>
    <x v="60"/>
    <x v="7"/>
    <x v="0"/>
    <s v="UT"/>
    <n v="40.745040000000003"/>
    <n v="-111.865005"/>
    <x v="60"/>
    <x v="53"/>
    <x v="2"/>
    <n v="5"/>
    <n v="3700"/>
    <n v="1201800"/>
    <x v="50"/>
    <m/>
    <n v="145.91894675925931"/>
    <x v="2"/>
    <n v="337.83783783783781"/>
    <n v="347.22222222222217"/>
    <n v="614.58333333333337"/>
    <n v="447.91666666666669"/>
    <n v="6049.481044125936"/>
    <n v="7111.981044125936"/>
    <x v="1"/>
  </r>
  <r>
    <s v="12783602"/>
    <s v="ForSale"/>
    <s v="FOR_SALE"/>
    <x v="0"/>
    <x v="0"/>
    <x v="61"/>
    <x v="0"/>
    <x v="0"/>
    <s v="UT"/>
    <n v="40.708410000000001"/>
    <n v="-111.85303999999999"/>
    <x v="61"/>
    <x v="54"/>
    <x v="2"/>
    <n v="4"/>
    <n v="3098"/>
    <n v="785800"/>
    <x v="51"/>
    <n v="675900"/>
    <n v="81.065115740740737"/>
    <x v="2"/>
    <n v="259.84506132989031"/>
    <n v="223.61111111111109"/>
    <n v="395.79166666666669"/>
    <n v="288.45833333333331"/>
    <n v="3895.865792417103"/>
    <n v="4580.1157924171021"/>
    <x v="1"/>
  </r>
  <r>
    <s v="12765918"/>
    <s v="ForSale"/>
    <s v="FOR_SALE"/>
    <x v="0"/>
    <x v="0"/>
    <x v="62"/>
    <x v="13"/>
    <x v="0"/>
    <s v="UT"/>
    <n v="40.732044000000002"/>
    <n v="-111.81836"/>
    <x v="62"/>
    <x v="55"/>
    <x v="7"/>
    <n v="4"/>
    <n v="2235"/>
    <n v="871100"/>
    <x v="52"/>
    <n v="691700"/>
    <n v="159.06607638888889"/>
    <x v="2"/>
    <n v="395.9731543624161"/>
    <n v="295"/>
    <n v="435.125"/>
    <n v="317.125"/>
    <n v="4283.0325792411622"/>
    <n v="5035.2825792411622"/>
    <x v="1"/>
  </r>
  <r>
    <s v="2069403483"/>
    <s v="ForSale"/>
    <s v="FOR_SALE"/>
    <x v="0"/>
    <x v="0"/>
    <x v="63"/>
    <x v="10"/>
    <x v="0"/>
    <s v="UT"/>
    <n v="40.781196999999999"/>
    <n v="-111.93891000000001"/>
    <x v="63"/>
    <x v="56"/>
    <x v="1"/>
    <n v="4"/>
    <n v="2520"/>
    <n v="791700"/>
    <x v="53"/>
    <m/>
    <n v="57.064560185185186"/>
    <x v="2"/>
    <n v="317.06349206349199"/>
    <n v="166.45833333333329"/>
    <n v="392.84166666666658"/>
    <n v="286.30833333333328"/>
    <n v="3866.828283405298"/>
    <n v="4545.9782834052976"/>
    <x v="1"/>
  </r>
  <r>
    <s v="12744174"/>
    <s v="ForSale"/>
    <s v="FOR_SALE"/>
    <x v="0"/>
    <x v="0"/>
    <x v="64"/>
    <x v="12"/>
    <x v="4"/>
    <s v="UT"/>
    <n v="40.698096999999997"/>
    <n v="-111.95910000000001"/>
    <x v="64"/>
    <x v="57"/>
    <x v="2"/>
    <n v="2"/>
    <n v="2268"/>
    <n v="588800"/>
    <x v="54"/>
    <n v="434800"/>
    <n v="20.064027777777781"/>
    <x v="2"/>
    <n v="264.10934744268081"/>
    <n v="166.38888888888891"/>
    <n v="294.50833333333333"/>
    <n v="214.64166666666671"/>
    <n v="2898.911316345148"/>
    <n v="3408.061316345148"/>
    <x v="0"/>
  </r>
  <r>
    <s v="305058432"/>
    <s v="ForSale"/>
    <s v="FOR_SALE"/>
    <x v="0"/>
    <x v="0"/>
    <x v="65"/>
    <x v="7"/>
    <x v="0"/>
    <s v="UT"/>
    <n v="40.730186000000003"/>
    <n v="-111.86490000000001"/>
    <x v="65"/>
    <x v="30"/>
    <x v="7"/>
    <n v="4"/>
    <n v="3601"/>
    <n v="1159800"/>
    <x v="55"/>
    <n v="1008900"/>
    <n v="95.065590277777773"/>
    <x v="2"/>
    <n v="333.24076645376277"/>
    <n v="400"/>
    <n v="590"/>
    <n v="430"/>
    <n v="5807.5018023608991"/>
    <n v="6827.5018023608991"/>
    <x v="1"/>
  </r>
  <r>
    <s v="141900680"/>
    <s v="ForSale"/>
    <s v="FOR_SALE"/>
    <x v="0"/>
    <x v="0"/>
    <x v="66"/>
    <x v="8"/>
    <x v="0"/>
    <s v="UT"/>
    <n v="40.696815000000001"/>
    <n v="-111.88309"/>
    <x v="66"/>
    <x v="58"/>
    <x v="0"/>
    <n v="4"/>
    <n v="2072"/>
    <n v="808300"/>
    <x v="56"/>
    <n v="580400"/>
    <n v="166.06319444444441"/>
    <x v="2"/>
    <n v="393.33976833976828"/>
    <n v="339.58333333333331"/>
    <n v="400.70833333333331"/>
    <n v="292.04166666666669"/>
    <n v="3944.2616407701098"/>
    <n v="4637.0116407701098"/>
    <x v="1"/>
  </r>
  <r>
    <s v="456968277"/>
    <s v="ForSale"/>
    <s v="FOR_SALE"/>
    <x v="0"/>
    <x v="0"/>
    <x v="67"/>
    <x v="0"/>
    <x v="0"/>
    <s v="UT"/>
    <n v="40.713090000000001"/>
    <n v="-111.87687"/>
    <x v="67"/>
    <x v="43"/>
    <x v="16"/>
    <n v="29"/>
    <n v="15062"/>
    <n v="6483100"/>
    <x v="9"/>
    <m/>
    <n v="52.065439814814823"/>
    <x v="2"/>
    <n v="448.14765635373789"/>
    <n v="416.66666666666669"/>
    <n v="3318.75"/>
    <n v="2418.75"/>
    <n v="32667.197638280049"/>
    <n v="38404.697638280049"/>
    <x v="1"/>
  </r>
  <r>
    <s v="305058154"/>
    <s v="ForSale"/>
    <s v="FOR_SALE"/>
    <x v="0"/>
    <x v="0"/>
    <x v="68"/>
    <x v="6"/>
    <x v="0"/>
    <s v="UT"/>
    <n v="40.743355000000001"/>
    <n v="-111.88206"/>
    <x v="68"/>
    <x v="59"/>
    <x v="0"/>
    <n v="5"/>
    <n v="2900"/>
    <m/>
    <x v="57"/>
    <n v="778700"/>
    <n v="27.063344907407409"/>
    <x v="2"/>
    <n v="318.9655172413793"/>
    <n v="385.41666666666669"/>
    <n v="454.79166666666669"/>
    <n v="331.45833333333331"/>
    <n v="4476.6159726531923"/>
    <n v="5262.8659726531923"/>
    <x v="1"/>
  </r>
  <r>
    <s v="12741902"/>
    <s v="ForSale"/>
    <s v="FOR_SALE"/>
    <x v="0"/>
    <x v="0"/>
    <x v="69"/>
    <x v="12"/>
    <x v="4"/>
    <s v="UT"/>
    <n v="40.720370000000003"/>
    <n v="-111.93143999999999"/>
    <x v="69"/>
    <x v="60"/>
    <x v="0"/>
    <n v="2"/>
    <n v="1672"/>
    <n v="494000"/>
    <x v="58"/>
    <n v="371400"/>
    <n v="8.0631597222222222"/>
    <x v="2"/>
    <n v="298.98325358851667"/>
    <n v="208.29166666666671"/>
    <n v="245.78416666666669"/>
    <n v="179.13083333333341"/>
    <n v="2419.3084591668439"/>
    <n v="2844.2234591668439"/>
    <x v="0"/>
  </r>
  <r>
    <s v="12744286"/>
    <s v="ForSale"/>
    <s v="FOR_SALE"/>
    <x v="0"/>
    <x v="0"/>
    <x v="70"/>
    <x v="12"/>
    <x v="4"/>
    <s v="UT"/>
    <n v="40.702956999999998"/>
    <n v="-111.95367"/>
    <x v="70"/>
    <x v="61"/>
    <x v="0"/>
    <n v="4"/>
    <n v="1198"/>
    <n v="525200"/>
    <x v="59"/>
    <n v="445500"/>
    <n v="11.06337962962963"/>
    <x v="2"/>
    <n v="442.4040066777963"/>
    <n v="220.83333333333329"/>
    <n v="260.58333333333331"/>
    <n v="189.91666666666671"/>
    <n v="2564.9799627093971"/>
    <n v="3015.4799627093971"/>
    <x v="0"/>
  </r>
  <r>
    <s v="12778275"/>
    <s v="ForSale"/>
    <s v="FOR_SALE"/>
    <x v="0"/>
    <x v="0"/>
    <x v="71"/>
    <x v="0"/>
    <x v="0"/>
    <s v="UT"/>
    <n v="40.713329999999999"/>
    <n v="-111.83592"/>
    <x v="71"/>
    <x v="53"/>
    <x v="1"/>
    <n v="4"/>
    <n v="3360"/>
    <n v="1210600"/>
    <x v="60"/>
    <n v="1075700"/>
    <n v="116.065462962963"/>
    <x v="2"/>
    <n v="372.02380952380952"/>
    <n v="260.41666666666669"/>
    <n v="614.58333333333337"/>
    <n v="447.91666666666669"/>
    <n v="6049.481044125936"/>
    <n v="7111.981044125936"/>
    <x v="1"/>
  </r>
  <r>
    <s v="448481083"/>
    <s v="ForSale"/>
    <s v="FOR_SALE"/>
    <x v="0"/>
    <x v="0"/>
    <x v="72"/>
    <x v="9"/>
    <x v="0"/>
    <s v="UT"/>
    <n v="40.739759999999997"/>
    <n v="-111.91839"/>
    <x v="72"/>
    <x v="59"/>
    <x v="2"/>
    <n v="4"/>
    <n v="3100"/>
    <n v="915800"/>
    <x v="9"/>
    <n v="551700"/>
    <n v="110.96518518518521"/>
    <x v="2"/>
    <n v="298.38709677419348"/>
    <n v="256.94444444444451"/>
    <n v="454.79166666666669"/>
    <n v="331.45833333333331"/>
    <n v="4476.6159726531923"/>
    <n v="5262.8659726531923"/>
    <x v="1"/>
  </r>
  <r>
    <s v="2067895645"/>
    <s v="ForSale"/>
    <s v="FOR_SALE"/>
    <x v="0"/>
    <x v="0"/>
    <x v="73"/>
    <x v="7"/>
    <x v="0"/>
    <s v="UT"/>
    <n v="40.740906000000003"/>
    <n v="-111.86"/>
    <x v="73"/>
    <x v="56"/>
    <x v="4"/>
    <n v="3"/>
    <n v="2154"/>
    <n v="777600"/>
    <x v="61"/>
    <n v="533300"/>
    <n v="288.06585648148149"/>
    <x v="2"/>
    <n v="370.93779015784588"/>
    <n v="443.88888888888891"/>
    <n v="392.84166666666658"/>
    <n v="286.30833333333328"/>
    <n v="3866.828283405298"/>
    <n v="4545.9782834052976"/>
    <x v="1"/>
  </r>
  <r>
    <s v="305058103"/>
    <s v="ForSale"/>
    <s v="FOR_SALE"/>
    <x v="0"/>
    <x v="0"/>
    <x v="74"/>
    <x v="6"/>
    <x v="0"/>
    <s v="UT"/>
    <n v="40.750140000000002"/>
    <n v="-111.880486"/>
    <x v="74"/>
    <x v="62"/>
    <x v="0"/>
    <n v="4"/>
    <n v="2306"/>
    <n v="800900"/>
    <x v="62"/>
    <n v="607500"/>
    <n v="59.064247685185187"/>
    <x v="2"/>
    <n v="357.71899392888122"/>
    <n v="343.70833333333331"/>
    <n v="405.57583333333332"/>
    <n v="295.5891666666667"/>
    <n v="3992.1735306395881"/>
    <n v="4693.3385306395876"/>
    <x v="1"/>
  </r>
  <r>
    <s v="12770679"/>
    <s v="ForSale"/>
    <s v="FOR_SALE"/>
    <x v="0"/>
    <x v="0"/>
    <x v="75"/>
    <x v="7"/>
    <x v="0"/>
    <s v="UT"/>
    <n v="40.727158000000003"/>
    <n v="-111.86712"/>
    <x v="75"/>
    <x v="63"/>
    <x v="2"/>
    <n v="5"/>
    <n v="4052"/>
    <n v="1106700"/>
    <x v="63"/>
    <n v="1158700"/>
    <n v="187.0645023148148"/>
    <x v="2"/>
    <n v="283.56367226061212"/>
    <n v="319.16666666666669"/>
    <n v="564.92499999999995"/>
    <n v="411.72500000000002"/>
    <n v="5560.6829757605601"/>
    <n v="6537.3329757605597"/>
    <x v="1"/>
  </r>
  <r>
    <s v="2071958599"/>
    <s v="ForSale"/>
    <s v="FOR_SALE"/>
    <x v="0"/>
    <x v="0"/>
    <x v="76"/>
    <x v="7"/>
    <x v="0"/>
    <s v="UT"/>
    <n v="40.740955"/>
    <n v="-111.87247499999999"/>
    <x v="76"/>
    <x v="24"/>
    <x v="2"/>
    <n v="4"/>
    <n v="2730"/>
    <n v="1061000"/>
    <x v="64"/>
    <m/>
    <n v="73.063252314814818"/>
    <x v="2"/>
    <n v="402.93040293040292"/>
    <n v="305.55555555555549"/>
    <n v="540.83333333333337"/>
    <n v="394.16666666666669"/>
    <n v="5323.5433188308234"/>
    <n v="6258.5433188308234"/>
    <x v="1"/>
  </r>
  <r>
    <s v="12743335"/>
    <s v="ForSale"/>
    <s v="FOR_SALE"/>
    <x v="0"/>
    <x v="0"/>
    <x v="77"/>
    <x v="12"/>
    <x v="4"/>
    <s v="UT"/>
    <n v="40.710909999999998"/>
    <n v="-111.96133"/>
    <x v="77"/>
    <x v="64"/>
    <x v="0"/>
    <n v="2"/>
    <n v="1374"/>
    <n v="484000"/>
    <x v="65"/>
    <n v="375600"/>
    <n v="24.06321759259259"/>
    <x v="2"/>
    <n v="352.98398835516741"/>
    <n v="202.08333333333329"/>
    <n v="238.45833333333329"/>
    <n v="173.79166666666671"/>
    <n v="2347.1986451208631"/>
    <n v="2759.4486451208631"/>
    <x v="0"/>
  </r>
  <r>
    <s v="2069452025"/>
    <s v="ForSale"/>
    <s v="FOR_SALE"/>
    <x v="0"/>
    <x v="0"/>
    <x v="78"/>
    <x v="5"/>
    <x v="0"/>
    <s v="UT"/>
    <n v="40.764270000000003"/>
    <n v="-111.865906"/>
    <x v="78"/>
    <x v="65"/>
    <x v="5"/>
    <n v="8"/>
    <n v="7793"/>
    <m/>
    <x v="66"/>
    <m/>
    <n v="187.08079861111111"/>
    <x v="2"/>
    <n v="230.84819709996151"/>
    <n v="187.39583333333329"/>
    <n v="884.50833333333333"/>
    <n v="644.64166666666665"/>
    <n v="8706.4131187060466"/>
    <n v="10235.56311870605"/>
    <x v="1"/>
  </r>
  <r>
    <s v="2072768030"/>
    <s v="ForSale"/>
    <s v="FOR_SALE"/>
    <x v="0"/>
    <x v="0"/>
    <x v="79"/>
    <x v="7"/>
    <x v="0"/>
    <s v="UT"/>
    <n v="40.742040000000003"/>
    <n v="-111.86924"/>
    <x v="79"/>
    <x v="66"/>
    <x v="2"/>
    <n v="4"/>
    <n v="3248"/>
    <n v="1256300"/>
    <x v="67"/>
    <m/>
    <n v="53.065358796296287"/>
    <x v="2"/>
    <n v="400.2463054187192"/>
    <n v="361.11111111111109"/>
    <n v="639.16666666666663"/>
    <n v="465.83333333333331"/>
    <n v="6291.460285890973"/>
    <n v="7396.460285890973"/>
    <x v="1"/>
  </r>
  <r>
    <s v="2086478311"/>
    <s v="ForSale"/>
    <s v="FOR_SALE"/>
    <x v="0"/>
    <x v="0"/>
    <x v="80"/>
    <x v="4"/>
    <x v="0"/>
    <s v="UT"/>
    <n v="40.780074999999997"/>
    <n v="-111.89901999999999"/>
    <x v="80"/>
    <x v="67"/>
    <x v="2"/>
    <n v="3"/>
    <n v="3557"/>
    <n v="821100"/>
    <x v="68"/>
    <m/>
    <n v="213.06398148148151"/>
    <x v="2"/>
    <n v="234.74838346921561"/>
    <n v="231.94444444444451"/>
    <n v="410.54166666666669"/>
    <n v="299.20833333333331"/>
    <n v="4041.0533374761249"/>
    <n v="4750.8033374761253"/>
    <x v="1"/>
  </r>
  <r>
    <s v="447546849"/>
    <s v="ForSale"/>
    <s v="FOR_SALE"/>
    <x v="0"/>
    <x v="0"/>
    <x v="81"/>
    <x v="6"/>
    <x v="0"/>
    <s v="UT"/>
    <n v="40.764446"/>
    <n v="-111.88206"/>
    <x v="81"/>
    <x v="68"/>
    <x v="17"/>
    <n v="15"/>
    <n v="7711"/>
    <n v="2214700"/>
    <x v="9"/>
    <m/>
    <n v="207.0652199074074"/>
    <x v="2"/>
    <n v="298.27519128517702"/>
    <n v="191.66666666666671"/>
    <n v="1130.833333333333"/>
    <n v="824.16666666666663"/>
    <n v="11131.045121191721"/>
    <n v="13086.045121191721"/>
    <x v="1"/>
  </r>
  <r>
    <s v="339788697"/>
    <s v="ForSale"/>
    <s v="FOR_SALE"/>
    <x v="0"/>
    <x v="0"/>
    <x v="82"/>
    <x v="9"/>
    <x v="0"/>
    <s v="UT"/>
    <n v="40.759697000000003"/>
    <n v="-111.91641"/>
    <x v="82"/>
    <x v="69"/>
    <x v="13"/>
    <n v="3"/>
    <n v="3649"/>
    <n v="778400"/>
    <x v="69"/>
    <n v="652000"/>
    <n v="89.064444444444447"/>
    <x v="2"/>
    <n v="216.47026582625381"/>
    <n v="188.07142857142861"/>
    <n v="388.36750000000001"/>
    <n v="283.04750000000001"/>
    <n v="3822.788061404061"/>
    <n v="4494.2030614040614"/>
    <x v="1"/>
  </r>
  <r>
    <s v="457834492"/>
    <s v="ForSale"/>
    <s v="FOR_SALE"/>
    <x v="0"/>
    <x v="0"/>
    <x v="83"/>
    <x v="5"/>
    <x v="0"/>
    <s v="UT"/>
    <n v="40.765487999999998"/>
    <n v="-111.85766"/>
    <x v="83"/>
    <x v="70"/>
    <x v="18"/>
    <n v="23"/>
    <n v="21780"/>
    <n v="4895400"/>
    <x v="9"/>
    <m/>
    <n v="18.064363425925929"/>
    <x v="2"/>
    <n v="243.34251606978879"/>
    <n v="368.05555555555549"/>
    <n v="2605.833333333333"/>
    <n v="1899.166666666667"/>
    <n v="25649.799627093969"/>
    <n v="30154.799627093969"/>
    <x v="1"/>
  </r>
  <r>
    <s v="448294568"/>
    <s v="ForSale"/>
    <s v="FOR_SALE"/>
    <x v="0"/>
    <x v="0"/>
    <x v="84"/>
    <x v="7"/>
    <x v="0"/>
    <s v="UT"/>
    <n v="40.734203000000001"/>
    <n v="-111.86731"/>
    <x v="84"/>
    <x v="71"/>
    <x v="19"/>
    <n v="7"/>
    <n v="4400"/>
    <n v="1448000"/>
    <x v="9"/>
    <m/>
    <n v="33.063541666666673"/>
    <x v="2"/>
    <n v="352.27272727272731"/>
    <n v="287.03703703703701"/>
    <n v="762.08333333333337"/>
    <n v="555.41666666666663"/>
    <n v="7501.3564947161603"/>
    <n v="8818.8564947161613"/>
    <x v="1"/>
  </r>
  <r>
    <s v="12767993"/>
    <s v="ForSale"/>
    <s v="FOR_SALE"/>
    <x v="0"/>
    <x v="0"/>
    <x v="85"/>
    <x v="7"/>
    <x v="0"/>
    <s v="UT"/>
    <n v="40.729750000000003"/>
    <n v="-111.84547000000001"/>
    <x v="85"/>
    <x v="72"/>
    <x v="0"/>
    <n v="2"/>
    <n v="1975"/>
    <n v="785900"/>
    <x v="70"/>
    <n v="523500"/>
    <n v="108.0649421296296"/>
    <x v="2"/>
    <n v="405.01265822784808"/>
    <n v="333.29166666666669"/>
    <n v="393.28416666666658"/>
    <n v="286.63083333333333"/>
    <n v="3871.1839097570692"/>
    <n v="4551.0989097570691"/>
    <x v="1"/>
  </r>
  <r>
    <s v="305058187"/>
    <s v="ForSale"/>
    <s v="FOR_SALE"/>
    <x v="0"/>
    <x v="0"/>
    <x v="86"/>
    <x v="7"/>
    <x v="0"/>
    <s v="UT"/>
    <n v="40.750549999999997"/>
    <n v="-111.86999"/>
    <x v="86"/>
    <x v="30"/>
    <x v="2"/>
    <n v="5"/>
    <n v="2856"/>
    <n v="1149700"/>
    <x v="71"/>
    <n v="840090"/>
    <n v="27.063449074074079"/>
    <x v="2"/>
    <n v="420.16806722689068"/>
    <n v="333.33333333333331"/>
    <n v="590"/>
    <n v="430"/>
    <n v="5807.5018023608991"/>
    <n v="6827.5018023608991"/>
    <x v="1"/>
  </r>
  <r>
    <s v="141900771"/>
    <s v="ForSale"/>
    <s v="FOR_SALE"/>
    <x v="0"/>
    <x v="0"/>
    <x v="87"/>
    <x v="8"/>
    <x v="0"/>
    <s v="UT"/>
    <n v="40.702984000000001"/>
    <n v="-111.88108"/>
    <x v="87"/>
    <x v="73"/>
    <x v="1"/>
    <n v="4"/>
    <n v="2992"/>
    <n v="1101200"/>
    <x v="72"/>
    <n v="955100"/>
    <n v="156.06511574074071"/>
    <x v="2"/>
    <n v="376.00267379679138"/>
    <n v="234.375"/>
    <n v="553.125"/>
    <n v="403.125"/>
    <n v="5444.5329397133428"/>
    <n v="6400.7829397133428"/>
    <x v="1"/>
  </r>
  <r>
    <s v="12753475"/>
    <s v="ForSale"/>
    <s v="FOR_SALE"/>
    <x v="0"/>
    <x v="0"/>
    <x v="88"/>
    <x v="5"/>
    <x v="0"/>
    <s v="UT"/>
    <n v="40.764015000000001"/>
    <n v="-111.86609"/>
    <x v="88"/>
    <x v="74"/>
    <x v="13"/>
    <n v="4"/>
    <n v="2840"/>
    <n v="677300"/>
    <x v="73"/>
    <n v="582700"/>
    <n v="187.08079861111111"/>
    <x v="2"/>
    <n v="246.12676056338029"/>
    <n v="166.42857142857139"/>
    <n v="343.67500000000001"/>
    <n v="250.47499999999999"/>
    <n v="3382.8697998752241"/>
    <n v="3977.0197998752242"/>
    <x v="1"/>
  </r>
  <r>
    <s v="333158912"/>
    <s v="ForSale"/>
    <s v="FOR_SALE"/>
    <x v="0"/>
    <x v="0"/>
    <x v="89"/>
    <x v="12"/>
    <x v="4"/>
    <s v="UT"/>
    <n v="40.688693999999998"/>
    <n v="-111.959"/>
    <x v="89"/>
    <x v="75"/>
    <x v="2"/>
    <n v="4"/>
    <n v="3019"/>
    <m/>
    <x v="74"/>
    <n v="377400"/>
    <n v="44.046770833333333"/>
    <x v="2"/>
    <n v="264.98840675720442"/>
    <n v="222.2222222222222"/>
    <n v="393.33333333333331"/>
    <n v="286.66666666666669"/>
    <n v="3871.6678682405991"/>
    <n v="4551.6678682405991"/>
    <x v="1"/>
  </r>
  <r>
    <s v="305058123"/>
    <s v="ForSale"/>
    <s v="FOR_SALE"/>
    <x v="0"/>
    <x v="0"/>
    <x v="90"/>
    <x v="5"/>
    <x v="0"/>
    <s v="UT"/>
    <n v="40.751567999999999"/>
    <n v="-111.876274"/>
    <x v="90"/>
    <x v="76"/>
    <x v="2"/>
    <n v="5"/>
    <n v="3525"/>
    <n v="1104500"/>
    <x v="75"/>
    <n v="759280"/>
    <n v="166.0634490740741"/>
    <x v="2"/>
    <n v="326.24113475177307"/>
    <n v="319.44444444444451"/>
    <n v="565.41666666666663"/>
    <n v="412.08333333333331"/>
    <n v="5565.5225605958613"/>
    <n v="6543.0225605958613"/>
    <x v="1"/>
  </r>
  <r>
    <s v="12739734"/>
    <s v="ForSale"/>
    <s v="FOR_SALE"/>
    <x v="0"/>
    <x v="0"/>
    <x v="91"/>
    <x v="9"/>
    <x v="0"/>
    <s v="UT"/>
    <n v="40.742863"/>
    <n v="-111.91367"/>
    <x v="91"/>
    <x v="77"/>
    <x v="0"/>
    <n v="2"/>
    <n v="1846"/>
    <n v="453700"/>
    <x v="76"/>
    <n v="343300"/>
    <n v="12.06355324074074"/>
    <x v="2"/>
    <n v="249.18743228602381"/>
    <n v="191.66666666666671"/>
    <n v="226.16666666666671"/>
    <n v="164.83333333333329"/>
    <n v="2226.2090242383442"/>
    <n v="2617.2090242383442"/>
    <x v="0"/>
  </r>
  <r>
    <s v="305058480"/>
    <s v="ForSale"/>
    <s v="FOR_SALE"/>
    <x v="0"/>
    <x v="0"/>
    <x v="92"/>
    <x v="8"/>
    <x v="0"/>
    <s v="UT"/>
    <n v="40.737633000000002"/>
    <n v="-111.88714"/>
    <x v="92"/>
    <x v="78"/>
    <x v="2"/>
    <n v="4"/>
    <n v="2726"/>
    <n v="920000"/>
    <x v="77"/>
    <n v="836700"/>
    <n v="199.06424768518519"/>
    <x v="2"/>
    <n v="341.15920763022751"/>
    <n v="258.33333333333331"/>
    <n v="457.25"/>
    <n v="333.25"/>
    <n v="4500.8138968296962"/>
    <n v="5291.3138968296962"/>
    <x v="1"/>
  </r>
  <r>
    <s v="2071449994"/>
    <s v="ForSale"/>
    <s v="FOR_SALE"/>
    <x v="0"/>
    <x v="0"/>
    <x v="93"/>
    <x v="5"/>
    <x v="0"/>
    <s v="UT"/>
    <n v="40.763240000000003"/>
    <n v="-111.872055"/>
    <x v="93"/>
    <x v="79"/>
    <x v="20"/>
    <n v="14"/>
    <n v="8176"/>
    <n v="2279000"/>
    <x v="78"/>
    <m/>
    <n v="261.06512731481479"/>
    <x v="2"/>
    <n v="293.54207436399219"/>
    <n v="222.2222222222222"/>
    <n v="1180"/>
    <n v="860"/>
    <n v="11615.0036047218"/>
    <n v="13655.0036047218"/>
    <x v="1"/>
  </r>
  <r>
    <s v="2057508524"/>
    <s v="ForSale"/>
    <s v="FOR_SALE"/>
    <x v="0"/>
    <x v="0"/>
    <x v="94"/>
    <x v="5"/>
    <x v="0"/>
    <s v="UT"/>
    <n v="40.760399999999997"/>
    <n v="-111.857445"/>
    <x v="94"/>
    <x v="68"/>
    <x v="5"/>
    <n v="8"/>
    <n v="9563"/>
    <m/>
    <x v="79"/>
    <m/>
    <n v="240.0634490740741"/>
    <x v="2"/>
    <n v="240.51030011502669"/>
    <n v="239.58333333333329"/>
    <n v="1130.833333333333"/>
    <n v="824.16666666666663"/>
    <n v="11131.045121191721"/>
    <n v="13086.045121191721"/>
    <x v="1"/>
  </r>
  <r>
    <s v="448393500"/>
    <s v="ForSale"/>
    <s v="FOR_SALE"/>
    <x v="0"/>
    <x v="0"/>
    <x v="95"/>
    <x v="5"/>
    <x v="0"/>
    <s v="UT"/>
    <n v="40.765697000000003"/>
    <n v="-111.86479"/>
    <x v="95"/>
    <x v="80"/>
    <x v="11"/>
    <m/>
    <n v="1"/>
    <m/>
    <x v="9"/>
    <m/>
    <n v="157.06645833333329"/>
    <x v="2"/>
    <n v="490000"/>
    <n v="816.66666666666663"/>
    <n v="240.91666666666671"/>
    <n v="175.58333333333329"/>
    <n v="2371.396569297367"/>
    <n v="2787.896569297367"/>
    <x v="0"/>
  </r>
  <r>
    <s v="141854429"/>
    <s v="ForSale"/>
    <s v="FOR_SALE"/>
    <x v="0"/>
    <x v="0"/>
    <x v="96"/>
    <x v="12"/>
    <x v="4"/>
    <s v="UT"/>
    <n v="40.716006999999998"/>
    <n v="-111.942314"/>
    <x v="96"/>
    <x v="81"/>
    <x v="1"/>
    <n v="4"/>
    <n v="3372"/>
    <n v="807900"/>
    <x v="80"/>
    <n v="527200"/>
    <n v="26.06481481481481"/>
    <x v="2"/>
    <n v="246.14472123368921"/>
    <n v="172.91666666666671"/>
    <n v="408.08333333333331"/>
    <n v="297.41666666666669"/>
    <n v="4016.855413299621"/>
    <n v="4722.3554132996214"/>
    <x v="1"/>
  </r>
  <r>
    <s v="2070079252"/>
    <s v="ForSale"/>
    <s v="FOR_SALE"/>
    <x v="0"/>
    <x v="0"/>
    <x v="97"/>
    <x v="4"/>
    <x v="0"/>
    <s v="UT"/>
    <n v="40.786247000000003"/>
    <n v="-111.89892999999999"/>
    <x v="97"/>
    <x v="82"/>
    <x v="21"/>
    <n v="23"/>
    <n v="16800"/>
    <n v="5213400"/>
    <x v="81"/>
    <m/>
    <n v="33.06521990740741"/>
    <x v="2"/>
    <n v="342.26190476190482"/>
    <n v="368.58974358974359"/>
    <n v="2827.083333333333"/>
    <n v="2060.416666666667"/>
    <n v="27827.612802979311"/>
    <n v="32715.112802979311"/>
    <x v="1"/>
  </r>
  <r>
    <s v="12784155"/>
    <s v="ForSale"/>
    <s v="FOR_SALE"/>
    <x v="0"/>
    <x v="0"/>
    <x v="98"/>
    <x v="0"/>
    <x v="0"/>
    <s v="UT"/>
    <n v="40.710537000000002"/>
    <n v="-111.843346"/>
    <x v="98"/>
    <x v="83"/>
    <x v="0"/>
    <n v="2"/>
    <n v="1645"/>
    <n v="763700"/>
    <x v="82"/>
    <n v="503600"/>
    <n v="37.065347222222222"/>
    <x v="2"/>
    <n v="474.10334346504561"/>
    <n v="324.95833333333331"/>
    <n v="383.45083333333332"/>
    <n v="279.4641666666667"/>
    <n v="3774.3922130510541"/>
    <n v="4437.3072130510536"/>
    <x v="1"/>
  </r>
  <r>
    <s v="305059086"/>
    <s v="ForSale"/>
    <s v="FOR_SALE"/>
    <x v="0"/>
    <x v="0"/>
    <x v="99"/>
    <x v="8"/>
    <x v="0"/>
    <s v="UT"/>
    <n v="40.695605999999998"/>
    <n v="-111.87947"/>
    <x v="99"/>
    <x v="84"/>
    <x v="20"/>
    <n v="12"/>
    <n v="8663"/>
    <n v="2003000"/>
    <x v="83"/>
    <n v="567000"/>
    <n v="167.0656134259259"/>
    <x v="2"/>
    <n v="253.95359575204901"/>
    <n v="203.7037037037037"/>
    <n v="1081.666666666667"/>
    <n v="788.33333333333337"/>
    <n v="10647.08663766165"/>
    <n v="12517.08663766165"/>
    <x v="1"/>
  </r>
  <r>
    <s v="350304499"/>
    <s v="ForSale"/>
    <s v="FOR_SALE"/>
    <x v="0"/>
    <x v="0"/>
    <x v="100"/>
    <x v="7"/>
    <x v="0"/>
    <s v="UT"/>
    <n v="40.733756999999997"/>
    <n v="-111.861664"/>
    <x v="100"/>
    <x v="53"/>
    <x v="2"/>
    <n v="6"/>
    <n v="5215"/>
    <n v="1203400"/>
    <x v="84"/>
    <m/>
    <n v="104.06565972222219"/>
    <x v="2"/>
    <n v="239.69319271332691"/>
    <n v="347.22222222222217"/>
    <n v="614.58333333333337"/>
    <n v="447.91666666666669"/>
    <n v="6049.481044125936"/>
    <n v="7111.981044125936"/>
    <x v="1"/>
  </r>
  <r>
    <s v="2071381728"/>
    <s v="ForSale"/>
    <s v="FOR_SALE"/>
    <x v="0"/>
    <x v="0"/>
    <x v="101"/>
    <x v="8"/>
    <x v="0"/>
    <s v="UT"/>
    <n v="40.739310000000003"/>
    <n v="-111.88208"/>
    <x v="101"/>
    <x v="85"/>
    <x v="5"/>
    <n v="8"/>
    <n v="6986"/>
    <n v="2052200"/>
    <x v="85"/>
    <m/>
    <n v="41.063229166666673"/>
    <x v="2"/>
    <n v="304.17978814772403"/>
    <n v="221.35416666666671"/>
    <n v="1044.791666666667"/>
    <n v="761.45833333333337"/>
    <n v="10284.117775014091"/>
    <n v="12090.367775014091"/>
    <x v="1"/>
  </r>
  <r>
    <s v="2066606417"/>
    <s v="ForSale"/>
    <s v="FOR_SALE"/>
    <x v="0"/>
    <x v="0"/>
    <x v="102"/>
    <x v="8"/>
    <x v="0"/>
    <s v="UT"/>
    <n v="40.716132999999999"/>
    <n v="-111.88236999999999"/>
    <x v="102"/>
    <x v="86"/>
    <x v="22"/>
    <n v="18"/>
    <n v="12314"/>
    <n v="3486600"/>
    <x v="86"/>
    <m/>
    <n v="70.065729166666671"/>
    <x v="2"/>
    <n v="308.59184667857721"/>
    <n v="275.36231884057969"/>
    <n v="1868.333333333333"/>
    <n v="1361.666666666667"/>
    <n v="18390.42237414284"/>
    <n v="21620.42237414284"/>
    <x v="1"/>
  </r>
  <r>
    <s v="12788213"/>
    <s v="ForSale"/>
    <s v="FOR_SALE"/>
    <x v="0"/>
    <x v="0"/>
    <x v="103"/>
    <x v="8"/>
    <x v="0"/>
    <s v="UT"/>
    <n v="40.70243"/>
    <n v="-111.87799"/>
    <x v="103"/>
    <x v="87"/>
    <x v="0"/>
    <n v="2"/>
    <n v="1608"/>
    <m/>
    <x v="87"/>
    <n v="390100"/>
    <n v="281.06583333333327"/>
    <x v="2"/>
    <n v="450.87064676616922"/>
    <n v="302.08333333333331"/>
    <n v="356.45833333333331"/>
    <n v="259.79166666666669"/>
    <n v="3508.6990055930428"/>
    <n v="4124.9490055930428"/>
    <x v="1"/>
  </r>
  <r>
    <s v="452275124"/>
    <s v="ForSale"/>
    <s v="FOR_SALE"/>
    <x v="0"/>
    <x v="0"/>
    <x v="104"/>
    <x v="6"/>
    <x v="0"/>
    <s v="UT"/>
    <n v="40.762577"/>
    <n v="-111.87992"/>
    <x v="104"/>
    <x v="88"/>
    <x v="19"/>
    <n v="9"/>
    <n v="3951"/>
    <n v="1394400"/>
    <x v="9"/>
    <m/>
    <n v="178.0657291666667"/>
    <x v="2"/>
    <n v="387.24373576309802"/>
    <n v="283.33333333333331"/>
    <n v="752.25"/>
    <n v="548.25"/>
    <n v="7404.5647980101458"/>
    <n v="8705.0647980101458"/>
    <x v="1"/>
  </r>
  <r>
    <s v="12743620"/>
    <s v="ForSale"/>
    <s v="FOR_SALE"/>
    <x v="0"/>
    <x v="0"/>
    <x v="105"/>
    <x v="12"/>
    <x v="4"/>
    <s v="UT"/>
    <n v="40.704169999999998"/>
    <n v="-111.96131"/>
    <x v="105"/>
    <x v="89"/>
    <x v="13"/>
    <n v="4"/>
    <n v="3410"/>
    <n v="844500"/>
    <x v="88"/>
    <n v="329800"/>
    <n v="72.065578703703707"/>
    <x v="2"/>
    <n v="254.83870967741939"/>
    <n v="206.9047619047619"/>
    <n v="427.25833333333333"/>
    <n v="311.39166666666671"/>
    <n v="4205.5992218763504"/>
    <n v="4944.24922187635"/>
    <x v="1"/>
  </r>
  <r>
    <s v="141900655"/>
    <s v="ForSale"/>
    <s v="FOR_SALE"/>
    <x v="0"/>
    <x v="0"/>
    <x v="106"/>
    <x v="8"/>
    <x v="0"/>
    <s v="UT"/>
    <n v="40.702682000000003"/>
    <n v="-111.88231"/>
    <x v="106"/>
    <x v="71"/>
    <x v="1"/>
    <n v="8"/>
    <n v="4160"/>
    <n v="1495100"/>
    <x v="89"/>
    <n v="567900"/>
    <n v="97.06583333333333"/>
    <x v="2"/>
    <n v="372.59615384615392"/>
    <n v="322.91666666666669"/>
    <n v="762.08333333333337"/>
    <n v="555.41666666666663"/>
    <n v="7501.3564947161603"/>
    <n v="8818.8564947161613"/>
    <x v="1"/>
  </r>
  <r>
    <s v="83825002"/>
    <s v="ForSale"/>
    <s v="FOR_SALE"/>
    <x v="0"/>
    <x v="0"/>
    <x v="107"/>
    <x v="8"/>
    <x v="0"/>
    <s v="UT"/>
    <n v="40.700085000000001"/>
    <n v="-111.87787"/>
    <x v="107"/>
    <x v="30"/>
    <x v="4"/>
    <n v="3"/>
    <n v="4115"/>
    <m/>
    <x v="90"/>
    <m/>
    <n v="124.0652314814815"/>
    <x v="2"/>
    <n v="291.61603888213853"/>
    <n v="666.66666666666663"/>
    <n v="590"/>
    <n v="430"/>
    <n v="5807.5018023608991"/>
    <n v="6827.5018023608991"/>
    <x v="1"/>
  </r>
  <r>
    <s v="2072633717"/>
    <s v="ForSale"/>
    <s v="FOR_SALE"/>
    <x v="0"/>
    <x v="0"/>
    <x v="108"/>
    <x v="8"/>
    <x v="0"/>
    <s v="UT"/>
    <n v="40.738460000000003"/>
    <n v="-111.88434599999999"/>
    <x v="108"/>
    <x v="14"/>
    <x v="0"/>
    <n v="4"/>
    <n v="2403"/>
    <n v="893400"/>
    <x v="91"/>
    <m/>
    <n v="93.065601851851852"/>
    <x v="2"/>
    <n v="374.11568872243032"/>
    <n v="374.58333333333331"/>
    <n v="442.00833333333333"/>
    <n v="322.14166666666671"/>
    <n v="4350.7867669353727"/>
    <n v="5114.9367669353724"/>
    <x v="1"/>
  </r>
  <r>
    <s v="12757584"/>
    <s v="ForSale"/>
    <s v="FOR_SALE"/>
    <x v="0"/>
    <x v="0"/>
    <x v="109"/>
    <x v="6"/>
    <x v="0"/>
    <s v="UT"/>
    <n v="40.743429999999996"/>
    <n v="-111.88557"/>
    <x v="109"/>
    <x v="90"/>
    <x v="13"/>
    <n v="4"/>
    <n v="3134"/>
    <n v="813200"/>
    <x v="92"/>
    <n v="503800"/>
    <n v="86.06578703703704"/>
    <x v="2"/>
    <n v="271.1869814932993"/>
    <n v="202.35714285714289"/>
    <n v="417.86750000000001"/>
    <n v="304.54750000000001"/>
    <n v="4113.1631515221061"/>
    <n v="4835.5781515221061"/>
    <x v="1"/>
  </r>
  <r>
    <s v="141900683"/>
    <s v="ForSale"/>
    <s v="FOR_SALE"/>
    <x v="0"/>
    <x v="0"/>
    <x v="110"/>
    <x v="8"/>
    <x v="0"/>
    <s v="UT"/>
    <n v="40.698753000000004"/>
    <n v="-111.88248400000001"/>
    <x v="110"/>
    <x v="30"/>
    <x v="1"/>
    <n v="4"/>
    <n v="3600"/>
    <n v="1163700"/>
    <x v="93"/>
    <n v="841400"/>
    <n v="95.06583333333333"/>
    <x v="2"/>
    <n v="333.33333333333331"/>
    <n v="250"/>
    <n v="590"/>
    <n v="430"/>
    <n v="5807.5018023608991"/>
    <n v="6827.5018023608991"/>
    <x v="1"/>
  </r>
  <r>
    <s v="12774405"/>
    <s v="ForSale"/>
    <s v="FOR_SALE"/>
    <x v="0"/>
    <x v="0"/>
    <x v="111"/>
    <x v="8"/>
    <x v="1"/>
    <s v="UT"/>
    <n v="40.715183000000003"/>
    <n v="-111.88566"/>
    <x v="111"/>
    <x v="91"/>
    <x v="4"/>
    <n v="2"/>
    <n v="1155"/>
    <n v="598300"/>
    <x v="94"/>
    <n v="500100"/>
    <n v="109.0656481481481"/>
    <x v="2"/>
    <n v="523.80952380952385"/>
    <n v="336.11111111111109"/>
    <n v="297.45833333333331"/>
    <n v="216.79166666666671"/>
    <n v="2927.948825356953"/>
    <n v="3442.198825356953"/>
    <x v="0"/>
  </r>
  <r>
    <s v="12775602"/>
    <s v="ForSale"/>
    <s v="FOR_SALE"/>
    <x v="0"/>
    <x v="0"/>
    <x v="112"/>
    <x v="0"/>
    <x v="0"/>
    <s v="UT"/>
    <n v="40.716594999999998"/>
    <n v="-111.86792"/>
    <x v="112"/>
    <x v="59"/>
    <x v="7"/>
    <n v="3"/>
    <n v="3036"/>
    <m/>
    <x v="95"/>
    <n v="821800"/>
    <n v="107.0654513888889"/>
    <x v="2"/>
    <n v="304.67720685111988"/>
    <n v="308.33333333333331"/>
    <n v="454.79166666666669"/>
    <n v="331.45833333333331"/>
    <n v="4476.6159726531923"/>
    <n v="5262.8659726531923"/>
    <x v="1"/>
  </r>
  <r>
    <s v="12736020"/>
    <s v="ForSale"/>
    <s v="FOR_SALE"/>
    <x v="0"/>
    <x v="0"/>
    <x v="113"/>
    <x v="9"/>
    <x v="0"/>
    <s v="UT"/>
    <n v="40.763297999999999"/>
    <n v="-111.91715000000001"/>
    <x v="113"/>
    <x v="92"/>
    <x v="3"/>
    <n v="2"/>
    <n v="1144"/>
    <n v="439100"/>
    <x v="96"/>
    <n v="295800"/>
    <n v="35.065300925925918"/>
    <x v="2"/>
    <n v="388.98601398601397"/>
    <n v="370.83333333333331"/>
    <n v="218.79166666666671"/>
    <n v="159.45833333333329"/>
    <n v="2153.6152517088331"/>
    <n v="2531.8652517088331"/>
    <x v="0"/>
  </r>
  <r>
    <s v="456077092"/>
    <s v="ForSale"/>
    <s v="FOR_SALE"/>
    <x v="0"/>
    <x v="0"/>
    <x v="114"/>
    <x v="10"/>
    <x v="0"/>
    <s v="UT"/>
    <n v="40.775370000000002"/>
    <n v="-111.94047500000001"/>
    <x v="114"/>
    <x v="93"/>
    <x v="0"/>
    <n v="4"/>
    <n v="2800"/>
    <n v="1856300"/>
    <x v="9"/>
    <m/>
    <n v="89.065810185185185"/>
    <x v="2"/>
    <n v="714.28571428571433"/>
    <n v="833.33333333333337"/>
    <n v="983.33333333333337"/>
    <n v="716.66666666666663"/>
    <n v="9679.1696706014973"/>
    <n v="11379.169670601499"/>
    <x v="1"/>
  </r>
  <r>
    <s v="446075585"/>
    <s v="ForSale"/>
    <s v="FOR_SALE"/>
    <x v="0"/>
    <x v="0"/>
    <x v="115"/>
    <x v="10"/>
    <x v="0"/>
    <s v="UT"/>
    <n v="40.770879999999998"/>
    <n v="-111.91804999999999"/>
    <x v="115"/>
    <x v="94"/>
    <x v="11"/>
    <m/>
    <n v="1"/>
    <m/>
    <x v="9"/>
    <m/>
    <n v="115.0653240740741"/>
    <x v="2"/>
    <n v="990000"/>
    <n v="1650"/>
    <n v="486.75"/>
    <n v="354.75"/>
    <n v="4791.1889869477409"/>
    <n v="5632.6889869477409"/>
    <x v="1"/>
  </r>
  <r>
    <s v="145678295"/>
    <s v="ForSale"/>
    <s v="FOR_SALE"/>
    <x v="0"/>
    <x v="0"/>
    <x v="116"/>
    <x v="7"/>
    <x v="0"/>
    <s v="UT"/>
    <n v="40.727609999999999"/>
    <n v="-111.86702"/>
    <x v="116"/>
    <x v="95"/>
    <x v="11"/>
    <m/>
    <n v="1"/>
    <m/>
    <x v="97"/>
    <n v="1289300"/>
    <n v="25.064745370370371"/>
    <x v="2"/>
    <n v="1070000"/>
    <n v="1783.333333333333"/>
    <n v="526.08333333333337"/>
    <n v="383.41666666666669"/>
    <n v="5178.3557737718011"/>
    <n v="6087.8557737718011"/>
    <x v="1"/>
  </r>
  <r>
    <s v="11947258"/>
    <s v="ForSale"/>
    <s v="FOR_SALE"/>
    <x v="0"/>
    <x v="0"/>
    <x v="117"/>
    <x v="14"/>
    <x v="5"/>
    <s v="UT"/>
    <n v="40.263869999999997"/>
    <n v="-111.67659"/>
    <x v="117"/>
    <x v="72"/>
    <x v="2"/>
    <n v="4"/>
    <n v="3232"/>
    <n v="770400"/>
    <x v="98"/>
    <n v="585500"/>
    <n v="1.177175925925926"/>
    <x v="3"/>
    <n v="247.49381188118809"/>
    <n v="222.19444444444451"/>
    <n v="299.96249999999998"/>
    <n v="286.63083333333333"/>
    <n v="3871.1839097570692"/>
    <n v="4457.7772430904024"/>
    <x v="1"/>
  </r>
  <r>
    <s v="448842659"/>
    <s v="ForSale"/>
    <s v="FOR_SALE"/>
    <x v="0"/>
    <x v="0"/>
    <x v="118"/>
    <x v="15"/>
    <x v="5"/>
    <s v="UT"/>
    <n v="40.238906999999998"/>
    <n v="-111.70005"/>
    <x v="118"/>
    <x v="96"/>
    <x v="4"/>
    <n v="2"/>
    <n v="1294"/>
    <n v="399400"/>
    <x v="9"/>
    <m/>
    <n v="17.06424768518519"/>
    <x v="3"/>
    <n v="309.1190108191654"/>
    <n v="222.2222222222222"/>
    <n v="150"/>
    <n v="143.33333333333329"/>
    <n v="1935.8339341203"/>
    <n v="2229.167267453633"/>
    <x v="0"/>
  </r>
  <r>
    <s v="295331884"/>
    <s v="ForSale"/>
    <s v="FOR_SALE"/>
    <x v="0"/>
    <x v="0"/>
    <x v="119"/>
    <x v="15"/>
    <x v="5"/>
    <s v="UT"/>
    <n v="40.230778000000001"/>
    <n v="-111.66539"/>
    <x v="119"/>
    <x v="97"/>
    <x v="4"/>
    <n v="2"/>
    <n v="1804"/>
    <m/>
    <x v="99"/>
    <n v="400900"/>
    <n v="29.763900462962962"/>
    <x v="3"/>
    <n v="221.67405764966739"/>
    <n v="222.16666666666671"/>
    <n v="149.96250000000001"/>
    <n v="143.29750000000001"/>
    <n v="1935.3499756367689"/>
    <n v="2228.6099756367689"/>
    <x v="0"/>
  </r>
  <r>
    <s v="11888006"/>
    <s v="ForSale"/>
    <s v="FOR_SALE"/>
    <x v="0"/>
    <x v="0"/>
    <x v="120"/>
    <x v="15"/>
    <x v="5"/>
    <s v="UT"/>
    <n v="40.231617"/>
    <n v="-111.67399"/>
    <x v="120"/>
    <x v="98"/>
    <x v="4"/>
    <n v="2"/>
    <n v="1872"/>
    <n v="486200"/>
    <x v="100"/>
    <n v="410500"/>
    <n v="1.8396296296296299"/>
    <x v="3"/>
    <n v="264.42307692307691"/>
    <n v="275"/>
    <n v="185.625"/>
    <n v="177.375"/>
    <n v="2395.59449347387"/>
    <n v="2758.59449347387"/>
    <x v="0"/>
  </r>
  <r>
    <s v="456947148"/>
    <s v="ForSale"/>
    <s v="FOR_SALE"/>
    <x v="0"/>
    <x v="0"/>
    <x v="121"/>
    <x v="16"/>
    <x v="5"/>
    <s v="UT"/>
    <n v="40.204773000000003"/>
    <n v="-111.62407"/>
    <x v="121"/>
    <x v="99"/>
    <x v="23"/>
    <n v="4"/>
    <n v="4658"/>
    <n v="1022000"/>
    <x v="9"/>
    <m/>
    <n v="53.064224537037028"/>
    <x v="3"/>
    <n v="225.4186346071275"/>
    <n v="145.83333333333329"/>
    <n v="393.75"/>
    <n v="376.25"/>
    <n v="5081.5640770657856"/>
    <n v="5851.5640770657856"/>
    <x v="1"/>
  </r>
  <r>
    <s v="11945268"/>
    <s v="ForSale"/>
    <s v="FOR_SALE"/>
    <x v="0"/>
    <x v="0"/>
    <x v="122"/>
    <x v="14"/>
    <x v="5"/>
    <s v="UT"/>
    <n v="40.260306999999997"/>
    <n v="-111.67125"/>
    <x v="122"/>
    <x v="12"/>
    <x v="1"/>
    <n v="4"/>
    <n v="3300"/>
    <n v="810900"/>
    <x v="101"/>
    <n v="616000"/>
    <n v="1.988240740740741"/>
    <x v="3"/>
    <n v="257.57575757575762"/>
    <n v="177.08333333333329"/>
    <n v="318.74999999999989"/>
    <n v="304.58333333333331"/>
    <n v="4113.647110005636"/>
    <n v="4736.9804433389691"/>
    <x v="2"/>
  </r>
  <r>
    <s v="2069383511"/>
    <s v="ForSale"/>
    <s v="FOR_SALE"/>
    <x v="0"/>
    <x v="0"/>
    <x v="123"/>
    <x v="15"/>
    <x v="5"/>
    <s v="UT"/>
    <n v="40.230193999999997"/>
    <n v="-111.67487"/>
    <x v="123"/>
    <x v="100"/>
    <x v="4"/>
    <n v="2"/>
    <n v="1368"/>
    <m/>
    <x v="102"/>
    <m/>
    <n v="1.8396296296296299"/>
    <x v="3"/>
    <n v="285.01461988304101"/>
    <n v="216.61111111111109"/>
    <n v="146.21250000000001"/>
    <n v="139.7141666666667"/>
    <n v="1886.9541272837621"/>
    <n v="2172.8807939504291"/>
    <x v="2"/>
  </r>
  <r>
    <s v="11933584"/>
    <s v="ForSale"/>
    <s v="FOR_SALE"/>
    <x v="0"/>
    <x v="0"/>
    <x v="124"/>
    <x v="14"/>
    <x v="5"/>
    <s v="UT"/>
    <n v="40.271275000000003"/>
    <n v="-111.65772"/>
    <x v="124"/>
    <x v="101"/>
    <x v="4"/>
    <n v="3"/>
    <n v="1947"/>
    <n v="464700"/>
    <x v="103"/>
    <n v="459100"/>
    <n v="34.064004629629629"/>
    <x v="3"/>
    <n v="238.828967642527"/>
    <n v="258.33333333333331"/>
    <n v="174.375"/>
    <n v="166.625"/>
    <n v="2250.4069484148481"/>
    <n v="2591.4069484148481"/>
    <x v="2"/>
  </r>
  <r>
    <s v="51685122"/>
    <s v="ForSale"/>
    <s v="FOR_SALE"/>
    <x v="0"/>
    <x v="0"/>
    <x v="125"/>
    <x v="14"/>
    <x v="5"/>
    <s v="UT"/>
    <n v="40.247112000000001"/>
    <n v="-111.69002"/>
    <x v="125"/>
    <x v="102"/>
    <x v="4"/>
    <n v="2"/>
    <n v="1236"/>
    <n v="430900"/>
    <x v="104"/>
    <n v="354200"/>
    <n v="86.065798611111106"/>
    <x v="3"/>
    <n v="351.94174757281547"/>
    <n v="241.66666666666671"/>
    <n v="163.125"/>
    <n v="155.875"/>
    <n v="2105.2194033558262"/>
    <n v="2424.2194033558262"/>
    <x v="2"/>
  </r>
  <r>
    <s v="11889043"/>
    <s v="ForSale"/>
    <s v="FOR_SALE"/>
    <x v="0"/>
    <x v="0"/>
    <x v="126"/>
    <x v="16"/>
    <x v="5"/>
    <s v="UT"/>
    <n v="40.227245000000003"/>
    <n v="-111.64981"/>
    <x v="126"/>
    <x v="103"/>
    <x v="0"/>
    <n v="4"/>
    <n v="2417"/>
    <n v="880200"/>
    <x v="105"/>
    <n v="632300"/>
    <n v="27.064479166666668"/>
    <x v="3"/>
    <n v="376.08605709557298"/>
    <n v="378.75"/>
    <n v="340.87499999999989"/>
    <n v="325.72500000000002"/>
    <n v="4399.1826152883796"/>
    <n v="5065.7826152883808"/>
    <x v="2"/>
  </r>
  <r>
    <s v="295331206"/>
    <s v="ForSale"/>
    <s v="FOR_SALE"/>
    <x v="0"/>
    <x v="0"/>
    <x v="127"/>
    <x v="16"/>
    <x v="5"/>
    <s v="UT"/>
    <n v="40.239890000000003"/>
    <n v="-111.65461999999999"/>
    <x v="127"/>
    <x v="104"/>
    <x v="13"/>
    <n v="2"/>
    <n v="2930"/>
    <m/>
    <x v="106"/>
    <n v="587300"/>
    <n v="185.0647222222222"/>
    <x v="3"/>
    <n v="289.38566552901023"/>
    <n v="201.88095238095241"/>
    <n v="317.96249999999998"/>
    <n v="303.83083333333332"/>
    <n v="4103.4839818515047"/>
    <n v="4725.2773151848378"/>
    <x v="2"/>
  </r>
  <r>
    <s v="11888781"/>
    <s v="ForSale"/>
    <s v="FOR_SALE"/>
    <x v="0"/>
    <x v="0"/>
    <x v="128"/>
    <x v="16"/>
    <x v="5"/>
    <s v="UT"/>
    <n v="40.231437999999997"/>
    <n v="-111.65384"/>
    <x v="128"/>
    <x v="59"/>
    <x v="1"/>
    <n v="4"/>
    <n v="4716"/>
    <m/>
    <x v="107"/>
    <n v="734300"/>
    <n v="208.0656712962963"/>
    <x v="3"/>
    <n v="196.14079728583539"/>
    <n v="192.70833333333329"/>
    <n v="346.875"/>
    <n v="331.45833333333331"/>
    <n v="4476.6159726531923"/>
    <n v="5154.9493059865254"/>
    <x v="2"/>
  </r>
  <r>
    <s v="241985957"/>
    <s v="ForSale"/>
    <s v="FOR_SALE"/>
    <x v="0"/>
    <x v="0"/>
    <x v="129"/>
    <x v="16"/>
    <x v="5"/>
    <s v="UT"/>
    <n v="40.218110000000003"/>
    <n v="-111.61442599999999"/>
    <x v="129"/>
    <x v="48"/>
    <x v="3"/>
    <n v="2"/>
    <n v="2200"/>
    <n v="689000"/>
    <x v="108"/>
    <n v="410200"/>
    <n v="127.06511574074069"/>
    <x v="3"/>
    <n v="318.18181818181819"/>
    <n v="583.33333333333337"/>
    <n v="262.49999999999989"/>
    <n v="250.83333333333329"/>
    <n v="3387.7093847105239"/>
    <n v="3901.0427180438569"/>
    <x v="2"/>
  </r>
  <r>
    <s v="11902043"/>
    <s v="ForSale"/>
    <s v="FOR_SALE"/>
    <x v="0"/>
    <x v="0"/>
    <x v="130"/>
    <x v="14"/>
    <x v="5"/>
    <s v="UT"/>
    <n v="40.244556000000003"/>
    <n v="-111.669014"/>
    <x v="130"/>
    <x v="60"/>
    <x v="0"/>
    <n v="2"/>
    <n v="1500"/>
    <n v="493100"/>
    <x v="109"/>
    <n v="367400"/>
    <n v="71.526631944444446"/>
    <x v="3"/>
    <n v="333.26666666666671"/>
    <n v="208.29166666666671"/>
    <n v="187.46250000000001"/>
    <n v="179.13083333333341"/>
    <n v="2419.3084591668439"/>
    <n v="2785.9017925001781"/>
    <x v="2"/>
  </r>
  <r>
    <s v="2061726659"/>
    <s v="ForSale"/>
    <s v="FOR_SALE"/>
    <x v="0"/>
    <x v="0"/>
    <x v="131"/>
    <x v="17"/>
    <x v="6"/>
    <s v="UT"/>
    <n v="40.26923"/>
    <n v="-111.68397"/>
    <x v="131"/>
    <x v="105"/>
    <x v="23"/>
    <n v="4"/>
    <n v="4152"/>
    <n v="1355900"/>
    <x v="110"/>
    <m/>
    <n v="32.065081018518519"/>
    <x v="3"/>
    <n v="337.18665703275531"/>
    <n v="194.44430555555559"/>
    <n v="524.99962499999992"/>
    <n v="501.66630833333329"/>
    <n v="6775.4139298362124"/>
    <n v="7802.0798631695452"/>
    <x v="2"/>
  </r>
  <r>
    <s v="11888150"/>
    <s v="ForSale"/>
    <s v="FOR_SALE"/>
    <x v="0"/>
    <x v="0"/>
    <x v="132"/>
    <x v="15"/>
    <x v="5"/>
    <s v="UT"/>
    <n v="40.234917000000003"/>
    <n v="-111.67675"/>
    <x v="132"/>
    <x v="106"/>
    <x v="3"/>
    <n v="2"/>
    <n v="1225"/>
    <n v="523700"/>
    <x v="111"/>
    <n v="409300"/>
    <n v="207.06482638888889"/>
    <x v="3"/>
    <n v="428.57142857142861"/>
    <n v="437.5"/>
    <n v="196.875"/>
    <n v="188.125"/>
    <n v="2540.7820385328928"/>
    <n v="2925.7820385328928"/>
    <x v="2"/>
  </r>
  <r>
    <m/>
    <m/>
    <m/>
    <x v="1"/>
    <x v="1"/>
    <x v="133"/>
    <x v="18"/>
    <x v="7"/>
    <m/>
    <m/>
    <m/>
    <x v="133"/>
    <x v="107"/>
    <x v="11"/>
    <m/>
    <m/>
    <m/>
    <x v="9"/>
    <m/>
    <m/>
    <x v="4"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2A8BF3-6147-4D30-8009-2666ABD12CC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9:N106" firstHeaderRow="0" firstDataRow="1" firstDataCol="6" rowPageCount="5" colPageCount="1"/>
  <pivotFields count="3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244">
        <item x="41"/>
        <item m="1" x="211"/>
        <item m="1" x="141"/>
        <item m="1" x="158"/>
        <item m="1" x="166"/>
        <item m="1" x="183"/>
        <item m="1" x="187"/>
        <item m="1" x="159"/>
        <item m="1" x="237"/>
        <item x="7"/>
        <item m="1" x="209"/>
        <item x="20"/>
        <item x="29"/>
        <item x="91"/>
        <item m="1" x="224"/>
        <item m="1" x="222"/>
        <item x="94"/>
        <item m="1" x="186"/>
        <item m="1" x="201"/>
        <item m="1" x="236"/>
        <item m="1" x="203"/>
        <item m="1" x="142"/>
        <item x="26"/>
        <item m="1" x="147"/>
        <item x="24"/>
        <item m="1" x="148"/>
        <item m="1" x="230"/>
        <item m="1" x="217"/>
        <item m="1" x="165"/>
        <item x="75"/>
        <item x="38"/>
        <item m="1" x="162"/>
        <item m="1" x="188"/>
        <item m="1" x="181"/>
        <item m="1" x="167"/>
        <item m="1" x="218"/>
        <item x="73"/>
        <item m="1" x="185"/>
        <item x="81"/>
        <item x="92"/>
        <item x="93"/>
        <item x="78"/>
        <item m="1" x="174"/>
        <item x="80"/>
        <item m="1" x="184"/>
        <item m="1" x="180"/>
        <item m="1" x="189"/>
        <item m="1" x="231"/>
        <item m="1" x="235"/>
        <item x="127"/>
        <item x="124"/>
        <item m="1" x="199"/>
        <item m="1" x="239"/>
        <item m="1" x="193"/>
        <item x="128"/>
        <item m="1" x="140"/>
        <item x="6"/>
        <item x="11"/>
        <item x="23"/>
        <item m="1" x="208"/>
        <item m="1" x="150"/>
        <item m="1" x="210"/>
        <item x="15"/>
        <item m="1" x="155"/>
        <item x="39"/>
        <item x="43"/>
        <item m="1" x="157"/>
        <item x="60"/>
        <item m="1" x="216"/>
        <item x="53"/>
        <item x="66"/>
        <item x="62"/>
        <item x="104"/>
        <item m="1" x="172"/>
        <item m="1" x="220"/>
        <item x="87"/>
        <item x="55"/>
        <item m="1" x="226"/>
        <item x="58"/>
        <item x="90"/>
        <item x="95"/>
        <item m="1" x="238"/>
        <item m="1" x="242"/>
        <item m="1" x="198"/>
        <item m="1" x="241"/>
        <item m="1" x="240"/>
        <item x="132"/>
        <item m="1" x="204"/>
        <item x="3"/>
        <item m="1" x="135"/>
        <item m="1" x="205"/>
        <item x="8"/>
        <item m="1" x="206"/>
        <item m="1" x="207"/>
        <item m="1" x="151"/>
        <item m="1" x="212"/>
        <item x="25"/>
        <item m="1" x="149"/>
        <item m="1" x="213"/>
        <item x="112"/>
        <item x="31"/>
        <item m="1" x="163"/>
        <item m="1" x="170"/>
        <item x="36"/>
        <item x="85"/>
        <item m="1" x="160"/>
        <item m="1" x="164"/>
        <item x="35"/>
        <item m="1" x="214"/>
        <item m="1" x="215"/>
        <item x="46"/>
        <item m="1" x="173"/>
        <item m="1" x="171"/>
        <item m="1" x="219"/>
        <item x="77"/>
        <item x="111"/>
        <item x="52"/>
        <item m="1" x="221"/>
        <item m="1" x="223"/>
        <item x="72"/>
        <item x="71"/>
        <item m="1" x="225"/>
        <item m="1" x="227"/>
        <item m="1" x="228"/>
        <item m="1" x="229"/>
        <item x="107"/>
        <item m="1" x="232"/>
        <item m="1" x="233"/>
        <item m="1" x="234"/>
        <item x="129"/>
        <item m="1" x="243"/>
        <item x="133"/>
        <item m="1" x="134"/>
        <item m="1" x="136"/>
        <item m="1" x="137"/>
        <item m="1" x="138"/>
        <item m="1" x="139"/>
        <item x="5"/>
        <item m="1" x="143"/>
        <item m="1" x="144"/>
        <item m="1" x="145"/>
        <item m="1" x="146"/>
        <item x="22"/>
        <item x="28"/>
        <item m="1" x="152"/>
        <item x="27"/>
        <item m="1" x="153"/>
        <item m="1" x="154"/>
        <item m="1" x="156"/>
        <item x="47"/>
        <item x="74"/>
        <item x="57"/>
        <item m="1" x="161"/>
        <item x="61"/>
        <item m="1" x="168"/>
        <item m="1" x="169"/>
        <item x="49"/>
        <item m="1" x="175"/>
        <item x="65"/>
        <item m="1" x="176"/>
        <item m="1" x="177"/>
        <item m="1" x="178"/>
        <item m="1" x="179"/>
        <item x="105"/>
        <item x="76"/>
        <item m="1" x="182"/>
        <item x="63"/>
        <item x="100"/>
        <item x="109"/>
        <item x="102"/>
        <item x="99"/>
        <item x="82"/>
        <item x="103"/>
        <item x="108"/>
        <item x="106"/>
        <item x="114"/>
        <item x="110"/>
        <item x="115"/>
        <item m="1" x="190"/>
        <item m="1" x="191"/>
        <item x="125"/>
        <item m="1" x="192"/>
        <item m="1" x="194"/>
        <item m="1" x="195"/>
        <item m="1" x="196"/>
        <item m="1" x="197"/>
        <item m="1" x="200"/>
        <item x="130"/>
        <item m="1" x="202"/>
        <item x="0"/>
        <item x="1"/>
        <item x="2"/>
        <item x="4"/>
        <item x="9"/>
        <item x="10"/>
        <item x="12"/>
        <item x="13"/>
        <item x="14"/>
        <item x="16"/>
        <item x="17"/>
        <item x="18"/>
        <item x="19"/>
        <item x="21"/>
        <item x="30"/>
        <item x="32"/>
        <item x="33"/>
        <item x="34"/>
        <item x="37"/>
        <item x="40"/>
        <item x="42"/>
        <item x="44"/>
        <item x="45"/>
        <item x="48"/>
        <item x="50"/>
        <item x="51"/>
        <item x="54"/>
        <item x="56"/>
        <item x="59"/>
        <item x="64"/>
        <item x="67"/>
        <item x="68"/>
        <item x="69"/>
        <item x="70"/>
        <item x="79"/>
        <item x="83"/>
        <item x="84"/>
        <item x="86"/>
        <item x="88"/>
        <item x="89"/>
        <item x="96"/>
        <item x="97"/>
        <item x="98"/>
        <item x="101"/>
        <item x="113"/>
        <item x="116"/>
        <item x="117"/>
        <item x="118"/>
        <item x="119"/>
        <item x="120"/>
        <item x="121"/>
        <item x="122"/>
        <item x="123"/>
        <item x="126"/>
        <item x="131"/>
      </items>
      <autoSortScope>
        <pivotArea dataOnly="0" outline="0" fieldPosition="0">
          <references count="1">
            <reference field="4294967294" count="1" selected="0">
              <x v="6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2">
        <item x="2"/>
        <item x="3"/>
        <item x="4"/>
        <item x="5"/>
        <item x="6"/>
        <item x="8"/>
        <item x="10"/>
        <item x="7"/>
        <item x="11"/>
        <item x="9"/>
        <item x="12"/>
        <item x="0"/>
        <item x="15"/>
        <item x="16"/>
        <item x="14"/>
        <item m="1" x="20"/>
        <item m="1" x="21"/>
        <item x="13"/>
        <item x="18"/>
        <item x="1"/>
        <item m="1" x="19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sortType="ascending" defaultSubtotal="0">
      <items count="8">
        <item x="0"/>
        <item x="4"/>
        <item x="1"/>
        <item x="3"/>
        <item x="5"/>
        <item x="6"/>
        <item x="2"/>
        <item x="7"/>
      </items>
      <autoSortScope>
        <pivotArea dataOnly="0" outline="0" fieldPosition="0">
          <references count="1">
            <reference field="4294967294" count="1" selected="0">
              <x v="7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4">
        <item x="41"/>
        <item m="1" x="211"/>
        <item m="1" x="141"/>
        <item m="1" x="158"/>
        <item m="1" x="166"/>
        <item m="1" x="183"/>
        <item m="1" x="187"/>
        <item m="1" x="159"/>
        <item m="1" x="237"/>
        <item x="7"/>
        <item m="1" x="209"/>
        <item x="20"/>
        <item x="29"/>
        <item x="91"/>
        <item m="1" x="224"/>
        <item m="1" x="222"/>
        <item x="94"/>
        <item m="1" x="186"/>
        <item m="1" x="201"/>
        <item m="1" x="236"/>
        <item m="1" x="203"/>
        <item m="1" x="142"/>
        <item x="26"/>
        <item m="1" x="147"/>
        <item x="24"/>
        <item m="1" x="148"/>
        <item m="1" x="230"/>
        <item m="1" x="217"/>
        <item m="1" x="165"/>
        <item x="75"/>
        <item x="38"/>
        <item m="1" x="162"/>
        <item m="1" x="188"/>
        <item m="1" x="181"/>
        <item m="1" x="218"/>
        <item x="73"/>
        <item m="1" x="185"/>
        <item x="81"/>
        <item x="92"/>
        <item x="93"/>
        <item x="78"/>
        <item m="1" x="174"/>
        <item x="80"/>
        <item m="1" x="184"/>
        <item m="1" x="180"/>
        <item m="1" x="189"/>
        <item m="1" x="231"/>
        <item m="1" x="235"/>
        <item x="127"/>
        <item x="124"/>
        <item m="1" x="199"/>
        <item m="1" x="239"/>
        <item m="1" x="193"/>
        <item x="128"/>
        <item m="1" x="140"/>
        <item x="6"/>
        <item x="11"/>
        <item x="23"/>
        <item m="1" x="208"/>
        <item m="1" x="150"/>
        <item m="1" x="210"/>
        <item x="15"/>
        <item m="1" x="155"/>
        <item x="39"/>
        <item x="43"/>
        <item m="1" x="157"/>
        <item x="60"/>
        <item m="1" x="216"/>
        <item x="53"/>
        <item x="66"/>
        <item x="62"/>
        <item x="104"/>
        <item m="1" x="172"/>
        <item m="1" x="220"/>
        <item x="87"/>
        <item x="55"/>
        <item m="1" x="226"/>
        <item x="58"/>
        <item x="90"/>
        <item m="1" x="167"/>
        <item x="95"/>
        <item m="1" x="238"/>
        <item m="1" x="242"/>
        <item m="1" x="198"/>
        <item m="1" x="241"/>
        <item m="1" x="240"/>
        <item x="132"/>
        <item m="1" x="204"/>
        <item x="3"/>
        <item m="1" x="135"/>
        <item m="1" x="205"/>
        <item x="8"/>
        <item m="1" x="206"/>
        <item m="1" x="207"/>
        <item m="1" x="151"/>
        <item m="1" x="212"/>
        <item x="25"/>
        <item m="1" x="149"/>
        <item m="1" x="213"/>
        <item x="112"/>
        <item x="31"/>
        <item m="1" x="163"/>
        <item m="1" x="170"/>
        <item x="36"/>
        <item x="85"/>
        <item m="1" x="160"/>
        <item m="1" x="164"/>
        <item x="35"/>
        <item m="1" x="214"/>
        <item m="1" x="215"/>
        <item x="46"/>
        <item m="1" x="173"/>
        <item m="1" x="171"/>
        <item m="1" x="219"/>
        <item x="77"/>
        <item x="111"/>
        <item x="52"/>
        <item m="1" x="221"/>
        <item m="1" x="223"/>
        <item x="72"/>
        <item x="71"/>
        <item m="1" x="225"/>
        <item m="1" x="227"/>
        <item m="1" x="228"/>
        <item m="1" x="229"/>
        <item x="107"/>
        <item m="1" x="232"/>
        <item m="1" x="233"/>
        <item m="1" x="234"/>
        <item x="129"/>
        <item m="1" x="243"/>
        <item x="133"/>
        <item m="1" x="134"/>
        <item m="1" x="136"/>
        <item m="1" x="137"/>
        <item m="1" x="138"/>
        <item m="1" x="139"/>
        <item x="5"/>
        <item m="1" x="143"/>
        <item m="1" x="144"/>
        <item m="1" x="145"/>
        <item m="1" x="146"/>
        <item x="22"/>
        <item x="28"/>
        <item m="1" x="152"/>
        <item x="27"/>
        <item m="1" x="153"/>
        <item m="1" x="154"/>
        <item m="1" x="156"/>
        <item x="47"/>
        <item x="74"/>
        <item x="57"/>
        <item m="1" x="161"/>
        <item x="61"/>
        <item m="1" x="168"/>
        <item m="1" x="169"/>
        <item x="49"/>
        <item m="1" x="175"/>
        <item x="65"/>
        <item m="1" x="176"/>
        <item m="1" x="177"/>
        <item m="1" x="178"/>
        <item m="1" x="179"/>
        <item x="105"/>
        <item x="76"/>
        <item m="1" x="182"/>
        <item x="63"/>
        <item x="100"/>
        <item x="109"/>
        <item x="102"/>
        <item x="99"/>
        <item x="82"/>
        <item x="103"/>
        <item x="108"/>
        <item x="106"/>
        <item x="114"/>
        <item x="110"/>
        <item x="115"/>
        <item m="1" x="190"/>
        <item m="1" x="191"/>
        <item x="125"/>
        <item m="1" x="192"/>
        <item m="1" x="194"/>
        <item m="1" x="195"/>
        <item m="1" x="196"/>
        <item m="1" x="197"/>
        <item m="1" x="200"/>
        <item x="130"/>
        <item m="1" x="202"/>
        <item x="0"/>
        <item x="1"/>
        <item x="2"/>
        <item x="4"/>
        <item x="9"/>
        <item x="10"/>
        <item x="12"/>
        <item x="13"/>
        <item x="14"/>
        <item x="16"/>
        <item x="17"/>
        <item x="18"/>
        <item x="19"/>
        <item x="21"/>
        <item x="30"/>
        <item x="32"/>
        <item x="33"/>
        <item x="34"/>
        <item x="37"/>
        <item x="40"/>
        <item x="42"/>
        <item x="44"/>
        <item x="45"/>
        <item x="48"/>
        <item x="50"/>
        <item x="51"/>
        <item x="54"/>
        <item x="56"/>
        <item x="59"/>
        <item x="64"/>
        <item x="67"/>
        <item x="68"/>
        <item x="69"/>
        <item x="70"/>
        <item x="79"/>
        <item x="83"/>
        <item x="84"/>
        <item x="86"/>
        <item x="88"/>
        <item x="89"/>
        <item x="96"/>
        <item x="97"/>
        <item x="98"/>
        <item x="101"/>
        <item x="113"/>
        <item x="116"/>
        <item x="117"/>
        <item x="118"/>
        <item x="119"/>
        <item x="120"/>
        <item x="121"/>
        <item x="122"/>
        <item x="123"/>
        <item x="126"/>
        <item x="1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3" outline="0" showAll="0" defaultSubtotal="0">
      <items count="201">
        <item x="24"/>
        <item x="15"/>
        <item x="76"/>
        <item m="1" x="135"/>
        <item m="1" x="114"/>
        <item m="1" x="112"/>
        <item x="12"/>
        <item x="99"/>
        <item x="30"/>
        <item m="1" x="127"/>
        <item m="1" x="185"/>
        <item m="1" x="152"/>
        <item m="1" x="133"/>
        <item m="1" x="166"/>
        <item m="1" x="170"/>
        <item m="1" x="182"/>
        <item x="35"/>
        <item x="68"/>
        <item m="1" x="197"/>
        <item x="106"/>
        <item x="56"/>
        <item m="1" x="153"/>
        <item x="6"/>
        <item m="1" x="162"/>
        <item x="22"/>
        <item m="1" x="120"/>
        <item m="1" x="165"/>
        <item m="1" x="187"/>
        <item m="1" x="198"/>
        <item m="1" x="116"/>
        <item x="53"/>
        <item x="77"/>
        <item x="44"/>
        <item m="1" x="184"/>
        <item m="1" x="188"/>
        <item x="75"/>
        <item x="59"/>
        <item m="1" x="111"/>
        <item m="1" x="163"/>
        <item m="1" x="164"/>
        <item m="1" x="178"/>
        <item m="1" x="183"/>
        <item x="39"/>
        <item x="57"/>
        <item m="1" x="177"/>
        <item m="1" x="126"/>
        <item m="1" x="161"/>
        <item x="88"/>
        <item m="1" x="156"/>
        <item m="1" x="172"/>
        <item x="89"/>
        <item m="1" x="142"/>
        <item x="5"/>
        <item m="1" x="151"/>
        <item x="80"/>
        <item m="1" x="192"/>
        <item x="97"/>
        <item x="13"/>
        <item m="1" x="196"/>
        <item x="3"/>
        <item x="0"/>
        <item x="23"/>
        <item m="1" x="130"/>
        <item m="1" x="121"/>
        <item x="72"/>
        <item m="1" x="167"/>
        <item m="1" x="168"/>
        <item m="1" x="169"/>
        <item m="1" x="146"/>
        <item m="1" x="171"/>
        <item x="32"/>
        <item m="1" x="134"/>
        <item x="60"/>
        <item m="1" x="173"/>
        <item m="1" x="174"/>
        <item m="1" x="175"/>
        <item m="1" x="176"/>
        <item m="1" x="137"/>
        <item x="55"/>
        <item m="1" x="179"/>
        <item x="49"/>
        <item m="1" x="180"/>
        <item x="91"/>
        <item m="1" x="181"/>
        <item x="63"/>
        <item m="1" x="136"/>
        <item m="1" x="140"/>
        <item x="66"/>
        <item m="1" x="147"/>
        <item m="1" x="186"/>
        <item m="1" x="150"/>
        <item m="1" x="189"/>
        <item m="1" x="190"/>
        <item m="1" x="191"/>
        <item m="1" x="193"/>
        <item m="1" x="194"/>
        <item m="1" x="195"/>
        <item m="1" x="117"/>
        <item m="1" x="199"/>
        <item m="1" x="200"/>
        <item x="107"/>
        <item m="1" x="108"/>
        <item m="1" x="109"/>
        <item x="74"/>
        <item m="1" x="110"/>
        <item x="10"/>
        <item m="1" x="113"/>
        <item x="9"/>
        <item m="1" x="115"/>
        <item x="20"/>
        <item x="90"/>
        <item m="1" x="118"/>
        <item m="1" x="119"/>
        <item x="26"/>
        <item m="1" x="122"/>
        <item x="25"/>
        <item m="1" x="123"/>
        <item m="1" x="124"/>
        <item x="92"/>
        <item m="1" x="128"/>
        <item m="1" x="129"/>
        <item x="62"/>
        <item x="50"/>
        <item m="1" x="131"/>
        <item x="67"/>
        <item m="1" x="132"/>
        <item m="1" x="138"/>
        <item m="1" x="139"/>
        <item x="64"/>
        <item m="1" x="141"/>
        <item x="87"/>
        <item x="73"/>
        <item m="1" x="143"/>
        <item m="1" x="144"/>
        <item m="1" x="145"/>
        <item x="78"/>
        <item x="46"/>
        <item m="1" x="148"/>
        <item x="65"/>
        <item m="1" x="149"/>
        <item x="79"/>
        <item x="86"/>
        <item x="84"/>
        <item x="71"/>
        <item x="93"/>
        <item x="94"/>
        <item m="1" x="154"/>
        <item x="98"/>
        <item x="102"/>
        <item m="1" x="155"/>
        <item m="1" x="157"/>
        <item m="1" x="158"/>
        <item x="17"/>
        <item m="1" x="159"/>
        <item m="1" x="160"/>
        <item m="1" x="125"/>
        <item x="1"/>
        <item x="2"/>
        <item x="4"/>
        <item x="7"/>
        <item x="8"/>
        <item x="11"/>
        <item x="14"/>
        <item x="16"/>
        <item x="18"/>
        <item x="19"/>
        <item x="21"/>
        <item x="27"/>
        <item x="28"/>
        <item x="29"/>
        <item x="31"/>
        <item x="33"/>
        <item x="34"/>
        <item x="36"/>
        <item x="37"/>
        <item x="38"/>
        <item x="40"/>
        <item x="41"/>
        <item x="42"/>
        <item x="43"/>
        <item x="45"/>
        <item x="47"/>
        <item x="48"/>
        <item x="51"/>
        <item x="52"/>
        <item x="54"/>
        <item x="58"/>
        <item x="61"/>
        <item x="69"/>
        <item x="70"/>
        <item x="81"/>
        <item x="82"/>
        <item x="83"/>
        <item x="85"/>
        <item x="95"/>
        <item x="96"/>
        <item x="100"/>
        <item x="101"/>
        <item x="103"/>
        <item x="104"/>
        <item x="10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outline="0" multipleItemSelectionAllowed="1" showAll="0" defaultSubtotal="0">
      <items count="26">
        <item x="3"/>
        <item x="4"/>
        <item x="0"/>
        <item x="7"/>
        <item x="2"/>
        <item x="13"/>
        <item x="1"/>
        <item x="19"/>
        <item x="10"/>
        <item x="9"/>
        <item x="23"/>
        <item x="6"/>
        <item x="5"/>
        <item x="20"/>
        <item x="17"/>
        <item x="12"/>
        <item x="8"/>
        <item x="14"/>
        <item m="1" x="25"/>
        <item x="11"/>
        <item x="15"/>
        <item m="1" x="24"/>
        <item x="22"/>
        <item x="16"/>
        <item x="18"/>
        <item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3" outline="0" showAll="0" sortType="descending" defaultSubtotal="0">
      <items count="305">
        <item x="9"/>
        <item m="1" x="239"/>
        <item m="1" x="211"/>
        <item m="1" x="271"/>
        <item m="1" x="209"/>
        <item m="1" x="236"/>
        <item m="1" x="235"/>
        <item m="1" x="210"/>
        <item m="1" x="212"/>
        <item m="1" x="213"/>
        <item m="1" x="214"/>
        <item x="88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x="94"/>
        <item m="1" x="230"/>
        <item m="1" x="231"/>
        <item m="1" x="232"/>
        <item m="1" x="233"/>
        <item m="1" x="234"/>
        <item m="1" x="237"/>
        <item m="1" x="238"/>
        <item x="40"/>
        <item m="1" x="240"/>
        <item m="1" x="241"/>
        <item m="1" x="242"/>
        <item m="1" x="243"/>
        <item m="1" x="244"/>
        <item m="1" x="245"/>
        <item m="1" x="246"/>
        <item m="1" x="187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x="74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x="5"/>
        <item m="1" x="270"/>
        <item m="1" x="272"/>
        <item m="1" x="273"/>
        <item m="1" x="274"/>
        <item m="1" x="275"/>
        <item m="1" x="276"/>
        <item m="1" x="277"/>
        <item m="1" x="164"/>
        <item m="1" x="278"/>
        <item m="1" x="279"/>
        <item x="61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124"/>
        <item m="1" x="301"/>
        <item m="1" x="302"/>
        <item m="1" x="303"/>
        <item m="1" x="304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x="55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x="34"/>
        <item m="1" x="138"/>
        <item x="95"/>
        <item x="46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x="84"/>
        <item m="1" x="184"/>
        <item m="1" x="185"/>
        <item m="1" x="186"/>
        <item m="1" x="188"/>
        <item x="90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x="109"/>
        <item m="1" x="199"/>
        <item m="1" x="200"/>
        <item x="30"/>
        <item m="1" x="201"/>
        <item m="1" x="202"/>
        <item m="1" x="203"/>
        <item m="1" x="204"/>
        <item m="1" x="205"/>
        <item m="1" x="206"/>
        <item m="1" x="207"/>
        <item m="1" x="208"/>
        <item x="0"/>
        <item x="1"/>
        <item x="2"/>
        <item x="3"/>
        <item x="4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7"/>
        <item x="48"/>
        <item x="49"/>
        <item x="50"/>
        <item x="51"/>
        <item x="52"/>
        <item x="53"/>
        <item x="54"/>
        <item x="56"/>
        <item x="57"/>
        <item x="58"/>
        <item x="59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5"/>
        <item x="86"/>
        <item x="87"/>
        <item x="89"/>
        <item x="91"/>
        <item x="92"/>
        <item x="93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</items>
      <autoSortScope>
        <pivotArea dataOnly="0" outline="0" fieldPosition="0">
          <references count="1">
            <reference field="4294967294" count="1" selected="0">
              <x v="7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 defaultSubtotal="0">
      <items count="5">
        <item x="0"/>
        <item x="2"/>
        <item x="1"/>
        <item h="1" x="3"/>
        <item h="1" x="4"/>
      </items>
      <autoSortScope>
        <pivotArea dataOnly="0" outline="0" fieldPosition="0">
          <references count="1">
            <reference field="4294967294" count="1" selected="0">
              <x v="7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5"/>
    <field x="20"/>
    <field x="7"/>
    <field x="11"/>
    <field x="12"/>
    <field x="17"/>
  </rowFields>
  <rowItems count="97">
    <i>
      <x v="215"/>
      <x v="1"/>
      <x/>
      <x v="215"/>
      <x v="182"/>
      <x v="248"/>
    </i>
    <i>
      <x v="171"/>
      <x v="1"/>
      <x/>
      <x v="171"/>
      <x v="188"/>
      <x v="269"/>
    </i>
    <i>
      <x v="212"/>
      <x v="1"/>
      <x/>
      <x v="212"/>
      <x v="32"/>
      <x v="243"/>
    </i>
    <i>
      <x v="149"/>
      <x v="1"/>
      <x/>
      <x v="149"/>
      <x v="179"/>
      <x/>
    </i>
    <i>
      <x v="41"/>
      <x v="1"/>
      <x/>
      <x v="40"/>
      <x v="138"/>
      <x v="266"/>
    </i>
    <i>
      <x v="43"/>
      <x v="1"/>
      <x/>
      <x v="42"/>
      <x v="124"/>
      <x v="268"/>
    </i>
    <i>
      <x v="167"/>
      <x v="1"/>
      <x/>
      <x v="167"/>
      <x v="30"/>
      <x v="180"/>
    </i>
    <i>
      <x v="16"/>
      <x v="1"/>
      <x/>
      <x v="16"/>
      <x v="17"/>
      <x v="278"/>
    </i>
    <i>
      <x v="64"/>
      <x v="1"/>
      <x/>
      <x v="63"/>
      <x v="173"/>
      <x v="237"/>
    </i>
    <i>
      <x v="224"/>
      <x v="1"/>
      <x/>
      <x v="224"/>
      <x v="189"/>
      <x/>
    </i>
    <i>
      <x v="227"/>
      <x v="1"/>
      <x/>
      <x v="227"/>
      <x v="103"/>
      <x v="273"/>
    </i>
    <i>
      <x v="229"/>
      <x v="1"/>
      <x v="1"/>
      <x v="229"/>
      <x v="190"/>
      <x v="279"/>
    </i>
    <i>
      <x v="11"/>
      <x v="2"/>
      <x/>
      <x v="11"/>
      <x v="164"/>
      <x v="222"/>
    </i>
    <i>
      <x v="170"/>
      <x v="1"/>
      <x/>
      <x v="170"/>
      <x v="142"/>
      <x v="282"/>
    </i>
    <i>
      <x v="163"/>
      <x v="1"/>
      <x v="1"/>
      <x v="163"/>
      <x v="50"/>
      <x v="11"/>
    </i>
    <i>
      <x v="153"/>
      <x v="1"/>
      <x/>
      <x v="153"/>
      <x v="185"/>
      <x v="253"/>
    </i>
    <i>
      <x v="57"/>
      <x/>
      <x v="6"/>
      <x v="56"/>
      <x v="105"/>
      <x v="217"/>
    </i>
    <i>
      <x v="228"/>
      <x v="1"/>
      <x v="1"/>
      <x v="228"/>
      <x v="35"/>
      <x v="57"/>
    </i>
    <i>
      <x v="58"/>
      <x v="2"/>
      <x/>
      <x v="57"/>
      <x v="166"/>
      <x v="225"/>
    </i>
    <i>
      <x v="110"/>
      <x v="1"/>
      <x/>
      <x v="110"/>
      <x v="178"/>
      <x v="242"/>
    </i>
    <i>
      <x v="195"/>
      <x/>
      <x/>
      <x v="195"/>
      <x v="161"/>
      <x v="218"/>
    </i>
    <i>
      <x v="190"/>
      <x/>
      <x/>
      <x v="190"/>
      <x v="156"/>
      <x v="209"/>
    </i>
    <i>
      <x v="168"/>
      <x v="1"/>
      <x/>
      <x v="168"/>
      <x v="110"/>
      <x v="288"/>
    </i>
    <i>
      <x v="145"/>
      <x v="2"/>
      <x/>
      <x v="145"/>
      <x v="115"/>
      <x v="228"/>
    </i>
    <i>
      <x v="56"/>
      <x/>
      <x/>
      <x v="55"/>
      <x v="52"/>
      <x v="213"/>
    </i>
    <i>
      <x v="205"/>
      <x v="1"/>
      <x/>
      <x v="205"/>
      <x v="170"/>
      <x v="233"/>
    </i>
    <i>
      <x v="69"/>
      <x v="1"/>
      <x/>
      <x v="68"/>
      <x v="6"/>
      <x v="247"/>
    </i>
    <i>
      <x v="116"/>
      <x v="1"/>
      <x/>
      <x v="116"/>
      <x v="181"/>
      <x v="246"/>
    </i>
    <i>
      <x v="29"/>
      <x v="1"/>
      <x/>
      <x v="29"/>
      <x v="84"/>
      <x v="263"/>
    </i>
    <i>
      <x v="100"/>
      <x v="1"/>
      <x/>
      <x v="100"/>
      <x v="169"/>
      <x v="231"/>
    </i>
    <i>
      <x v="62"/>
      <x v="2"/>
      <x/>
      <x v="61"/>
      <x v="57"/>
      <x v="220"/>
    </i>
    <i>
      <x v="125"/>
      <x v="1"/>
      <x/>
      <x v="125"/>
      <x v="8"/>
      <x v="185"/>
    </i>
    <i>
      <x v="40"/>
      <x v="1"/>
      <x/>
      <x v="39"/>
      <x v="140"/>
      <x v="277"/>
    </i>
    <i>
      <x v="38"/>
      <x v="1"/>
      <x/>
      <x v="37"/>
      <x v="17"/>
      <x/>
    </i>
    <i>
      <x v="119"/>
      <x v="1"/>
      <x/>
      <x v="119"/>
      <x v="36"/>
      <x/>
    </i>
    <i>
      <x v="194"/>
      <x/>
      <x/>
      <x v="194"/>
      <x v="107"/>
      <x v="216"/>
    </i>
    <i>
      <x v="232"/>
      <x v="1"/>
      <x/>
      <x v="232"/>
      <x v="193"/>
      <x v="283"/>
    </i>
    <i>
      <x v="99"/>
      <x v="1"/>
      <x/>
      <x v="99"/>
      <x v="36"/>
      <x v="134"/>
    </i>
    <i>
      <x v="169"/>
      <x v="1"/>
      <x/>
      <x v="169"/>
      <x v="141"/>
      <x v="284"/>
    </i>
    <i>
      <x v="216"/>
      <x v="1"/>
      <x/>
      <x v="216"/>
      <x v="80"/>
      <x v="245"/>
    </i>
    <i>
      <x v="143"/>
      <x v="2"/>
      <x/>
      <x v="143"/>
      <x v="113"/>
      <x v="229"/>
    </i>
    <i>
      <x v="156"/>
      <x v="1"/>
      <x/>
      <x v="156"/>
      <x v="32"/>
      <x v="35"/>
    </i>
    <i>
      <x v="22"/>
      <x v="2"/>
      <x/>
      <x v="22"/>
      <x/>
      <x v="227"/>
    </i>
    <i>
      <x v="166"/>
      <x v="1"/>
      <x/>
      <x v="166"/>
      <x v="20"/>
      <x v="255"/>
    </i>
    <i>
      <x v="211"/>
      <x v="1"/>
      <x/>
      <x v="211"/>
      <x v="177"/>
      <x v="241"/>
    </i>
    <i>
      <x v="220"/>
      <x v="1"/>
      <x/>
      <x v="220"/>
      <x v="36"/>
      <x v="258"/>
    </i>
    <i>
      <x v="142"/>
      <x v="2"/>
      <x/>
      <x v="142"/>
      <x v="109"/>
      <x v="224"/>
    </i>
    <i>
      <x v="137"/>
      <x/>
      <x v="6"/>
      <x v="137"/>
      <x v="158"/>
      <x v="68"/>
    </i>
    <i>
      <x v="12"/>
      <x v="2"/>
      <x/>
      <x v="12"/>
      <x v="167"/>
      <x/>
    </i>
    <i>
      <x v="78"/>
      <x v="1"/>
      <x/>
      <x v="77"/>
      <x v="183"/>
      <x v="250"/>
    </i>
    <i>
      <x v="79"/>
      <x v="1"/>
      <x/>
      <x v="78"/>
      <x v="2"/>
      <x v="274"/>
    </i>
    <i>
      <x v="202"/>
      <x v="2"/>
      <x/>
      <x v="202"/>
      <x v="165"/>
      <x v="223"/>
    </i>
    <i>
      <x v="9"/>
      <x/>
      <x v="2"/>
      <x v="9"/>
      <x v="22"/>
      <x v="214"/>
    </i>
    <i>
      <x v="197"/>
      <x v="2"/>
      <x/>
      <x v="197"/>
      <x v="6"/>
      <x v="219"/>
    </i>
    <i>
      <x v="158"/>
      <x v="1"/>
      <x/>
      <x v="158"/>
      <x v="8"/>
      <x v="118"/>
    </i>
    <i>
      <x v="176"/>
      <x v="1"/>
      <x/>
      <x v="176"/>
      <x v="8"/>
      <x v="289"/>
    </i>
    <i>
      <x v="67"/>
      <x v="1"/>
      <x/>
      <x v="66"/>
      <x v="30"/>
      <x v="252"/>
    </i>
    <i>
      <x v="39"/>
      <x v="1"/>
      <x/>
      <x v="38"/>
      <x v="135"/>
      <x v="276"/>
    </i>
    <i>
      <x v="230"/>
      <x v="1"/>
      <x/>
      <x v="230"/>
      <x v="191"/>
      <x v="280"/>
    </i>
    <i>
      <x v="207"/>
      <x v="1"/>
      <x/>
      <x v="207"/>
      <x v="172"/>
      <x v="199"/>
    </i>
    <i>
      <x v="225"/>
      <x v="1"/>
      <x/>
      <x v="225"/>
      <x v="143"/>
      <x/>
    </i>
    <i>
      <x v="201"/>
      <x v="2"/>
      <x/>
      <x v="201"/>
      <x v="152"/>
      <x/>
    </i>
    <i>
      <x v="150"/>
      <x v="1"/>
      <x/>
      <x v="150"/>
      <x v="121"/>
      <x v="262"/>
    </i>
    <i>
      <x v="24"/>
      <x v="2"/>
      <x/>
      <x v="24"/>
      <x v="24"/>
      <x/>
    </i>
    <i>
      <x v="103"/>
      <x v="1"/>
      <x/>
      <x v="103"/>
      <x v="171"/>
      <x/>
    </i>
    <i>
      <x v="36"/>
      <x v="1"/>
      <x/>
      <x v="35"/>
      <x v="20"/>
      <x v="79"/>
    </i>
    <i>
      <x v="120"/>
      <x v="1"/>
      <x/>
      <x v="120"/>
      <x v="30"/>
      <x v="261"/>
    </i>
    <i>
      <x v="174"/>
      <x v="1"/>
      <x/>
      <x v="174"/>
      <x v="143"/>
      <x v="286"/>
    </i>
    <i>
      <x v="214"/>
      <x v="1"/>
      <x/>
      <x v="214"/>
      <x v="136"/>
      <x v="245"/>
    </i>
    <i>
      <x v="173"/>
      <x v="1"/>
      <x/>
      <x v="173"/>
      <x v="162"/>
      <x v="287"/>
    </i>
    <i>
      <x v="75"/>
      <x v="1"/>
      <x/>
      <x v="74"/>
      <x v="131"/>
      <x v="272"/>
    </i>
    <i>
      <x v="206"/>
      <x v="1"/>
      <x/>
      <x v="206"/>
      <x/>
      <x v="234"/>
    </i>
    <i>
      <x v="72"/>
      <x v="1"/>
      <x/>
      <x v="71"/>
      <x v="47"/>
      <x/>
    </i>
    <i>
      <x v="96"/>
      <x v="2"/>
      <x/>
      <x v="96"/>
      <x v="61"/>
      <x v="226"/>
    </i>
    <i>
      <x v="70"/>
      <x v="1"/>
      <x/>
      <x v="69"/>
      <x v="186"/>
      <x v="257"/>
    </i>
    <i>
      <x v="71"/>
      <x v="1"/>
      <x/>
      <x v="70"/>
      <x v="78"/>
      <x v="254"/>
    </i>
    <i>
      <x v="223"/>
      <x v="1"/>
      <x/>
      <x v="223"/>
      <x v="87"/>
      <x v="267"/>
    </i>
    <i>
      <x v="164"/>
      <x v="1"/>
      <x/>
      <x v="164"/>
      <x/>
      <x v="264"/>
    </i>
    <i>
      <x v="104"/>
      <x v="1"/>
      <x/>
      <x v="104"/>
      <x v="64"/>
      <x v="270"/>
    </i>
    <i>
      <x v="198"/>
      <x v="2"/>
      <x/>
      <x v="198"/>
      <x v="162"/>
      <x v="221"/>
    </i>
    <i>
      <x v="213"/>
      <x v="1"/>
      <x/>
      <x v="213"/>
      <x v="180"/>
      <x v="244"/>
    </i>
    <i>
      <x v="196"/>
      <x/>
      <x v="3"/>
      <x v="196"/>
      <x v="160"/>
      <x/>
    </i>
    <i>
      <x v="193"/>
      <x/>
      <x v="3"/>
      <x v="193"/>
      <x v="160"/>
      <x/>
    </i>
    <i>
      <x v="226"/>
      <x v="1"/>
      <x/>
      <x v="226"/>
      <x v="8"/>
      <x v="271"/>
    </i>
    <i>
      <x v="65"/>
      <x v="1"/>
      <x/>
      <x v="64"/>
      <x v="42"/>
      <x/>
    </i>
    <i>
      <x/>
      <x v="1"/>
      <x/>
      <x/>
      <x v="175"/>
      <x v="132"/>
    </i>
    <i>
      <x v="219"/>
      <x v="1"/>
      <x/>
      <x v="219"/>
      <x v="179"/>
      <x/>
    </i>
    <i>
      <x v="172"/>
      <x v="1"/>
      <x/>
      <x v="172"/>
      <x v="130"/>
      <x v="285"/>
    </i>
    <i>
      <x v="76"/>
      <x v="1"/>
      <x/>
      <x v="75"/>
      <x v="52"/>
      <x v="135"/>
    </i>
    <i>
      <x v="231"/>
      <x v="1"/>
      <x/>
      <x v="231"/>
      <x v="192"/>
      <x v="281"/>
    </i>
    <i>
      <x v="204"/>
      <x v="1"/>
      <x/>
      <x v="204"/>
      <x v="8"/>
      <x v="232"/>
    </i>
    <i>
      <x v="199"/>
      <x v="2"/>
      <x/>
      <x v="199"/>
      <x v="1"/>
      <x/>
    </i>
    <i>
      <x v="200"/>
      <x v="2"/>
      <x/>
      <x v="200"/>
      <x v="163"/>
      <x/>
    </i>
    <i>
      <x v="175"/>
      <x v="1"/>
      <x/>
      <x v="175"/>
      <x v="144"/>
      <x/>
    </i>
    <i>
      <x v="177"/>
      <x v="1"/>
      <x/>
      <x v="177"/>
      <x v="145"/>
      <x/>
    </i>
    <i>
      <x v="234"/>
      <x v="1"/>
      <x/>
      <x v="234"/>
      <x v="194"/>
      <x v="291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5">
    <pageField fld="13" hier="-1"/>
    <pageField fld="3" hier="-1"/>
    <pageField fld="4" hier="-1"/>
    <pageField fld="6" hier="-1"/>
    <pageField fld="27" item="1" hier="-1"/>
  </pageFields>
  <dataFields count="8">
    <dataField name="Sum of Rent Est." fld="32" baseField="17" baseItem="50" numFmtId="3"/>
    <dataField name="Sum of beds" fld="13" baseField="0" baseItem="0"/>
    <dataField name="Sum of ReqDwnPmt" fld="29" baseField="0" baseItem="0" numFmtId="3"/>
    <dataField name="Sum of Taxes" fld="23" baseField="0" baseItem="0"/>
    <dataField name="Sum of Insurance" fld="24" baseField="0" baseItem="0"/>
    <dataField name="Sum of DaysOnZillow" fld="19" baseField="0" baseItem="0" numFmtId="3"/>
    <dataField name="Sum of SqFtMulti" fld="34" baseField="0" baseItem="0" numFmtId="3"/>
    <dataField name="Sum of AvgRentMulti" fld="33" baseField="17" baseItem="11" numFmtId="176"/>
  </dataFields>
  <formats count="2">
    <format dxfId="1">
      <pivotArea outline="0" fieldPosition="0">
        <references count="1">
          <reference field="4294967294" count="1" selected="0">
            <x v="7"/>
          </reference>
        </references>
      </pivotArea>
    </format>
    <format dxfId="0">
      <pivotArea outline="0" fieldPosition="0">
        <references count="7">
          <reference field="4294967294" count="2" selected="0">
            <x v="3"/>
            <x v="4"/>
          </reference>
          <reference field="5" count="0" selected="0"/>
          <reference field="7" count="7" selected="0">
            <x v="0"/>
            <x v="1"/>
            <x v="2"/>
            <x v="3"/>
            <x v="4"/>
            <x v="5"/>
            <x v="6"/>
          </reference>
          <reference field="11" count="88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</reference>
          <reference field="12" count="59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</reference>
          <reference field="17" count="0" selected="0"/>
          <reference field="20" count="4" selected="0">
            <x v="0"/>
            <x v="1"/>
            <x v="2"/>
            <x v="3"/>
          </reference>
        </references>
      </pivotArea>
    </format>
  </formats>
  <conditionalFormats count="9">
    <conditionalFormat priority="11">
      <pivotAreas count="1">
        <pivotArea type="data" outline="0" collapsedLevelsAreSubtotals="1" fieldPosition="0">
          <references count="6">
            <reference field="4294967294" count="1" selected="0">
              <x v="7"/>
            </reference>
            <reference field="5" count="52" selected="0">
              <x v="1"/>
              <x v="3"/>
              <x v="5"/>
              <x v="7"/>
              <x v="9"/>
              <x v="10"/>
              <x v="13"/>
              <x v="14"/>
              <x v="15"/>
              <x v="18"/>
              <x v="20"/>
              <x v="21"/>
              <x v="23"/>
              <x v="25"/>
              <x v="27"/>
              <x v="30"/>
              <x v="31"/>
              <x v="32"/>
              <x v="33"/>
              <x v="34"/>
              <x v="35"/>
              <x v="36"/>
              <x v="37"/>
              <x v="39"/>
              <x v="43"/>
              <x v="45"/>
              <x v="48"/>
              <x v="49"/>
              <x v="50"/>
              <x v="51"/>
              <x v="52"/>
              <x v="53"/>
              <x v="54"/>
              <x v="56"/>
              <x v="58"/>
              <x v="60"/>
              <x v="61"/>
              <x v="63"/>
              <x v="64"/>
              <x v="66"/>
              <x v="69"/>
              <x v="70"/>
              <x v="71"/>
              <x v="74"/>
              <x v="80"/>
              <x v="81"/>
              <x v="82"/>
              <x v="83"/>
              <x v="84"/>
              <x v="85"/>
              <x v="86"/>
              <x v="87"/>
            </reference>
            <reference field="7" count="7" selected="0">
              <x v="0"/>
              <x v="1"/>
              <x v="2"/>
              <x v="3"/>
              <x v="4"/>
              <x v="5"/>
              <x v="6"/>
            </reference>
            <reference field="11" count="52" selected="0">
              <x v="1"/>
              <x v="3"/>
              <x v="5"/>
              <x v="7"/>
              <x v="9"/>
              <x v="10"/>
              <x v="13"/>
              <x v="14"/>
              <x v="15"/>
              <x v="18"/>
              <x v="20"/>
              <x v="21"/>
              <x v="23"/>
              <x v="25"/>
              <x v="27"/>
              <x v="30"/>
              <x v="31"/>
              <x v="32"/>
              <x v="33"/>
              <x v="34"/>
              <x v="35"/>
              <x v="36"/>
              <x v="38"/>
              <x v="42"/>
              <x v="44"/>
              <x v="47"/>
              <x v="48"/>
              <x v="49"/>
              <x v="50"/>
              <x v="51"/>
              <x v="52"/>
              <x v="53"/>
              <x v="55"/>
              <x v="57"/>
              <x v="59"/>
              <x v="60"/>
              <x v="62"/>
              <x v="63"/>
              <x v="65"/>
              <x v="68"/>
              <x v="69"/>
              <x v="70"/>
              <x v="73"/>
              <x v="79"/>
              <x v="80"/>
              <x v="81"/>
              <x v="82"/>
              <x v="83"/>
              <x v="84"/>
              <x v="85"/>
              <x v="86"/>
              <x v="87"/>
            </reference>
            <reference field="12" count="37" selected="0">
              <x v="1"/>
              <x v="4"/>
              <x v="6"/>
              <x v="9"/>
              <x v="11"/>
              <x v="12"/>
              <x v="13"/>
              <x v="15"/>
              <x v="16"/>
              <x v="18"/>
              <x v="19"/>
              <x v="20"/>
              <x v="21"/>
              <x v="22"/>
              <x v="23"/>
              <x v="26"/>
              <x v="28"/>
              <x v="29"/>
              <x v="31"/>
              <x v="32"/>
              <x v="35"/>
              <x v="36"/>
              <x v="38"/>
              <x v="40"/>
              <x v="41"/>
              <x v="43"/>
              <x v="44"/>
              <x v="45"/>
              <x v="46"/>
              <x v="48"/>
              <x v="49"/>
              <x v="50"/>
              <x v="52"/>
              <x v="54"/>
              <x v="55"/>
              <x v="57"/>
              <x v="58"/>
            </reference>
            <reference field="17" count="4" selected="0">
              <x v="0"/>
              <x v="1"/>
              <x v="5"/>
              <x v="6"/>
            </reference>
          </references>
        </pivotArea>
      </pivotAreas>
    </conditionalFormat>
    <conditionalFormat priority="10">
      <pivotAreas count="1">
        <pivotArea type="data" outline="0" collapsedLevelsAreSubtotals="1" fieldPosition="0">
          <references count="6">
            <reference field="4294967294" count="1" selected="0">
              <x v="5"/>
            </reference>
            <reference field="5" count="52" selected="0">
              <x v="1"/>
              <x v="3"/>
              <x v="5"/>
              <x v="7"/>
              <x v="9"/>
              <x v="10"/>
              <x v="13"/>
              <x v="14"/>
              <x v="15"/>
              <x v="18"/>
              <x v="20"/>
              <x v="21"/>
              <x v="23"/>
              <x v="25"/>
              <x v="27"/>
              <x v="30"/>
              <x v="31"/>
              <x v="32"/>
              <x v="33"/>
              <x v="34"/>
              <x v="35"/>
              <x v="36"/>
              <x v="37"/>
              <x v="39"/>
              <x v="43"/>
              <x v="45"/>
              <x v="48"/>
              <x v="49"/>
              <x v="50"/>
              <x v="51"/>
              <x v="52"/>
              <x v="53"/>
              <x v="54"/>
              <x v="56"/>
              <x v="58"/>
              <x v="60"/>
              <x v="61"/>
              <x v="63"/>
              <x v="64"/>
              <x v="66"/>
              <x v="69"/>
              <x v="70"/>
              <x v="71"/>
              <x v="74"/>
              <x v="80"/>
              <x v="81"/>
              <x v="82"/>
              <x v="83"/>
              <x v="84"/>
              <x v="85"/>
              <x v="86"/>
              <x v="87"/>
            </reference>
            <reference field="7" count="7" selected="0">
              <x v="0"/>
              <x v="1"/>
              <x v="2"/>
              <x v="3"/>
              <x v="4"/>
              <x v="5"/>
              <x v="6"/>
            </reference>
            <reference field="11" count="52" selected="0">
              <x v="1"/>
              <x v="3"/>
              <x v="5"/>
              <x v="7"/>
              <x v="9"/>
              <x v="10"/>
              <x v="13"/>
              <x v="14"/>
              <x v="15"/>
              <x v="18"/>
              <x v="20"/>
              <x v="21"/>
              <x v="23"/>
              <x v="25"/>
              <x v="27"/>
              <x v="30"/>
              <x v="31"/>
              <x v="32"/>
              <x v="33"/>
              <x v="34"/>
              <x v="35"/>
              <x v="36"/>
              <x v="38"/>
              <x v="42"/>
              <x v="44"/>
              <x v="47"/>
              <x v="48"/>
              <x v="49"/>
              <x v="50"/>
              <x v="51"/>
              <x v="52"/>
              <x v="53"/>
              <x v="55"/>
              <x v="57"/>
              <x v="59"/>
              <x v="60"/>
              <x v="62"/>
              <x v="63"/>
              <x v="65"/>
              <x v="68"/>
              <x v="69"/>
              <x v="70"/>
              <x v="73"/>
              <x v="79"/>
              <x v="80"/>
              <x v="81"/>
              <x v="82"/>
              <x v="83"/>
              <x v="84"/>
              <x v="85"/>
              <x v="86"/>
              <x v="87"/>
            </reference>
            <reference field="12" count="37" selected="0">
              <x v="1"/>
              <x v="4"/>
              <x v="6"/>
              <x v="9"/>
              <x v="11"/>
              <x v="12"/>
              <x v="13"/>
              <x v="15"/>
              <x v="16"/>
              <x v="18"/>
              <x v="19"/>
              <x v="20"/>
              <x v="21"/>
              <x v="22"/>
              <x v="23"/>
              <x v="26"/>
              <x v="28"/>
              <x v="29"/>
              <x v="31"/>
              <x v="32"/>
              <x v="35"/>
              <x v="36"/>
              <x v="38"/>
              <x v="40"/>
              <x v="41"/>
              <x v="43"/>
              <x v="44"/>
              <x v="45"/>
              <x v="46"/>
              <x v="48"/>
              <x v="49"/>
              <x v="50"/>
              <x v="52"/>
              <x v="54"/>
              <x v="55"/>
              <x v="57"/>
              <x v="58"/>
            </reference>
            <reference field="17" count="4" selected="0">
              <x v="0"/>
              <x v="1"/>
              <x v="5"/>
              <x v="6"/>
            </reference>
          </references>
        </pivotArea>
      </pivotAreas>
    </conditionalFormat>
    <conditionalFormat priority="9">
      <pivotAreas count="1">
        <pivotArea type="data" outline="0" collapsedLevelsAreSubtotals="1" fieldPosition="0">
          <references count="6">
            <reference field="4294967294" count="1" selected="0">
              <x v="6"/>
            </reference>
            <reference field="5" count="52" selected="0">
              <x v="1"/>
              <x v="3"/>
              <x v="5"/>
              <x v="7"/>
              <x v="9"/>
              <x v="10"/>
              <x v="13"/>
              <x v="14"/>
              <x v="15"/>
              <x v="18"/>
              <x v="20"/>
              <x v="21"/>
              <x v="23"/>
              <x v="25"/>
              <x v="27"/>
              <x v="30"/>
              <x v="31"/>
              <x v="32"/>
              <x v="33"/>
              <x v="34"/>
              <x v="35"/>
              <x v="36"/>
              <x v="37"/>
              <x v="39"/>
              <x v="43"/>
              <x v="45"/>
              <x v="48"/>
              <x v="49"/>
              <x v="50"/>
              <x v="51"/>
              <x v="52"/>
              <x v="53"/>
              <x v="54"/>
              <x v="56"/>
              <x v="58"/>
              <x v="60"/>
              <x v="61"/>
              <x v="63"/>
              <x v="64"/>
              <x v="66"/>
              <x v="69"/>
              <x v="70"/>
              <x v="71"/>
              <x v="74"/>
              <x v="80"/>
              <x v="81"/>
              <x v="82"/>
              <x v="83"/>
              <x v="84"/>
              <x v="85"/>
              <x v="86"/>
              <x v="87"/>
            </reference>
            <reference field="7" count="7" selected="0">
              <x v="0"/>
              <x v="1"/>
              <x v="2"/>
              <x v="3"/>
              <x v="4"/>
              <x v="5"/>
              <x v="6"/>
            </reference>
            <reference field="11" count="52" selected="0">
              <x v="1"/>
              <x v="3"/>
              <x v="5"/>
              <x v="7"/>
              <x v="9"/>
              <x v="10"/>
              <x v="13"/>
              <x v="14"/>
              <x v="15"/>
              <x v="18"/>
              <x v="20"/>
              <x v="21"/>
              <x v="23"/>
              <x v="25"/>
              <x v="27"/>
              <x v="30"/>
              <x v="31"/>
              <x v="32"/>
              <x v="33"/>
              <x v="34"/>
              <x v="35"/>
              <x v="36"/>
              <x v="38"/>
              <x v="42"/>
              <x v="44"/>
              <x v="47"/>
              <x v="48"/>
              <x v="49"/>
              <x v="50"/>
              <x v="51"/>
              <x v="52"/>
              <x v="53"/>
              <x v="55"/>
              <x v="57"/>
              <x v="59"/>
              <x v="60"/>
              <x v="62"/>
              <x v="63"/>
              <x v="65"/>
              <x v="68"/>
              <x v="69"/>
              <x v="70"/>
              <x v="73"/>
              <x v="79"/>
              <x v="80"/>
              <x v="81"/>
              <x v="82"/>
              <x v="83"/>
              <x v="84"/>
              <x v="85"/>
              <x v="86"/>
              <x v="87"/>
            </reference>
            <reference field="12" count="37" selected="0">
              <x v="1"/>
              <x v="4"/>
              <x v="6"/>
              <x v="9"/>
              <x v="11"/>
              <x v="12"/>
              <x v="13"/>
              <x v="15"/>
              <x v="16"/>
              <x v="18"/>
              <x v="19"/>
              <x v="20"/>
              <x v="21"/>
              <x v="22"/>
              <x v="23"/>
              <x v="26"/>
              <x v="28"/>
              <x v="29"/>
              <x v="31"/>
              <x v="32"/>
              <x v="35"/>
              <x v="36"/>
              <x v="38"/>
              <x v="40"/>
              <x v="41"/>
              <x v="43"/>
              <x v="44"/>
              <x v="45"/>
              <x v="46"/>
              <x v="48"/>
              <x v="49"/>
              <x v="50"/>
              <x v="52"/>
              <x v="54"/>
              <x v="55"/>
              <x v="57"/>
              <x v="58"/>
            </reference>
            <reference field="17" count="4" selected="0">
              <x v="0"/>
              <x v="1"/>
              <x v="5"/>
              <x v="6"/>
            </reference>
          </references>
        </pivotArea>
      </pivotAreas>
    </conditionalFormat>
    <conditionalFormat priority="8">
      <pivotAreas count="1">
        <pivotArea type="data" outline="0" collapsedLevelsAreSubtotals="1" fieldPosition="0">
          <references count="7">
            <reference field="4294967294" count="1" selected="0">
              <x v="6"/>
            </reference>
            <reference field="5" count="88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</reference>
            <reference field="7" count="7" selected="0">
              <x v="0"/>
              <x v="1"/>
              <x v="2"/>
              <x v="3"/>
              <x v="4"/>
              <x v="5"/>
              <x v="6"/>
            </reference>
            <reference field="11" count="88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</reference>
            <reference field="12" count="59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</reference>
            <reference field="17" count="7" selected="0">
              <x v="0"/>
              <x v="1"/>
              <x v="2"/>
              <x v="3"/>
              <x v="4"/>
              <x v="5"/>
              <x v="6"/>
            </reference>
            <reference field="20" count="4" selected="0">
              <x v="0"/>
              <x v="1"/>
              <x v="2"/>
              <x v="3"/>
            </reference>
          </references>
        </pivotArea>
      </pivotAreas>
    </conditionalFormat>
    <conditionalFormat priority="7">
      <pivotAreas count="1">
        <pivotArea type="data" outline="0" collapsedLevelsAreSubtotals="1" fieldPosition="0">
          <references count="7">
            <reference field="4294967294" count="1" selected="0">
              <x v="7"/>
            </reference>
            <reference field="5" count="88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</reference>
            <reference field="7" count="7" selected="0">
              <x v="0"/>
              <x v="1"/>
              <x v="2"/>
              <x v="3"/>
              <x v="4"/>
              <x v="5"/>
              <x v="6"/>
            </reference>
            <reference field="11" count="88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</reference>
            <reference field="12" count="59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</reference>
            <reference field="17" count="7" selected="0">
              <x v="0"/>
              <x v="1"/>
              <x v="2"/>
              <x v="3"/>
              <x v="4"/>
              <x v="5"/>
              <x v="6"/>
            </reference>
            <reference field="20" count="4" selected="0">
              <x v="0"/>
              <x v="1"/>
              <x v="2"/>
              <x v="3"/>
            </reference>
          </references>
        </pivotArea>
      </pivotAreas>
    </conditionalFormat>
    <conditionalFormat priority="6">
      <pivotAreas count="2">
        <pivotArea type="data" outline="0" collapsedLevelsAreSubtotals="1" fieldPosition="0">
          <references count="7">
            <reference field="4294967294" count="1" selected="0">
              <x v="5"/>
            </reference>
            <reference field="5" count="88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</reference>
            <reference field="7" count="7" selected="0">
              <x v="0"/>
              <x v="1"/>
              <x v="2"/>
              <x v="3"/>
              <x v="4"/>
              <x v="5"/>
              <x v="6"/>
            </reference>
            <reference field="11" count="88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</reference>
            <reference field="12" count="59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</reference>
            <reference field="17" count="7" selected="0">
              <x v="0"/>
              <x v="1"/>
              <x v="2"/>
              <x v="3"/>
              <x v="4"/>
              <x v="5"/>
              <x v="6"/>
            </reference>
            <reference field="20" count="4" selected="0">
              <x v="0"/>
              <x v="1"/>
              <x v="2"/>
              <x v="3"/>
            </reference>
          </references>
        </pivotArea>
        <pivotArea type="data" grandRow="1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7">
            <reference field="4294967294" count="1" selected="0">
              <x v="6"/>
            </reference>
            <reference field="5" count="25" selected="0">
              <x v="1"/>
              <x v="2"/>
              <x v="10"/>
              <x v="11"/>
              <x v="12"/>
              <x v="21"/>
              <x v="22"/>
              <x v="24"/>
              <x v="25"/>
              <x v="55"/>
              <x v="56"/>
              <x v="57"/>
              <x v="58"/>
              <x v="59"/>
              <x v="60"/>
              <x v="61"/>
              <x v="62"/>
              <x v="90"/>
              <x v="92"/>
              <x v="93"/>
              <x v="94"/>
              <x v="95"/>
              <x v="96"/>
              <x v="97"/>
              <x v="98"/>
            </reference>
            <reference field="7" count="3" selected="0">
              <x v="0"/>
              <x v="3"/>
              <x v="6"/>
            </reference>
            <reference field="11" count="25" selected="0">
              <x v="1"/>
              <x v="2"/>
              <x v="10"/>
              <x v="11"/>
              <x v="12"/>
              <x v="21"/>
              <x v="22"/>
              <x v="24"/>
              <x v="25"/>
              <x v="54"/>
              <x v="55"/>
              <x v="56"/>
              <x v="57"/>
              <x v="58"/>
              <x v="59"/>
              <x v="60"/>
              <x v="61"/>
              <x v="90"/>
              <x v="92"/>
              <x v="93"/>
              <x v="94"/>
              <x v="95"/>
              <x v="96"/>
              <x v="97"/>
              <x v="98"/>
            </reference>
            <reference field="12" count="24" selected="0">
              <x v="0"/>
              <x v="5"/>
              <x v="7"/>
              <x v="8"/>
              <x v="13"/>
              <x v="14"/>
              <x v="20"/>
              <x v="24"/>
              <x v="25"/>
              <x v="26"/>
              <x v="29"/>
              <x v="37"/>
              <x v="38"/>
              <x v="39"/>
              <x v="46"/>
              <x v="57"/>
              <x v="61"/>
              <x v="62"/>
              <x v="63"/>
              <x v="64"/>
              <x v="65"/>
              <x v="66"/>
              <x v="67"/>
              <x v="68"/>
            </reference>
            <reference field="17" count="21" selected="0">
              <x v="0"/>
              <x v="2"/>
              <x v="9"/>
              <x v="10"/>
              <x v="11"/>
              <x v="13"/>
              <x v="14"/>
              <x v="15"/>
              <x v="16"/>
              <x v="17"/>
              <x v="18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  <reference field="20" count="2" selected="0">
              <x v="0"/>
              <x v="2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7">
            <reference field="4294967294" count="1" selected="0">
              <x v="7"/>
            </reference>
            <reference field="5" count="24" selected="0">
              <x v="1"/>
              <x v="2"/>
              <x v="11"/>
              <x v="12"/>
              <x v="21"/>
              <x v="22"/>
              <x v="24"/>
              <x v="25"/>
              <x v="55"/>
              <x v="56"/>
              <x v="57"/>
              <x v="58"/>
              <x v="59"/>
              <x v="60"/>
              <x v="61"/>
              <x v="62"/>
              <x v="90"/>
              <x v="92"/>
              <x v="93"/>
              <x v="94"/>
              <x v="95"/>
              <x v="96"/>
              <x v="97"/>
              <x v="98"/>
            </reference>
            <reference field="7" count="3" selected="0">
              <x v="0"/>
              <x v="3"/>
              <x v="6"/>
            </reference>
            <reference field="11" count="24" selected="0">
              <x v="1"/>
              <x v="2"/>
              <x v="11"/>
              <x v="12"/>
              <x v="21"/>
              <x v="22"/>
              <x v="24"/>
              <x v="25"/>
              <x v="54"/>
              <x v="55"/>
              <x v="56"/>
              <x v="57"/>
              <x v="58"/>
              <x v="59"/>
              <x v="60"/>
              <x v="61"/>
              <x v="90"/>
              <x v="92"/>
              <x v="93"/>
              <x v="94"/>
              <x v="95"/>
              <x v="96"/>
              <x v="97"/>
              <x v="98"/>
            </reference>
            <reference field="12" count="23" selected="0">
              <x v="0"/>
              <x v="5"/>
              <x v="7"/>
              <x v="8"/>
              <x v="13"/>
              <x v="14"/>
              <x v="20"/>
              <x v="24"/>
              <x v="25"/>
              <x v="26"/>
              <x v="29"/>
              <x v="37"/>
              <x v="38"/>
              <x v="39"/>
              <x v="46"/>
              <x v="57"/>
              <x v="61"/>
              <x v="63"/>
              <x v="64"/>
              <x v="65"/>
              <x v="66"/>
              <x v="67"/>
              <x v="68"/>
            </reference>
            <reference field="17" count="20" selected="0">
              <x v="0"/>
              <x v="2"/>
              <x v="9"/>
              <x v="10"/>
              <x v="11"/>
              <x v="13"/>
              <x v="14"/>
              <x v="15"/>
              <x v="16"/>
              <x v="17"/>
              <x v="18"/>
              <x v="20"/>
              <x v="21"/>
              <x v="23"/>
              <x v="24"/>
              <x v="25"/>
              <x v="26"/>
              <x v="27"/>
              <x v="28"/>
              <x v="29"/>
            </reference>
            <reference field="20" count="2" selected="0">
              <x v="0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tahrealestate.com/1169-E-200-S-Salt-Lake-City-UT-84102/2085851" TargetMode="External"/><Relationship Id="rId2" Type="http://schemas.openxmlformats.org/officeDocument/2006/relationships/hyperlink" Target="https://utahrealestate.com/1890701/masthead" TargetMode="External"/><Relationship Id="rId1" Type="http://schemas.openxmlformats.org/officeDocument/2006/relationships/hyperlink" Target="https://utahrealestate.com/1889377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www.utahrealestate.com/1309-E-HIDDEN-CREEK-CT-Holladay-UT-84117/2093327" TargetMode="External"/><Relationship Id="rId4" Type="http://schemas.openxmlformats.org/officeDocument/2006/relationships/hyperlink" Target="https://www.utahrealestate.com/1309-E-HIDDEN-CREEK-CT-Holladay-UT-84117/2093327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zillow.com/homedetails/1249-E-Sierra-Way-S-Salt-Lake-City-UT-84106/2071487064_zpid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C91E4-D45D-4F4B-AF15-3E4B3A6F211A}">
  <dimension ref="C2:M41"/>
  <sheetViews>
    <sheetView topLeftCell="A17" workbookViewId="0">
      <selection activeCell="F31" sqref="F31:F41"/>
    </sheetView>
  </sheetViews>
  <sheetFormatPr defaultRowHeight="14.5" x14ac:dyDescent="0.35"/>
  <cols>
    <col min="1" max="2" width="5.08984375" customWidth="1"/>
    <col min="3" max="3" width="21.81640625" bestFit="1" customWidth="1"/>
    <col min="5" max="5" width="9.453125" bestFit="1" customWidth="1"/>
    <col min="6" max="6" width="10.81640625" customWidth="1"/>
    <col min="7" max="7" width="17" bestFit="1" customWidth="1"/>
    <col min="8" max="8" width="7.36328125" bestFit="1" customWidth="1"/>
    <col min="12" max="12" width="9.54296875" bestFit="1" customWidth="1"/>
  </cols>
  <sheetData>
    <row r="2" spans="3:13" x14ac:dyDescent="0.35">
      <c r="C2" t="s">
        <v>154</v>
      </c>
      <c r="I2" s="7"/>
    </row>
    <row r="3" spans="3:13" x14ac:dyDescent="0.35">
      <c r="C3" s="38" t="s">
        <v>155</v>
      </c>
      <c r="G3" t="s">
        <v>157</v>
      </c>
      <c r="I3" s="7"/>
    </row>
    <row r="4" spans="3:13" x14ac:dyDescent="0.35">
      <c r="C4" t="s">
        <v>124</v>
      </c>
      <c r="D4" s="7">
        <v>0.06</v>
      </c>
      <c r="E4" t="s">
        <v>125</v>
      </c>
      <c r="G4" t="s">
        <v>158</v>
      </c>
      <c r="H4" s="7">
        <v>0.1</v>
      </c>
      <c r="I4" s="7"/>
    </row>
    <row r="5" spans="3:13" x14ac:dyDescent="0.35">
      <c r="C5" t="s">
        <v>126</v>
      </c>
      <c r="D5" s="7">
        <v>0.02</v>
      </c>
      <c r="E5" t="s">
        <v>127</v>
      </c>
      <c r="G5" t="s">
        <v>290</v>
      </c>
      <c r="H5" s="3">
        <f>F13</f>
        <v>780000</v>
      </c>
      <c r="I5" s="7"/>
    </row>
    <row r="6" spans="3:13" x14ac:dyDescent="0.35">
      <c r="C6" t="s">
        <v>128</v>
      </c>
      <c r="D6" s="8">
        <v>1.4999999999999999E-2</v>
      </c>
      <c r="E6" t="s">
        <v>127</v>
      </c>
      <c r="G6" t="s">
        <v>291</v>
      </c>
      <c r="H6" s="3">
        <f>G13</f>
        <v>600860.19352313678</v>
      </c>
      <c r="I6" s="7"/>
    </row>
    <row r="7" spans="3:13" x14ac:dyDescent="0.35">
      <c r="C7" t="s">
        <v>129</v>
      </c>
      <c r="D7">
        <v>2500</v>
      </c>
      <c r="E7" t="s">
        <v>127</v>
      </c>
      <c r="G7" t="s">
        <v>292</v>
      </c>
      <c r="H7" s="3" t="e">
        <f>H5*(0.06)+F30*(D5+D6)+D7+D8</f>
        <v>#N/A</v>
      </c>
      <c r="I7" s="7"/>
    </row>
    <row r="8" spans="3:13" x14ac:dyDescent="0.35">
      <c r="C8" t="s">
        <v>130</v>
      </c>
      <c r="D8" s="3">
        <v>5000</v>
      </c>
      <c r="E8" t="s">
        <v>127</v>
      </c>
      <c r="G8" t="s">
        <v>293</v>
      </c>
      <c r="H8" s="3" t="e">
        <f>H5-H6-H7</f>
        <v>#N/A</v>
      </c>
      <c r="I8" s="7"/>
    </row>
    <row r="9" spans="3:13" x14ac:dyDescent="0.35">
      <c r="C9" t="s">
        <v>341</v>
      </c>
      <c r="D9" s="8">
        <v>2.5000000000000001E-2</v>
      </c>
      <c r="E9" t="s">
        <v>342</v>
      </c>
      <c r="K9" t="s">
        <v>159</v>
      </c>
    </row>
    <row r="10" spans="3:13" x14ac:dyDescent="0.35">
      <c r="K10" t="s">
        <v>122</v>
      </c>
      <c r="L10" t="s">
        <v>123</v>
      </c>
    </row>
    <row r="11" spans="3:13" x14ac:dyDescent="0.35">
      <c r="C11" t="s">
        <v>156</v>
      </c>
      <c r="D11" t="s">
        <v>160</v>
      </c>
      <c r="J11" t="s">
        <v>121</v>
      </c>
      <c r="K11" s="3">
        <f>SUM(K13:K24)</f>
        <v>242531.20710082864</v>
      </c>
      <c r="L11" s="7">
        <f>IRR(L12:L24)</f>
        <v>0.17774713086525606</v>
      </c>
      <c r="M11" s="3"/>
    </row>
    <row r="12" spans="3:13" x14ac:dyDescent="0.35">
      <c r="D12" t="s">
        <v>132</v>
      </c>
      <c r="E12" t="s">
        <v>131</v>
      </c>
      <c r="F12" t="s">
        <v>133</v>
      </c>
      <c r="G12" t="s">
        <v>152</v>
      </c>
      <c r="H12" t="s">
        <v>153</v>
      </c>
      <c r="L12" s="3">
        <f>-H13</f>
        <v>-179139.80647686322</v>
      </c>
    </row>
    <row r="13" spans="3:13" x14ac:dyDescent="0.35">
      <c r="D13">
        <v>2025</v>
      </c>
      <c r="E13" s="3">
        <v>2764.3471021922874</v>
      </c>
      <c r="F13" s="3">
        <v>780000</v>
      </c>
      <c r="G13" s="3">
        <f>_xlfn.XLOOKUP(D13,'FP3 Amort'!$A$3:$A$389,'FP3 Amort'!$G$3:$G$389,,0,-1)</f>
        <v>600860.19352313678</v>
      </c>
      <c r="H13" s="3">
        <f>F13-G13</f>
        <v>179139.80647686322</v>
      </c>
      <c r="K13" s="3">
        <f>(E13)/(1+$H$4)^(D13-2025)</f>
        <v>2764.3471021922874</v>
      </c>
      <c r="L13" s="3">
        <f>E13</f>
        <v>2764.3471021922874</v>
      </c>
    </row>
    <row r="14" spans="3:13" x14ac:dyDescent="0.35">
      <c r="D14">
        <f>D13+1</f>
        <v>2026</v>
      </c>
      <c r="E14" s="3">
        <v>3148.1677797470925</v>
      </c>
      <c r="F14" s="3">
        <f>F13*(1+$D$9)</f>
        <v>799499.99999999988</v>
      </c>
      <c r="G14" s="3">
        <f>_xlfn.XLOOKUP(D14,'FP3 Amort'!$A$3:$A$389,'FP3 Amort'!$G$3:$G$389,,0,-1)</f>
        <v>587097.21170962986</v>
      </c>
      <c r="H14" s="3">
        <f t="shared" ref="H14:H24" si="0">F14-G14</f>
        <v>212402.78829037002</v>
      </c>
      <c r="K14" s="3">
        <f>(E14)/(1+$H$4)^(D14-2025)</f>
        <v>2861.970708860993</v>
      </c>
      <c r="L14" s="3">
        <f>E14</f>
        <v>3148.1677797470925</v>
      </c>
    </row>
    <row r="15" spans="3:13" x14ac:dyDescent="0.35">
      <c r="D15">
        <f t="shared" ref="D15:D24" si="1">D14+1</f>
        <v>2027</v>
      </c>
      <c r="E15" s="3">
        <v>4534.2059742407691</v>
      </c>
      <c r="F15" s="3">
        <f t="shared" ref="F15:F24" si="2">F14*(1+$D$9)</f>
        <v>819487.49999999977</v>
      </c>
      <c r="G15" s="3">
        <f>_xlfn.XLOOKUP(D15,'FP3 Amort'!$A$3:$A$389,'FP3 Amort'!$G$3:$G$389,,0,-1)</f>
        <v>572817.69813573651</v>
      </c>
      <c r="H15" s="3">
        <f t="shared" si="0"/>
        <v>246669.80186426325</v>
      </c>
      <c r="K15" s="3">
        <f t="shared" ref="K15:K23" si="3">(E15)/(1+$H$4)^(D15-2025)</f>
        <v>3747.2776646617922</v>
      </c>
      <c r="L15" s="3">
        <f t="shared" ref="L15:L23" si="4">E15</f>
        <v>4534.2059742407691</v>
      </c>
    </row>
    <row r="16" spans="3:13" x14ac:dyDescent="0.35">
      <c r="D16">
        <f t="shared" si="1"/>
        <v>2028</v>
      </c>
      <c r="E16" s="3">
        <v>5962.2555035967871</v>
      </c>
      <c r="F16" s="3">
        <f t="shared" si="2"/>
        <v>839974.68749999965</v>
      </c>
      <c r="G16" s="3">
        <f>_xlfn.XLOOKUP(D16,'FP3 Amort'!$A$3:$A$389,'FP3 Amort'!$G$3:$G$389,,0,-1)</f>
        <v>558002.26709978946</v>
      </c>
      <c r="H16" s="3">
        <f t="shared" si="0"/>
        <v>281972.42040021019</v>
      </c>
      <c r="K16" s="3">
        <f t="shared" si="3"/>
        <v>4479.5308066091548</v>
      </c>
      <c r="L16" s="3">
        <f t="shared" si="4"/>
        <v>5962.2555035967871</v>
      </c>
    </row>
    <row r="17" spans="4:13" x14ac:dyDescent="0.35">
      <c r="D17">
        <f t="shared" si="1"/>
        <v>2029</v>
      </c>
      <c r="E17" s="3">
        <v>7433.5874625867054</v>
      </c>
      <c r="F17" s="3">
        <f t="shared" si="2"/>
        <v>860974.05468749953</v>
      </c>
      <c r="G17" s="3">
        <f>_xlfn.XLOOKUP(D17,'FP3 Amort'!$A$3:$A$389,'FP3 Amort'!$G$3:$G$389,,0,-1)</f>
        <v>542630.80534480338</v>
      </c>
      <c r="H17" s="3">
        <f t="shared" si="0"/>
        <v>318343.24934269616</v>
      </c>
      <c r="K17" s="3">
        <f t="shared" si="3"/>
        <v>5077.2402585798127</v>
      </c>
      <c r="L17" s="3">
        <f t="shared" si="4"/>
        <v>7433.5874625867054</v>
      </c>
      <c r="M17" s="9"/>
    </row>
    <row r="18" spans="4:13" x14ac:dyDescent="0.35">
      <c r="D18">
        <f t="shared" si="1"/>
        <v>2030</v>
      </c>
      <c r="E18" s="3">
        <v>8949.5113476933748</v>
      </c>
      <c r="F18" s="3">
        <f t="shared" si="2"/>
        <v>882498.40605468699</v>
      </c>
      <c r="G18" s="3">
        <f>_xlfn.XLOOKUP(D18,'FP3 Amort'!$A$3:$A$389,'FP3 Amort'!$G$3:$G$389,,0,-1)</f>
        <v>526682.44475295173</v>
      </c>
      <c r="H18" s="3">
        <f t="shared" si="0"/>
        <v>355815.96130173525</v>
      </c>
      <c r="K18" s="3">
        <f t="shared" si="3"/>
        <v>5556.9424267426912</v>
      </c>
      <c r="L18" s="3">
        <f t="shared" si="4"/>
        <v>8949.5113476933748</v>
      </c>
    </row>
    <row r="19" spans="4:13" x14ac:dyDescent="0.35">
      <c r="D19">
        <f t="shared" si="1"/>
        <v>2031</v>
      </c>
      <c r="E19" s="3">
        <v>10511.376215883982</v>
      </c>
      <c r="F19" s="3">
        <f t="shared" si="2"/>
        <v>904560.86620605411</v>
      </c>
      <c r="G19" s="3">
        <f>_xlfn.XLOOKUP(D19,'FP3 Amort'!$A$3:$A$389,'FP3 Amort'!$G$3:$G$389,,0,-1)</f>
        <v>510135.53401525121</v>
      </c>
      <c r="H19" s="3">
        <f t="shared" si="0"/>
        <v>394425.3321908029</v>
      </c>
      <c r="K19" s="3">
        <f t="shared" si="3"/>
        <v>5933.3978428538312</v>
      </c>
      <c r="L19" s="3">
        <f t="shared" si="4"/>
        <v>10511.376215883982</v>
      </c>
    </row>
    <row r="20" spans="4:13" x14ac:dyDescent="0.35">
      <c r="D20">
        <f t="shared" si="1"/>
        <v>2032</v>
      </c>
      <c r="E20" s="3">
        <v>12120.571878314286</v>
      </c>
      <c r="F20" s="3">
        <f t="shared" si="2"/>
        <v>927174.88786120538</v>
      </c>
      <c r="G20" s="3">
        <f>_xlfn.XLOOKUP(D20,'FP3 Amort'!$A$3:$A$389,'FP3 Amort'!$G$3:$G$389,,0,-1)</f>
        <v>492967.60923799739</v>
      </c>
      <c r="H20" s="3">
        <f t="shared" si="0"/>
        <v>434207.278623208</v>
      </c>
      <c r="K20" s="3">
        <f t="shared" si="3"/>
        <v>6219.7698569557779</v>
      </c>
      <c r="L20" s="3">
        <f t="shared" si="4"/>
        <v>12120.571878314286</v>
      </c>
    </row>
    <row r="21" spans="4:13" x14ac:dyDescent="0.35">
      <c r="D21">
        <f t="shared" si="1"/>
        <v>2033</v>
      </c>
      <c r="E21" s="3">
        <v>13778.53013001635</v>
      </c>
      <c r="F21" s="3">
        <f t="shared" si="2"/>
        <v>950354.26005773549</v>
      </c>
      <c r="G21" s="3">
        <f>_xlfn.XLOOKUP(D21,'FP3 Amort'!$A$3:$A$389,'FP3 Amort'!$G$3:$G$389,,0,-1)</f>
        <v>475155.3634460434</v>
      </c>
      <c r="H21" s="3">
        <f t="shared" si="0"/>
        <v>475198.89661169209</v>
      </c>
      <c r="K21" s="3">
        <f t="shared" si="3"/>
        <v>6427.7859940948019</v>
      </c>
      <c r="L21" s="3">
        <f t="shared" si="4"/>
        <v>13778.53013001635</v>
      </c>
    </row>
    <row r="22" spans="4:13" x14ac:dyDescent="0.35">
      <c r="D22">
        <f t="shared" si="1"/>
        <v>2034</v>
      </c>
      <c r="E22" s="3">
        <v>15486.726016653285</v>
      </c>
      <c r="F22" s="3">
        <f t="shared" si="2"/>
        <v>974113.1165591788</v>
      </c>
      <c r="G22" s="3">
        <f>_xlfn.XLOOKUP(D22,'FP3 Amort'!$A$3:$A$389,'FP3 Amort'!$G$3:$G$389,,0,-1)</f>
        <v>456674.61494152131</v>
      </c>
      <c r="H22" s="3">
        <f t="shared" si="0"/>
        <v>517438.50161765749</v>
      </c>
      <c r="K22" s="3">
        <f t="shared" si="3"/>
        <v>6567.8836200498545</v>
      </c>
      <c r="L22" s="3">
        <f t="shared" si="4"/>
        <v>15486.726016653285</v>
      </c>
    </row>
    <row r="23" spans="4:13" x14ac:dyDescent="0.35">
      <c r="D23">
        <f t="shared" si="1"/>
        <v>2035</v>
      </c>
      <c r="E23" s="3">
        <v>17246.679139457749</v>
      </c>
      <c r="F23" s="3">
        <f t="shared" si="2"/>
        <v>998465.94447315822</v>
      </c>
      <c r="G23" s="3">
        <f>_xlfn.XLOOKUP(D23,'FP3 Amort'!$A$3:$A$389,'FP3 Amort'!$G$3:$G$389,,0,-1)</f>
        <v>437500.27447504981</v>
      </c>
      <c r="H23" s="3">
        <f t="shared" si="0"/>
        <v>560965.66999810841</v>
      </c>
      <c r="K23" s="3">
        <f t="shared" si="3"/>
        <v>6649.3414071622219</v>
      </c>
      <c r="L23" s="3">
        <f t="shared" si="4"/>
        <v>17246.679139457749</v>
      </c>
    </row>
    <row r="24" spans="4:13" x14ac:dyDescent="0.35">
      <c r="D24">
        <f t="shared" si="1"/>
        <v>2036</v>
      </c>
      <c r="E24" s="3">
        <v>19059.95499950396</v>
      </c>
      <c r="F24" s="3">
        <f t="shared" si="2"/>
        <v>1023427.5930849871</v>
      </c>
      <c r="G24" s="3">
        <f>_xlfn.XLOOKUP(D24,'FP3 Amort'!$A$3:$A$389,'FP3 Amort'!$G$3:$G$389,,0,-1)</f>
        <v>417606.3111848617</v>
      </c>
      <c r="H24" s="3">
        <f t="shared" si="0"/>
        <v>605821.28190012544</v>
      </c>
      <c r="K24" s="3">
        <f>(E24)/(1+$H$4)^(D24-2025)+(F24)/(1+$H$4)^(D24-2025)-$H$13</f>
        <v>186245.7194120654</v>
      </c>
      <c r="L24" s="3">
        <f>E24+F24</f>
        <v>1042487.548084491</v>
      </c>
    </row>
    <row r="25" spans="4:13" x14ac:dyDescent="0.35">
      <c r="E25" s="3"/>
      <c r="F25" s="3"/>
      <c r="G25" s="3"/>
      <c r="H25" s="3"/>
      <c r="K25" s="3"/>
      <c r="L25" s="3"/>
    </row>
    <row r="26" spans="4:13" x14ac:dyDescent="0.35">
      <c r="E26" s="3"/>
      <c r="F26" s="3"/>
      <c r="G26" s="3"/>
      <c r="H26" s="3"/>
      <c r="K26" s="3"/>
      <c r="L26" s="3"/>
    </row>
    <row r="27" spans="4:13" x14ac:dyDescent="0.35">
      <c r="D27">
        <v>1031</v>
      </c>
      <c r="K27" t="s">
        <v>122</v>
      </c>
      <c r="L27" t="s">
        <v>123</v>
      </c>
    </row>
    <row r="28" spans="4:13" x14ac:dyDescent="0.35">
      <c r="D28" t="s">
        <v>132</v>
      </c>
      <c r="E28" t="s">
        <v>131</v>
      </c>
      <c r="F28" t="s">
        <v>133</v>
      </c>
      <c r="G28" t="s">
        <v>152</v>
      </c>
      <c r="H28" t="s">
        <v>153</v>
      </c>
      <c r="K28" s="3" t="e">
        <f>SUM(K30:K41)</f>
        <v>#N/A</v>
      </c>
      <c r="L28" s="7" t="e">
        <f>IRR(L29:L42)</f>
        <v>#VALUE!</v>
      </c>
    </row>
    <row r="29" spans="4:13" x14ac:dyDescent="0.35">
      <c r="L29" s="3" t="e">
        <f>-H8</f>
        <v>#N/A</v>
      </c>
    </row>
    <row r="30" spans="4:13" x14ac:dyDescent="0.35">
      <c r="D30">
        <v>2025</v>
      </c>
      <c r="E30" s="106" t="e">
        <f>Financials!N80</f>
        <v>#N/A</v>
      </c>
      <c r="F30" s="3" t="e">
        <f>Inputs!B11</f>
        <v>#N/A</v>
      </c>
      <c r="G30" s="3" t="e">
        <f>_xlfn.XLOOKUP(D30,Amort!$A$3:$A$485,Amort!$C$3:$C$485)</f>
        <v>#N/A</v>
      </c>
      <c r="H30" s="3" t="e">
        <f>F30-G30</f>
        <v>#N/A</v>
      </c>
      <c r="K30" s="3" t="e">
        <f>(E30)/(1+$H$4)^(D30-2025)</f>
        <v>#N/A</v>
      </c>
      <c r="L30" s="106" t="e">
        <f>E30</f>
        <v>#N/A</v>
      </c>
    </row>
    <row r="31" spans="4:13" x14ac:dyDescent="0.35">
      <c r="D31">
        <f>D30+1</f>
        <v>2026</v>
      </c>
      <c r="E31" s="106" t="e">
        <f>Financials!AA80</f>
        <v>#N/A</v>
      </c>
      <c r="F31" s="3" t="e">
        <f>F30*(1+$D$9)</f>
        <v>#N/A</v>
      </c>
      <c r="G31" s="3" t="e">
        <f>_xlfn.XLOOKUP(D31,Amort!$A$3:$A$485,Amort!$C$3:$C$485)</f>
        <v>#N/A</v>
      </c>
      <c r="H31" s="3" t="e">
        <f t="shared" ref="H31:H41" si="5">F31-G31</f>
        <v>#N/A</v>
      </c>
      <c r="K31" s="3" t="e">
        <f t="shared" ref="K31:K40" si="6">(E31)/(1+$H$4)^(D31-2025)</f>
        <v>#N/A</v>
      </c>
      <c r="L31" s="106" t="e">
        <f t="shared" ref="L31:L40" si="7">E31</f>
        <v>#N/A</v>
      </c>
    </row>
    <row r="32" spans="4:13" x14ac:dyDescent="0.35">
      <c r="D32">
        <f t="shared" ref="D32:D41" si="8">D31+1</f>
        <v>2027</v>
      </c>
      <c r="E32" s="106" t="e">
        <f>Financials!AN80</f>
        <v>#N/A</v>
      </c>
      <c r="F32" s="3" t="e">
        <f t="shared" ref="F32:F41" si="9">F31*(1+$D$9)</f>
        <v>#N/A</v>
      </c>
      <c r="G32" s="3" t="e">
        <f>_xlfn.XLOOKUP(D32,Amort!$A$3:$A$485,Amort!$C$3:$C$485)</f>
        <v>#N/A</v>
      </c>
      <c r="H32" s="3" t="e">
        <f t="shared" si="5"/>
        <v>#N/A</v>
      </c>
      <c r="K32" s="3" t="e">
        <f t="shared" si="6"/>
        <v>#N/A</v>
      </c>
      <c r="L32" s="106" t="e">
        <f t="shared" si="7"/>
        <v>#N/A</v>
      </c>
    </row>
    <row r="33" spans="4:12" x14ac:dyDescent="0.35">
      <c r="D33">
        <f t="shared" si="8"/>
        <v>2028</v>
      </c>
      <c r="E33" s="106" t="e">
        <f>Financials!BA80</f>
        <v>#N/A</v>
      </c>
      <c r="F33" s="3" t="e">
        <f t="shared" si="9"/>
        <v>#N/A</v>
      </c>
      <c r="G33" s="3" t="e">
        <f>_xlfn.XLOOKUP(D33,Amort!$A$3:$A$485,Amort!$C$3:$C$485)</f>
        <v>#N/A</v>
      </c>
      <c r="H33" s="3" t="e">
        <f t="shared" si="5"/>
        <v>#N/A</v>
      </c>
      <c r="K33" s="3" t="e">
        <f t="shared" si="6"/>
        <v>#N/A</v>
      </c>
      <c r="L33" s="106" t="e">
        <f t="shared" si="7"/>
        <v>#N/A</v>
      </c>
    </row>
    <row r="34" spans="4:12" x14ac:dyDescent="0.35">
      <c r="D34">
        <f t="shared" si="8"/>
        <v>2029</v>
      </c>
      <c r="E34" s="106" t="e">
        <f>Financials!BN80</f>
        <v>#N/A</v>
      </c>
      <c r="F34" s="3" t="e">
        <f t="shared" si="9"/>
        <v>#N/A</v>
      </c>
      <c r="G34" s="3" t="e">
        <f>_xlfn.XLOOKUP(D34,Amort!$A$3:$A$485,Amort!$C$3:$C$485)</f>
        <v>#N/A</v>
      </c>
      <c r="H34" s="3" t="e">
        <f t="shared" si="5"/>
        <v>#N/A</v>
      </c>
      <c r="K34" s="3" t="e">
        <f t="shared" si="6"/>
        <v>#N/A</v>
      </c>
      <c r="L34" s="106" t="e">
        <f t="shared" si="7"/>
        <v>#N/A</v>
      </c>
    </row>
    <row r="35" spans="4:12" x14ac:dyDescent="0.35">
      <c r="D35">
        <f t="shared" si="8"/>
        <v>2030</v>
      </c>
      <c r="E35" s="106" t="e">
        <f>Financials!CA80</f>
        <v>#N/A</v>
      </c>
      <c r="F35" s="3" t="e">
        <f t="shared" si="9"/>
        <v>#N/A</v>
      </c>
      <c r="G35" s="3" t="e">
        <f>_xlfn.XLOOKUP(D35,Amort!$A$3:$A$485,Amort!$C$3:$C$485)</f>
        <v>#N/A</v>
      </c>
      <c r="H35" s="3" t="e">
        <f t="shared" si="5"/>
        <v>#N/A</v>
      </c>
      <c r="K35" s="3" t="e">
        <f t="shared" si="6"/>
        <v>#N/A</v>
      </c>
      <c r="L35" s="106" t="e">
        <f t="shared" si="7"/>
        <v>#N/A</v>
      </c>
    </row>
    <row r="36" spans="4:12" x14ac:dyDescent="0.35">
      <c r="D36">
        <f t="shared" si="8"/>
        <v>2031</v>
      </c>
      <c r="E36" s="106" t="e">
        <f>Financials!CN80</f>
        <v>#N/A</v>
      </c>
      <c r="F36" s="3" t="e">
        <f t="shared" si="9"/>
        <v>#N/A</v>
      </c>
      <c r="G36" s="3" t="e">
        <f>_xlfn.XLOOKUP(D36,Amort!$A$3:$A$485,Amort!$C$3:$C$485)</f>
        <v>#N/A</v>
      </c>
      <c r="H36" s="3" t="e">
        <f t="shared" si="5"/>
        <v>#N/A</v>
      </c>
      <c r="K36" s="3" t="e">
        <f t="shared" si="6"/>
        <v>#N/A</v>
      </c>
      <c r="L36" s="106" t="e">
        <f t="shared" si="7"/>
        <v>#N/A</v>
      </c>
    </row>
    <row r="37" spans="4:12" x14ac:dyDescent="0.35">
      <c r="D37">
        <f t="shared" si="8"/>
        <v>2032</v>
      </c>
      <c r="E37" s="106" t="e">
        <f>Financials!DA80</f>
        <v>#N/A</v>
      </c>
      <c r="F37" s="3" t="e">
        <f t="shared" si="9"/>
        <v>#N/A</v>
      </c>
      <c r="G37" s="3" t="e">
        <f>_xlfn.XLOOKUP(D37,Amort!$A$3:$A$485,Amort!$C$3:$C$485)</f>
        <v>#N/A</v>
      </c>
      <c r="H37" s="3" t="e">
        <f t="shared" si="5"/>
        <v>#N/A</v>
      </c>
      <c r="K37" s="3" t="e">
        <f t="shared" si="6"/>
        <v>#N/A</v>
      </c>
      <c r="L37" s="106" t="e">
        <f t="shared" si="7"/>
        <v>#N/A</v>
      </c>
    </row>
    <row r="38" spans="4:12" x14ac:dyDescent="0.35">
      <c r="D38">
        <f t="shared" si="8"/>
        <v>2033</v>
      </c>
      <c r="E38" s="106" t="e">
        <f>Financials!DN80</f>
        <v>#N/A</v>
      </c>
      <c r="F38" s="3" t="e">
        <f t="shared" si="9"/>
        <v>#N/A</v>
      </c>
      <c r="G38" s="3" t="e">
        <f>_xlfn.XLOOKUP(D38,Amort!$A$3:$A$485,Amort!$C$3:$C$485)</f>
        <v>#N/A</v>
      </c>
      <c r="H38" s="3" t="e">
        <f t="shared" si="5"/>
        <v>#N/A</v>
      </c>
      <c r="K38" s="3" t="e">
        <f t="shared" si="6"/>
        <v>#N/A</v>
      </c>
      <c r="L38" s="106" t="e">
        <f t="shared" si="7"/>
        <v>#N/A</v>
      </c>
    </row>
    <row r="39" spans="4:12" x14ac:dyDescent="0.35">
      <c r="D39">
        <f t="shared" si="8"/>
        <v>2034</v>
      </c>
      <c r="E39" s="106" t="e">
        <f>Financials!EA80</f>
        <v>#N/A</v>
      </c>
      <c r="F39" s="3" t="e">
        <f t="shared" si="9"/>
        <v>#N/A</v>
      </c>
      <c r="G39" s="3" t="e">
        <f>_xlfn.XLOOKUP(D39,Amort!$A$3:$A$485,Amort!$C$3:$C$485)</f>
        <v>#N/A</v>
      </c>
      <c r="H39" s="3" t="e">
        <f t="shared" si="5"/>
        <v>#N/A</v>
      </c>
      <c r="K39" s="3" t="e">
        <f t="shared" si="6"/>
        <v>#N/A</v>
      </c>
      <c r="L39" s="106" t="e">
        <f t="shared" si="7"/>
        <v>#N/A</v>
      </c>
    </row>
    <row r="40" spans="4:12" x14ac:dyDescent="0.35">
      <c r="D40">
        <f t="shared" si="8"/>
        <v>2035</v>
      </c>
      <c r="E40" s="106" t="e">
        <f>Financials!EN80</f>
        <v>#N/A</v>
      </c>
      <c r="F40" s="3" t="e">
        <f t="shared" si="9"/>
        <v>#N/A</v>
      </c>
      <c r="G40" s="3" t="e">
        <f>_xlfn.XLOOKUP(D40,Amort!$A$3:$A$485,Amort!$C$3:$C$485)</f>
        <v>#N/A</v>
      </c>
      <c r="H40" s="3" t="e">
        <f t="shared" si="5"/>
        <v>#N/A</v>
      </c>
      <c r="K40" s="3" t="e">
        <f t="shared" si="6"/>
        <v>#N/A</v>
      </c>
      <c r="L40" s="106" t="e">
        <f t="shared" si="7"/>
        <v>#N/A</v>
      </c>
    </row>
    <row r="41" spans="4:12" x14ac:dyDescent="0.35">
      <c r="D41">
        <f t="shared" si="8"/>
        <v>2036</v>
      </c>
      <c r="E41" s="106" t="e">
        <f>Financials!FA80</f>
        <v>#N/A</v>
      </c>
      <c r="F41" s="3" t="e">
        <f t="shared" si="9"/>
        <v>#N/A</v>
      </c>
      <c r="G41" s="3" t="e">
        <f>_xlfn.XLOOKUP(D41,Amort!$A$3:$A$485,Amort!$C$3:$C$485)</f>
        <v>#N/A</v>
      </c>
      <c r="H41" s="3" t="e">
        <f t="shared" si="5"/>
        <v>#N/A</v>
      </c>
      <c r="K41" s="3" t="e">
        <f>(E41)/(1+$H$4)^(D41-2025)+(F41)/(1+$H$4)^(D41-2025)-H8</f>
        <v>#N/A</v>
      </c>
      <c r="L41" s="106" t="e">
        <f>E41+F41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3D6D-133D-43C5-BDB1-90E13B408907}">
  <dimension ref="A1:S389"/>
  <sheetViews>
    <sheetView showGridLines="0" zoomScale="85" zoomScaleNormal="85" workbookViewId="0">
      <pane ySplit="2" topLeftCell="A3" activePane="bottomLeft" state="frozen"/>
      <selection activeCell="Y24" sqref="Y24"/>
      <selection pane="bottomLeft" activeCell="G39" sqref="G39"/>
    </sheetView>
  </sheetViews>
  <sheetFormatPr defaultColWidth="10" defaultRowHeight="13" outlineLevelRow="1" x14ac:dyDescent="0.3"/>
  <cols>
    <col min="1" max="1" width="10" style="10"/>
    <col min="2" max="2" width="10" style="11" customWidth="1"/>
    <col min="3" max="3" width="10" style="37" customWidth="1"/>
    <col min="4" max="12" width="10" style="13" customWidth="1"/>
    <col min="13" max="13" width="6.54296875" style="10" bestFit="1" customWidth="1"/>
    <col min="14" max="14" width="10" style="11" customWidth="1"/>
    <col min="15" max="15" width="10" style="37" customWidth="1"/>
    <col min="16" max="19" width="10" style="13" customWidth="1"/>
    <col min="20" max="16384" width="10" style="10"/>
  </cols>
  <sheetData>
    <row r="1" spans="1:18" x14ac:dyDescent="0.3">
      <c r="C1" s="11" t="s">
        <v>134</v>
      </c>
      <c r="D1" s="12"/>
      <c r="O1" s="10"/>
      <c r="P1" s="10"/>
    </row>
    <row r="2" spans="1:18" x14ac:dyDescent="0.3">
      <c r="A2" s="14" t="s">
        <v>135</v>
      </c>
      <c r="B2" s="15" t="s">
        <v>136</v>
      </c>
      <c r="C2" s="15" t="s">
        <v>137</v>
      </c>
      <c r="D2" s="16" t="s">
        <v>138</v>
      </c>
      <c r="E2" s="16" t="s">
        <v>139</v>
      </c>
      <c r="F2" s="16" t="s">
        <v>140</v>
      </c>
      <c r="G2" s="16" t="s">
        <v>141</v>
      </c>
      <c r="H2" s="16" t="s">
        <v>142</v>
      </c>
      <c r="I2" s="16" t="s">
        <v>143</v>
      </c>
      <c r="J2" s="16" t="s">
        <v>144</v>
      </c>
      <c r="K2" s="16" t="s">
        <v>145</v>
      </c>
      <c r="L2" s="16" t="s">
        <v>146</v>
      </c>
      <c r="M2" s="17" t="s">
        <v>147</v>
      </c>
      <c r="O2" s="10"/>
      <c r="P2" s="10"/>
      <c r="Q2" s="17"/>
      <c r="R2" s="17"/>
    </row>
    <row r="3" spans="1:18" ht="12.75" customHeight="1" outlineLevel="1" x14ac:dyDescent="0.3">
      <c r="A3" s="18">
        <f t="shared" ref="A3:A66" si="0">YEAR(B3)</f>
        <v>2022</v>
      </c>
      <c r="B3" s="19">
        <v>44562</v>
      </c>
      <c r="C3" s="20">
        <v>0</v>
      </c>
      <c r="G3" s="21">
        <v>0</v>
      </c>
      <c r="H3" s="21"/>
      <c r="I3" s="10"/>
      <c r="J3" s="21"/>
      <c r="K3" s="21"/>
      <c r="L3" s="21"/>
      <c r="O3" s="22"/>
    </row>
    <row r="4" spans="1:18" ht="12.75" customHeight="1" outlineLevel="1" x14ac:dyDescent="0.3">
      <c r="A4" s="18">
        <f t="shared" si="0"/>
        <v>2022</v>
      </c>
      <c r="B4" s="23">
        <f t="shared" ref="B4:B67" si="1">EDATE(B3,1)</f>
        <v>44593</v>
      </c>
      <c r="C4" s="20">
        <v>3.6900000000000002E-2</v>
      </c>
      <c r="G4" s="21">
        <v>647200</v>
      </c>
      <c r="H4" s="21"/>
      <c r="I4" s="21"/>
      <c r="J4" s="21"/>
      <c r="K4" s="21"/>
      <c r="L4" s="21"/>
      <c r="O4" s="24">
        <v>2022</v>
      </c>
      <c r="P4" s="25" t="s">
        <v>148</v>
      </c>
      <c r="Q4" s="25" t="s">
        <v>149</v>
      </c>
      <c r="R4" s="25" t="s">
        <v>150</v>
      </c>
    </row>
    <row r="5" spans="1:18" ht="12.75" customHeight="1" outlineLevel="1" x14ac:dyDescent="0.3">
      <c r="A5" s="18">
        <f t="shared" si="0"/>
        <v>2022</v>
      </c>
      <c r="B5" s="23">
        <f t="shared" si="1"/>
        <v>44621</v>
      </c>
      <c r="C5" s="26">
        <f t="shared" ref="C5:C68" si="2">C4</f>
        <v>3.6900000000000002E-2</v>
      </c>
      <c r="G5" s="27">
        <f>G4</f>
        <v>647200</v>
      </c>
      <c r="O5" s="28" t="s">
        <v>143</v>
      </c>
      <c r="P5" s="29">
        <v>3078.65</v>
      </c>
      <c r="Q5" s="25">
        <f>P5/12</f>
        <v>256.55416666666667</v>
      </c>
      <c r="R5" s="30">
        <v>0.03</v>
      </c>
    </row>
    <row r="6" spans="1:18" ht="12.75" customHeight="1" outlineLevel="1" x14ac:dyDescent="0.3">
      <c r="A6" s="18">
        <f t="shared" si="0"/>
        <v>2022</v>
      </c>
      <c r="B6" s="23">
        <f t="shared" si="1"/>
        <v>44652</v>
      </c>
      <c r="C6" s="26">
        <f t="shared" si="2"/>
        <v>3.6900000000000002E-2</v>
      </c>
      <c r="G6" s="27">
        <f>G5</f>
        <v>647200</v>
      </c>
      <c r="I6" s="31">
        <f t="shared" ref="I6:I14" si="3">$P$5/12</f>
        <v>256.55416666666667</v>
      </c>
      <c r="J6" s="31"/>
      <c r="K6" s="31">
        <f t="shared" ref="K6:K14" si="4">$P$7/12</f>
        <v>78.445000000000007</v>
      </c>
      <c r="L6" s="31">
        <f t="shared" ref="L6:L69" si="5">SUM(I6:K6,D6)</f>
        <v>334.99916666666667</v>
      </c>
      <c r="M6" s="32"/>
      <c r="O6" s="33" t="s">
        <v>144</v>
      </c>
      <c r="P6" s="34">
        <f>Q6*12</f>
        <v>588</v>
      </c>
      <c r="Q6" s="35">
        <v>49</v>
      </c>
      <c r="R6" s="25"/>
    </row>
    <row r="7" spans="1:18" ht="12.75" customHeight="1" outlineLevel="1" x14ac:dyDescent="0.3">
      <c r="A7" s="18">
        <f t="shared" si="0"/>
        <v>2022</v>
      </c>
      <c r="B7" s="23">
        <f t="shared" si="1"/>
        <v>44682</v>
      </c>
      <c r="C7" s="26">
        <f t="shared" si="2"/>
        <v>3.6900000000000002E-2</v>
      </c>
      <c r="D7" s="13">
        <f>-PMT($C$4/12,360,$G$4)</f>
        <v>2975.2920763472753</v>
      </c>
      <c r="E7" s="13">
        <f t="shared" ref="E7:E70" si="6">G6*C6/12</f>
        <v>1990.14</v>
      </c>
      <c r="F7" s="13">
        <f t="shared" ref="F7:F70" si="7">D7-E7</f>
        <v>985.15207634727517</v>
      </c>
      <c r="G7" s="13">
        <f t="shared" ref="G7:G70" si="8">IF(G6-F7&lt;0,,G6-F7)</f>
        <v>646214.84792365273</v>
      </c>
      <c r="I7" s="31">
        <f t="shared" si="3"/>
        <v>256.55416666666667</v>
      </c>
      <c r="J7" s="31">
        <f t="shared" ref="J7:J70" si="9">$P$6/12</f>
        <v>49</v>
      </c>
      <c r="K7" s="31">
        <f t="shared" si="4"/>
        <v>78.445000000000007</v>
      </c>
      <c r="L7" s="31">
        <f t="shared" si="5"/>
        <v>3359.2912430139418</v>
      </c>
      <c r="O7" s="33" t="s">
        <v>151</v>
      </c>
      <c r="P7" s="29">
        <v>941.34</v>
      </c>
      <c r="Q7" s="25">
        <f>P7/12</f>
        <v>78.445000000000007</v>
      </c>
      <c r="R7" s="36">
        <v>0.03</v>
      </c>
    </row>
    <row r="8" spans="1:18" ht="12.75" customHeight="1" outlineLevel="1" x14ac:dyDescent="0.3">
      <c r="A8" s="18">
        <f t="shared" si="0"/>
        <v>2022</v>
      </c>
      <c r="B8" s="23">
        <f t="shared" si="1"/>
        <v>44713</v>
      </c>
      <c r="C8" s="26">
        <f t="shared" si="2"/>
        <v>3.6900000000000002E-2</v>
      </c>
      <c r="D8" s="13">
        <f t="shared" ref="D8:D71" si="10">IF(G7&lt;=0,0,D7)</f>
        <v>2975.2920763472753</v>
      </c>
      <c r="E8" s="13">
        <f t="shared" si="6"/>
        <v>1987.1106573652323</v>
      </c>
      <c r="F8" s="13">
        <f t="shared" si="7"/>
        <v>988.18141898204294</v>
      </c>
      <c r="G8" s="13">
        <f t="shared" si="8"/>
        <v>645226.66650467075</v>
      </c>
      <c r="I8" s="31">
        <f t="shared" si="3"/>
        <v>256.55416666666667</v>
      </c>
      <c r="J8" s="31">
        <f t="shared" si="9"/>
        <v>49</v>
      </c>
      <c r="K8" s="31">
        <f t="shared" si="4"/>
        <v>78.445000000000007</v>
      </c>
      <c r="L8" s="31">
        <f t="shared" si="5"/>
        <v>3359.2912430139418</v>
      </c>
      <c r="O8" s="22"/>
    </row>
    <row r="9" spans="1:18" ht="12.75" customHeight="1" outlineLevel="1" x14ac:dyDescent="0.3">
      <c r="A9" s="18">
        <f t="shared" si="0"/>
        <v>2022</v>
      </c>
      <c r="B9" s="23">
        <f t="shared" si="1"/>
        <v>44743</v>
      </c>
      <c r="C9" s="26">
        <f t="shared" si="2"/>
        <v>3.6900000000000002E-2</v>
      </c>
      <c r="D9" s="13">
        <f t="shared" si="10"/>
        <v>2975.2920763472753</v>
      </c>
      <c r="E9" s="13">
        <f t="shared" si="6"/>
        <v>1984.0719995018626</v>
      </c>
      <c r="F9" s="13">
        <f t="shared" si="7"/>
        <v>991.22007684541268</v>
      </c>
      <c r="G9" s="13">
        <f t="shared" si="8"/>
        <v>644235.44642782537</v>
      </c>
      <c r="I9" s="31">
        <f t="shared" si="3"/>
        <v>256.55416666666667</v>
      </c>
      <c r="J9" s="31">
        <f t="shared" si="9"/>
        <v>49</v>
      </c>
      <c r="K9" s="31">
        <f t="shared" si="4"/>
        <v>78.445000000000007</v>
      </c>
      <c r="L9" s="31">
        <f t="shared" si="5"/>
        <v>3359.2912430139418</v>
      </c>
      <c r="O9" s="22"/>
    </row>
    <row r="10" spans="1:18" ht="12.75" customHeight="1" outlineLevel="1" x14ac:dyDescent="0.3">
      <c r="A10" s="18">
        <f t="shared" si="0"/>
        <v>2022</v>
      </c>
      <c r="B10" s="23">
        <f t="shared" si="1"/>
        <v>44774</v>
      </c>
      <c r="C10" s="26">
        <f t="shared" si="2"/>
        <v>3.6900000000000002E-2</v>
      </c>
      <c r="D10" s="13">
        <f t="shared" si="10"/>
        <v>2975.2920763472753</v>
      </c>
      <c r="E10" s="13">
        <f t="shared" si="6"/>
        <v>1981.0239977655631</v>
      </c>
      <c r="F10" s="13">
        <f t="shared" si="7"/>
        <v>994.26807858171219</v>
      </c>
      <c r="G10" s="13">
        <f t="shared" si="8"/>
        <v>643241.17834924371</v>
      </c>
      <c r="I10" s="31">
        <f t="shared" si="3"/>
        <v>256.55416666666667</v>
      </c>
      <c r="J10" s="31">
        <f t="shared" si="9"/>
        <v>49</v>
      </c>
      <c r="K10" s="31">
        <f t="shared" si="4"/>
        <v>78.445000000000007</v>
      </c>
      <c r="L10" s="31">
        <f t="shared" si="5"/>
        <v>3359.2912430139418</v>
      </c>
      <c r="O10" s="22"/>
    </row>
    <row r="11" spans="1:18" ht="12.75" customHeight="1" outlineLevel="1" x14ac:dyDescent="0.3">
      <c r="A11" s="18">
        <f t="shared" si="0"/>
        <v>2022</v>
      </c>
      <c r="B11" s="23">
        <f t="shared" si="1"/>
        <v>44805</v>
      </c>
      <c r="C11" s="26">
        <f t="shared" si="2"/>
        <v>3.6900000000000002E-2</v>
      </c>
      <c r="D11" s="13">
        <f t="shared" si="10"/>
        <v>2975.2920763472753</v>
      </c>
      <c r="E11" s="13">
        <f t="shared" si="6"/>
        <v>1977.9666234239246</v>
      </c>
      <c r="F11" s="13">
        <f t="shared" si="7"/>
        <v>997.32545292335067</v>
      </c>
      <c r="G11" s="13">
        <f t="shared" si="8"/>
        <v>642243.8528963204</v>
      </c>
      <c r="I11" s="31">
        <f t="shared" si="3"/>
        <v>256.55416666666667</v>
      </c>
      <c r="J11" s="31">
        <f t="shared" si="9"/>
        <v>49</v>
      </c>
      <c r="K11" s="31">
        <f t="shared" si="4"/>
        <v>78.445000000000007</v>
      </c>
      <c r="L11" s="31">
        <f t="shared" si="5"/>
        <v>3359.2912430139418</v>
      </c>
      <c r="O11" s="22"/>
    </row>
    <row r="12" spans="1:18" ht="12.75" customHeight="1" outlineLevel="1" x14ac:dyDescent="0.3">
      <c r="A12" s="18">
        <f t="shared" si="0"/>
        <v>2022</v>
      </c>
      <c r="B12" s="23">
        <f t="shared" si="1"/>
        <v>44835</v>
      </c>
      <c r="C12" s="26">
        <f t="shared" si="2"/>
        <v>3.6900000000000002E-2</v>
      </c>
      <c r="D12" s="13">
        <f t="shared" si="10"/>
        <v>2975.2920763472753</v>
      </c>
      <c r="E12" s="13">
        <f t="shared" si="6"/>
        <v>1974.8998476561853</v>
      </c>
      <c r="F12" s="13">
        <f t="shared" si="7"/>
        <v>1000.3922286910899</v>
      </c>
      <c r="G12" s="13">
        <f t="shared" si="8"/>
        <v>641243.46066762926</v>
      </c>
      <c r="I12" s="31">
        <f t="shared" si="3"/>
        <v>256.55416666666667</v>
      </c>
      <c r="J12" s="31">
        <f t="shared" si="9"/>
        <v>49</v>
      </c>
      <c r="K12" s="31">
        <f t="shared" si="4"/>
        <v>78.445000000000007</v>
      </c>
      <c r="L12" s="31">
        <f t="shared" si="5"/>
        <v>3359.2912430139418</v>
      </c>
      <c r="O12" s="22"/>
    </row>
    <row r="13" spans="1:18" ht="12.75" customHeight="1" outlineLevel="1" x14ac:dyDescent="0.3">
      <c r="A13" s="18">
        <f t="shared" si="0"/>
        <v>2022</v>
      </c>
      <c r="B13" s="23">
        <f t="shared" si="1"/>
        <v>44866</v>
      </c>
      <c r="C13" s="26">
        <f t="shared" si="2"/>
        <v>3.6900000000000002E-2</v>
      </c>
      <c r="D13" s="13">
        <f t="shared" si="10"/>
        <v>2975.2920763472753</v>
      </c>
      <c r="E13" s="13">
        <f t="shared" si="6"/>
        <v>1971.82364155296</v>
      </c>
      <c r="F13" s="13">
        <f t="shared" si="7"/>
        <v>1003.4684347943153</v>
      </c>
      <c r="G13" s="13">
        <f t="shared" si="8"/>
        <v>640239.99223283492</v>
      </c>
      <c r="I13" s="31">
        <f t="shared" si="3"/>
        <v>256.55416666666667</v>
      </c>
      <c r="J13" s="31">
        <f t="shared" si="9"/>
        <v>49</v>
      </c>
      <c r="K13" s="31">
        <f t="shared" si="4"/>
        <v>78.445000000000007</v>
      </c>
      <c r="L13" s="31">
        <f t="shared" si="5"/>
        <v>3359.2912430139418</v>
      </c>
      <c r="O13" s="22"/>
    </row>
    <row r="14" spans="1:18" ht="12.75" customHeight="1" outlineLevel="1" x14ac:dyDescent="0.3">
      <c r="A14" s="18">
        <f t="shared" si="0"/>
        <v>2022</v>
      </c>
      <c r="B14" s="23">
        <f t="shared" si="1"/>
        <v>44896</v>
      </c>
      <c r="C14" s="26">
        <f t="shared" si="2"/>
        <v>3.6900000000000002E-2</v>
      </c>
      <c r="D14" s="13">
        <f t="shared" si="10"/>
        <v>2975.2920763472753</v>
      </c>
      <c r="E14" s="13">
        <f t="shared" si="6"/>
        <v>1968.7379761159675</v>
      </c>
      <c r="F14" s="13">
        <f t="shared" si="7"/>
        <v>1006.5541002313078</v>
      </c>
      <c r="G14" s="13">
        <f t="shared" si="8"/>
        <v>639233.43813260365</v>
      </c>
      <c r="I14" s="31">
        <f t="shared" si="3"/>
        <v>256.55416666666667</v>
      </c>
      <c r="J14" s="31">
        <f t="shared" si="9"/>
        <v>49</v>
      </c>
      <c r="K14" s="31">
        <f t="shared" si="4"/>
        <v>78.445000000000007</v>
      </c>
      <c r="L14" s="31">
        <f t="shared" si="5"/>
        <v>3359.2912430139418</v>
      </c>
      <c r="O14" s="22"/>
    </row>
    <row r="15" spans="1:18" ht="12.75" customHeight="1" outlineLevel="1" x14ac:dyDescent="0.3">
      <c r="A15" s="18">
        <f t="shared" si="0"/>
        <v>2023</v>
      </c>
      <c r="B15" s="23">
        <f t="shared" si="1"/>
        <v>44927</v>
      </c>
      <c r="C15" s="26">
        <f t="shared" si="2"/>
        <v>3.6900000000000002E-2</v>
      </c>
      <c r="D15" s="13">
        <f t="shared" si="10"/>
        <v>2975.2920763472753</v>
      </c>
      <c r="E15" s="13">
        <f t="shared" si="6"/>
        <v>1965.6428222577563</v>
      </c>
      <c r="F15" s="13">
        <f t="shared" si="7"/>
        <v>1009.649254089519</v>
      </c>
      <c r="G15" s="13">
        <f t="shared" si="8"/>
        <v>638223.78887851408</v>
      </c>
      <c r="I15" s="21">
        <f>$Q$5*(1+$R$5)^(YEAR(B15)-$O$4)+53</f>
        <v>317.25079166666666</v>
      </c>
      <c r="J15" s="31">
        <f t="shared" si="9"/>
        <v>49</v>
      </c>
      <c r="K15" s="31">
        <f t="shared" ref="K15:K78" si="11">K14*(1+$R$7)^(YEAR(B15)-YEAR(B14))</f>
        <v>80.798350000000013</v>
      </c>
      <c r="L15" s="31">
        <f t="shared" si="5"/>
        <v>3422.3412180139421</v>
      </c>
      <c r="O15" s="22"/>
    </row>
    <row r="16" spans="1:18" ht="12.75" customHeight="1" outlineLevel="1" x14ac:dyDescent="0.3">
      <c r="A16" s="18">
        <f t="shared" si="0"/>
        <v>2023</v>
      </c>
      <c r="B16" s="23">
        <f t="shared" si="1"/>
        <v>44958</v>
      </c>
      <c r="C16" s="26">
        <f t="shared" si="2"/>
        <v>3.6900000000000002E-2</v>
      </c>
      <c r="D16" s="13">
        <f t="shared" si="10"/>
        <v>2975.2920763472753</v>
      </c>
      <c r="E16" s="13">
        <f t="shared" si="6"/>
        <v>1962.5381508014309</v>
      </c>
      <c r="F16" s="13">
        <f t="shared" si="7"/>
        <v>1012.7539255458444</v>
      </c>
      <c r="G16" s="13">
        <f t="shared" si="8"/>
        <v>637211.03495296824</v>
      </c>
      <c r="I16" s="31">
        <f t="shared" ref="I16:I79" si="12">I15*(1+$R$5)^(YEAR(B16)-YEAR(B15))</f>
        <v>317.25079166666666</v>
      </c>
      <c r="J16" s="31">
        <f t="shared" si="9"/>
        <v>49</v>
      </c>
      <c r="K16" s="31">
        <f t="shared" si="11"/>
        <v>80.798350000000013</v>
      </c>
      <c r="L16" s="31">
        <f t="shared" si="5"/>
        <v>3422.3412180139421</v>
      </c>
      <c r="O16" s="22"/>
    </row>
    <row r="17" spans="1:12" ht="12.75" customHeight="1" outlineLevel="1" x14ac:dyDescent="0.3">
      <c r="A17" s="18">
        <f t="shared" si="0"/>
        <v>2023</v>
      </c>
      <c r="B17" s="23">
        <f t="shared" si="1"/>
        <v>44986</v>
      </c>
      <c r="C17" s="26">
        <f t="shared" si="2"/>
        <v>3.6900000000000002E-2</v>
      </c>
      <c r="D17" s="13">
        <f t="shared" si="10"/>
        <v>2975.2920763472753</v>
      </c>
      <c r="E17" s="13">
        <f t="shared" si="6"/>
        <v>1959.4239324803775</v>
      </c>
      <c r="F17" s="13">
        <f t="shared" si="7"/>
        <v>1015.8681438668978</v>
      </c>
      <c r="G17" s="13">
        <f t="shared" si="8"/>
        <v>636195.16680910136</v>
      </c>
      <c r="I17" s="31">
        <f t="shared" si="12"/>
        <v>317.25079166666666</v>
      </c>
      <c r="J17" s="31">
        <f t="shared" si="9"/>
        <v>49</v>
      </c>
      <c r="K17" s="31">
        <f t="shared" si="11"/>
        <v>80.798350000000013</v>
      </c>
      <c r="L17" s="31">
        <f t="shared" si="5"/>
        <v>3422.3412180139421</v>
      </c>
    </row>
    <row r="18" spans="1:12" ht="12.75" customHeight="1" outlineLevel="1" x14ac:dyDescent="0.3">
      <c r="A18" s="18">
        <f t="shared" si="0"/>
        <v>2023</v>
      </c>
      <c r="B18" s="23">
        <f t="shared" si="1"/>
        <v>45017</v>
      </c>
      <c r="C18" s="26">
        <f t="shared" si="2"/>
        <v>3.6900000000000002E-2</v>
      </c>
      <c r="D18" s="13">
        <f t="shared" si="10"/>
        <v>2975.2920763472753</v>
      </c>
      <c r="E18" s="13">
        <f t="shared" si="6"/>
        <v>1956.3001379379868</v>
      </c>
      <c r="F18" s="13">
        <f t="shared" si="7"/>
        <v>1018.9919384092884</v>
      </c>
      <c r="G18" s="13">
        <f t="shared" si="8"/>
        <v>635176.17487069208</v>
      </c>
      <c r="I18" s="31">
        <f t="shared" si="12"/>
        <v>317.25079166666666</v>
      </c>
      <c r="J18" s="31">
        <f t="shared" si="9"/>
        <v>49</v>
      </c>
      <c r="K18" s="31">
        <f t="shared" si="11"/>
        <v>80.798350000000013</v>
      </c>
      <c r="L18" s="31">
        <f t="shared" si="5"/>
        <v>3422.3412180139421</v>
      </c>
    </row>
    <row r="19" spans="1:12" ht="12.75" customHeight="1" outlineLevel="1" x14ac:dyDescent="0.3">
      <c r="A19" s="18">
        <f t="shared" si="0"/>
        <v>2023</v>
      </c>
      <c r="B19" s="23">
        <f t="shared" si="1"/>
        <v>45047</v>
      </c>
      <c r="C19" s="26">
        <f t="shared" si="2"/>
        <v>3.6900000000000002E-2</v>
      </c>
      <c r="D19" s="13">
        <f t="shared" si="10"/>
        <v>2975.2920763472753</v>
      </c>
      <c r="E19" s="13">
        <f t="shared" si="6"/>
        <v>1953.1667377273782</v>
      </c>
      <c r="F19" s="13">
        <f t="shared" si="7"/>
        <v>1022.1253386198971</v>
      </c>
      <c r="G19" s="13">
        <f t="shared" si="8"/>
        <v>634154.04953207215</v>
      </c>
      <c r="I19" s="31">
        <f t="shared" si="12"/>
        <v>317.25079166666666</v>
      </c>
      <c r="J19" s="31">
        <f t="shared" si="9"/>
        <v>49</v>
      </c>
      <c r="K19" s="31">
        <f t="shared" si="11"/>
        <v>80.798350000000013</v>
      </c>
      <c r="L19" s="31">
        <f t="shared" si="5"/>
        <v>3422.3412180139421</v>
      </c>
    </row>
    <row r="20" spans="1:12" outlineLevel="1" x14ac:dyDescent="0.3">
      <c r="A20" s="18">
        <f t="shared" si="0"/>
        <v>2023</v>
      </c>
      <c r="B20" s="23">
        <f t="shared" si="1"/>
        <v>45078</v>
      </c>
      <c r="C20" s="26">
        <f t="shared" si="2"/>
        <v>3.6900000000000002E-2</v>
      </c>
      <c r="D20" s="13">
        <f t="shared" si="10"/>
        <v>2975.2920763472753</v>
      </c>
      <c r="E20" s="13">
        <f t="shared" si="6"/>
        <v>1950.023702311122</v>
      </c>
      <c r="F20" s="13">
        <f t="shared" si="7"/>
        <v>1025.2683740361533</v>
      </c>
      <c r="G20" s="13">
        <f t="shared" si="8"/>
        <v>633128.78115803597</v>
      </c>
      <c r="I20" s="31">
        <f t="shared" si="12"/>
        <v>317.25079166666666</v>
      </c>
      <c r="J20" s="31">
        <f t="shared" si="9"/>
        <v>49</v>
      </c>
      <c r="K20" s="31">
        <f t="shared" si="11"/>
        <v>80.798350000000013</v>
      </c>
      <c r="L20" s="31">
        <f t="shared" si="5"/>
        <v>3422.3412180139421</v>
      </c>
    </row>
    <row r="21" spans="1:12" outlineLevel="1" x14ac:dyDescent="0.3">
      <c r="A21" s="18">
        <f t="shared" si="0"/>
        <v>2023</v>
      </c>
      <c r="B21" s="23">
        <f t="shared" si="1"/>
        <v>45108</v>
      </c>
      <c r="C21" s="26">
        <f t="shared" si="2"/>
        <v>3.6900000000000002E-2</v>
      </c>
      <c r="D21" s="13">
        <f t="shared" si="10"/>
        <v>2975.2920763472753</v>
      </c>
      <c r="E21" s="13">
        <f t="shared" si="6"/>
        <v>1946.8710020609608</v>
      </c>
      <c r="F21" s="13">
        <f t="shared" si="7"/>
        <v>1028.4210742863145</v>
      </c>
      <c r="G21" s="13">
        <f t="shared" si="8"/>
        <v>632100.36008374963</v>
      </c>
      <c r="I21" s="31">
        <f t="shared" si="12"/>
        <v>317.25079166666666</v>
      </c>
      <c r="J21" s="31">
        <f t="shared" si="9"/>
        <v>49</v>
      </c>
      <c r="K21" s="31">
        <f t="shared" si="11"/>
        <v>80.798350000000013</v>
      </c>
      <c r="L21" s="31">
        <f t="shared" si="5"/>
        <v>3422.3412180139421</v>
      </c>
    </row>
    <row r="22" spans="1:12" outlineLevel="1" x14ac:dyDescent="0.3">
      <c r="A22" s="18">
        <f t="shared" si="0"/>
        <v>2023</v>
      </c>
      <c r="B22" s="23">
        <f t="shared" si="1"/>
        <v>45139</v>
      </c>
      <c r="C22" s="26">
        <f t="shared" si="2"/>
        <v>3.6900000000000002E-2</v>
      </c>
      <c r="D22" s="13">
        <f t="shared" si="10"/>
        <v>2975.2920763472753</v>
      </c>
      <c r="E22" s="13">
        <f t="shared" si="6"/>
        <v>1943.7086072575303</v>
      </c>
      <c r="F22" s="13">
        <f t="shared" si="7"/>
        <v>1031.583469089745</v>
      </c>
      <c r="G22" s="13">
        <f t="shared" si="8"/>
        <v>631068.77661465993</v>
      </c>
      <c r="I22" s="31">
        <f t="shared" si="12"/>
        <v>317.25079166666666</v>
      </c>
      <c r="J22" s="31">
        <f t="shared" si="9"/>
        <v>49</v>
      </c>
      <c r="K22" s="31">
        <f t="shared" si="11"/>
        <v>80.798350000000013</v>
      </c>
      <c r="L22" s="31">
        <f t="shared" si="5"/>
        <v>3422.3412180139421</v>
      </c>
    </row>
    <row r="23" spans="1:12" outlineLevel="1" x14ac:dyDescent="0.3">
      <c r="A23" s="18">
        <f t="shared" si="0"/>
        <v>2023</v>
      </c>
      <c r="B23" s="23">
        <f t="shared" si="1"/>
        <v>45170</v>
      </c>
      <c r="C23" s="26">
        <f t="shared" si="2"/>
        <v>3.6900000000000002E-2</v>
      </c>
      <c r="D23" s="13">
        <f t="shared" si="10"/>
        <v>2975.2920763472753</v>
      </c>
      <c r="E23" s="13">
        <f t="shared" si="6"/>
        <v>1940.5364880900795</v>
      </c>
      <c r="F23" s="13">
        <f t="shared" si="7"/>
        <v>1034.7555882571958</v>
      </c>
      <c r="G23" s="13">
        <f t="shared" si="8"/>
        <v>630034.02102640271</v>
      </c>
      <c r="I23" s="31">
        <f t="shared" si="12"/>
        <v>317.25079166666666</v>
      </c>
      <c r="J23" s="31">
        <f t="shared" si="9"/>
        <v>49</v>
      </c>
      <c r="K23" s="31">
        <f t="shared" si="11"/>
        <v>80.798350000000013</v>
      </c>
      <c r="L23" s="31">
        <f t="shared" si="5"/>
        <v>3422.3412180139421</v>
      </c>
    </row>
    <row r="24" spans="1:12" outlineLevel="1" x14ac:dyDescent="0.3">
      <c r="A24" s="18">
        <f t="shared" si="0"/>
        <v>2023</v>
      </c>
      <c r="B24" s="23">
        <f t="shared" si="1"/>
        <v>45200</v>
      </c>
      <c r="C24" s="26">
        <f t="shared" si="2"/>
        <v>3.6900000000000002E-2</v>
      </c>
      <c r="D24" s="13">
        <f t="shared" si="10"/>
        <v>2975.2920763472753</v>
      </c>
      <c r="E24" s="13">
        <f t="shared" si="6"/>
        <v>1937.3546146561885</v>
      </c>
      <c r="F24" s="13">
        <f t="shared" si="7"/>
        <v>1037.9374616910868</v>
      </c>
      <c r="G24" s="13">
        <f t="shared" si="8"/>
        <v>628996.08356471162</v>
      </c>
      <c r="I24" s="31">
        <f t="shared" si="12"/>
        <v>317.25079166666666</v>
      </c>
      <c r="J24" s="31">
        <f t="shared" si="9"/>
        <v>49</v>
      </c>
      <c r="K24" s="31">
        <f t="shared" si="11"/>
        <v>80.798350000000013</v>
      </c>
      <c r="L24" s="31">
        <f t="shared" si="5"/>
        <v>3422.3412180139421</v>
      </c>
    </row>
    <row r="25" spans="1:12" outlineLevel="1" x14ac:dyDescent="0.3">
      <c r="A25" s="18">
        <f t="shared" si="0"/>
        <v>2023</v>
      </c>
      <c r="B25" s="23">
        <f t="shared" si="1"/>
        <v>45231</v>
      </c>
      <c r="C25" s="26">
        <f t="shared" si="2"/>
        <v>3.6900000000000002E-2</v>
      </c>
      <c r="D25" s="13">
        <f t="shared" si="10"/>
        <v>2975.2920763472753</v>
      </c>
      <c r="E25" s="13">
        <f t="shared" si="6"/>
        <v>1934.1629569614881</v>
      </c>
      <c r="F25" s="13">
        <f t="shared" si="7"/>
        <v>1041.1291193857871</v>
      </c>
      <c r="G25" s="13">
        <f t="shared" si="8"/>
        <v>627954.95444532589</v>
      </c>
      <c r="I25" s="31">
        <f t="shared" si="12"/>
        <v>317.25079166666666</v>
      </c>
      <c r="J25" s="31">
        <f t="shared" si="9"/>
        <v>49</v>
      </c>
      <c r="K25" s="31">
        <f t="shared" si="11"/>
        <v>80.798350000000013</v>
      </c>
      <c r="L25" s="31">
        <f t="shared" si="5"/>
        <v>3422.3412180139421</v>
      </c>
    </row>
    <row r="26" spans="1:12" outlineLevel="1" x14ac:dyDescent="0.3">
      <c r="A26" s="18">
        <f t="shared" si="0"/>
        <v>2023</v>
      </c>
      <c r="B26" s="23">
        <f t="shared" si="1"/>
        <v>45261</v>
      </c>
      <c r="C26" s="26">
        <f t="shared" si="2"/>
        <v>3.6900000000000002E-2</v>
      </c>
      <c r="D26" s="13">
        <f t="shared" si="10"/>
        <v>2975.2920763472753</v>
      </c>
      <c r="E26" s="13">
        <f t="shared" si="6"/>
        <v>1930.9614849193774</v>
      </c>
      <c r="F26" s="13">
        <f t="shared" si="7"/>
        <v>1044.3305914278978</v>
      </c>
      <c r="G26" s="13">
        <f t="shared" si="8"/>
        <v>626910.62385389803</v>
      </c>
      <c r="I26" s="31">
        <f t="shared" si="12"/>
        <v>317.25079166666666</v>
      </c>
      <c r="J26" s="31">
        <f t="shared" si="9"/>
        <v>49</v>
      </c>
      <c r="K26" s="31">
        <f t="shared" si="11"/>
        <v>80.798350000000013</v>
      </c>
      <c r="L26" s="31">
        <f t="shared" si="5"/>
        <v>3422.3412180139421</v>
      </c>
    </row>
    <row r="27" spans="1:12" outlineLevel="1" x14ac:dyDescent="0.3">
      <c r="A27" s="18">
        <f t="shared" si="0"/>
        <v>2024</v>
      </c>
      <c r="B27" s="23">
        <f t="shared" si="1"/>
        <v>45292</v>
      </c>
      <c r="C27" s="26">
        <f t="shared" si="2"/>
        <v>3.6900000000000002E-2</v>
      </c>
      <c r="D27" s="13">
        <f t="shared" si="10"/>
        <v>2975.2920763472753</v>
      </c>
      <c r="E27" s="13">
        <f t="shared" si="6"/>
        <v>1927.7501683507364</v>
      </c>
      <c r="F27" s="13">
        <f t="shared" si="7"/>
        <v>1047.5419079965388</v>
      </c>
      <c r="G27" s="13">
        <f t="shared" si="8"/>
        <v>625863.0819459015</v>
      </c>
      <c r="I27" s="31">
        <f t="shared" si="12"/>
        <v>326.76831541666667</v>
      </c>
      <c r="J27" s="31">
        <f t="shared" si="9"/>
        <v>49</v>
      </c>
      <c r="K27" s="31">
        <f t="shared" si="11"/>
        <v>83.222300500000017</v>
      </c>
      <c r="L27" s="31">
        <f t="shared" si="5"/>
        <v>3434.282692263942</v>
      </c>
    </row>
    <row r="28" spans="1:12" outlineLevel="1" x14ac:dyDescent="0.3">
      <c r="A28" s="18">
        <f t="shared" si="0"/>
        <v>2024</v>
      </c>
      <c r="B28" s="23">
        <f t="shared" si="1"/>
        <v>45323</v>
      </c>
      <c r="C28" s="26">
        <f t="shared" si="2"/>
        <v>3.6900000000000002E-2</v>
      </c>
      <c r="D28" s="13">
        <f t="shared" si="10"/>
        <v>2975.2920763472753</v>
      </c>
      <c r="E28" s="13">
        <f t="shared" si="6"/>
        <v>1924.5289769836472</v>
      </c>
      <c r="F28" s="13">
        <f t="shared" si="7"/>
        <v>1050.763099363628</v>
      </c>
      <c r="G28" s="13">
        <f t="shared" si="8"/>
        <v>624812.31884653785</v>
      </c>
      <c r="I28" s="31">
        <f t="shared" si="12"/>
        <v>326.76831541666667</v>
      </c>
      <c r="J28" s="31">
        <f t="shared" si="9"/>
        <v>49</v>
      </c>
      <c r="K28" s="31">
        <f t="shared" si="11"/>
        <v>83.222300500000017</v>
      </c>
      <c r="L28" s="31">
        <f t="shared" si="5"/>
        <v>3434.282692263942</v>
      </c>
    </row>
    <row r="29" spans="1:12" outlineLevel="1" x14ac:dyDescent="0.3">
      <c r="A29" s="18">
        <f t="shared" si="0"/>
        <v>2024</v>
      </c>
      <c r="B29" s="23">
        <f t="shared" si="1"/>
        <v>45352</v>
      </c>
      <c r="C29" s="26">
        <f t="shared" si="2"/>
        <v>3.6900000000000002E-2</v>
      </c>
      <c r="D29" s="13">
        <f t="shared" si="10"/>
        <v>2975.2920763472753</v>
      </c>
      <c r="E29" s="13">
        <f t="shared" si="6"/>
        <v>1921.297880453104</v>
      </c>
      <c r="F29" s="13">
        <f t="shared" si="7"/>
        <v>1053.9941958941713</v>
      </c>
      <c r="G29" s="13">
        <f t="shared" si="8"/>
        <v>623758.32465064363</v>
      </c>
      <c r="I29" s="31">
        <f t="shared" si="12"/>
        <v>326.76831541666667</v>
      </c>
      <c r="J29" s="31">
        <f t="shared" si="9"/>
        <v>49</v>
      </c>
      <c r="K29" s="31">
        <f t="shared" si="11"/>
        <v>83.222300500000017</v>
      </c>
      <c r="L29" s="31">
        <f t="shared" si="5"/>
        <v>3434.282692263942</v>
      </c>
    </row>
    <row r="30" spans="1:12" outlineLevel="1" x14ac:dyDescent="0.3">
      <c r="A30" s="18">
        <f t="shared" si="0"/>
        <v>2024</v>
      </c>
      <c r="B30" s="23">
        <f t="shared" si="1"/>
        <v>45383</v>
      </c>
      <c r="C30" s="26">
        <f t="shared" si="2"/>
        <v>3.6900000000000002E-2</v>
      </c>
      <c r="D30" s="13">
        <f t="shared" si="10"/>
        <v>2975.2920763472753</v>
      </c>
      <c r="E30" s="13">
        <f t="shared" si="6"/>
        <v>1918.0568483007291</v>
      </c>
      <c r="F30" s="13">
        <f t="shared" si="7"/>
        <v>1057.2352280465461</v>
      </c>
      <c r="G30" s="13">
        <f t="shared" si="8"/>
        <v>622701.08942259708</v>
      </c>
      <c r="I30" s="31">
        <f t="shared" si="12"/>
        <v>326.76831541666667</v>
      </c>
      <c r="J30" s="31">
        <f t="shared" si="9"/>
        <v>49</v>
      </c>
      <c r="K30" s="31">
        <f t="shared" si="11"/>
        <v>83.222300500000017</v>
      </c>
      <c r="L30" s="31">
        <f t="shared" si="5"/>
        <v>3434.282692263942</v>
      </c>
    </row>
    <row r="31" spans="1:12" outlineLevel="1" x14ac:dyDescent="0.3">
      <c r="A31" s="18">
        <f t="shared" si="0"/>
        <v>2024</v>
      </c>
      <c r="B31" s="23">
        <f t="shared" si="1"/>
        <v>45413</v>
      </c>
      <c r="C31" s="26">
        <f t="shared" si="2"/>
        <v>3.6900000000000002E-2</v>
      </c>
      <c r="D31" s="13">
        <f t="shared" si="10"/>
        <v>2975.2920763472753</v>
      </c>
      <c r="E31" s="13">
        <f t="shared" si="6"/>
        <v>1914.8058499744864</v>
      </c>
      <c r="F31" s="13">
        <f t="shared" si="7"/>
        <v>1060.4862263727889</v>
      </c>
      <c r="G31" s="13">
        <f t="shared" si="8"/>
        <v>621640.60319622431</v>
      </c>
      <c r="I31" s="31">
        <f t="shared" si="12"/>
        <v>326.76831541666667</v>
      </c>
      <c r="J31" s="31">
        <f t="shared" si="9"/>
        <v>49</v>
      </c>
      <c r="K31" s="31">
        <f t="shared" si="11"/>
        <v>83.222300500000017</v>
      </c>
      <c r="L31" s="31">
        <f t="shared" si="5"/>
        <v>3434.282692263942</v>
      </c>
    </row>
    <row r="32" spans="1:12" x14ac:dyDescent="0.3">
      <c r="A32" s="18">
        <f t="shared" si="0"/>
        <v>2024</v>
      </c>
      <c r="B32" s="23">
        <f t="shared" si="1"/>
        <v>45444</v>
      </c>
      <c r="C32" s="26">
        <f t="shared" si="2"/>
        <v>3.6900000000000002E-2</v>
      </c>
      <c r="D32" s="13">
        <f t="shared" si="10"/>
        <v>2975.2920763472753</v>
      </c>
      <c r="E32" s="13">
        <f t="shared" si="6"/>
        <v>1911.54485482839</v>
      </c>
      <c r="F32" s="13">
        <f t="shared" si="7"/>
        <v>1063.7472215188852</v>
      </c>
      <c r="G32" s="13">
        <f t="shared" si="8"/>
        <v>620576.85597470542</v>
      </c>
      <c r="I32" s="31">
        <f t="shared" si="12"/>
        <v>326.76831541666667</v>
      </c>
      <c r="J32" s="31">
        <f t="shared" si="9"/>
        <v>49</v>
      </c>
      <c r="K32" s="31">
        <f t="shared" si="11"/>
        <v>83.222300500000017</v>
      </c>
      <c r="L32" s="31">
        <f t="shared" si="5"/>
        <v>3434.282692263942</v>
      </c>
    </row>
    <row r="33" spans="1:12" x14ac:dyDescent="0.3">
      <c r="A33" s="18">
        <f t="shared" si="0"/>
        <v>2024</v>
      </c>
      <c r="B33" s="23">
        <f t="shared" si="1"/>
        <v>45474</v>
      </c>
      <c r="C33" s="26">
        <f t="shared" si="2"/>
        <v>3.6900000000000002E-2</v>
      </c>
      <c r="D33" s="13">
        <f t="shared" si="10"/>
        <v>2975.2920763472753</v>
      </c>
      <c r="E33" s="13">
        <f t="shared" si="6"/>
        <v>1908.2738321222193</v>
      </c>
      <c r="F33" s="13">
        <f t="shared" si="7"/>
        <v>1067.0182442250559</v>
      </c>
      <c r="G33" s="13">
        <f t="shared" si="8"/>
        <v>619509.83773048036</v>
      </c>
      <c r="I33" s="31">
        <f t="shared" si="12"/>
        <v>326.76831541666667</v>
      </c>
      <c r="J33" s="31">
        <f t="shared" si="9"/>
        <v>49</v>
      </c>
      <c r="K33" s="31">
        <f t="shared" si="11"/>
        <v>83.222300500000017</v>
      </c>
      <c r="L33" s="31">
        <f t="shared" si="5"/>
        <v>3434.282692263942</v>
      </c>
    </row>
    <row r="34" spans="1:12" x14ac:dyDescent="0.3">
      <c r="A34" s="18">
        <f t="shared" si="0"/>
        <v>2024</v>
      </c>
      <c r="B34" s="23">
        <f t="shared" si="1"/>
        <v>45505</v>
      </c>
      <c r="C34" s="26">
        <f t="shared" si="2"/>
        <v>3.6900000000000002E-2</v>
      </c>
      <c r="D34" s="13">
        <f t="shared" si="10"/>
        <v>2975.2920763472753</v>
      </c>
      <c r="E34" s="13">
        <f t="shared" si="6"/>
        <v>1904.9927510212271</v>
      </c>
      <c r="F34" s="13">
        <f t="shared" si="7"/>
        <v>1070.2993253260481</v>
      </c>
      <c r="G34" s="13">
        <f t="shared" si="8"/>
        <v>618439.53840515437</v>
      </c>
      <c r="I34" s="31">
        <f t="shared" si="12"/>
        <v>326.76831541666667</v>
      </c>
      <c r="J34" s="31">
        <f t="shared" si="9"/>
        <v>49</v>
      </c>
      <c r="K34" s="31">
        <f t="shared" si="11"/>
        <v>83.222300500000017</v>
      </c>
      <c r="L34" s="31">
        <f t="shared" si="5"/>
        <v>3434.282692263942</v>
      </c>
    </row>
    <row r="35" spans="1:12" x14ac:dyDescent="0.3">
      <c r="A35" s="18">
        <f t="shared" si="0"/>
        <v>2024</v>
      </c>
      <c r="B35" s="23">
        <f t="shared" si="1"/>
        <v>45536</v>
      </c>
      <c r="C35" s="26">
        <f t="shared" si="2"/>
        <v>3.6900000000000002E-2</v>
      </c>
      <c r="D35" s="13">
        <f t="shared" si="10"/>
        <v>2975.2920763472753</v>
      </c>
      <c r="E35" s="13">
        <f t="shared" si="6"/>
        <v>1901.7015805958499</v>
      </c>
      <c r="F35" s="13">
        <f t="shared" si="7"/>
        <v>1073.5904957514254</v>
      </c>
      <c r="G35" s="13">
        <f t="shared" si="8"/>
        <v>617365.94790940289</v>
      </c>
      <c r="I35" s="31">
        <f t="shared" si="12"/>
        <v>326.76831541666667</v>
      </c>
      <c r="J35" s="31">
        <f t="shared" si="9"/>
        <v>49</v>
      </c>
      <c r="K35" s="31">
        <f t="shared" si="11"/>
        <v>83.222300500000017</v>
      </c>
      <c r="L35" s="31">
        <f t="shared" si="5"/>
        <v>3434.282692263942</v>
      </c>
    </row>
    <row r="36" spans="1:12" x14ac:dyDescent="0.3">
      <c r="A36" s="18">
        <f t="shared" si="0"/>
        <v>2024</v>
      </c>
      <c r="B36" s="23">
        <f t="shared" si="1"/>
        <v>45566</v>
      </c>
      <c r="C36" s="26">
        <f t="shared" si="2"/>
        <v>3.6900000000000002E-2</v>
      </c>
      <c r="D36" s="13">
        <f t="shared" si="10"/>
        <v>2975.2920763472753</v>
      </c>
      <c r="E36" s="13">
        <f t="shared" si="6"/>
        <v>1898.4002898214139</v>
      </c>
      <c r="F36" s="13">
        <f t="shared" si="7"/>
        <v>1076.8917865258613</v>
      </c>
      <c r="G36" s="13">
        <f t="shared" si="8"/>
        <v>616289.05612287705</v>
      </c>
      <c r="I36" s="31">
        <f t="shared" si="12"/>
        <v>326.76831541666667</v>
      </c>
      <c r="J36" s="31">
        <f t="shared" si="9"/>
        <v>49</v>
      </c>
      <c r="K36" s="31">
        <f t="shared" si="11"/>
        <v>83.222300500000017</v>
      </c>
      <c r="L36" s="31">
        <f t="shared" si="5"/>
        <v>3434.282692263942</v>
      </c>
    </row>
    <row r="37" spans="1:12" x14ac:dyDescent="0.3">
      <c r="A37" s="18">
        <f t="shared" si="0"/>
        <v>2024</v>
      </c>
      <c r="B37" s="23">
        <f t="shared" si="1"/>
        <v>45597</v>
      </c>
      <c r="C37" s="26">
        <f t="shared" si="2"/>
        <v>3.6900000000000002E-2</v>
      </c>
      <c r="D37" s="13">
        <f t="shared" si="10"/>
        <v>2975.2920763472753</v>
      </c>
      <c r="E37" s="13">
        <f t="shared" si="6"/>
        <v>1895.0888475778472</v>
      </c>
      <c r="F37" s="13">
        <f t="shared" si="7"/>
        <v>1080.2032287694281</v>
      </c>
      <c r="G37" s="13">
        <f t="shared" si="8"/>
        <v>615208.85289410758</v>
      </c>
      <c r="I37" s="31">
        <f t="shared" si="12"/>
        <v>326.76831541666667</v>
      </c>
      <c r="J37" s="31">
        <f t="shared" si="9"/>
        <v>49</v>
      </c>
      <c r="K37" s="31">
        <f t="shared" si="11"/>
        <v>83.222300500000017</v>
      </c>
      <c r="L37" s="31">
        <f t="shared" si="5"/>
        <v>3434.282692263942</v>
      </c>
    </row>
    <row r="38" spans="1:12" x14ac:dyDescent="0.3">
      <c r="A38" s="18">
        <f t="shared" si="0"/>
        <v>2024</v>
      </c>
      <c r="B38" s="23">
        <f t="shared" si="1"/>
        <v>45627</v>
      </c>
      <c r="C38" s="26">
        <f t="shared" si="2"/>
        <v>3.6900000000000002E-2</v>
      </c>
      <c r="D38" s="13">
        <f t="shared" si="10"/>
        <v>2975.2920763472753</v>
      </c>
      <c r="E38" s="13">
        <f t="shared" si="6"/>
        <v>1891.7672226493808</v>
      </c>
      <c r="F38" s="13">
        <f t="shared" si="7"/>
        <v>1083.5248536978945</v>
      </c>
      <c r="G38" s="13">
        <f t="shared" si="8"/>
        <v>614125.32804040972</v>
      </c>
      <c r="I38" s="31">
        <f t="shared" si="12"/>
        <v>326.76831541666667</v>
      </c>
      <c r="J38" s="31">
        <f t="shared" si="9"/>
        <v>49</v>
      </c>
      <c r="K38" s="31">
        <f t="shared" si="11"/>
        <v>83.222300500000017</v>
      </c>
      <c r="L38" s="31">
        <f t="shared" si="5"/>
        <v>3434.282692263942</v>
      </c>
    </row>
    <row r="39" spans="1:12" x14ac:dyDescent="0.3">
      <c r="A39" s="18">
        <f t="shared" si="0"/>
        <v>2025</v>
      </c>
      <c r="B39" s="23">
        <f t="shared" si="1"/>
        <v>45658</v>
      </c>
      <c r="C39" s="26">
        <f t="shared" si="2"/>
        <v>3.6900000000000002E-2</v>
      </c>
      <c r="D39" s="13">
        <f t="shared" si="10"/>
        <v>2975.2920763472753</v>
      </c>
      <c r="E39" s="13">
        <f t="shared" si="6"/>
        <v>1888.43538372426</v>
      </c>
      <c r="F39" s="13">
        <f t="shared" si="7"/>
        <v>1086.8566926230153</v>
      </c>
      <c r="G39" s="13">
        <f t="shared" si="8"/>
        <v>613038.47134778672</v>
      </c>
      <c r="I39" s="31">
        <f t="shared" si="12"/>
        <v>336.57136487916665</v>
      </c>
      <c r="J39" s="31">
        <f t="shared" si="9"/>
        <v>49</v>
      </c>
      <c r="K39" s="31">
        <f t="shared" si="11"/>
        <v>85.718969515000026</v>
      </c>
      <c r="L39" s="31">
        <f t="shared" si="5"/>
        <v>3446.5824107414419</v>
      </c>
    </row>
    <row r="40" spans="1:12" x14ac:dyDescent="0.3">
      <c r="A40" s="18">
        <f t="shared" si="0"/>
        <v>2025</v>
      </c>
      <c r="B40" s="23">
        <f t="shared" si="1"/>
        <v>45689</v>
      </c>
      <c r="C40" s="26">
        <f t="shared" si="2"/>
        <v>3.6900000000000002E-2</v>
      </c>
      <c r="D40" s="13">
        <f t="shared" si="10"/>
        <v>2975.2920763472753</v>
      </c>
      <c r="E40" s="13">
        <f t="shared" si="6"/>
        <v>1885.0932993944443</v>
      </c>
      <c r="F40" s="13">
        <f t="shared" si="7"/>
        <v>1090.1987769528309</v>
      </c>
      <c r="G40" s="13">
        <f t="shared" si="8"/>
        <v>611948.27257083391</v>
      </c>
      <c r="I40" s="31">
        <f t="shared" si="12"/>
        <v>336.57136487916665</v>
      </c>
      <c r="J40" s="31">
        <f t="shared" si="9"/>
        <v>49</v>
      </c>
      <c r="K40" s="31">
        <f t="shared" si="11"/>
        <v>85.718969515000026</v>
      </c>
      <c r="L40" s="31">
        <f t="shared" si="5"/>
        <v>3446.5824107414419</v>
      </c>
    </row>
    <row r="41" spans="1:12" x14ac:dyDescent="0.3">
      <c r="A41" s="18">
        <f t="shared" si="0"/>
        <v>2025</v>
      </c>
      <c r="B41" s="23">
        <f t="shared" si="1"/>
        <v>45717</v>
      </c>
      <c r="C41" s="26">
        <f t="shared" si="2"/>
        <v>3.6900000000000002E-2</v>
      </c>
      <c r="D41" s="13">
        <f t="shared" si="10"/>
        <v>2975.2920763472753</v>
      </c>
      <c r="E41" s="13">
        <f t="shared" si="6"/>
        <v>1881.7409381553143</v>
      </c>
      <c r="F41" s="13">
        <f t="shared" si="7"/>
        <v>1093.5511381919609</v>
      </c>
      <c r="G41" s="13">
        <f t="shared" si="8"/>
        <v>610854.72143264196</v>
      </c>
      <c r="I41" s="31">
        <f t="shared" si="12"/>
        <v>336.57136487916665</v>
      </c>
      <c r="J41" s="31">
        <f t="shared" si="9"/>
        <v>49</v>
      </c>
      <c r="K41" s="31">
        <f t="shared" si="11"/>
        <v>85.718969515000026</v>
      </c>
      <c r="L41" s="31">
        <f t="shared" si="5"/>
        <v>3446.5824107414419</v>
      </c>
    </row>
    <row r="42" spans="1:12" x14ac:dyDescent="0.3">
      <c r="A42" s="18">
        <f t="shared" si="0"/>
        <v>2025</v>
      </c>
      <c r="B42" s="23">
        <f t="shared" si="1"/>
        <v>45748</v>
      </c>
      <c r="C42" s="26">
        <f t="shared" si="2"/>
        <v>3.6900000000000002E-2</v>
      </c>
      <c r="D42" s="13">
        <f t="shared" si="10"/>
        <v>2975.2920763472753</v>
      </c>
      <c r="E42" s="13">
        <f t="shared" si="6"/>
        <v>1878.378268405374</v>
      </c>
      <c r="F42" s="13">
        <f t="shared" si="7"/>
        <v>1096.9138079419013</v>
      </c>
      <c r="G42" s="13">
        <f t="shared" si="8"/>
        <v>609757.80762470001</v>
      </c>
      <c r="I42" s="31">
        <f t="shared" si="12"/>
        <v>336.57136487916665</v>
      </c>
      <c r="J42" s="31">
        <f t="shared" si="9"/>
        <v>49</v>
      </c>
      <c r="K42" s="31">
        <f t="shared" si="11"/>
        <v>85.718969515000026</v>
      </c>
      <c r="L42" s="31">
        <f t="shared" si="5"/>
        <v>3446.5824107414419</v>
      </c>
    </row>
    <row r="43" spans="1:12" x14ac:dyDescent="0.3">
      <c r="A43" s="18">
        <f t="shared" si="0"/>
        <v>2025</v>
      </c>
      <c r="B43" s="23">
        <f t="shared" si="1"/>
        <v>45778</v>
      </c>
      <c r="C43" s="26">
        <f t="shared" si="2"/>
        <v>3.6900000000000002E-2</v>
      </c>
      <c r="D43" s="13">
        <f t="shared" si="10"/>
        <v>2975.2920763472753</v>
      </c>
      <c r="E43" s="13">
        <f t="shared" si="6"/>
        <v>1875.0052584459527</v>
      </c>
      <c r="F43" s="13">
        <f t="shared" si="7"/>
        <v>1100.2868179013226</v>
      </c>
      <c r="G43" s="13">
        <f t="shared" si="8"/>
        <v>608657.52080679871</v>
      </c>
      <c r="I43" s="31">
        <f t="shared" si="12"/>
        <v>336.57136487916665</v>
      </c>
      <c r="J43" s="31">
        <f t="shared" si="9"/>
        <v>49</v>
      </c>
      <c r="K43" s="31">
        <f t="shared" si="11"/>
        <v>85.718969515000026</v>
      </c>
      <c r="L43" s="31">
        <f t="shared" si="5"/>
        <v>3446.5824107414419</v>
      </c>
    </row>
    <row r="44" spans="1:12" x14ac:dyDescent="0.3">
      <c r="A44" s="18">
        <f t="shared" si="0"/>
        <v>2025</v>
      </c>
      <c r="B44" s="23">
        <f t="shared" si="1"/>
        <v>45809</v>
      </c>
      <c r="C44" s="26">
        <f t="shared" si="2"/>
        <v>3.6900000000000002E-2</v>
      </c>
      <c r="D44" s="13">
        <f t="shared" si="10"/>
        <v>2975.2920763472753</v>
      </c>
      <c r="E44" s="13">
        <f t="shared" si="6"/>
        <v>1871.6218764809062</v>
      </c>
      <c r="F44" s="13">
        <f t="shared" si="7"/>
        <v>1103.6701998663691</v>
      </c>
      <c r="G44" s="13">
        <f t="shared" si="8"/>
        <v>607553.8506069323</v>
      </c>
      <c r="I44" s="31">
        <f t="shared" si="12"/>
        <v>336.57136487916665</v>
      </c>
      <c r="J44" s="31">
        <f t="shared" si="9"/>
        <v>49</v>
      </c>
      <c r="K44" s="31">
        <f t="shared" si="11"/>
        <v>85.718969515000026</v>
      </c>
      <c r="L44" s="31">
        <f t="shared" si="5"/>
        <v>3446.5824107414419</v>
      </c>
    </row>
    <row r="45" spans="1:12" x14ac:dyDescent="0.3">
      <c r="A45" s="18">
        <f t="shared" si="0"/>
        <v>2025</v>
      </c>
      <c r="B45" s="23">
        <f t="shared" si="1"/>
        <v>45839</v>
      </c>
      <c r="C45" s="26">
        <f t="shared" si="2"/>
        <v>3.6900000000000002E-2</v>
      </c>
      <c r="D45" s="13">
        <f t="shared" si="10"/>
        <v>2975.2920763472753</v>
      </c>
      <c r="E45" s="13">
        <f t="shared" si="6"/>
        <v>1868.2280906163169</v>
      </c>
      <c r="F45" s="13">
        <f t="shared" si="7"/>
        <v>1107.0639857309584</v>
      </c>
      <c r="G45" s="13">
        <f t="shared" si="8"/>
        <v>606446.78662120132</v>
      </c>
      <c r="I45" s="31">
        <f t="shared" si="12"/>
        <v>336.57136487916665</v>
      </c>
      <c r="J45" s="31">
        <f t="shared" si="9"/>
        <v>49</v>
      </c>
      <c r="K45" s="31">
        <f t="shared" si="11"/>
        <v>85.718969515000026</v>
      </c>
      <c r="L45" s="31">
        <f t="shared" si="5"/>
        <v>3446.5824107414419</v>
      </c>
    </row>
    <row r="46" spans="1:12" x14ac:dyDescent="0.3">
      <c r="A46" s="18">
        <f t="shared" si="0"/>
        <v>2025</v>
      </c>
      <c r="B46" s="23">
        <f t="shared" si="1"/>
        <v>45870</v>
      </c>
      <c r="C46" s="26">
        <f t="shared" si="2"/>
        <v>3.6900000000000002E-2</v>
      </c>
      <c r="D46" s="13">
        <f t="shared" si="10"/>
        <v>2975.2920763472753</v>
      </c>
      <c r="E46" s="13">
        <f t="shared" si="6"/>
        <v>1864.8238688601941</v>
      </c>
      <c r="F46" s="13">
        <f t="shared" si="7"/>
        <v>1110.4682074870811</v>
      </c>
      <c r="G46" s="13">
        <f t="shared" si="8"/>
        <v>605336.31841371418</v>
      </c>
      <c r="I46" s="31">
        <f t="shared" si="12"/>
        <v>336.57136487916665</v>
      </c>
      <c r="J46" s="31">
        <f t="shared" si="9"/>
        <v>49</v>
      </c>
      <c r="K46" s="31">
        <f t="shared" si="11"/>
        <v>85.718969515000026</v>
      </c>
      <c r="L46" s="31">
        <f t="shared" si="5"/>
        <v>3446.5824107414419</v>
      </c>
    </row>
    <row r="47" spans="1:12" x14ac:dyDescent="0.3">
      <c r="A47" s="18">
        <f t="shared" si="0"/>
        <v>2025</v>
      </c>
      <c r="B47" s="23">
        <f t="shared" si="1"/>
        <v>45901</v>
      </c>
      <c r="C47" s="26">
        <f t="shared" si="2"/>
        <v>3.6900000000000002E-2</v>
      </c>
      <c r="D47" s="13">
        <f t="shared" si="10"/>
        <v>2975.2920763472753</v>
      </c>
      <c r="E47" s="13">
        <f t="shared" si="6"/>
        <v>1861.4091791221711</v>
      </c>
      <c r="F47" s="13">
        <f t="shared" si="7"/>
        <v>1113.8828972251042</v>
      </c>
      <c r="G47" s="13">
        <f t="shared" si="8"/>
        <v>604222.43551648909</v>
      </c>
      <c r="I47" s="31">
        <f t="shared" si="12"/>
        <v>336.57136487916665</v>
      </c>
      <c r="J47" s="31">
        <f t="shared" si="9"/>
        <v>49</v>
      </c>
      <c r="K47" s="31">
        <f t="shared" si="11"/>
        <v>85.718969515000026</v>
      </c>
      <c r="L47" s="31">
        <f t="shared" si="5"/>
        <v>3446.5824107414419</v>
      </c>
    </row>
    <row r="48" spans="1:12" x14ac:dyDescent="0.3">
      <c r="A48" s="18">
        <f t="shared" si="0"/>
        <v>2025</v>
      </c>
      <c r="B48" s="23">
        <f t="shared" si="1"/>
        <v>45931</v>
      </c>
      <c r="C48" s="26">
        <f t="shared" si="2"/>
        <v>3.6900000000000002E-2</v>
      </c>
      <c r="D48" s="13">
        <f t="shared" si="10"/>
        <v>2975.2920763472753</v>
      </c>
      <c r="E48" s="13">
        <f t="shared" si="6"/>
        <v>1857.983989213204</v>
      </c>
      <c r="F48" s="13">
        <f t="shared" si="7"/>
        <v>1117.3080871340712</v>
      </c>
      <c r="G48" s="13">
        <f t="shared" si="8"/>
        <v>603105.12742935505</v>
      </c>
      <c r="I48" s="31">
        <f t="shared" si="12"/>
        <v>336.57136487916665</v>
      </c>
      <c r="J48" s="31">
        <f t="shared" si="9"/>
        <v>49</v>
      </c>
      <c r="K48" s="31">
        <f t="shared" si="11"/>
        <v>85.718969515000026</v>
      </c>
      <c r="L48" s="31">
        <f t="shared" si="5"/>
        <v>3446.5824107414419</v>
      </c>
    </row>
    <row r="49" spans="1:12" x14ac:dyDescent="0.3">
      <c r="A49" s="18">
        <f t="shared" si="0"/>
        <v>2025</v>
      </c>
      <c r="B49" s="23">
        <f t="shared" si="1"/>
        <v>45962</v>
      </c>
      <c r="C49" s="26">
        <f t="shared" si="2"/>
        <v>3.6900000000000002E-2</v>
      </c>
      <c r="D49" s="13">
        <f t="shared" si="10"/>
        <v>2975.2920763472753</v>
      </c>
      <c r="E49" s="13">
        <f t="shared" si="6"/>
        <v>1854.5482668452669</v>
      </c>
      <c r="F49" s="13">
        <f t="shared" si="7"/>
        <v>1120.7438095020084</v>
      </c>
      <c r="G49" s="13">
        <f t="shared" si="8"/>
        <v>601984.38361985306</v>
      </c>
      <c r="I49" s="31">
        <f t="shared" si="12"/>
        <v>336.57136487916665</v>
      </c>
      <c r="J49" s="31">
        <f t="shared" si="9"/>
        <v>49</v>
      </c>
      <c r="K49" s="31">
        <f t="shared" si="11"/>
        <v>85.718969515000026</v>
      </c>
      <c r="L49" s="31">
        <f t="shared" si="5"/>
        <v>3446.5824107414419</v>
      </c>
    </row>
    <row r="50" spans="1:12" x14ac:dyDescent="0.3">
      <c r="A50" s="18">
        <f t="shared" si="0"/>
        <v>2025</v>
      </c>
      <c r="B50" s="23">
        <f t="shared" si="1"/>
        <v>45992</v>
      </c>
      <c r="C50" s="26">
        <f t="shared" si="2"/>
        <v>3.6900000000000002E-2</v>
      </c>
      <c r="D50" s="13">
        <f t="shared" si="10"/>
        <v>2975.2920763472753</v>
      </c>
      <c r="E50" s="13">
        <f t="shared" si="6"/>
        <v>1851.1019796310484</v>
      </c>
      <c r="F50" s="13">
        <f t="shared" si="7"/>
        <v>1124.1900967162269</v>
      </c>
      <c r="G50" s="13">
        <f t="shared" si="8"/>
        <v>600860.19352313678</v>
      </c>
      <c r="I50" s="31">
        <f t="shared" si="12"/>
        <v>336.57136487916665</v>
      </c>
      <c r="J50" s="31">
        <f t="shared" si="9"/>
        <v>49</v>
      </c>
      <c r="K50" s="31">
        <f t="shared" si="11"/>
        <v>85.718969515000026</v>
      </c>
      <c r="L50" s="31">
        <f t="shared" si="5"/>
        <v>3446.5824107414419</v>
      </c>
    </row>
    <row r="51" spans="1:12" x14ac:dyDescent="0.3">
      <c r="A51" s="18">
        <f t="shared" si="0"/>
        <v>2026</v>
      </c>
      <c r="B51" s="23">
        <f t="shared" si="1"/>
        <v>46023</v>
      </c>
      <c r="C51" s="26">
        <f t="shared" si="2"/>
        <v>3.6900000000000002E-2</v>
      </c>
      <c r="D51" s="13">
        <f t="shared" si="10"/>
        <v>2975.2920763472753</v>
      </c>
      <c r="E51" s="13">
        <f t="shared" si="6"/>
        <v>1847.6450950836459</v>
      </c>
      <c r="F51" s="13">
        <f t="shared" si="7"/>
        <v>1127.6469812636294</v>
      </c>
      <c r="G51" s="13">
        <f t="shared" si="8"/>
        <v>599732.54654187313</v>
      </c>
      <c r="I51" s="31">
        <f t="shared" si="12"/>
        <v>346.66850582554167</v>
      </c>
      <c r="J51" s="31">
        <f t="shared" si="9"/>
        <v>49</v>
      </c>
      <c r="K51" s="31">
        <f t="shared" si="11"/>
        <v>88.290538600450034</v>
      </c>
      <c r="L51" s="31">
        <f t="shared" si="5"/>
        <v>3459.2511207732668</v>
      </c>
    </row>
    <row r="52" spans="1:12" x14ac:dyDescent="0.3">
      <c r="A52" s="18">
        <f t="shared" si="0"/>
        <v>2026</v>
      </c>
      <c r="B52" s="23">
        <f t="shared" si="1"/>
        <v>46054</v>
      </c>
      <c r="C52" s="26">
        <f t="shared" si="2"/>
        <v>3.6900000000000002E-2</v>
      </c>
      <c r="D52" s="13">
        <f t="shared" si="10"/>
        <v>2975.2920763472753</v>
      </c>
      <c r="E52" s="13">
        <f t="shared" si="6"/>
        <v>1844.1775806162598</v>
      </c>
      <c r="F52" s="13">
        <f t="shared" si="7"/>
        <v>1131.1144957310155</v>
      </c>
      <c r="G52" s="13">
        <f t="shared" si="8"/>
        <v>598601.43204614217</v>
      </c>
      <c r="I52" s="31">
        <f t="shared" si="12"/>
        <v>346.66850582554167</v>
      </c>
      <c r="J52" s="31">
        <f t="shared" si="9"/>
        <v>49</v>
      </c>
      <c r="K52" s="31">
        <f t="shared" si="11"/>
        <v>88.290538600450034</v>
      </c>
      <c r="L52" s="31">
        <f t="shared" si="5"/>
        <v>3459.2511207732668</v>
      </c>
    </row>
    <row r="53" spans="1:12" x14ac:dyDescent="0.3">
      <c r="A53" s="18">
        <f t="shared" si="0"/>
        <v>2026</v>
      </c>
      <c r="B53" s="23">
        <f t="shared" si="1"/>
        <v>46082</v>
      </c>
      <c r="C53" s="26">
        <f t="shared" si="2"/>
        <v>3.6900000000000002E-2</v>
      </c>
      <c r="D53" s="13">
        <f t="shared" si="10"/>
        <v>2975.2920763472753</v>
      </c>
      <c r="E53" s="13">
        <f t="shared" si="6"/>
        <v>1840.6994035418872</v>
      </c>
      <c r="F53" s="13">
        <f t="shared" si="7"/>
        <v>1134.592672805388</v>
      </c>
      <c r="G53" s="13">
        <f t="shared" si="8"/>
        <v>597466.83937333676</v>
      </c>
      <c r="I53" s="31">
        <f t="shared" si="12"/>
        <v>346.66850582554167</v>
      </c>
      <c r="J53" s="31">
        <f t="shared" si="9"/>
        <v>49</v>
      </c>
      <c r="K53" s="31">
        <f t="shared" si="11"/>
        <v>88.290538600450034</v>
      </c>
      <c r="L53" s="31">
        <f t="shared" si="5"/>
        <v>3459.2511207732668</v>
      </c>
    </row>
    <row r="54" spans="1:12" x14ac:dyDescent="0.3">
      <c r="A54" s="18">
        <f t="shared" si="0"/>
        <v>2026</v>
      </c>
      <c r="B54" s="23">
        <f t="shared" si="1"/>
        <v>46113</v>
      </c>
      <c r="C54" s="26">
        <f t="shared" si="2"/>
        <v>3.6900000000000002E-2</v>
      </c>
      <c r="D54" s="13">
        <f t="shared" si="10"/>
        <v>2975.2920763472753</v>
      </c>
      <c r="E54" s="13">
        <f t="shared" si="6"/>
        <v>1837.2105310730105</v>
      </c>
      <c r="F54" s="13">
        <f t="shared" si="7"/>
        <v>1138.0815452742647</v>
      </c>
      <c r="G54" s="13">
        <f t="shared" si="8"/>
        <v>596328.75782806252</v>
      </c>
      <c r="I54" s="31">
        <f t="shared" si="12"/>
        <v>346.66850582554167</v>
      </c>
      <c r="J54" s="31">
        <f t="shared" si="9"/>
        <v>49</v>
      </c>
      <c r="K54" s="31">
        <f t="shared" si="11"/>
        <v>88.290538600450034</v>
      </c>
      <c r="L54" s="31">
        <f t="shared" si="5"/>
        <v>3459.2511207732668</v>
      </c>
    </row>
    <row r="55" spans="1:12" x14ac:dyDescent="0.3">
      <c r="A55" s="18">
        <f t="shared" si="0"/>
        <v>2026</v>
      </c>
      <c r="B55" s="23">
        <f t="shared" si="1"/>
        <v>46143</v>
      </c>
      <c r="C55" s="26">
        <f t="shared" si="2"/>
        <v>3.6900000000000002E-2</v>
      </c>
      <c r="D55" s="13">
        <f t="shared" si="10"/>
        <v>2975.2920763472753</v>
      </c>
      <c r="E55" s="13">
        <f t="shared" si="6"/>
        <v>1833.7109303212922</v>
      </c>
      <c r="F55" s="13">
        <f t="shared" si="7"/>
        <v>1141.5811460259831</v>
      </c>
      <c r="G55" s="13">
        <f t="shared" si="8"/>
        <v>595187.17668203649</v>
      </c>
      <c r="I55" s="31">
        <f t="shared" si="12"/>
        <v>346.66850582554167</v>
      </c>
      <c r="J55" s="31">
        <f t="shared" si="9"/>
        <v>49</v>
      </c>
      <c r="K55" s="31">
        <f t="shared" si="11"/>
        <v>88.290538600450034</v>
      </c>
      <c r="L55" s="31">
        <f t="shared" si="5"/>
        <v>3459.2511207732668</v>
      </c>
    </row>
    <row r="56" spans="1:12" x14ac:dyDescent="0.3">
      <c r="A56" s="18">
        <f t="shared" si="0"/>
        <v>2026</v>
      </c>
      <c r="B56" s="23">
        <f t="shared" si="1"/>
        <v>46174</v>
      </c>
      <c r="C56" s="26">
        <f t="shared" si="2"/>
        <v>3.6900000000000002E-2</v>
      </c>
      <c r="D56" s="13">
        <f t="shared" si="10"/>
        <v>2975.2920763472753</v>
      </c>
      <c r="E56" s="13">
        <f t="shared" si="6"/>
        <v>1830.2005682972622</v>
      </c>
      <c r="F56" s="13">
        <f t="shared" si="7"/>
        <v>1145.0915080500131</v>
      </c>
      <c r="G56" s="13">
        <f t="shared" si="8"/>
        <v>594042.0851739865</v>
      </c>
      <c r="I56" s="31">
        <f t="shared" si="12"/>
        <v>346.66850582554167</v>
      </c>
      <c r="J56" s="31">
        <f t="shared" si="9"/>
        <v>49</v>
      </c>
      <c r="K56" s="31">
        <f t="shared" si="11"/>
        <v>88.290538600450034</v>
      </c>
      <c r="L56" s="31">
        <f t="shared" si="5"/>
        <v>3459.2511207732668</v>
      </c>
    </row>
    <row r="57" spans="1:12" x14ac:dyDescent="0.3">
      <c r="A57" s="18">
        <f t="shared" si="0"/>
        <v>2026</v>
      </c>
      <c r="B57" s="23">
        <f t="shared" si="1"/>
        <v>46204</v>
      </c>
      <c r="C57" s="26">
        <f t="shared" si="2"/>
        <v>3.6900000000000002E-2</v>
      </c>
      <c r="D57" s="13">
        <f t="shared" si="10"/>
        <v>2975.2920763472753</v>
      </c>
      <c r="E57" s="13">
        <f t="shared" si="6"/>
        <v>1826.6794119100086</v>
      </c>
      <c r="F57" s="13">
        <f t="shared" si="7"/>
        <v>1148.6126644372666</v>
      </c>
      <c r="G57" s="13">
        <f t="shared" si="8"/>
        <v>592893.47250954923</v>
      </c>
      <c r="I57" s="31">
        <f t="shared" si="12"/>
        <v>346.66850582554167</v>
      </c>
      <c r="J57" s="31">
        <f t="shared" si="9"/>
        <v>49</v>
      </c>
      <c r="K57" s="31">
        <f t="shared" si="11"/>
        <v>88.290538600450034</v>
      </c>
      <c r="L57" s="31">
        <f t="shared" si="5"/>
        <v>3459.2511207732668</v>
      </c>
    </row>
    <row r="58" spans="1:12" x14ac:dyDescent="0.3">
      <c r="A58" s="18">
        <f t="shared" si="0"/>
        <v>2026</v>
      </c>
      <c r="B58" s="23">
        <f t="shared" si="1"/>
        <v>46235</v>
      </c>
      <c r="C58" s="26">
        <f t="shared" si="2"/>
        <v>3.6900000000000002E-2</v>
      </c>
      <c r="D58" s="13">
        <f t="shared" si="10"/>
        <v>2975.2920763472753</v>
      </c>
      <c r="E58" s="13">
        <f t="shared" si="6"/>
        <v>1823.1474279668639</v>
      </c>
      <c r="F58" s="13">
        <f t="shared" si="7"/>
        <v>1152.1446483804114</v>
      </c>
      <c r="G58" s="13">
        <f t="shared" si="8"/>
        <v>591741.32786116877</v>
      </c>
      <c r="I58" s="31">
        <f t="shared" si="12"/>
        <v>346.66850582554167</v>
      </c>
      <c r="J58" s="31">
        <f t="shared" si="9"/>
        <v>49</v>
      </c>
      <c r="K58" s="31">
        <f t="shared" si="11"/>
        <v>88.290538600450034</v>
      </c>
      <c r="L58" s="31">
        <f t="shared" si="5"/>
        <v>3459.2511207732668</v>
      </c>
    </row>
    <row r="59" spans="1:12" x14ac:dyDescent="0.3">
      <c r="A59" s="18">
        <f t="shared" si="0"/>
        <v>2026</v>
      </c>
      <c r="B59" s="23">
        <f t="shared" si="1"/>
        <v>46266</v>
      </c>
      <c r="C59" s="26">
        <f t="shared" si="2"/>
        <v>3.6900000000000002E-2</v>
      </c>
      <c r="D59" s="13">
        <f t="shared" si="10"/>
        <v>2975.2920763472753</v>
      </c>
      <c r="E59" s="13">
        <f t="shared" si="6"/>
        <v>1819.6045831730942</v>
      </c>
      <c r="F59" s="13">
        <f t="shared" si="7"/>
        <v>1155.6874931741811</v>
      </c>
      <c r="G59" s="13">
        <f t="shared" si="8"/>
        <v>590585.64036799455</v>
      </c>
      <c r="I59" s="31">
        <f t="shared" si="12"/>
        <v>346.66850582554167</v>
      </c>
      <c r="J59" s="31">
        <f t="shared" si="9"/>
        <v>49</v>
      </c>
      <c r="K59" s="31">
        <f t="shared" si="11"/>
        <v>88.290538600450034</v>
      </c>
      <c r="L59" s="31">
        <f t="shared" si="5"/>
        <v>3459.2511207732668</v>
      </c>
    </row>
    <row r="60" spans="1:12" x14ac:dyDescent="0.3">
      <c r="A60" s="18">
        <f t="shared" si="0"/>
        <v>2026</v>
      </c>
      <c r="B60" s="23">
        <f t="shared" si="1"/>
        <v>46296</v>
      </c>
      <c r="C60" s="26">
        <f t="shared" si="2"/>
        <v>3.6900000000000002E-2</v>
      </c>
      <c r="D60" s="13">
        <f t="shared" si="10"/>
        <v>2975.2920763472753</v>
      </c>
      <c r="E60" s="13">
        <f t="shared" si="6"/>
        <v>1816.0508441315833</v>
      </c>
      <c r="F60" s="13">
        <f t="shared" si="7"/>
        <v>1159.241232215692</v>
      </c>
      <c r="G60" s="13">
        <f t="shared" si="8"/>
        <v>589426.39913577889</v>
      </c>
      <c r="I60" s="31">
        <f t="shared" si="12"/>
        <v>346.66850582554167</v>
      </c>
      <c r="J60" s="31">
        <f t="shared" si="9"/>
        <v>49</v>
      </c>
      <c r="K60" s="31">
        <f t="shared" si="11"/>
        <v>88.290538600450034</v>
      </c>
      <c r="L60" s="31">
        <f t="shared" si="5"/>
        <v>3459.2511207732668</v>
      </c>
    </row>
    <row r="61" spans="1:12" x14ac:dyDescent="0.3">
      <c r="A61" s="18">
        <f t="shared" si="0"/>
        <v>2026</v>
      </c>
      <c r="B61" s="23">
        <f t="shared" si="1"/>
        <v>46327</v>
      </c>
      <c r="C61" s="26">
        <f t="shared" si="2"/>
        <v>3.6900000000000002E-2</v>
      </c>
      <c r="D61" s="13">
        <f t="shared" si="10"/>
        <v>2975.2920763472753</v>
      </c>
      <c r="E61" s="13">
        <f t="shared" si="6"/>
        <v>1812.4861773425203</v>
      </c>
      <c r="F61" s="13">
        <f t="shared" si="7"/>
        <v>1162.805899004755</v>
      </c>
      <c r="G61" s="13">
        <f t="shared" si="8"/>
        <v>588263.59323677409</v>
      </c>
      <c r="I61" s="31">
        <f t="shared" si="12"/>
        <v>346.66850582554167</v>
      </c>
      <c r="J61" s="31">
        <f t="shared" si="9"/>
        <v>49</v>
      </c>
      <c r="K61" s="31">
        <f t="shared" si="11"/>
        <v>88.290538600450034</v>
      </c>
      <c r="L61" s="31">
        <f t="shared" si="5"/>
        <v>3459.2511207732668</v>
      </c>
    </row>
    <row r="62" spans="1:12" x14ac:dyDescent="0.3">
      <c r="A62" s="18">
        <f t="shared" si="0"/>
        <v>2026</v>
      </c>
      <c r="B62" s="23">
        <f t="shared" si="1"/>
        <v>46357</v>
      </c>
      <c r="C62" s="26">
        <f t="shared" si="2"/>
        <v>3.6900000000000002E-2</v>
      </c>
      <c r="D62" s="13">
        <f t="shared" si="10"/>
        <v>2975.2920763472753</v>
      </c>
      <c r="E62" s="13">
        <f t="shared" si="6"/>
        <v>1808.9105492030803</v>
      </c>
      <c r="F62" s="13">
        <f t="shared" si="7"/>
        <v>1166.3815271441949</v>
      </c>
      <c r="G62" s="13">
        <f t="shared" si="8"/>
        <v>587097.21170962986</v>
      </c>
      <c r="I62" s="31">
        <f t="shared" si="12"/>
        <v>346.66850582554167</v>
      </c>
      <c r="J62" s="31">
        <f t="shared" si="9"/>
        <v>49</v>
      </c>
      <c r="K62" s="31">
        <f t="shared" si="11"/>
        <v>88.290538600450034</v>
      </c>
      <c r="L62" s="31">
        <f t="shared" si="5"/>
        <v>3459.2511207732668</v>
      </c>
    </row>
    <row r="63" spans="1:12" x14ac:dyDescent="0.3">
      <c r="A63" s="18">
        <f t="shared" si="0"/>
        <v>2027</v>
      </c>
      <c r="B63" s="23">
        <f t="shared" si="1"/>
        <v>46388</v>
      </c>
      <c r="C63" s="26">
        <f t="shared" si="2"/>
        <v>3.6900000000000002E-2</v>
      </c>
      <c r="D63" s="13">
        <f t="shared" si="10"/>
        <v>2975.2920763472753</v>
      </c>
      <c r="E63" s="13">
        <f t="shared" si="6"/>
        <v>1805.323926007112</v>
      </c>
      <c r="F63" s="13">
        <f t="shared" si="7"/>
        <v>1169.9681503401632</v>
      </c>
      <c r="G63" s="13">
        <f t="shared" si="8"/>
        <v>585927.24355928972</v>
      </c>
      <c r="I63" s="31">
        <f t="shared" si="12"/>
        <v>357.06856100030791</v>
      </c>
      <c r="J63" s="31">
        <f t="shared" si="9"/>
        <v>49</v>
      </c>
      <c r="K63" s="31">
        <f t="shared" si="11"/>
        <v>90.939254758463534</v>
      </c>
      <c r="L63" s="31">
        <f t="shared" si="5"/>
        <v>3472.2998921060466</v>
      </c>
    </row>
    <row r="64" spans="1:12" x14ac:dyDescent="0.3">
      <c r="A64" s="18">
        <f t="shared" si="0"/>
        <v>2027</v>
      </c>
      <c r="B64" s="23">
        <f t="shared" si="1"/>
        <v>46419</v>
      </c>
      <c r="C64" s="26">
        <f t="shared" si="2"/>
        <v>3.6900000000000002E-2</v>
      </c>
      <c r="D64" s="13">
        <f t="shared" si="10"/>
        <v>2975.2920763472753</v>
      </c>
      <c r="E64" s="13">
        <f t="shared" si="6"/>
        <v>1801.7262739448161</v>
      </c>
      <c r="F64" s="13">
        <f t="shared" si="7"/>
        <v>1173.5658024024592</v>
      </c>
      <c r="G64" s="13">
        <f t="shared" si="8"/>
        <v>584753.67775688728</v>
      </c>
      <c r="I64" s="31">
        <f t="shared" si="12"/>
        <v>357.06856100030791</v>
      </c>
      <c r="J64" s="31">
        <f t="shared" si="9"/>
        <v>49</v>
      </c>
      <c r="K64" s="31">
        <f t="shared" si="11"/>
        <v>90.939254758463534</v>
      </c>
      <c r="L64" s="31">
        <f t="shared" si="5"/>
        <v>3472.2998921060466</v>
      </c>
    </row>
    <row r="65" spans="1:12" x14ac:dyDescent="0.3">
      <c r="A65" s="18">
        <f t="shared" si="0"/>
        <v>2027</v>
      </c>
      <c r="B65" s="23">
        <f t="shared" si="1"/>
        <v>46447</v>
      </c>
      <c r="C65" s="26">
        <f t="shared" si="2"/>
        <v>3.6900000000000002E-2</v>
      </c>
      <c r="D65" s="13">
        <f t="shared" si="10"/>
        <v>2975.2920763472753</v>
      </c>
      <c r="E65" s="13">
        <f t="shared" si="6"/>
        <v>1798.1175591024285</v>
      </c>
      <c r="F65" s="13">
        <f t="shared" si="7"/>
        <v>1177.1745172448468</v>
      </c>
      <c r="G65" s="13">
        <f t="shared" si="8"/>
        <v>583576.50323964248</v>
      </c>
      <c r="I65" s="31">
        <f t="shared" si="12"/>
        <v>357.06856100030791</v>
      </c>
      <c r="J65" s="31">
        <f t="shared" si="9"/>
        <v>49</v>
      </c>
      <c r="K65" s="31">
        <f t="shared" si="11"/>
        <v>90.939254758463534</v>
      </c>
      <c r="L65" s="31">
        <f t="shared" si="5"/>
        <v>3472.2998921060466</v>
      </c>
    </row>
    <row r="66" spans="1:12" x14ac:dyDescent="0.3">
      <c r="A66" s="18">
        <f t="shared" si="0"/>
        <v>2027</v>
      </c>
      <c r="B66" s="23">
        <f t="shared" si="1"/>
        <v>46478</v>
      </c>
      <c r="C66" s="26">
        <f t="shared" si="2"/>
        <v>3.6900000000000002E-2</v>
      </c>
      <c r="D66" s="13">
        <f t="shared" si="10"/>
        <v>2975.2920763472753</v>
      </c>
      <c r="E66" s="13">
        <f t="shared" si="6"/>
        <v>1794.4977474619009</v>
      </c>
      <c r="F66" s="13">
        <f t="shared" si="7"/>
        <v>1180.7943288853744</v>
      </c>
      <c r="G66" s="13">
        <f t="shared" si="8"/>
        <v>582395.70891075709</v>
      </c>
      <c r="I66" s="31">
        <f t="shared" si="12"/>
        <v>357.06856100030791</v>
      </c>
      <c r="J66" s="31">
        <f t="shared" si="9"/>
        <v>49</v>
      </c>
      <c r="K66" s="31">
        <f t="shared" si="11"/>
        <v>90.939254758463534</v>
      </c>
      <c r="L66" s="31">
        <f t="shared" si="5"/>
        <v>3472.2998921060466</v>
      </c>
    </row>
    <row r="67" spans="1:12" x14ac:dyDescent="0.3">
      <c r="A67" s="18">
        <f t="shared" ref="A67:A130" si="13">YEAR(B67)</f>
        <v>2027</v>
      </c>
      <c r="B67" s="23">
        <f t="shared" si="1"/>
        <v>46508</v>
      </c>
      <c r="C67" s="26">
        <f t="shared" si="2"/>
        <v>3.6900000000000002E-2</v>
      </c>
      <c r="D67" s="13">
        <f t="shared" si="10"/>
        <v>2975.2920763472753</v>
      </c>
      <c r="E67" s="13">
        <f t="shared" si="6"/>
        <v>1790.8668049005782</v>
      </c>
      <c r="F67" s="13">
        <f t="shared" si="7"/>
        <v>1184.425271446697</v>
      </c>
      <c r="G67" s="13">
        <f t="shared" si="8"/>
        <v>581211.28363931039</v>
      </c>
      <c r="I67" s="31">
        <f t="shared" si="12"/>
        <v>357.06856100030791</v>
      </c>
      <c r="J67" s="31">
        <f t="shared" si="9"/>
        <v>49</v>
      </c>
      <c r="K67" s="31">
        <f t="shared" si="11"/>
        <v>90.939254758463534</v>
      </c>
      <c r="L67" s="31">
        <f t="shared" si="5"/>
        <v>3472.2998921060466</v>
      </c>
    </row>
    <row r="68" spans="1:12" x14ac:dyDescent="0.3">
      <c r="A68" s="18">
        <f t="shared" si="13"/>
        <v>2027</v>
      </c>
      <c r="B68" s="23">
        <f t="shared" ref="B68:B131" si="14">EDATE(B67,1)</f>
        <v>46539</v>
      </c>
      <c r="C68" s="26">
        <f t="shared" si="2"/>
        <v>3.6900000000000002E-2</v>
      </c>
      <c r="D68" s="13">
        <f t="shared" si="10"/>
        <v>2975.2920763472753</v>
      </c>
      <c r="E68" s="13">
        <f t="shared" si="6"/>
        <v>1787.2246971908796</v>
      </c>
      <c r="F68" s="13">
        <f t="shared" si="7"/>
        <v>1188.0673791563956</v>
      </c>
      <c r="G68" s="13">
        <f t="shared" si="8"/>
        <v>580023.21626015403</v>
      </c>
      <c r="I68" s="31">
        <f t="shared" si="12"/>
        <v>357.06856100030791</v>
      </c>
      <c r="J68" s="31">
        <f t="shared" si="9"/>
        <v>49</v>
      </c>
      <c r="K68" s="31">
        <f t="shared" si="11"/>
        <v>90.939254758463534</v>
      </c>
      <c r="L68" s="31">
        <f t="shared" si="5"/>
        <v>3472.2998921060466</v>
      </c>
    </row>
    <row r="69" spans="1:12" x14ac:dyDescent="0.3">
      <c r="A69" s="18">
        <f t="shared" si="13"/>
        <v>2027</v>
      </c>
      <c r="B69" s="23">
        <f t="shared" si="14"/>
        <v>46569</v>
      </c>
      <c r="C69" s="26">
        <f t="shared" ref="C69:C132" si="15">C68</f>
        <v>3.6900000000000002E-2</v>
      </c>
      <c r="D69" s="13">
        <f t="shared" si="10"/>
        <v>2975.2920763472753</v>
      </c>
      <c r="E69" s="13">
        <f t="shared" si="6"/>
        <v>1783.5713899999737</v>
      </c>
      <c r="F69" s="13">
        <f t="shared" si="7"/>
        <v>1191.7206863473016</v>
      </c>
      <c r="G69" s="13">
        <f t="shared" si="8"/>
        <v>578831.49557380669</v>
      </c>
      <c r="I69" s="31">
        <f t="shared" si="12"/>
        <v>357.06856100030791</v>
      </c>
      <c r="J69" s="31">
        <f t="shared" si="9"/>
        <v>49</v>
      </c>
      <c r="K69" s="31">
        <f t="shared" si="11"/>
        <v>90.939254758463534</v>
      </c>
      <c r="L69" s="31">
        <f t="shared" si="5"/>
        <v>3472.2998921060466</v>
      </c>
    </row>
    <row r="70" spans="1:12" x14ac:dyDescent="0.3">
      <c r="A70" s="18">
        <f t="shared" si="13"/>
        <v>2027</v>
      </c>
      <c r="B70" s="23">
        <f t="shared" si="14"/>
        <v>46600</v>
      </c>
      <c r="C70" s="26">
        <f t="shared" si="15"/>
        <v>3.6900000000000002E-2</v>
      </c>
      <c r="D70" s="13">
        <f t="shared" si="10"/>
        <v>2975.2920763472753</v>
      </c>
      <c r="E70" s="13">
        <f t="shared" si="6"/>
        <v>1779.9068488894557</v>
      </c>
      <c r="F70" s="13">
        <f t="shared" si="7"/>
        <v>1195.3852274578196</v>
      </c>
      <c r="G70" s="13">
        <f t="shared" si="8"/>
        <v>577636.11034634884</v>
      </c>
      <c r="I70" s="31">
        <f t="shared" si="12"/>
        <v>357.06856100030791</v>
      </c>
      <c r="J70" s="31">
        <f t="shared" si="9"/>
        <v>49</v>
      </c>
      <c r="K70" s="31">
        <f t="shared" si="11"/>
        <v>90.939254758463534</v>
      </c>
      <c r="L70" s="31">
        <f t="shared" ref="L70:L133" si="16">SUM(I70:K70,D70)</f>
        <v>3472.2998921060466</v>
      </c>
    </row>
    <row r="71" spans="1:12" x14ac:dyDescent="0.3">
      <c r="A71" s="18">
        <f t="shared" si="13"/>
        <v>2027</v>
      </c>
      <c r="B71" s="23">
        <f t="shared" si="14"/>
        <v>46631</v>
      </c>
      <c r="C71" s="26">
        <f t="shared" si="15"/>
        <v>3.6900000000000002E-2</v>
      </c>
      <c r="D71" s="13">
        <f t="shared" si="10"/>
        <v>2975.2920763472753</v>
      </c>
      <c r="E71" s="13">
        <f t="shared" ref="E71:E134" si="17">G70*C70/12</f>
        <v>1776.2310393150228</v>
      </c>
      <c r="F71" s="13">
        <f t="shared" ref="F71:F134" si="18">D71-E71</f>
        <v>1199.0610370322524</v>
      </c>
      <c r="G71" s="13">
        <f t="shared" ref="G71:G134" si="19">IF(G70-F71&lt;0,,G70-F71)</f>
        <v>576437.04930931656</v>
      </c>
      <c r="I71" s="31">
        <f t="shared" si="12"/>
        <v>357.06856100030791</v>
      </c>
      <c r="J71" s="31">
        <f t="shared" ref="J71:J134" si="20">$P$6/12</f>
        <v>49</v>
      </c>
      <c r="K71" s="31">
        <f t="shared" si="11"/>
        <v>90.939254758463534</v>
      </c>
      <c r="L71" s="31">
        <f t="shared" si="16"/>
        <v>3472.2998921060466</v>
      </c>
    </row>
    <row r="72" spans="1:12" x14ac:dyDescent="0.3">
      <c r="A72" s="18">
        <f t="shared" si="13"/>
        <v>2027</v>
      </c>
      <c r="B72" s="23">
        <f t="shared" si="14"/>
        <v>46661</v>
      </c>
      <c r="C72" s="26">
        <f t="shared" si="15"/>
        <v>3.6900000000000002E-2</v>
      </c>
      <c r="D72" s="13">
        <f t="shared" ref="D72:D135" si="21">IF(G71&lt;=0,0,D71)</f>
        <v>2975.2920763472753</v>
      </c>
      <c r="E72" s="13">
        <f t="shared" si="17"/>
        <v>1772.5439266261485</v>
      </c>
      <c r="F72" s="13">
        <f t="shared" si="18"/>
        <v>1202.7481497211268</v>
      </c>
      <c r="G72" s="13">
        <f t="shared" si="19"/>
        <v>575234.30115959537</v>
      </c>
      <c r="I72" s="31">
        <f t="shared" si="12"/>
        <v>357.06856100030791</v>
      </c>
      <c r="J72" s="31">
        <f t="shared" si="20"/>
        <v>49</v>
      </c>
      <c r="K72" s="31">
        <f t="shared" si="11"/>
        <v>90.939254758463534</v>
      </c>
      <c r="L72" s="31">
        <f t="shared" si="16"/>
        <v>3472.2998921060466</v>
      </c>
    </row>
    <row r="73" spans="1:12" x14ac:dyDescent="0.3">
      <c r="A73" s="18">
        <f t="shared" si="13"/>
        <v>2027</v>
      </c>
      <c r="B73" s="23">
        <f t="shared" si="14"/>
        <v>46692</v>
      </c>
      <c r="C73" s="26">
        <f t="shared" si="15"/>
        <v>3.6900000000000002E-2</v>
      </c>
      <c r="D73" s="13">
        <f t="shared" si="21"/>
        <v>2975.2920763472753</v>
      </c>
      <c r="E73" s="13">
        <f t="shared" si="17"/>
        <v>1768.845476065756</v>
      </c>
      <c r="F73" s="13">
        <f t="shared" si="18"/>
        <v>1206.4466002815193</v>
      </c>
      <c r="G73" s="13">
        <f t="shared" si="19"/>
        <v>574027.85455931386</v>
      </c>
      <c r="I73" s="31">
        <f t="shared" si="12"/>
        <v>357.06856100030791</v>
      </c>
      <c r="J73" s="31">
        <f t="shared" si="20"/>
        <v>49</v>
      </c>
      <c r="K73" s="31">
        <f t="shared" si="11"/>
        <v>90.939254758463534</v>
      </c>
      <c r="L73" s="31">
        <f t="shared" si="16"/>
        <v>3472.2998921060466</v>
      </c>
    </row>
    <row r="74" spans="1:12" x14ac:dyDescent="0.3">
      <c r="A74" s="18">
        <f t="shared" si="13"/>
        <v>2027</v>
      </c>
      <c r="B74" s="23">
        <f t="shared" si="14"/>
        <v>46722</v>
      </c>
      <c r="C74" s="26">
        <f t="shared" si="15"/>
        <v>3.6900000000000002E-2</v>
      </c>
      <c r="D74" s="13">
        <f t="shared" si="21"/>
        <v>2975.2920763472753</v>
      </c>
      <c r="E74" s="13">
        <f t="shared" si="17"/>
        <v>1765.1356527698902</v>
      </c>
      <c r="F74" s="13">
        <f t="shared" si="18"/>
        <v>1210.1564235773851</v>
      </c>
      <c r="G74" s="13">
        <f t="shared" si="19"/>
        <v>572817.69813573651</v>
      </c>
      <c r="I74" s="31">
        <f t="shared" si="12"/>
        <v>357.06856100030791</v>
      </c>
      <c r="J74" s="31">
        <f t="shared" si="20"/>
        <v>49</v>
      </c>
      <c r="K74" s="31">
        <f t="shared" si="11"/>
        <v>90.939254758463534</v>
      </c>
      <c r="L74" s="31">
        <f t="shared" si="16"/>
        <v>3472.2998921060466</v>
      </c>
    </row>
    <row r="75" spans="1:12" x14ac:dyDescent="0.3">
      <c r="A75" s="18">
        <f t="shared" si="13"/>
        <v>2028</v>
      </c>
      <c r="B75" s="23">
        <f t="shared" si="14"/>
        <v>46753</v>
      </c>
      <c r="C75" s="26">
        <f t="shared" si="15"/>
        <v>3.6900000000000002E-2</v>
      </c>
      <c r="D75" s="13">
        <f t="shared" si="21"/>
        <v>2975.2920763472753</v>
      </c>
      <c r="E75" s="13">
        <f t="shared" si="17"/>
        <v>1761.41442176739</v>
      </c>
      <c r="F75" s="13">
        <f t="shared" si="18"/>
        <v>1213.8776545798853</v>
      </c>
      <c r="G75" s="13">
        <f t="shared" si="19"/>
        <v>571603.82048115658</v>
      </c>
      <c r="I75" s="31">
        <f t="shared" si="12"/>
        <v>367.78061783031717</v>
      </c>
      <c r="J75" s="31">
        <f t="shared" si="20"/>
        <v>49</v>
      </c>
      <c r="K75" s="31">
        <f t="shared" si="11"/>
        <v>93.66743240121744</v>
      </c>
      <c r="L75" s="31">
        <f t="shared" si="16"/>
        <v>3485.7401265788098</v>
      </c>
    </row>
    <row r="76" spans="1:12" x14ac:dyDescent="0.3">
      <c r="A76" s="18">
        <f t="shared" si="13"/>
        <v>2028</v>
      </c>
      <c r="B76" s="23">
        <f t="shared" si="14"/>
        <v>46784</v>
      </c>
      <c r="C76" s="26">
        <f t="shared" si="15"/>
        <v>3.6900000000000002E-2</v>
      </c>
      <c r="D76" s="13">
        <f t="shared" si="21"/>
        <v>2975.2920763472753</v>
      </c>
      <c r="E76" s="13">
        <f t="shared" si="17"/>
        <v>1757.6817479795566</v>
      </c>
      <c r="F76" s="13">
        <f t="shared" si="18"/>
        <v>1217.6103283677187</v>
      </c>
      <c r="G76" s="13">
        <f t="shared" si="19"/>
        <v>570386.2101527889</v>
      </c>
      <c r="I76" s="31">
        <f t="shared" si="12"/>
        <v>367.78061783031717</v>
      </c>
      <c r="J76" s="31">
        <f t="shared" si="20"/>
        <v>49</v>
      </c>
      <c r="K76" s="31">
        <f t="shared" si="11"/>
        <v>93.66743240121744</v>
      </c>
      <c r="L76" s="31">
        <f t="shared" si="16"/>
        <v>3485.7401265788098</v>
      </c>
    </row>
    <row r="77" spans="1:12" x14ac:dyDescent="0.3">
      <c r="A77" s="18">
        <f t="shared" si="13"/>
        <v>2028</v>
      </c>
      <c r="B77" s="23">
        <f t="shared" si="14"/>
        <v>46813</v>
      </c>
      <c r="C77" s="26">
        <f t="shared" si="15"/>
        <v>3.6900000000000002E-2</v>
      </c>
      <c r="D77" s="13">
        <f t="shared" si="21"/>
        <v>2975.2920763472753</v>
      </c>
      <c r="E77" s="13">
        <f t="shared" si="17"/>
        <v>1753.9375962198258</v>
      </c>
      <c r="F77" s="13">
        <f t="shared" si="18"/>
        <v>1221.3544801274495</v>
      </c>
      <c r="G77" s="13">
        <f t="shared" si="19"/>
        <v>569164.85567266145</v>
      </c>
      <c r="I77" s="31">
        <f t="shared" si="12"/>
        <v>367.78061783031717</v>
      </c>
      <c r="J77" s="31">
        <f t="shared" si="20"/>
        <v>49</v>
      </c>
      <c r="K77" s="31">
        <f t="shared" si="11"/>
        <v>93.66743240121744</v>
      </c>
      <c r="L77" s="31">
        <f t="shared" si="16"/>
        <v>3485.7401265788098</v>
      </c>
    </row>
    <row r="78" spans="1:12" x14ac:dyDescent="0.3">
      <c r="A78" s="18">
        <f t="shared" si="13"/>
        <v>2028</v>
      </c>
      <c r="B78" s="23">
        <f t="shared" si="14"/>
        <v>46844</v>
      </c>
      <c r="C78" s="26">
        <f t="shared" si="15"/>
        <v>3.6900000000000002E-2</v>
      </c>
      <c r="D78" s="13">
        <f t="shared" si="21"/>
        <v>2975.2920763472753</v>
      </c>
      <c r="E78" s="13">
        <f t="shared" si="17"/>
        <v>1750.1819311934341</v>
      </c>
      <c r="F78" s="13">
        <f t="shared" si="18"/>
        <v>1225.1101451538411</v>
      </c>
      <c r="G78" s="13">
        <f t="shared" si="19"/>
        <v>567939.74552750762</v>
      </c>
      <c r="I78" s="31">
        <f t="shared" si="12"/>
        <v>367.78061783031717</v>
      </c>
      <c r="J78" s="31">
        <f t="shared" si="20"/>
        <v>49</v>
      </c>
      <c r="K78" s="31">
        <f t="shared" si="11"/>
        <v>93.66743240121744</v>
      </c>
      <c r="L78" s="31">
        <f t="shared" si="16"/>
        <v>3485.7401265788098</v>
      </c>
    </row>
    <row r="79" spans="1:12" x14ac:dyDescent="0.3">
      <c r="A79" s="18">
        <f t="shared" si="13"/>
        <v>2028</v>
      </c>
      <c r="B79" s="23">
        <f t="shared" si="14"/>
        <v>46874</v>
      </c>
      <c r="C79" s="26">
        <f t="shared" si="15"/>
        <v>3.6900000000000002E-2</v>
      </c>
      <c r="D79" s="13">
        <f t="shared" si="21"/>
        <v>2975.2920763472753</v>
      </c>
      <c r="E79" s="13">
        <f t="shared" si="17"/>
        <v>1746.414717497086</v>
      </c>
      <c r="F79" s="13">
        <f t="shared" si="18"/>
        <v>1228.8773588501892</v>
      </c>
      <c r="G79" s="13">
        <f t="shared" si="19"/>
        <v>566710.86816865741</v>
      </c>
      <c r="I79" s="31">
        <f t="shared" si="12"/>
        <v>367.78061783031717</v>
      </c>
      <c r="J79" s="31">
        <f t="shared" si="20"/>
        <v>49</v>
      </c>
      <c r="K79" s="31">
        <f t="shared" ref="K79:K142" si="22">K78*(1+$R$7)^(YEAR(B79)-YEAR(B78))</f>
        <v>93.66743240121744</v>
      </c>
      <c r="L79" s="31">
        <f t="shared" si="16"/>
        <v>3485.7401265788098</v>
      </c>
    </row>
    <row r="80" spans="1:12" x14ac:dyDescent="0.3">
      <c r="A80" s="18">
        <f t="shared" si="13"/>
        <v>2028</v>
      </c>
      <c r="B80" s="23">
        <f t="shared" si="14"/>
        <v>46905</v>
      </c>
      <c r="C80" s="26">
        <f t="shared" si="15"/>
        <v>3.6900000000000002E-2</v>
      </c>
      <c r="D80" s="13">
        <f t="shared" si="21"/>
        <v>2975.2920763472753</v>
      </c>
      <c r="E80" s="13">
        <f t="shared" si="17"/>
        <v>1742.6359196186215</v>
      </c>
      <c r="F80" s="13">
        <f t="shared" si="18"/>
        <v>1232.6561567286537</v>
      </c>
      <c r="G80" s="13">
        <f t="shared" si="19"/>
        <v>565478.21201192879</v>
      </c>
      <c r="I80" s="31">
        <f t="shared" ref="I80:I143" si="23">I79*(1+$R$5)^(YEAR(B80)-YEAR(B79))</f>
        <v>367.78061783031717</v>
      </c>
      <c r="J80" s="31">
        <f t="shared" si="20"/>
        <v>49</v>
      </c>
      <c r="K80" s="31">
        <f t="shared" si="22"/>
        <v>93.66743240121744</v>
      </c>
      <c r="L80" s="31">
        <f t="shared" si="16"/>
        <v>3485.7401265788098</v>
      </c>
    </row>
    <row r="81" spans="1:12" x14ac:dyDescent="0.3">
      <c r="A81" s="18">
        <f t="shared" si="13"/>
        <v>2028</v>
      </c>
      <c r="B81" s="23">
        <f t="shared" si="14"/>
        <v>46935</v>
      </c>
      <c r="C81" s="26">
        <f t="shared" si="15"/>
        <v>3.6900000000000002E-2</v>
      </c>
      <c r="D81" s="13">
        <f t="shared" si="21"/>
        <v>2975.2920763472753</v>
      </c>
      <c r="E81" s="13">
        <f t="shared" si="17"/>
        <v>1738.8455019366811</v>
      </c>
      <c r="F81" s="13">
        <f t="shared" si="18"/>
        <v>1236.4465744105942</v>
      </c>
      <c r="G81" s="13">
        <f t="shared" si="19"/>
        <v>564241.76543751825</v>
      </c>
      <c r="I81" s="31">
        <f t="shared" si="23"/>
        <v>367.78061783031717</v>
      </c>
      <c r="J81" s="31">
        <f t="shared" si="20"/>
        <v>49</v>
      </c>
      <c r="K81" s="31">
        <f t="shared" si="22"/>
        <v>93.66743240121744</v>
      </c>
      <c r="L81" s="31">
        <f t="shared" si="16"/>
        <v>3485.7401265788098</v>
      </c>
    </row>
    <row r="82" spans="1:12" x14ac:dyDescent="0.3">
      <c r="A82" s="18">
        <f t="shared" si="13"/>
        <v>2028</v>
      </c>
      <c r="B82" s="23">
        <f t="shared" si="14"/>
        <v>46966</v>
      </c>
      <c r="C82" s="26">
        <f t="shared" si="15"/>
        <v>3.6900000000000002E-2</v>
      </c>
      <c r="D82" s="13">
        <f t="shared" si="21"/>
        <v>2975.2920763472753</v>
      </c>
      <c r="E82" s="13">
        <f t="shared" si="17"/>
        <v>1735.0434287203686</v>
      </c>
      <c r="F82" s="13">
        <f t="shared" si="18"/>
        <v>1240.2486476269066</v>
      </c>
      <c r="G82" s="13">
        <f t="shared" si="19"/>
        <v>563001.51678989129</v>
      </c>
      <c r="I82" s="31">
        <f t="shared" si="23"/>
        <v>367.78061783031717</v>
      </c>
      <c r="J82" s="31">
        <f t="shared" si="20"/>
        <v>49</v>
      </c>
      <c r="K82" s="31">
        <f t="shared" si="22"/>
        <v>93.66743240121744</v>
      </c>
      <c r="L82" s="31">
        <f t="shared" si="16"/>
        <v>3485.7401265788098</v>
      </c>
    </row>
    <row r="83" spans="1:12" x14ac:dyDescent="0.3">
      <c r="A83" s="18">
        <f t="shared" si="13"/>
        <v>2028</v>
      </c>
      <c r="B83" s="23">
        <f t="shared" si="14"/>
        <v>46997</v>
      </c>
      <c r="C83" s="26">
        <f t="shared" si="15"/>
        <v>3.6900000000000002E-2</v>
      </c>
      <c r="D83" s="13">
        <f t="shared" si="21"/>
        <v>2975.2920763472753</v>
      </c>
      <c r="E83" s="13">
        <f t="shared" si="17"/>
        <v>1731.2296641289158</v>
      </c>
      <c r="F83" s="13">
        <f t="shared" si="18"/>
        <v>1244.0624122183594</v>
      </c>
      <c r="G83" s="13">
        <f t="shared" si="19"/>
        <v>561757.45437767298</v>
      </c>
      <c r="I83" s="31">
        <f t="shared" si="23"/>
        <v>367.78061783031717</v>
      </c>
      <c r="J83" s="31">
        <f t="shared" si="20"/>
        <v>49</v>
      </c>
      <c r="K83" s="31">
        <f t="shared" si="22"/>
        <v>93.66743240121744</v>
      </c>
      <c r="L83" s="31">
        <f t="shared" si="16"/>
        <v>3485.7401265788098</v>
      </c>
    </row>
    <row r="84" spans="1:12" x14ac:dyDescent="0.3">
      <c r="A84" s="18">
        <f t="shared" si="13"/>
        <v>2028</v>
      </c>
      <c r="B84" s="23">
        <f t="shared" si="14"/>
        <v>47027</v>
      </c>
      <c r="C84" s="26">
        <f t="shared" si="15"/>
        <v>3.6900000000000002E-2</v>
      </c>
      <c r="D84" s="13">
        <f t="shared" si="21"/>
        <v>2975.2920763472753</v>
      </c>
      <c r="E84" s="13">
        <f t="shared" si="17"/>
        <v>1727.4041722113445</v>
      </c>
      <c r="F84" s="13">
        <f t="shared" si="18"/>
        <v>1247.8879041359307</v>
      </c>
      <c r="G84" s="13">
        <f t="shared" si="19"/>
        <v>560509.56647353701</v>
      </c>
      <c r="I84" s="31">
        <f t="shared" si="23"/>
        <v>367.78061783031717</v>
      </c>
      <c r="J84" s="31">
        <f t="shared" si="20"/>
        <v>49</v>
      </c>
      <c r="K84" s="31">
        <f t="shared" si="22"/>
        <v>93.66743240121744</v>
      </c>
      <c r="L84" s="31">
        <f t="shared" si="16"/>
        <v>3485.7401265788098</v>
      </c>
    </row>
    <row r="85" spans="1:12" x14ac:dyDescent="0.3">
      <c r="A85" s="18">
        <f t="shared" si="13"/>
        <v>2028</v>
      </c>
      <c r="B85" s="23">
        <f t="shared" si="14"/>
        <v>47058</v>
      </c>
      <c r="C85" s="26">
        <f t="shared" si="15"/>
        <v>3.6900000000000002E-2</v>
      </c>
      <c r="D85" s="13">
        <f t="shared" si="21"/>
        <v>2975.2920763472753</v>
      </c>
      <c r="E85" s="13">
        <f t="shared" si="17"/>
        <v>1723.5669169061264</v>
      </c>
      <c r="F85" s="13">
        <f t="shared" si="18"/>
        <v>1251.7251594411489</v>
      </c>
      <c r="G85" s="13">
        <f t="shared" si="19"/>
        <v>559257.84131409589</v>
      </c>
      <c r="I85" s="31">
        <f t="shared" si="23"/>
        <v>367.78061783031717</v>
      </c>
      <c r="J85" s="31">
        <f t="shared" si="20"/>
        <v>49</v>
      </c>
      <c r="K85" s="31">
        <f t="shared" si="22"/>
        <v>93.66743240121744</v>
      </c>
      <c r="L85" s="31">
        <f t="shared" si="16"/>
        <v>3485.7401265788098</v>
      </c>
    </row>
    <row r="86" spans="1:12" x14ac:dyDescent="0.3">
      <c r="A86" s="18">
        <f t="shared" si="13"/>
        <v>2028</v>
      </c>
      <c r="B86" s="23">
        <f t="shared" si="14"/>
        <v>47088</v>
      </c>
      <c r="C86" s="26">
        <f t="shared" si="15"/>
        <v>3.6900000000000002E-2</v>
      </c>
      <c r="D86" s="13">
        <f t="shared" si="21"/>
        <v>2975.2920763472753</v>
      </c>
      <c r="E86" s="13">
        <f t="shared" si="17"/>
        <v>1719.7178620408449</v>
      </c>
      <c r="F86" s="13">
        <f t="shared" si="18"/>
        <v>1255.5742143064303</v>
      </c>
      <c r="G86" s="13">
        <f t="shared" si="19"/>
        <v>558002.26709978946</v>
      </c>
      <c r="I86" s="31">
        <f t="shared" si="23"/>
        <v>367.78061783031717</v>
      </c>
      <c r="J86" s="31">
        <f t="shared" si="20"/>
        <v>49</v>
      </c>
      <c r="K86" s="31">
        <f t="shared" si="22"/>
        <v>93.66743240121744</v>
      </c>
      <c r="L86" s="31">
        <f t="shared" si="16"/>
        <v>3485.7401265788098</v>
      </c>
    </row>
    <row r="87" spans="1:12" x14ac:dyDescent="0.3">
      <c r="A87" s="18">
        <f t="shared" si="13"/>
        <v>2029</v>
      </c>
      <c r="B87" s="23">
        <f t="shared" si="14"/>
        <v>47119</v>
      </c>
      <c r="C87" s="26">
        <f t="shared" si="15"/>
        <v>3.6900000000000002E-2</v>
      </c>
      <c r="D87" s="13">
        <f t="shared" si="21"/>
        <v>2975.2920763472753</v>
      </c>
      <c r="E87" s="13">
        <f t="shared" si="17"/>
        <v>1715.8569713318527</v>
      </c>
      <c r="F87" s="13">
        <f t="shared" si="18"/>
        <v>1259.4351050154226</v>
      </c>
      <c r="G87" s="13">
        <f t="shared" si="19"/>
        <v>556742.83199477405</v>
      </c>
      <c r="I87" s="31">
        <f t="shared" si="23"/>
        <v>378.81403636522668</v>
      </c>
      <c r="J87" s="31">
        <f t="shared" si="20"/>
        <v>49</v>
      </c>
      <c r="K87" s="31">
        <f t="shared" si="22"/>
        <v>96.47745537325396</v>
      </c>
      <c r="L87" s="31">
        <f t="shared" si="16"/>
        <v>3499.5835680857558</v>
      </c>
    </row>
    <row r="88" spans="1:12" x14ac:dyDescent="0.3">
      <c r="A88" s="18">
        <f t="shared" si="13"/>
        <v>2029</v>
      </c>
      <c r="B88" s="23">
        <f t="shared" si="14"/>
        <v>47150</v>
      </c>
      <c r="C88" s="26">
        <f t="shared" si="15"/>
        <v>3.6900000000000002E-2</v>
      </c>
      <c r="D88" s="13">
        <f t="shared" si="21"/>
        <v>2975.2920763472753</v>
      </c>
      <c r="E88" s="13">
        <f t="shared" si="17"/>
        <v>1711.9842083839303</v>
      </c>
      <c r="F88" s="13">
        <f t="shared" si="18"/>
        <v>1263.307867963345</v>
      </c>
      <c r="G88" s="13">
        <f t="shared" si="19"/>
        <v>555479.52412681072</v>
      </c>
      <c r="I88" s="31">
        <f t="shared" si="23"/>
        <v>378.81403636522668</v>
      </c>
      <c r="J88" s="31">
        <f t="shared" si="20"/>
        <v>49</v>
      </c>
      <c r="K88" s="31">
        <f t="shared" si="22"/>
        <v>96.47745537325396</v>
      </c>
      <c r="L88" s="31">
        <f t="shared" si="16"/>
        <v>3499.5835680857558</v>
      </c>
    </row>
    <row r="89" spans="1:12" x14ac:dyDescent="0.3">
      <c r="A89" s="18">
        <f t="shared" si="13"/>
        <v>2029</v>
      </c>
      <c r="B89" s="23">
        <f t="shared" si="14"/>
        <v>47178</v>
      </c>
      <c r="C89" s="26">
        <f t="shared" si="15"/>
        <v>3.6900000000000002E-2</v>
      </c>
      <c r="D89" s="13">
        <f t="shared" si="21"/>
        <v>2975.2920763472753</v>
      </c>
      <c r="E89" s="13">
        <f t="shared" si="17"/>
        <v>1708.0995366899431</v>
      </c>
      <c r="F89" s="13">
        <f t="shared" si="18"/>
        <v>1267.1925396573322</v>
      </c>
      <c r="G89" s="13">
        <f t="shared" si="19"/>
        <v>554212.33158715337</v>
      </c>
      <c r="I89" s="31">
        <f t="shared" si="23"/>
        <v>378.81403636522668</v>
      </c>
      <c r="J89" s="31">
        <f t="shared" si="20"/>
        <v>49</v>
      </c>
      <c r="K89" s="31">
        <f t="shared" si="22"/>
        <v>96.47745537325396</v>
      </c>
      <c r="L89" s="31">
        <f t="shared" si="16"/>
        <v>3499.5835680857558</v>
      </c>
    </row>
    <row r="90" spans="1:12" x14ac:dyDescent="0.3">
      <c r="A90" s="18">
        <f t="shared" si="13"/>
        <v>2029</v>
      </c>
      <c r="B90" s="23">
        <f t="shared" si="14"/>
        <v>47209</v>
      </c>
      <c r="C90" s="26">
        <f t="shared" si="15"/>
        <v>3.6900000000000002E-2</v>
      </c>
      <c r="D90" s="13">
        <f t="shared" si="21"/>
        <v>2975.2920763472753</v>
      </c>
      <c r="E90" s="13">
        <f t="shared" si="17"/>
        <v>1704.2029196304966</v>
      </c>
      <c r="F90" s="13">
        <f t="shared" si="18"/>
        <v>1271.0891567167787</v>
      </c>
      <c r="G90" s="13">
        <f t="shared" si="19"/>
        <v>552941.24243043654</v>
      </c>
      <c r="I90" s="31">
        <f t="shared" si="23"/>
        <v>378.81403636522668</v>
      </c>
      <c r="J90" s="31">
        <f t="shared" si="20"/>
        <v>49</v>
      </c>
      <c r="K90" s="31">
        <f t="shared" si="22"/>
        <v>96.47745537325396</v>
      </c>
      <c r="L90" s="31">
        <f t="shared" si="16"/>
        <v>3499.5835680857558</v>
      </c>
    </row>
    <row r="91" spans="1:12" x14ac:dyDescent="0.3">
      <c r="A91" s="18">
        <f t="shared" si="13"/>
        <v>2029</v>
      </c>
      <c r="B91" s="23">
        <f t="shared" si="14"/>
        <v>47239</v>
      </c>
      <c r="C91" s="26">
        <f t="shared" si="15"/>
        <v>3.6900000000000002E-2</v>
      </c>
      <c r="D91" s="13">
        <f t="shared" si="21"/>
        <v>2975.2920763472753</v>
      </c>
      <c r="E91" s="13">
        <f t="shared" si="17"/>
        <v>1700.2943204735923</v>
      </c>
      <c r="F91" s="13">
        <f t="shared" si="18"/>
        <v>1274.997755873683</v>
      </c>
      <c r="G91" s="13">
        <f t="shared" si="19"/>
        <v>551666.24467456283</v>
      </c>
      <c r="I91" s="31">
        <f t="shared" si="23"/>
        <v>378.81403636522668</v>
      </c>
      <c r="J91" s="31">
        <f t="shared" si="20"/>
        <v>49</v>
      </c>
      <c r="K91" s="31">
        <f t="shared" si="22"/>
        <v>96.47745537325396</v>
      </c>
      <c r="L91" s="31">
        <f t="shared" si="16"/>
        <v>3499.5835680857558</v>
      </c>
    </row>
    <row r="92" spans="1:12" x14ac:dyDescent="0.3">
      <c r="A92" s="18">
        <f t="shared" si="13"/>
        <v>2029</v>
      </c>
      <c r="B92" s="23">
        <f t="shared" si="14"/>
        <v>47270</v>
      </c>
      <c r="C92" s="26">
        <f t="shared" si="15"/>
        <v>3.6900000000000002E-2</v>
      </c>
      <c r="D92" s="13">
        <f t="shared" si="21"/>
        <v>2975.2920763472753</v>
      </c>
      <c r="E92" s="13">
        <f t="shared" si="17"/>
        <v>1696.3737023742808</v>
      </c>
      <c r="F92" s="13">
        <f t="shared" si="18"/>
        <v>1278.9183739729945</v>
      </c>
      <c r="G92" s="13">
        <f t="shared" si="19"/>
        <v>550387.32630058983</v>
      </c>
      <c r="I92" s="31">
        <f t="shared" si="23"/>
        <v>378.81403636522668</v>
      </c>
      <c r="J92" s="31">
        <f t="shared" si="20"/>
        <v>49</v>
      </c>
      <c r="K92" s="31">
        <f t="shared" si="22"/>
        <v>96.47745537325396</v>
      </c>
      <c r="L92" s="31">
        <f t="shared" si="16"/>
        <v>3499.5835680857558</v>
      </c>
    </row>
    <row r="93" spans="1:12" x14ac:dyDescent="0.3">
      <c r="A93" s="18">
        <f t="shared" si="13"/>
        <v>2029</v>
      </c>
      <c r="B93" s="23">
        <f t="shared" si="14"/>
        <v>47300</v>
      </c>
      <c r="C93" s="26">
        <f t="shared" si="15"/>
        <v>3.6900000000000002E-2</v>
      </c>
      <c r="D93" s="13">
        <f t="shared" si="21"/>
        <v>2975.2920763472753</v>
      </c>
      <c r="E93" s="13">
        <f t="shared" si="17"/>
        <v>1692.4410283743139</v>
      </c>
      <c r="F93" s="13">
        <f t="shared" si="18"/>
        <v>1282.8510479729614</v>
      </c>
      <c r="G93" s="13">
        <f t="shared" si="19"/>
        <v>549104.47525261692</v>
      </c>
      <c r="I93" s="31">
        <f t="shared" si="23"/>
        <v>378.81403636522668</v>
      </c>
      <c r="J93" s="31">
        <f t="shared" si="20"/>
        <v>49</v>
      </c>
      <c r="K93" s="31">
        <f t="shared" si="22"/>
        <v>96.47745537325396</v>
      </c>
      <c r="L93" s="31">
        <f t="shared" si="16"/>
        <v>3499.5835680857558</v>
      </c>
    </row>
    <row r="94" spans="1:12" x14ac:dyDescent="0.3">
      <c r="A94" s="18">
        <f t="shared" si="13"/>
        <v>2029</v>
      </c>
      <c r="B94" s="23">
        <f t="shared" si="14"/>
        <v>47331</v>
      </c>
      <c r="C94" s="26">
        <f t="shared" si="15"/>
        <v>3.6900000000000002E-2</v>
      </c>
      <c r="D94" s="13">
        <f t="shared" si="21"/>
        <v>2975.2920763472753</v>
      </c>
      <c r="E94" s="13">
        <f t="shared" si="17"/>
        <v>1688.496261401797</v>
      </c>
      <c r="F94" s="13">
        <f t="shared" si="18"/>
        <v>1286.7958149454782</v>
      </c>
      <c r="G94" s="13">
        <f t="shared" si="19"/>
        <v>547817.67943767144</v>
      </c>
      <c r="I94" s="31">
        <f t="shared" si="23"/>
        <v>378.81403636522668</v>
      </c>
      <c r="J94" s="31">
        <f t="shared" si="20"/>
        <v>49</v>
      </c>
      <c r="K94" s="31">
        <f t="shared" si="22"/>
        <v>96.47745537325396</v>
      </c>
      <c r="L94" s="31">
        <f t="shared" si="16"/>
        <v>3499.5835680857558</v>
      </c>
    </row>
    <row r="95" spans="1:12" x14ac:dyDescent="0.3">
      <c r="A95" s="18">
        <f t="shared" si="13"/>
        <v>2029</v>
      </c>
      <c r="B95" s="23">
        <f t="shared" si="14"/>
        <v>47362</v>
      </c>
      <c r="C95" s="26">
        <f t="shared" si="15"/>
        <v>3.6900000000000002E-2</v>
      </c>
      <c r="D95" s="13">
        <f t="shared" si="21"/>
        <v>2975.2920763472753</v>
      </c>
      <c r="E95" s="13">
        <f t="shared" si="17"/>
        <v>1684.5393642708398</v>
      </c>
      <c r="F95" s="13">
        <f t="shared" si="18"/>
        <v>1290.7527120764355</v>
      </c>
      <c r="G95" s="13">
        <f t="shared" si="19"/>
        <v>546526.92672559503</v>
      </c>
      <c r="I95" s="31">
        <f t="shared" si="23"/>
        <v>378.81403636522668</v>
      </c>
      <c r="J95" s="31">
        <f t="shared" si="20"/>
        <v>49</v>
      </c>
      <c r="K95" s="31">
        <f t="shared" si="22"/>
        <v>96.47745537325396</v>
      </c>
      <c r="L95" s="31">
        <f t="shared" si="16"/>
        <v>3499.5835680857558</v>
      </c>
    </row>
    <row r="96" spans="1:12" x14ac:dyDescent="0.3">
      <c r="A96" s="18">
        <f t="shared" si="13"/>
        <v>2029</v>
      </c>
      <c r="B96" s="23">
        <f t="shared" si="14"/>
        <v>47392</v>
      </c>
      <c r="C96" s="26">
        <f t="shared" si="15"/>
        <v>3.6900000000000002E-2</v>
      </c>
      <c r="D96" s="13">
        <f t="shared" si="21"/>
        <v>2975.2920763472753</v>
      </c>
      <c r="E96" s="13">
        <f t="shared" si="17"/>
        <v>1680.5702996812049</v>
      </c>
      <c r="F96" s="13">
        <f t="shared" si="18"/>
        <v>1294.7217766660704</v>
      </c>
      <c r="G96" s="13">
        <f t="shared" si="19"/>
        <v>545232.20494892891</v>
      </c>
      <c r="I96" s="31">
        <f t="shared" si="23"/>
        <v>378.81403636522668</v>
      </c>
      <c r="J96" s="31">
        <f t="shared" si="20"/>
        <v>49</v>
      </c>
      <c r="K96" s="31">
        <f t="shared" si="22"/>
        <v>96.47745537325396</v>
      </c>
      <c r="L96" s="31">
        <f t="shared" si="16"/>
        <v>3499.5835680857558</v>
      </c>
    </row>
    <row r="97" spans="1:12" x14ac:dyDescent="0.3">
      <c r="A97" s="18">
        <f t="shared" si="13"/>
        <v>2029</v>
      </c>
      <c r="B97" s="23">
        <f t="shared" si="14"/>
        <v>47423</v>
      </c>
      <c r="C97" s="26">
        <f t="shared" si="15"/>
        <v>3.6900000000000002E-2</v>
      </c>
      <c r="D97" s="13">
        <f t="shared" si="21"/>
        <v>2975.2920763472753</v>
      </c>
      <c r="E97" s="13">
        <f t="shared" si="17"/>
        <v>1676.5890302179566</v>
      </c>
      <c r="F97" s="13">
        <f t="shared" si="18"/>
        <v>1298.7030461293186</v>
      </c>
      <c r="G97" s="13">
        <f t="shared" si="19"/>
        <v>543933.50190279959</v>
      </c>
      <c r="I97" s="31">
        <f t="shared" si="23"/>
        <v>378.81403636522668</v>
      </c>
      <c r="J97" s="31">
        <f t="shared" si="20"/>
        <v>49</v>
      </c>
      <c r="K97" s="31">
        <f t="shared" si="22"/>
        <v>96.47745537325396</v>
      </c>
      <c r="L97" s="31">
        <f t="shared" si="16"/>
        <v>3499.5835680857558</v>
      </c>
    </row>
    <row r="98" spans="1:12" x14ac:dyDescent="0.3">
      <c r="A98" s="18">
        <f t="shared" si="13"/>
        <v>2029</v>
      </c>
      <c r="B98" s="23">
        <f t="shared" si="14"/>
        <v>47453</v>
      </c>
      <c r="C98" s="26">
        <f t="shared" si="15"/>
        <v>3.6900000000000002E-2</v>
      </c>
      <c r="D98" s="13">
        <f t="shared" si="21"/>
        <v>2975.2920763472753</v>
      </c>
      <c r="E98" s="13">
        <f t="shared" si="17"/>
        <v>1672.5955183511087</v>
      </c>
      <c r="F98" s="13">
        <f t="shared" si="18"/>
        <v>1302.6965579961666</v>
      </c>
      <c r="G98" s="13">
        <f t="shared" si="19"/>
        <v>542630.80534480338</v>
      </c>
      <c r="I98" s="31">
        <f t="shared" si="23"/>
        <v>378.81403636522668</v>
      </c>
      <c r="J98" s="31">
        <f t="shared" si="20"/>
        <v>49</v>
      </c>
      <c r="K98" s="31">
        <f t="shared" si="22"/>
        <v>96.47745537325396</v>
      </c>
      <c r="L98" s="31">
        <f t="shared" si="16"/>
        <v>3499.5835680857558</v>
      </c>
    </row>
    <row r="99" spans="1:12" x14ac:dyDescent="0.3">
      <c r="A99" s="18">
        <f t="shared" si="13"/>
        <v>2030</v>
      </c>
      <c r="B99" s="23">
        <f t="shared" si="14"/>
        <v>47484</v>
      </c>
      <c r="C99" s="26">
        <f t="shared" si="15"/>
        <v>3.6900000000000002E-2</v>
      </c>
      <c r="D99" s="13">
        <f t="shared" si="21"/>
        <v>2975.2920763472753</v>
      </c>
      <c r="E99" s="13">
        <f t="shared" si="17"/>
        <v>1668.5897264352704</v>
      </c>
      <c r="F99" s="13">
        <f t="shared" si="18"/>
        <v>1306.7023499120048</v>
      </c>
      <c r="G99" s="13">
        <f t="shared" si="19"/>
        <v>541324.10299489135</v>
      </c>
      <c r="I99" s="31">
        <f t="shared" si="23"/>
        <v>390.17845745618348</v>
      </c>
      <c r="J99" s="31">
        <f t="shared" si="20"/>
        <v>49</v>
      </c>
      <c r="K99" s="31">
        <f t="shared" si="22"/>
        <v>99.371779034451578</v>
      </c>
      <c r="L99" s="31">
        <f t="shared" si="16"/>
        <v>3513.8423128379104</v>
      </c>
    </row>
    <row r="100" spans="1:12" x14ac:dyDescent="0.3">
      <c r="A100" s="18">
        <f t="shared" si="13"/>
        <v>2030</v>
      </c>
      <c r="B100" s="23">
        <f t="shared" si="14"/>
        <v>47515</v>
      </c>
      <c r="C100" s="26">
        <f t="shared" si="15"/>
        <v>3.6900000000000002E-2</v>
      </c>
      <c r="D100" s="13">
        <f t="shared" si="21"/>
        <v>2975.2920763472753</v>
      </c>
      <c r="E100" s="13">
        <f t="shared" si="17"/>
        <v>1664.5716167092912</v>
      </c>
      <c r="F100" s="13">
        <f t="shared" si="18"/>
        <v>1310.720459637984</v>
      </c>
      <c r="G100" s="13">
        <f t="shared" si="19"/>
        <v>540013.38253525342</v>
      </c>
      <c r="I100" s="31">
        <f t="shared" si="23"/>
        <v>390.17845745618348</v>
      </c>
      <c r="J100" s="31">
        <f t="shared" si="20"/>
        <v>49</v>
      </c>
      <c r="K100" s="31">
        <f t="shared" si="22"/>
        <v>99.371779034451578</v>
      </c>
      <c r="L100" s="31">
        <f t="shared" si="16"/>
        <v>3513.8423128379104</v>
      </c>
    </row>
    <row r="101" spans="1:12" x14ac:dyDescent="0.3">
      <c r="A101" s="18">
        <f t="shared" si="13"/>
        <v>2030</v>
      </c>
      <c r="B101" s="23">
        <f t="shared" si="14"/>
        <v>47543</v>
      </c>
      <c r="C101" s="26">
        <f t="shared" si="15"/>
        <v>3.6900000000000002E-2</v>
      </c>
      <c r="D101" s="13">
        <f t="shared" si="21"/>
        <v>2975.2920763472753</v>
      </c>
      <c r="E101" s="13">
        <f t="shared" si="17"/>
        <v>1660.5411512959045</v>
      </c>
      <c r="F101" s="13">
        <f t="shared" si="18"/>
        <v>1314.7509250513708</v>
      </c>
      <c r="G101" s="13">
        <f t="shared" si="19"/>
        <v>538698.63161020202</v>
      </c>
      <c r="I101" s="31">
        <f t="shared" si="23"/>
        <v>390.17845745618348</v>
      </c>
      <c r="J101" s="31">
        <f t="shared" si="20"/>
        <v>49</v>
      </c>
      <c r="K101" s="31">
        <f t="shared" si="22"/>
        <v>99.371779034451578</v>
      </c>
      <c r="L101" s="31">
        <f t="shared" si="16"/>
        <v>3513.8423128379104</v>
      </c>
    </row>
    <row r="102" spans="1:12" x14ac:dyDescent="0.3">
      <c r="A102" s="18">
        <f t="shared" si="13"/>
        <v>2030</v>
      </c>
      <c r="B102" s="23">
        <f t="shared" si="14"/>
        <v>47574</v>
      </c>
      <c r="C102" s="26">
        <f t="shared" si="15"/>
        <v>3.6900000000000002E-2</v>
      </c>
      <c r="D102" s="13">
        <f t="shared" si="21"/>
        <v>2975.2920763472753</v>
      </c>
      <c r="E102" s="13">
        <f t="shared" si="17"/>
        <v>1656.4982922013714</v>
      </c>
      <c r="F102" s="13">
        <f t="shared" si="18"/>
        <v>1318.7937841459038</v>
      </c>
      <c r="G102" s="13">
        <f t="shared" si="19"/>
        <v>537379.83782605617</v>
      </c>
      <c r="I102" s="31">
        <f t="shared" si="23"/>
        <v>390.17845745618348</v>
      </c>
      <c r="J102" s="31">
        <f t="shared" si="20"/>
        <v>49</v>
      </c>
      <c r="K102" s="31">
        <f t="shared" si="22"/>
        <v>99.371779034451578</v>
      </c>
      <c r="L102" s="31">
        <f t="shared" si="16"/>
        <v>3513.8423128379104</v>
      </c>
    </row>
    <row r="103" spans="1:12" x14ac:dyDescent="0.3">
      <c r="A103" s="18">
        <f t="shared" si="13"/>
        <v>2030</v>
      </c>
      <c r="B103" s="23">
        <f t="shared" si="14"/>
        <v>47604</v>
      </c>
      <c r="C103" s="26">
        <f t="shared" si="15"/>
        <v>3.6900000000000002E-2</v>
      </c>
      <c r="D103" s="13">
        <f t="shared" si="21"/>
        <v>2975.2920763472753</v>
      </c>
      <c r="E103" s="13">
        <f t="shared" si="17"/>
        <v>1652.443001315123</v>
      </c>
      <c r="F103" s="13">
        <f t="shared" si="18"/>
        <v>1322.8490750321523</v>
      </c>
      <c r="G103" s="13">
        <f t="shared" si="19"/>
        <v>536056.98875102401</v>
      </c>
      <c r="I103" s="31">
        <f t="shared" si="23"/>
        <v>390.17845745618348</v>
      </c>
      <c r="J103" s="31">
        <f t="shared" si="20"/>
        <v>49</v>
      </c>
      <c r="K103" s="31">
        <f t="shared" si="22"/>
        <v>99.371779034451578</v>
      </c>
      <c r="L103" s="31">
        <f t="shared" si="16"/>
        <v>3513.8423128379104</v>
      </c>
    </row>
    <row r="104" spans="1:12" x14ac:dyDescent="0.3">
      <c r="A104" s="18">
        <f t="shared" si="13"/>
        <v>2030</v>
      </c>
      <c r="B104" s="23">
        <f t="shared" si="14"/>
        <v>47635</v>
      </c>
      <c r="C104" s="26">
        <f t="shared" si="15"/>
        <v>3.6900000000000002E-2</v>
      </c>
      <c r="D104" s="13">
        <f t="shared" si="21"/>
        <v>2975.2920763472753</v>
      </c>
      <c r="E104" s="13">
        <f t="shared" si="17"/>
        <v>1648.3752404093991</v>
      </c>
      <c r="F104" s="13">
        <f t="shared" si="18"/>
        <v>1326.9168359378762</v>
      </c>
      <c r="G104" s="13">
        <f t="shared" si="19"/>
        <v>534730.07191508613</v>
      </c>
      <c r="I104" s="31">
        <f t="shared" si="23"/>
        <v>390.17845745618348</v>
      </c>
      <c r="J104" s="31">
        <f t="shared" si="20"/>
        <v>49</v>
      </c>
      <c r="K104" s="31">
        <f t="shared" si="22"/>
        <v>99.371779034451578</v>
      </c>
      <c r="L104" s="31">
        <f t="shared" si="16"/>
        <v>3513.8423128379104</v>
      </c>
    </row>
    <row r="105" spans="1:12" x14ac:dyDescent="0.3">
      <c r="A105" s="18">
        <f t="shared" si="13"/>
        <v>2030</v>
      </c>
      <c r="B105" s="23">
        <f t="shared" si="14"/>
        <v>47665</v>
      </c>
      <c r="C105" s="26">
        <f t="shared" si="15"/>
        <v>3.6900000000000002E-2</v>
      </c>
      <c r="D105" s="13">
        <f t="shared" si="21"/>
        <v>2975.2920763472753</v>
      </c>
      <c r="E105" s="13">
        <f t="shared" si="17"/>
        <v>1644.2949711388899</v>
      </c>
      <c r="F105" s="13">
        <f t="shared" si="18"/>
        <v>1330.9971052083854</v>
      </c>
      <c r="G105" s="13">
        <f t="shared" si="19"/>
        <v>533399.07480987778</v>
      </c>
      <c r="I105" s="31">
        <f t="shared" si="23"/>
        <v>390.17845745618348</v>
      </c>
      <c r="J105" s="31">
        <f t="shared" si="20"/>
        <v>49</v>
      </c>
      <c r="K105" s="31">
        <f t="shared" si="22"/>
        <v>99.371779034451578</v>
      </c>
      <c r="L105" s="31">
        <f t="shared" si="16"/>
        <v>3513.8423128379104</v>
      </c>
    </row>
    <row r="106" spans="1:12" x14ac:dyDescent="0.3">
      <c r="A106" s="18">
        <f t="shared" si="13"/>
        <v>2030</v>
      </c>
      <c r="B106" s="23">
        <f t="shared" si="14"/>
        <v>47696</v>
      </c>
      <c r="C106" s="26">
        <f t="shared" si="15"/>
        <v>3.6900000000000002E-2</v>
      </c>
      <c r="D106" s="13">
        <f t="shared" si="21"/>
        <v>2975.2920763472753</v>
      </c>
      <c r="E106" s="13">
        <f t="shared" si="17"/>
        <v>1640.2021550403742</v>
      </c>
      <c r="F106" s="13">
        <f t="shared" si="18"/>
        <v>1335.089921306901</v>
      </c>
      <c r="G106" s="13">
        <f t="shared" si="19"/>
        <v>532063.98488857085</v>
      </c>
      <c r="I106" s="31">
        <f t="shared" si="23"/>
        <v>390.17845745618348</v>
      </c>
      <c r="J106" s="31">
        <f t="shared" si="20"/>
        <v>49</v>
      </c>
      <c r="K106" s="31">
        <f t="shared" si="22"/>
        <v>99.371779034451578</v>
      </c>
      <c r="L106" s="31">
        <f t="shared" si="16"/>
        <v>3513.8423128379104</v>
      </c>
    </row>
    <row r="107" spans="1:12" x14ac:dyDescent="0.3">
      <c r="A107" s="18">
        <f t="shared" si="13"/>
        <v>2030</v>
      </c>
      <c r="B107" s="23">
        <f t="shared" si="14"/>
        <v>47727</v>
      </c>
      <c r="C107" s="26">
        <f t="shared" si="15"/>
        <v>3.6900000000000002E-2</v>
      </c>
      <c r="D107" s="13">
        <f t="shared" si="21"/>
        <v>2975.2920763472753</v>
      </c>
      <c r="E107" s="13">
        <f t="shared" si="17"/>
        <v>1636.0967535323555</v>
      </c>
      <c r="F107" s="13">
        <f t="shared" si="18"/>
        <v>1339.1953228149198</v>
      </c>
      <c r="G107" s="13">
        <f t="shared" si="19"/>
        <v>530724.78956575599</v>
      </c>
      <c r="I107" s="31">
        <f t="shared" si="23"/>
        <v>390.17845745618348</v>
      </c>
      <c r="J107" s="31">
        <f t="shared" si="20"/>
        <v>49</v>
      </c>
      <c r="K107" s="31">
        <f t="shared" si="22"/>
        <v>99.371779034451578</v>
      </c>
      <c r="L107" s="31">
        <f t="shared" si="16"/>
        <v>3513.8423128379104</v>
      </c>
    </row>
    <row r="108" spans="1:12" x14ac:dyDescent="0.3">
      <c r="A108" s="18">
        <f t="shared" si="13"/>
        <v>2030</v>
      </c>
      <c r="B108" s="23">
        <f t="shared" si="14"/>
        <v>47757</v>
      </c>
      <c r="C108" s="26">
        <f t="shared" si="15"/>
        <v>3.6900000000000002E-2</v>
      </c>
      <c r="D108" s="13">
        <f t="shared" si="21"/>
        <v>2975.2920763472753</v>
      </c>
      <c r="E108" s="13">
        <f t="shared" si="17"/>
        <v>1631.9787279146997</v>
      </c>
      <c r="F108" s="13">
        <f t="shared" si="18"/>
        <v>1343.3133484325756</v>
      </c>
      <c r="G108" s="13">
        <f t="shared" si="19"/>
        <v>529381.47621732345</v>
      </c>
      <c r="I108" s="31">
        <f t="shared" si="23"/>
        <v>390.17845745618348</v>
      </c>
      <c r="J108" s="31">
        <f t="shared" si="20"/>
        <v>49</v>
      </c>
      <c r="K108" s="31">
        <f t="shared" si="22"/>
        <v>99.371779034451578</v>
      </c>
      <c r="L108" s="31">
        <f t="shared" si="16"/>
        <v>3513.8423128379104</v>
      </c>
    </row>
    <row r="109" spans="1:12" x14ac:dyDescent="0.3">
      <c r="A109" s="18">
        <f t="shared" si="13"/>
        <v>2030</v>
      </c>
      <c r="B109" s="23">
        <f t="shared" si="14"/>
        <v>47788</v>
      </c>
      <c r="C109" s="26">
        <f t="shared" si="15"/>
        <v>3.6900000000000002E-2</v>
      </c>
      <c r="D109" s="13">
        <f t="shared" si="21"/>
        <v>2975.2920763472753</v>
      </c>
      <c r="E109" s="13">
        <f t="shared" si="17"/>
        <v>1627.8480393682696</v>
      </c>
      <c r="F109" s="13">
        <f t="shared" si="18"/>
        <v>1347.4440369790057</v>
      </c>
      <c r="G109" s="13">
        <f t="shared" si="19"/>
        <v>528034.03218034445</v>
      </c>
      <c r="I109" s="31">
        <f t="shared" si="23"/>
        <v>390.17845745618348</v>
      </c>
      <c r="J109" s="31">
        <f t="shared" si="20"/>
        <v>49</v>
      </c>
      <c r="K109" s="31">
        <f t="shared" si="22"/>
        <v>99.371779034451578</v>
      </c>
      <c r="L109" s="31">
        <f t="shared" si="16"/>
        <v>3513.8423128379104</v>
      </c>
    </row>
    <row r="110" spans="1:12" x14ac:dyDescent="0.3">
      <c r="A110" s="18">
        <f t="shared" si="13"/>
        <v>2030</v>
      </c>
      <c r="B110" s="23">
        <f t="shared" si="14"/>
        <v>47818</v>
      </c>
      <c r="C110" s="26">
        <f t="shared" si="15"/>
        <v>3.6900000000000002E-2</v>
      </c>
      <c r="D110" s="13">
        <f t="shared" si="21"/>
        <v>2975.2920763472753</v>
      </c>
      <c r="E110" s="13">
        <f t="shared" si="17"/>
        <v>1623.7046489545592</v>
      </c>
      <c r="F110" s="13">
        <f t="shared" si="18"/>
        <v>1351.5874273927161</v>
      </c>
      <c r="G110" s="13">
        <f t="shared" si="19"/>
        <v>526682.44475295173</v>
      </c>
      <c r="I110" s="31">
        <f t="shared" si="23"/>
        <v>390.17845745618348</v>
      </c>
      <c r="J110" s="31">
        <f t="shared" si="20"/>
        <v>49</v>
      </c>
      <c r="K110" s="31">
        <f t="shared" si="22"/>
        <v>99.371779034451578</v>
      </c>
      <c r="L110" s="31">
        <f t="shared" si="16"/>
        <v>3513.8423128379104</v>
      </c>
    </row>
    <row r="111" spans="1:12" x14ac:dyDescent="0.3">
      <c r="A111" s="18">
        <f t="shared" si="13"/>
        <v>2031</v>
      </c>
      <c r="B111" s="23">
        <f t="shared" si="14"/>
        <v>47849</v>
      </c>
      <c r="C111" s="26">
        <f t="shared" si="15"/>
        <v>3.6900000000000002E-2</v>
      </c>
      <c r="D111" s="13">
        <f t="shared" si="21"/>
        <v>2975.2920763472753</v>
      </c>
      <c r="E111" s="13">
        <f t="shared" si="17"/>
        <v>1619.5485176153268</v>
      </c>
      <c r="F111" s="13">
        <f t="shared" si="18"/>
        <v>1355.7435587319485</v>
      </c>
      <c r="G111" s="13">
        <f t="shared" si="19"/>
        <v>525326.70119421976</v>
      </c>
      <c r="I111" s="31">
        <f t="shared" si="23"/>
        <v>401.88381117986899</v>
      </c>
      <c r="J111" s="31">
        <f t="shared" si="20"/>
        <v>49</v>
      </c>
      <c r="K111" s="31">
        <f t="shared" si="22"/>
        <v>102.35293240548513</v>
      </c>
      <c r="L111" s="31">
        <f t="shared" si="16"/>
        <v>3528.5288199326296</v>
      </c>
    </row>
    <row r="112" spans="1:12" x14ac:dyDescent="0.3">
      <c r="A112" s="18">
        <f t="shared" si="13"/>
        <v>2031</v>
      </c>
      <c r="B112" s="23">
        <f t="shared" si="14"/>
        <v>47880</v>
      </c>
      <c r="C112" s="26">
        <f t="shared" si="15"/>
        <v>3.6900000000000002E-2</v>
      </c>
      <c r="D112" s="13">
        <f t="shared" si="21"/>
        <v>2975.2920763472753</v>
      </c>
      <c r="E112" s="13">
        <f t="shared" si="17"/>
        <v>1615.379606172226</v>
      </c>
      <c r="F112" s="13">
        <f t="shared" si="18"/>
        <v>1359.9124701750493</v>
      </c>
      <c r="G112" s="13">
        <f t="shared" si="19"/>
        <v>523966.78872404469</v>
      </c>
      <c r="I112" s="31">
        <f t="shared" si="23"/>
        <v>401.88381117986899</v>
      </c>
      <c r="J112" s="31">
        <f t="shared" si="20"/>
        <v>49</v>
      </c>
      <c r="K112" s="31">
        <f t="shared" si="22"/>
        <v>102.35293240548513</v>
      </c>
      <c r="L112" s="31">
        <f t="shared" si="16"/>
        <v>3528.5288199326296</v>
      </c>
    </row>
    <row r="113" spans="1:12" x14ac:dyDescent="0.3">
      <c r="A113" s="18">
        <f t="shared" si="13"/>
        <v>2031</v>
      </c>
      <c r="B113" s="23">
        <f t="shared" si="14"/>
        <v>47908</v>
      </c>
      <c r="C113" s="26">
        <f t="shared" si="15"/>
        <v>3.6900000000000002E-2</v>
      </c>
      <c r="D113" s="13">
        <f t="shared" si="21"/>
        <v>2975.2920763472753</v>
      </c>
      <c r="E113" s="13">
        <f t="shared" si="17"/>
        <v>1611.1978753264375</v>
      </c>
      <c r="F113" s="13">
        <f t="shared" si="18"/>
        <v>1364.0942010208378</v>
      </c>
      <c r="G113" s="13">
        <f t="shared" si="19"/>
        <v>522602.69452302385</v>
      </c>
      <c r="I113" s="31">
        <f t="shared" si="23"/>
        <v>401.88381117986899</v>
      </c>
      <c r="J113" s="31">
        <f t="shared" si="20"/>
        <v>49</v>
      </c>
      <c r="K113" s="31">
        <f t="shared" si="22"/>
        <v>102.35293240548513</v>
      </c>
      <c r="L113" s="31">
        <f t="shared" si="16"/>
        <v>3528.5288199326296</v>
      </c>
    </row>
    <row r="114" spans="1:12" x14ac:dyDescent="0.3">
      <c r="A114" s="18">
        <f t="shared" si="13"/>
        <v>2031</v>
      </c>
      <c r="B114" s="23">
        <f t="shared" si="14"/>
        <v>47939</v>
      </c>
      <c r="C114" s="26">
        <f t="shared" si="15"/>
        <v>3.6900000000000002E-2</v>
      </c>
      <c r="D114" s="13">
        <f t="shared" si="21"/>
        <v>2975.2920763472753</v>
      </c>
      <c r="E114" s="13">
        <f t="shared" si="17"/>
        <v>1607.0032856582984</v>
      </c>
      <c r="F114" s="13">
        <f t="shared" si="18"/>
        <v>1368.2887906889769</v>
      </c>
      <c r="G114" s="13">
        <f t="shared" si="19"/>
        <v>521234.40573233488</v>
      </c>
      <c r="I114" s="31">
        <f t="shared" si="23"/>
        <v>401.88381117986899</v>
      </c>
      <c r="J114" s="31">
        <f t="shared" si="20"/>
        <v>49</v>
      </c>
      <c r="K114" s="31">
        <f t="shared" si="22"/>
        <v>102.35293240548513</v>
      </c>
      <c r="L114" s="31">
        <f t="shared" si="16"/>
        <v>3528.5288199326296</v>
      </c>
    </row>
    <row r="115" spans="1:12" x14ac:dyDescent="0.3">
      <c r="A115" s="18">
        <f t="shared" si="13"/>
        <v>2031</v>
      </c>
      <c r="B115" s="23">
        <f t="shared" si="14"/>
        <v>47969</v>
      </c>
      <c r="C115" s="26">
        <f t="shared" si="15"/>
        <v>3.6900000000000002E-2</v>
      </c>
      <c r="D115" s="13">
        <f t="shared" si="21"/>
        <v>2975.2920763472753</v>
      </c>
      <c r="E115" s="13">
        <f t="shared" si="17"/>
        <v>1602.7957976269299</v>
      </c>
      <c r="F115" s="13">
        <f t="shared" si="18"/>
        <v>1372.4962787203453</v>
      </c>
      <c r="G115" s="13">
        <f t="shared" si="19"/>
        <v>519861.90945361456</v>
      </c>
      <c r="I115" s="31">
        <f t="shared" si="23"/>
        <v>401.88381117986899</v>
      </c>
      <c r="J115" s="31">
        <f t="shared" si="20"/>
        <v>49</v>
      </c>
      <c r="K115" s="31">
        <f t="shared" si="22"/>
        <v>102.35293240548513</v>
      </c>
      <c r="L115" s="31">
        <f t="shared" si="16"/>
        <v>3528.5288199326296</v>
      </c>
    </row>
    <row r="116" spans="1:12" x14ac:dyDescent="0.3">
      <c r="A116" s="18">
        <f t="shared" si="13"/>
        <v>2031</v>
      </c>
      <c r="B116" s="23">
        <f t="shared" si="14"/>
        <v>48000</v>
      </c>
      <c r="C116" s="26">
        <f t="shared" si="15"/>
        <v>3.6900000000000002E-2</v>
      </c>
      <c r="D116" s="13">
        <f t="shared" si="21"/>
        <v>2975.2920763472753</v>
      </c>
      <c r="E116" s="13">
        <f t="shared" si="17"/>
        <v>1598.5753715698647</v>
      </c>
      <c r="F116" s="13">
        <f t="shared" si="18"/>
        <v>1376.7167047774105</v>
      </c>
      <c r="G116" s="13">
        <f t="shared" si="19"/>
        <v>518485.19274883717</v>
      </c>
      <c r="I116" s="31">
        <f t="shared" si="23"/>
        <v>401.88381117986899</v>
      </c>
      <c r="J116" s="31">
        <f t="shared" si="20"/>
        <v>49</v>
      </c>
      <c r="K116" s="31">
        <f t="shared" si="22"/>
        <v>102.35293240548513</v>
      </c>
      <c r="L116" s="31">
        <f t="shared" si="16"/>
        <v>3528.5288199326296</v>
      </c>
    </row>
    <row r="117" spans="1:12" x14ac:dyDescent="0.3">
      <c r="A117" s="18">
        <f t="shared" si="13"/>
        <v>2031</v>
      </c>
      <c r="B117" s="23">
        <f t="shared" si="14"/>
        <v>48030</v>
      </c>
      <c r="C117" s="26">
        <f t="shared" si="15"/>
        <v>3.6900000000000002E-2</v>
      </c>
      <c r="D117" s="13">
        <f t="shared" si="21"/>
        <v>2975.2920763472753</v>
      </c>
      <c r="E117" s="13">
        <f t="shared" si="17"/>
        <v>1594.3419677026743</v>
      </c>
      <c r="F117" s="13">
        <f t="shared" si="18"/>
        <v>1380.950108644601</v>
      </c>
      <c r="G117" s="13">
        <f t="shared" si="19"/>
        <v>517104.24264019256</v>
      </c>
      <c r="I117" s="31">
        <f t="shared" si="23"/>
        <v>401.88381117986899</v>
      </c>
      <c r="J117" s="31">
        <f t="shared" si="20"/>
        <v>49</v>
      </c>
      <c r="K117" s="31">
        <f t="shared" si="22"/>
        <v>102.35293240548513</v>
      </c>
      <c r="L117" s="31">
        <f t="shared" si="16"/>
        <v>3528.5288199326296</v>
      </c>
    </row>
    <row r="118" spans="1:12" x14ac:dyDescent="0.3">
      <c r="A118" s="18">
        <f t="shared" si="13"/>
        <v>2031</v>
      </c>
      <c r="B118" s="23">
        <f t="shared" si="14"/>
        <v>48061</v>
      </c>
      <c r="C118" s="26">
        <f t="shared" si="15"/>
        <v>3.6900000000000002E-2</v>
      </c>
      <c r="D118" s="13">
        <f t="shared" si="21"/>
        <v>2975.2920763472753</v>
      </c>
      <c r="E118" s="13">
        <f t="shared" si="17"/>
        <v>1590.0955461185922</v>
      </c>
      <c r="F118" s="13">
        <f t="shared" si="18"/>
        <v>1385.1965302286831</v>
      </c>
      <c r="G118" s="13">
        <f t="shared" si="19"/>
        <v>515719.04610996391</v>
      </c>
      <c r="I118" s="31">
        <f t="shared" si="23"/>
        <v>401.88381117986899</v>
      </c>
      <c r="J118" s="31">
        <f t="shared" si="20"/>
        <v>49</v>
      </c>
      <c r="K118" s="31">
        <f t="shared" si="22"/>
        <v>102.35293240548513</v>
      </c>
      <c r="L118" s="31">
        <f t="shared" si="16"/>
        <v>3528.5288199326296</v>
      </c>
    </row>
    <row r="119" spans="1:12" x14ac:dyDescent="0.3">
      <c r="A119" s="18">
        <f t="shared" si="13"/>
        <v>2031</v>
      </c>
      <c r="B119" s="23">
        <f t="shared" si="14"/>
        <v>48092</v>
      </c>
      <c r="C119" s="26">
        <f t="shared" si="15"/>
        <v>3.6900000000000002E-2</v>
      </c>
      <c r="D119" s="13">
        <f t="shared" si="21"/>
        <v>2975.2920763472753</v>
      </c>
      <c r="E119" s="13">
        <f t="shared" si="17"/>
        <v>1585.8360667881391</v>
      </c>
      <c r="F119" s="13">
        <f t="shared" si="18"/>
        <v>1389.4560095591362</v>
      </c>
      <c r="G119" s="13">
        <f t="shared" si="19"/>
        <v>514329.59010040475</v>
      </c>
      <c r="I119" s="31">
        <f t="shared" si="23"/>
        <v>401.88381117986899</v>
      </c>
      <c r="J119" s="31">
        <f t="shared" si="20"/>
        <v>49</v>
      </c>
      <c r="K119" s="31">
        <f t="shared" si="22"/>
        <v>102.35293240548513</v>
      </c>
      <c r="L119" s="31">
        <f t="shared" si="16"/>
        <v>3528.5288199326296</v>
      </c>
    </row>
    <row r="120" spans="1:12" x14ac:dyDescent="0.3">
      <c r="A120" s="18">
        <f t="shared" si="13"/>
        <v>2031</v>
      </c>
      <c r="B120" s="23">
        <f t="shared" si="14"/>
        <v>48122</v>
      </c>
      <c r="C120" s="26">
        <f t="shared" si="15"/>
        <v>3.6900000000000002E-2</v>
      </c>
      <c r="D120" s="13">
        <f t="shared" si="21"/>
        <v>2975.2920763472753</v>
      </c>
      <c r="E120" s="13">
        <f t="shared" si="17"/>
        <v>1581.5634895587445</v>
      </c>
      <c r="F120" s="13">
        <f t="shared" si="18"/>
        <v>1393.7285867885307</v>
      </c>
      <c r="G120" s="13">
        <f t="shared" si="19"/>
        <v>512935.86151361623</v>
      </c>
      <c r="I120" s="31">
        <f t="shared" si="23"/>
        <v>401.88381117986899</v>
      </c>
      <c r="J120" s="31">
        <f t="shared" si="20"/>
        <v>49</v>
      </c>
      <c r="K120" s="31">
        <f t="shared" si="22"/>
        <v>102.35293240548513</v>
      </c>
      <c r="L120" s="31">
        <f t="shared" si="16"/>
        <v>3528.5288199326296</v>
      </c>
    </row>
    <row r="121" spans="1:12" x14ac:dyDescent="0.3">
      <c r="A121" s="18">
        <f t="shared" si="13"/>
        <v>2031</v>
      </c>
      <c r="B121" s="23">
        <f t="shared" si="14"/>
        <v>48153</v>
      </c>
      <c r="C121" s="26">
        <f t="shared" si="15"/>
        <v>3.6900000000000002E-2</v>
      </c>
      <c r="D121" s="13">
        <f t="shared" si="21"/>
        <v>2975.2920763472753</v>
      </c>
      <c r="E121" s="13">
        <f t="shared" si="17"/>
        <v>1577.2777741543698</v>
      </c>
      <c r="F121" s="13">
        <f t="shared" si="18"/>
        <v>1398.0143021929055</v>
      </c>
      <c r="G121" s="13">
        <f t="shared" si="19"/>
        <v>511537.84721142333</v>
      </c>
      <c r="I121" s="31">
        <f t="shared" si="23"/>
        <v>401.88381117986899</v>
      </c>
      <c r="J121" s="31">
        <f t="shared" si="20"/>
        <v>49</v>
      </c>
      <c r="K121" s="31">
        <f t="shared" si="22"/>
        <v>102.35293240548513</v>
      </c>
      <c r="L121" s="31">
        <f t="shared" si="16"/>
        <v>3528.5288199326296</v>
      </c>
    </row>
    <row r="122" spans="1:12" x14ac:dyDescent="0.3">
      <c r="A122" s="18">
        <f t="shared" si="13"/>
        <v>2031</v>
      </c>
      <c r="B122" s="23">
        <f t="shared" si="14"/>
        <v>48183</v>
      </c>
      <c r="C122" s="26">
        <f t="shared" si="15"/>
        <v>3.6900000000000002E-2</v>
      </c>
      <c r="D122" s="13">
        <f t="shared" si="21"/>
        <v>2975.2920763472753</v>
      </c>
      <c r="E122" s="13">
        <f t="shared" si="17"/>
        <v>1572.9788801751267</v>
      </c>
      <c r="F122" s="13">
        <f t="shared" si="18"/>
        <v>1402.3131961721485</v>
      </c>
      <c r="G122" s="13">
        <f t="shared" si="19"/>
        <v>510135.53401525121</v>
      </c>
      <c r="I122" s="31">
        <f t="shared" si="23"/>
        <v>401.88381117986899</v>
      </c>
      <c r="J122" s="31">
        <f t="shared" si="20"/>
        <v>49</v>
      </c>
      <c r="K122" s="31">
        <f t="shared" si="22"/>
        <v>102.35293240548513</v>
      </c>
      <c r="L122" s="31">
        <f t="shared" si="16"/>
        <v>3528.5288199326296</v>
      </c>
    </row>
    <row r="123" spans="1:12" x14ac:dyDescent="0.3">
      <c r="A123" s="18">
        <f t="shared" si="13"/>
        <v>2032</v>
      </c>
      <c r="B123" s="23">
        <f t="shared" si="14"/>
        <v>48214</v>
      </c>
      <c r="C123" s="26">
        <f t="shared" si="15"/>
        <v>3.6900000000000002E-2</v>
      </c>
      <c r="D123" s="13">
        <f t="shared" si="21"/>
        <v>2975.2920763472753</v>
      </c>
      <c r="E123" s="13">
        <f t="shared" si="17"/>
        <v>1568.6667670968975</v>
      </c>
      <c r="F123" s="13">
        <f t="shared" si="18"/>
        <v>1406.6253092503778</v>
      </c>
      <c r="G123" s="13">
        <f t="shared" si="19"/>
        <v>508728.90870600083</v>
      </c>
      <c r="I123" s="31">
        <f t="shared" si="23"/>
        <v>413.94032551526504</v>
      </c>
      <c r="J123" s="31">
        <f t="shared" si="20"/>
        <v>49</v>
      </c>
      <c r="K123" s="31">
        <f t="shared" si="22"/>
        <v>105.42352037764969</v>
      </c>
      <c r="L123" s="31">
        <f t="shared" si="16"/>
        <v>3543.6559222401902</v>
      </c>
    </row>
    <row r="124" spans="1:12" x14ac:dyDescent="0.3">
      <c r="A124" s="18">
        <f t="shared" si="13"/>
        <v>2032</v>
      </c>
      <c r="B124" s="23">
        <f t="shared" si="14"/>
        <v>48245</v>
      </c>
      <c r="C124" s="26">
        <f t="shared" si="15"/>
        <v>3.6900000000000002E-2</v>
      </c>
      <c r="D124" s="13">
        <f t="shared" si="21"/>
        <v>2975.2920763472753</v>
      </c>
      <c r="E124" s="13">
        <f t="shared" si="17"/>
        <v>1564.3413942709528</v>
      </c>
      <c r="F124" s="13">
        <f t="shared" si="18"/>
        <v>1410.9506820763224</v>
      </c>
      <c r="G124" s="13">
        <f t="shared" si="19"/>
        <v>507317.9580239245</v>
      </c>
      <c r="I124" s="31">
        <f t="shared" si="23"/>
        <v>413.94032551526504</v>
      </c>
      <c r="J124" s="31">
        <f t="shared" si="20"/>
        <v>49</v>
      </c>
      <c r="K124" s="31">
        <f t="shared" si="22"/>
        <v>105.42352037764969</v>
      </c>
      <c r="L124" s="31">
        <f t="shared" si="16"/>
        <v>3543.6559222401902</v>
      </c>
    </row>
    <row r="125" spans="1:12" x14ac:dyDescent="0.3">
      <c r="A125" s="18">
        <f t="shared" si="13"/>
        <v>2032</v>
      </c>
      <c r="B125" s="23">
        <f t="shared" si="14"/>
        <v>48274</v>
      </c>
      <c r="C125" s="26">
        <f t="shared" si="15"/>
        <v>3.6900000000000002E-2</v>
      </c>
      <c r="D125" s="13">
        <f t="shared" si="21"/>
        <v>2975.2920763472753</v>
      </c>
      <c r="E125" s="13">
        <f t="shared" si="17"/>
        <v>1560.0027209235679</v>
      </c>
      <c r="F125" s="13">
        <f t="shared" si="18"/>
        <v>1415.2893554237073</v>
      </c>
      <c r="G125" s="13">
        <f t="shared" si="19"/>
        <v>505902.66866850079</v>
      </c>
      <c r="I125" s="31">
        <f t="shared" si="23"/>
        <v>413.94032551526504</v>
      </c>
      <c r="J125" s="31">
        <f t="shared" si="20"/>
        <v>49</v>
      </c>
      <c r="K125" s="31">
        <f t="shared" si="22"/>
        <v>105.42352037764969</v>
      </c>
      <c r="L125" s="31">
        <f t="shared" si="16"/>
        <v>3543.6559222401902</v>
      </c>
    </row>
    <row r="126" spans="1:12" x14ac:dyDescent="0.3">
      <c r="A126" s="18">
        <f t="shared" si="13"/>
        <v>2032</v>
      </c>
      <c r="B126" s="23">
        <f t="shared" si="14"/>
        <v>48305</v>
      </c>
      <c r="C126" s="26">
        <f t="shared" si="15"/>
        <v>3.6900000000000002E-2</v>
      </c>
      <c r="D126" s="13">
        <f t="shared" si="21"/>
        <v>2975.2920763472753</v>
      </c>
      <c r="E126" s="13">
        <f t="shared" si="17"/>
        <v>1555.6507061556401</v>
      </c>
      <c r="F126" s="13">
        <f t="shared" si="18"/>
        <v>1419.6413701916351</v>
      </c>
      <c r="G126" s="13">
        <f t="shared" si="19"/>
        <v>504483.02729830914</v>
      </c>
      <c r="I126" s="31">
        <f t="shared" si="23"/>
        <v>413.94032551526504</v>
      </c>
      <c r="J126" s="31">
        <f t="shared" si="20"/>
        <v>49</v>
      </c>
      <c r="K126" s="31">
        <f t="shared" si="22"/>
        <v>105.42352037764969</v>
      </c>
      <c r="L126" s="31">
        <f t="shared" si="16"/>
        <v>3543.6559222401902</v>
      </c>
    </row>
    <row r="127" spans="1:12" x14ac:dyDescent="0.3">
      <c r="A127" s="18">
        <f t="shared" si="13"/>
        <v>2032</v>
      </c>
      <c r="B127" s="23">
        <f t="shared" si="14"/>
        <v>48335</v>
      </c>
      <c r="C127" s="26">
        <f t="shared" si="15"/>
        <v>3.6900000000000002E-2</v>
      </c>
      <c r="D127" s="13">
        <f t="shared" si="21"/>
        <v>2975.2920763472753</v>
      </c>
      <c r="E127" s="13">
        <f t="shared" si="17"/>
        <v>1551.2853089423006</v>
      </c>
      <c r="F127" s="13">
        <f t="shared" si="18"/>
        <v>1424.0067674049747</v>
      </c>
      <c r="G127" s="13">
        <f t="shared" si="19"/>
        <v>503059.02053090418</v>
      </c>
      <c r="I127" s="31">
        <f t="shared" si="23"/>
        <v>413.94032551526504</v>
      </c>
      <c r="J127" s="31">
        <f t="shared" si="20"/>
        <v>49</v>
      </c>
      <c r="K127" s="31">
        <f t="shared" si="22"/>
        <v>105.42352037764969</v>
      </c>
      <c r="L127" s="31">
        <f t="shared" si="16"/>
        <v>3543.6559222401902</v>
      </c>
    </row>
    <row r="128" spans="1:12" x14ac:dyDescent="0.3">
      <c r="A128" s="18">
        <f t="shared" si="13"/>
        <v>2032</v>
      </c>
      <c r="B128" s="23">
        <f t="shared" si="14"/>
        <v>48366</v>
      </c>
      <c r="C128" s="26">
        <f t="shared" si="15"/>
        <v>3.6900000000000002E-2</v>
      </c>
      <c r="D128" s="13">
        <f t="shared" si="21"/>
        <v>2975.2920763472753</v>
      </c>
      <c r="E128" s="13">
        <f t="shared" si="17"/>
        <v>1546.9064881325305</v>
      </c>
      <c r="F128" s="13">
        <f t="shared" si="18"/>
        <v>1428.3855882147448</v>
      </c>
      <c r="G128" s="13">
        <f t="shared" si="19"/>
        <v>501630.63494268944</v>
      </c>
      <c r="I128" s="31">
        <f t="shared" si="23"/>
        <v>413.94032551526504</v>
      </c>
      <c r="J128" s="31">
        <f t="shared" si="20"/>
        <v>49</v>
      </c>
      <c r="K128" s="31">
        <f t="shared" si="22"/>
        <v>105.42352037764969</v>
      </c>
      <c r="L128" s="31">
        <f t="shared" si="16"/>
        <v>3543.6559222401902</v>
      </c>
    </row>
    <row r="129" spans="1:12" x14ac:dyDescent="0.3">
      <c r="A129" s="18">
        <f t="shared" si="13"/>
        <v>2032</v>
      </c>
      <c r="B129" s="23">
        <f t="shared" si="14"/>
        <v>48396</v>
      </c>
      <c r="C129" s="26">
        <f t="shared" si="15"/>
        <v>3.6900000000000002E-2</v>
      </c>
      <c r="D129" s="13">
        <f t="shared" si="21"/>
        <v>2975.2920763472753</v>
      </c>
      <c r="E129" s="13">
        <f t="shared" si="17"/>
        <v>1542.5142024487702</v>
      </c>
      <c r="F129" s="13">
        <f t="shared" si="18"/>
        <v>1432.777873898505</v>
      </c>
      <c r="G129" s="13">
        <f t="shared" si="19"/>
        <v>500197.85706879094</v>
      </c>
      <c r="I129" s="31">
        <f t="shared" si="23"/>
        <v>413.94032551526504</v>
      </c>
      <c r="J129" s="31">
        <f t="shared" si="20"/>
        <v>49</v>
      </c>
      <c r="K129" s="31">
        <f t="shared" si="22"/>
        <v>105.42352037764969</v>
      </c>
      <c r="L129" s="31">
        <f t="shared" si="16"/>
        <v>3543.6559222401902</v>
      </c>
    </row>
    <row r="130" spans="1:12" x14ac:dyDescent="0.3">
      <c r="A130" s="18">
        <f t="shared" si="13"/>
        <v>2032</v>
      </c>
      <c r="B130" s="23">
        <f t="shared" si="14"/>
        <v>48427</v>
      </c>
      <c r="C130" s="26">
        <f t="shared" si="15"/>
        <v>3.6900000000000002E-2</v>
      </c>
      <c r="D130" s="13">
        <f t="shared" si="21"/>
        <v>2975.2920763472753</v>
      </c>
      <c r="E130" s="13">
        <f t="shared" si="17"/>
        <v>1538.1084104865322</v>
      </c>
      <c r="F130" s="13">
        <f t="shared" si="18"/>
        <v>1437.1836658607431</v>
      </c>
      <c r="G130" s="13">
        <f t="shared" si="19"/>
        <v>498760.6734029302</v>
      </c>
      <c r="I130" s="31">
        <f t="shared" si="23"/>
        <v>413.94032551526504</v>
      </c>
      <c r="J130" s="31">
        <f t="shared" si="20"/>
        <v>49</v>
      </c>
      <c r="K130" s="31">
        <f t="shared" si="22"/>
        <v>105.42352037764969</v>
      </c>
      <c r="L130" s="31">
        <f t="shared" si="16"/>
        <v>3543.6559222401902</v>
      </c>
    </row>
    <row r="131" spans="1:12" x14ac:dyDescent="0.3">
      <c r="A131" s="18">
        <f t="shared" ref="A131:A194" si="24">YEAR(B131)</f>
        <v>2032</v>
      </c>
      <c r="B131" s="23">
        <f t="shared" si="14"/>
        <v>48458</v>
      </c>
      <c r="C131" s="26">
        <f t="shared" si="15"/>
        <v>3.6900000000000002E-2</v>
      </c>
      <c r="D131" s="13">
        <f t="shared" si="21"/>
        <v>2975.2920763472753</v>
      </c>
      <c r="E131" s="13">
        <f t="shared" si="17"/>
        <v>1533.6890707140103</v>
      </c>
      <c r="F131" s="13">
        <f t="shared" si="18"/>
        <v>1441.603005633265</v>
      </c>
      <c r="G131" s="13">
        <f t="shared" si="19"/>
        <v>497319.07039729692</v>
      </c>
      <c r="I131" s="31">
        <f t="shared" si="23"/>
        <v>413.94032551526504</v>
      </c>
      <c r="J131" s="31">
        <f t="shared" si="20"/>
        <v>49</v>
      </c>
      <c r="K131" s="31">
        <f t="shared" si="22"/>
        <v>105.42352037764969</v>
      </c>
      <c r="L131" s="31">
        <f t="shared" si="16"/>
        <v>3543.6559222401902</v>
      </c>
    </row>
    <row r="132" spans="1:12" x14ac:dyDescent="0.3">
      <c r="A132" s="18">
        <f t="shared" si="24"/>
        <v>2032</v>
      </c>
      <c r="B132" s="23">
        <f t="shared" ref="B132:B195" si="25">EDATE(B131,1)</f>
        <v>48488</v>
      </c>
      <c r="C132" s="26">
        <f t="shared" si="15"/>
        <v>3.6900000000000002E-2</v>
      </c>
      <c r="D132" s="13">
        <f t="shared" si="21"/>
        <v>2975.2920763472753</v>
      </c>
      <c r="E132" s="13">
        <f t="shared" si="17"/>
        <v>1529.2561414716881</v>
      </c>
      <c r="F132" s="13">
        <f t="shared" si="18"/>
        <v>1446.0359348755871</v>
      </c>
      <c r="G132" s="13">
        <f t="shared" si="19"/>
        <v>495873.03446242132</v>
      </c>
      <c r="I132" s="31">
        <f t="shared" si="23"/>
        <v>413.94032551526504</v>
      </c>
      <c r="J132" s="31">
        <f t="shared" si="20"/>
        <v>49</v>
      </c>
      <c r="K132" s="31">
        <f t="shared" si="22"/>
        <v>105.42352037764969</v>
      </c>
      <c r="L132" s="31">
        <f t="shared" si="16"/>
        <v>3543.6559222401902</v>
      </c>
    </row>
    <row r="133" spans="1:12" x14ac:dyDescent="0.3">
      <c r="A133" s="18">
        <f t="shared" si="24"/>
        <v>2032</v>
      </c>
      <c r="B133" s="23">
        <f t="shared" si="25"/>
        <v>48519</v>
      </c>
      <c r="C133" s="26">
        <f t="shared" ref="C133:C196" si="26">C132</f>
        <v>3.6900000000000002E-2</v>
      </c>
      <c r="D133" s="13">
        <f t="shared" si="21"/>
        <v>2975.2920763472753</v>
      </c>
      <c r="E133" s="13">
        <f t="shared" si="17"/>
        <v>1524.8095809719455</v>
      </c>
      <c r="F133" s="13">
        <f t="shared" si="18"/>
        <v>1450.4824953753298</v>
      </c>
      <c r="G133" s="13">
        <f t="shared" si="19"/>
        <v>494422.55196704599</v>
      </c>
      <c r="I133" s="31">
        <f t="shared" si="23"/>
        <v>413.94032551526504</v>
      </c>
      <c r="J133" s="31">
        <f t="shared" si="20"/>
        <v>49</v>
      </c>
      <c r="K133" s="31">
        <f t="shared" si="22"/>
        <v>105.42352037764969</v>
      </c>
      <c r="L133" s="31">
        <f t="shared" si="16"/>
        <v>3543.6559222401902</v>
      </c>
    </row>
    <row r="134" spans="1:12" x14ac:dyDescent="0.3">
      <c r="A134" s="18">
        <f t="shared" si="24"/>
        <v>2032</v>
      </c>
      <c r="B134" s="23">
        <f t="shared" si="25"/>
        <v>48549</v>
      </c>
      <c r="C134" s="26">
        <f t="shared" si="26"/>
        <v>3.6900000000000002E-2</v>
      </c>
      <c r="D134" s="13">
        <f t="shared" si="21"/>
        <v>2975.2920763472753</v>
      </c>
      <c r="E134" s="13">
        <f t="shared" si="17"/>
        <v>1520.3493472986665</v>
      </c>
      <c r="F134" s="13">
        <f t="shared" si="18"/>
        <v>1454.9427290486087</v>
      </c>
      <c r="G134" s="13">
        <f t="shared" si="19"/>
        <v>492967.60923799739</v>
      </c>
      <c r="I134" s="31">
        <f t="shared" si="23"/>
        <v>413.94032551526504</v>
      </c>
      <c r="J134" s="31">
        <f t="shared" si="20"/>
        <v>49</v>
      </c>
      <c r="K134" s="31">
        <f t="shared" si="22"/>
        <v>105.42352037764969</v>
      </c>
      <c r="L134" s="31">
        <f t="shared" ref="L134:L197" si="27">SUM(I134:K134,D134)</f>
        <v>3543.6559222401902</v>
      </c>
    </row>
    <row r="135" spans="1:12" x14ac:dyDescent="0.3">
      <c r="A135" s="18">
        <f t="shared" si="24"/>
        <v>2033</v>
      </c>
      <c r="B135" s="23">
        <f t="shared" si="25"/>
        <v>48580</v>
      </c>
      <c r="C135" s="26">
        <f t="shared" si="26"/>
        <v>3.6900000000000002E-2</v>
      </c>
      <c r="D135" s="13">
        <f t="shared" si="21"/>
        <v>2975.2920763472753</v>
      </c>
      <c r="E135" s="13">
        <f t="shared" ref="E135:E198" si="28">G134*C134/12</f>
        <v>1515.8753984068419</v>
      </c>
      <c r="F135" s="13">
        <f t="shared" ref="F135:F198" si="29">D135-E135</f>
        <v>1459.4166779404334</v>
      </c>
      <c r="G135" s="13">
        <f t="shared" ref="G135:G198" si="30">IF(G134-F135&lt;0,,G134-F135)</f>
        <v>491508.19256005692</v>
      </c>
      <c r="I135" s="31">
        <f t="shared" si="23"/>
        <v>426.358535280723</v>
      </c>
      <c r="J135" s="31">
        <f t="shared" ref="J135:J198" si="31">$P$6/12</f>
        <v>49</v>
      </c>
      <c r="K135" s="31">
        <f t="shared" si="22"/>
        <v>108.58622598897919</v>
      </c>
      <c r="L135" s="31">
        <f t="shared" si="27"/>
        <v>3559.2368376169775</v>
      </c>
    </row>
    <row r="136" spans="1:12" x14ac:dyDescent="0.3">
      <c r="A136" s="18">
        <f t="shared" si="24"/>
        <v>2033</v>
      </c>
      <c r="B136" s="23">
        <f t="shared" si="25"/>
        <v>48611</v>
      </c>
      <c r="C136" s="26">
        <f t="shared" si="26"/>
        <v>3.6900000000000002E-2</v>
      </c>
      <c r="D136" s="13">
        <f t="shared" ref="D136:D199" si="32">IF(G135&lt;=0,0,D135)</f>
        <v>2975.2920763472753</v>
      </c>
      <c r="E136" s="13">
        <f t="shared" si="28"/>
        <v>1511.3876921221752</v>
      </c>
      <c r="F136" s="13">
        <f t="shared" si="29"/>
        <v>1463.9043842251001</v>
      </c>
      <c r="G136" s="13">
        <f t="shared" si="30"/>
        <v>490044.28817583184</v>
      </c>
      <c r="I136" s="31">
        <f t="shared" si="23"/>
        <v>426.358535280723</v>
      </c>
      <c r="J136" s="31">
        <f t="shared" si="31"/>
        <v>49</v>
      </c>
      <c r="K136" s="31">
        <f t="shared" si="22"/>
        <v>108.58622598897919</v>
      </c>
      <c r="L136" s="31">
        <f t="shared" si="27"/>
        <v>3559.2368376169775</v>
      </c>
    </row>
    <row r="137" spans="1:12" x14ac:dyDescent="0.3">
      <c r="A137" s="18">
        <f t="shared" si="24"/>
        <v>2033</v>
      </c>
      <c r="B137" s="23">
        <f t="shared" si="25"/>
        <v>48639</v>
      </c>
      <c r="C137" s="26">
        <f t="shared" si="26"/>
        <v>3.6900000000000002E-2</v>
      </c>
      <c r="D137" s="13">
        <f t="shared" si="32"/>
        <v>2975.2920763472753</v>
      </c>
      <c r="E137" s="13">
        <f t="shared" si="28"/>
        <v>1506.8861861406831</v>
      </c>
      <c r="F137" s="13">
        <f t="shared" si="29"/>
        <v>1468.4058902065922</v>
      </c>
      <c r="G137" s="13">
        <f t="shared" si="30"/>
        <v>488575.88228562527</v>
      </c>
      <c r="I137" s="31">
        <f t="shared" si="23"/>
        <v>426.358535280723</v>
      </c>
      <c r="J137" s="31">
        <f t="shared" si="31"/>
        <v>49</v>
      </c>
      <c r="K137" s="31">
        <f t="shared" si="22"/>
        <v>108.58622598897919</v>
      </c>
      <c r="L137" s="31">
        <f t="shared" si="27"/>
        <v>3559.2368376169775</v>
      </c>
    </row>
    <row r="138" spans="1:12" x14ac:dyDescent="0.3">
      <c r="A138" s="18">
        <f t="shared" si="24"/>
        <v>2033</v>
      </c>
      <c r="B138" s="23">
        <f t="shared" si="25"/>
        <v>48670</v>
      </c>
      <c r="C138" s="26">
        <f t="shared" si="26"/>
        <v>3.6900000000000002E-2</v>
      </c>
      <c r="D138" s="13">
        <f t="shared" si="32"/>
        <v>2975.2920763472753</v>
      </c>
      <c r="E138" s="13">
        <f t="shared" si="28"/>
        <v>1502.3708380282978</v>
      </c>
      <c r="F138" s="13">
        <f t="shared" si="29"/>
        <v>1472.9212383189774</v>
      </c>
      <c r="G138" s="13">
        <f t="shared" si="30"/>
        <v>487102.96104730631</v>
      </c>
      <c r="I138" s="31">
        <f t="shared" si="23"/>
        <v>426.358535280723</v>
      </c>
      <c r="J138" s="31">
        <f t="shared" si="31"/>
        <v>49</v>
      </c>
      <c r="K138" s="31">
        <f t="shared" si="22"/>
        <v>108.58622598897919</v>
      </c>
      <c r="L138" s="31">
        <f t="shared" si="27"/>
        <v>3559.2368376169775</v>
      </c>
    </row>
    <row r="139" spans="1:12" x14ac:dyDescent="0.3">
      <c r="A139" s="18">
        <f t="shared" si="24"/>
        <v>2033</v>
      </c>
      <c r="B139" s="23">
        <f t="shared" si="25"/>
        <v>48700</v>
      </c>
      <c r="C139" s="26">
        <f t="shared" si="26"/>
        <v>3.6900000000000002E-2</v>
      </c>
      <c r="D139" s="13">
        <f t="shared" si="32"/>
        <v>2975.2920763472753</v>
      </c>
      <c r="E139" s="13">
        <f t="shared" si="28"/>
        <v>1497.8416052204668</v>
      </c>
      <c r="F139" s="13">
        <f t="shared" si="29"/>
        <v>1477.4504711268085</v>
      </c>
      <c r="G139" s="13">
        <f t="shared" si="30"/>
        <v>485625.51057617948</v>
      </c>
      <c r="I139" s="31">
        <f t="shared" si="23"/>
        <v>426.358535280723</v>
      </c>
      <c r="J139" s="31">
        <f t="shared" si="31"/>
        <v>49</v>
      </c>
      <c r="K139" s="31">
        <f t="shared" si="22"/>
        <v>108.58622598897919</v>
      </c>
      <c r="L139" s="31">
        <f t="shared" si="27"/>
        <v>3559.2368376169775</v>
      </c>
    </row>
    <row r="140" spans="1:12" x14ac:dyDescent="0.3">
      <c r="A140" s="18">
        <f t="shared" si="24"/>
        <v>2033</v>
      </c>
      <c r="B140" s="23">
        <f t="shared" si="25"/>
        <v>48731</v>
      </c>
      <c r="C140" s="26">
        <f t="shared" si="26"/>
        <v>3.6900000000000002E-2</v>
      </c>
      <c r="D140" s="13">
        <f t="shared" si="32"/>
        <v>2975.2920763472753</v>
      </c>
      <c r="E140" s="13">
        <f t="shared" si="28"/>
        <v>1493.2984450217521</v>
      </c>
      <c r="F140" s="13">
        <f t="shared" si="29"/>
        <v>1481.9936313255232</v>
      </c>
      <c r="G140" s="13">
        <f t="shared" si="30"/>
        <v>484143.51694485394</v>
      </c>
      <c r="I140" s="31">
        <f t="shared" si="23"/>
        <v>426.358535280723</v>
      </c>
      <c r="J140" s="31">
        <f t="shared" si="31"/>
        <v>49</v>
      </c>
      <c r="K140" s="31">
        <f t="shared" si="22"/>
        <v>108.58622598897919</v>
      </c>
      <c r="L140" s="31">
        <f t="shared" si="27"/>
        <v>3559.2368376169775</v>
      </c>
    </row>
    <row r="141" spans="1:12" x14ac:dyDescent="0.3">
      <c r="A141" s="18">
        <f t="shared" si="24"/>
        <v>2033</v>
      </c>
      <c r="B141" s="23">
        <f t="shared" si="25"/>
        <v>48761</v>
      </c>
      <c r="C141" s="26">
        <f t="shared" si="26"/>
        <v>3.6900000000000002E-2</v>
      </c>
      <c r="D141" s="13">
        <f t="shared" si="32"/>
        <v>2975.2920763472753</v>
      </c>
      <c r="E141" s="13">
        <f t="shared" si="28"/>
        <v>1488.7413146054259</v>
      </c>
      <c r="F141" s="13">
        <f t="shared" si="29"/>
        <v>1486.5507617418493</v>
      </c>
      <c r="G141" s="13">
        <f t="shared" si="30"/>
        <v>482656.96618311206</v>
      </c>
      <c r="I141" s="31">
        <f t="shared" si="23"/>
        <v>426.358535280723</v>
      </c>
      <c r="J141" s="31">
        <f t="shared" si="31"/>
        <v>49</v>
      </c>
      <c r="K141" s="31">
        <f t="shared" si="22"/>
        <v>108.58622598897919</v>
      </c>
      <c r="L141" s="31">
        <f t="shared" si="27"/>
        <v>3559.2368376169775</v>
      </c>
    </row>
    <row r="142" spans="1:12" x14ac:dyDescent="0.3">
      <c r="A142" s="18">
        <f t="shared" si="24"/>
        <v>2033</v>
      </c>
      <c r="B142" s="23">
        <f t="shared" si="25"/>
        <v>48792</v>
      </c>
      <c r="C142" s="26">
        <f t="shared" si="26"/>
        <v>3.6900000000000002E-2</v>
      </c>
      <c r="D142" s="13">
        <f t="shared" si="32"/>
        <v>2975.2920763472753</v>
      </c>
      <c r="E142" s="13">
        <f t="shared" si="28"/>
        <v>1484.1701710130699</v>
      </c>
      <c r="F142" s="13">
        <f t="shared" si="29"/>
        <v>1491.1219053342054</v>
      </c>
      <c r="G142" s="13">
        <f t="shared" si="30"/>
        <v>481165.84427777788</v>
      </c>
      <c r="I142" s="31">
        <f t="shared" si="23"/>
        <v>426.358535280723</v>
      </c>
      <c r="J142" s="31">
        <f t="shared" si="31"/>
        <v>49</v>
      </c>
      <c r="K142" s="31">
        <f t="shared" si="22"/>
        <v>108.58622598897919</v>
      </c>
      <c r="L142" s="31">
        <f t="shared" si="27"/>
        <v>3559.2368376169775</v>
      </c>
    </row>
    <row r="143" spans="1:12" x14ac:dyDescent="0.3">
      <c r="A143" s="18">
        <f t="shared" si="24"/>
        <v>2033</v>
      </c>
      <c r="B143" s="23">
        <f t="shared" si="25"/>
        <v>48823</v>
      </c>
      <c r="C143" s="26">
        <f t="shared" si="26"/>
        <v>3.6900000000000002E-2</v>
      </c>
      <c r="D143" s="13">
        <f t="shared" si="32"/>
        <v>2975.2920763472753</v>
      </c>
      <c r="E143" s="13">
        <f t="shared" si="28"/>
        <v>1479.5849711541671</v>
      </c>
      <c r="F143" s="13">
        <f t="shared" si="29"/>
        <v>1495.7071051931082</v>
      </c>
      <c r="G143" s="13">
        <f t="shared" si="30"/>
        <v>479670.13717258477</v>
      </c>
      <c r="I143" s="31">
        <f t="shared" si="23"/>
        <v>426.358535280723</v>
      </c>
      <c r="J143" s="31">
        <f t="shared" si="31"/>
        <v>49</v>
      </c>
      <c r="K143" s="31">
        <f t="shared" ref="K143:K206" si="33">K142*(1+$R$7)^(YEAR(B143)-YEAR(B142))</f>
        <v>108.58622598897919</v>
      </c>
      <c r="L143" s="31">
        <f t="shared" si="27"/>
        <v>3559.2368376169775</v>
      </c>
    </row>
    <row r="144" spans="1:12" x14ac:dyDescent="0.3">
      <c r="A144" s="18">
        <f t="shared" si="24"/>
        <v>2033</v>
      </c>
      <c r="B144" s="23">
        <f t="shared" si="25"/>
        <v>48853</v>
      </c>
      <c r="C144" s="26">
        <f t="shared" si="26"/>
        <v>3.6900000000000002E-2</v>
      </c>
      <c r="D144" s="13">
        <f t="shared" si="32"/>
        <v>2975.2920763472753</v>
      </c>
      <c r="E144" s="13">
        <f t="shared" si="28"/>
        <v>1474.9856718056983</v>
      </c>
      <c r="F144" s="13">
        <f t="shared" si="29"/>
        <v>1500.306404541577</v>
      </c>
      <c r="G144" s="13">
        <f t="shared" si="30"/>
        <v>478169.83076804318</v>
      </c>
      <c r="I144" s="31">
        <f t="shared" ref="I144:I207" si="34">I143*(1+$R$5)^(YEAR(B144)-YEAR(B143))</f>
        <v>426.358535280723</v>
      </c>
      <c r="J144" s="31">
        <f t="shared" si="31"/>
        <v>49</v>
      </c>
      <c r="K144" s="31">
        <f t="shared" si="33"/>
        <v>108.58622598897919</v>
      </c>
      <c r="L144" s="31">
        <f t="shared" si="27"/>
        <v>3559.2368376169775</v>
      </c>
    </row>
    <row r="145" spans="1:12" x14ac:dyDescent="0.3">
      <c r="A145" s="18">
        <f t="shared" si="24"/>
        <v>2033</v>
      </c>
      <c r="B145" s="23">
        <f t="shared" si="25"/>
        <v>48884</v>
      </c>
      <c r="C145" s="26">
        <f t="shared" si="26"/>
        <v>3.6900000000000002E-2</v>
      </c>
      <c r="D145" s="13">
        <f t="shared" si="32"/>
        <v>2975.2920763472753</v>
      </c>
      <c r="E145" s="13">
        <f t="shared" si="28"/>
        <v>1470.3722296117328</v>
      </c>
      <c r="F145" s="13">
        <f t="shared" si="29"/>
        <v>1504.9198467355425</v>
      </c>
      <c r="G145" s="13">
        <f t="shared" si="30"/>
        <v>476664.91092130763</v>
      </c>
      <c r="I145" s="31">
        <f t="shared" si="34"/>
        <v>426.358535280723</v>
      </c>
      <c r="J145" s="31">
        <f t="shared" si="31"/>
        <v>49</v>
      </c>
      <c r="K145" s="31">
        <f t="shared" si="33"/>
        <v>108.58622598897919</v>
      </c>
      <c r="L145" s="31">
        <f t="shared" si="27"/>
        <v>3559.2368376169775</v>
      </c>
    </row>
    <row r="146" spans="1:12" x14ac:dyDescent="0.3">
      <c r="A146" s="18">
        <f t="shared" si="24"/>
        <v>2033</v>
      </c>
      <c r="B146" s="23">
        <f t="shared" si="25"/>
        <v>48914</v>
      </c>
      <c r="C146" s="26">
        <f t="shared" si="26"/>
        <v>3.6900000000000002E-2</v>
      </c>
      <c r="D146" s="13">
        <f t="shared" si="32"/>
        <v>2975.2920763472753</v>
      </c>
      <c r="E146" s="13">
        <f t="shared" si="28"/>
        <v>1465.7446010830211</v>
      </c>
      <c r="F146" s="13">
        <f t="shared" si="29"/>
        <v>1509.5474752642542</v>
      </c>
      <c r="G146" s="13">
        <f t="shared" si="30"/>
        <v>475155.3634460434</v>
      </c>
      <c r="I146" s="31">
        <f t="shared" si="34"/>
        <v>426.358535280723</v>
      </c>
      <c r="J146" s="31">
        <f t="shared" si="31"/>
        <v>49</v>
      </c>
      <c r="K146" s="31">
        <f t="shared" si="33"/>
        <v>108.58622598897919</v>
      </c>
      <c r="L146" s="31">
        <f t="shared" si="27"/>
        <v>3559.2368376169775</v>
      </c>
    </row>
    <row r="147" spans="1:12" x14ac:dyDescent="0.3">
      <c r="A147" s="18">
        <f t="shared" si="24"/>
        <v>2034</v>
      </c>
      <c r="B147" s="23">
        <f t="shared" si="25"/>
        <v>48945</v>
      </c>
      <c r="C147" s="26">
        <f t="shared" si="26"/>
        <v>3.6900000000000002E-2</v>
      </c>
      <c r="D147" s="13">
        <f t="shared" si="32"/>
        <v>2975.2920763472753</v>
      </c>
      <c r="E147" s="13">
        <f t="shared" si="28"/>
        <v>1461.1027425965833</v>
      </c>
      <c r="F147" s="13">
        <f t="shared" si="29"/>
        <v>1514.189333750692</v>
      </c>
      <c r="G147" s="13">
        <f t="shared" si="30"/>
        <v>473641.17411229271</v>
      </c>
      <c r="I147" s="31">
        <f t="shared" si="34"/>
        <v>439.14929133914472</v>
      </c>
      <c r="J147" s="31">
        <f t="shared" si="31"/>
        <v>49</v>
      </c>
      <c r="K147" s="31">
        <f t="shared" si="33"/>
        <v>111.84381276864858</v>
      </c>
      <c r="L147" s="31">
        <f t="shared" si="27"/>
        <v>3575.2851804550687</v>
      </c>
    </row>
    <row r="148" spans="1:12" x14ac:dyDescent="0.3">
      <c r="A148" s="18">
        <f t="shared" si="24"/>
        <v>2034</v>
      </c>
      <c r="B148" s="23">
        <f t="shared" si="25"/>
        <v>48976</v>
      </c>
      <c r="C148" s="26">
        <f t="shared" si="26"/>
        <v>3.6900000000000002E-2</v>
      </c>
      <c r="D148" s="13">
        <f t="shared" si="32"/>
        <v>2975.2920763472753</v>
      </c>
      <c r="E148" s="13">
        <f t="shared" si="28"/>
        <v>1456.4466103953</v>
      </c>
      <c r="F148" s="13">
        <f t="shared" si="29"/>
        <v>1518.8454659519753</v>
      </c>
      <c r="G148" s="13">
        <f t="shared" si="30"/>
        <v>472122.32864634076</v>
      </c>
      <c r="I148" s="31">
        <f t="shared" si="34"/>
        <v>439.14929133914472</v>
      </c>
      <c r="J148" s="31">
        <f t="shared" si="31"/>
        <v>49</v>
      </c>
      <c r="K148" s="31">
        <f t="shared" si="33"/>
        <v>111.84381276864858</v>
      </c>
      <c r="L148" s="31">
        <f t="shared" si="27"/>
        <v>3575.2851804550687</v>
      </c>
    </row>
    <row r="149" spans="1:12" x14ac:dyDescent="0.3">
      <c r="A149" s="18">
        <f t="shared" si="24"/>
        <v>2034</v>
      </c>
      <c r="B149" s="23">
        <f t="shared" si="25"/>
        <v>49004</v>
      </c>
      <c r="C149" s="26">
        <f t="shared" si="26"/>
        <v>3.6900000000000002E-2</v>
      </c>
      <c r="D149" s="13">
        <f t="shared" si="32"/>
        <v>2975.2920763472753</v>
      </c>
      <c r="E149" s="13">
        <f t="shared" si="28"/>
        <v>1451.7761605874978</v>
      </c>
      <c r="F149" s="13">
        <f t="shared" si="29"/>
        <v>1523.5159157597775</v>
      </c>
      <c r="G149" s="13">
        <f t="shared" si="30"/>
        <v>470598.81273058098</v>
      </c>
      <c r="I149" s="31">
        <f t="shared" si="34"/>
        <v>439.14929133914472</v>
      </c>
      <c r="J149" s="31">
        <f t="shared" si="31"/>
        <v>49</v>
      </c>
      <c r="K149" s="31">
        <f t="shared" si="33"/>
        <v>111.84381276864858</v>
      </c>
      <c r="L149" s="31">
        <f t="shared" si="27"/>
        <v>3575.2851804550687</v>
      </c>
    </row>
    <row r="150" spans="1:12" x14ac:dyDescent="0.3">
      <c r="A150" s="18">
        <f t="shared" si="24"/>
        <v>2034</v>
      </c>
      <c r="B150" s="23">
        <f t="shared" si="25"/>
        <v>49035</v>
      </c>
      <c r="C150" s="26">
        <f t="shared" si="26"/>
        <v>3.6900000000000002E-2</v>
      </c>
      <c r="D150" s="13">
        <f t="shared" si="32"/>
        <v>2975.2920763472753</v>
      </c>
      <c r="E150" s="13">
        <f t="shared" si="28"/>
        <v>1447.0913491465365</v>
      </c>
      <c r="F150" s="13">
        <f t="shared" si="29"/>
        <v>1528.2007272007388</v>
      </c>
      <c r="G150" s="13">
        <f t="shared" si="30"/>
        <v>469070.61200338026</v>
      </c>
      <c r="I150" s="31">
        <f t="shared" si="34"/>
        <v>439.14929133914472</v>
      </c>
      <c r="J150" s="31">
        <f t="shared" si="31"/>
        <v>49</v>
      </c>
      <c r="K150" s="31">
        <f t="shared" si="33"/>
        <v>111.84381276864858</v>
      </c>
      <c r="L150" s="31">
        <f t="shared" si="27"/>
        <v>3575.2851804550687</v>
      </c>
    </row>
    <row r="151" spans="1:12" x14ac:dyDescent="0.3">
      <c r="A151" s="18">
        <f t="shared" si="24"/>
        <v>2034</v>
      </c>
      <c r="B151" s="23">
        <f t="shared" si="25"/>
        <v>49065</v>
      </c>
      <c r="C151" s="26">
        <f t="shared" si="26"/>
        <v>3.6900000000000002E-2</v>
      </c>
      <c r="D151" s="13">
        <f t="shared" si="32"/>
        <v>2975.2920763472753</v>
      </c>
      <c r="E151" s="13">
        <f t="shared" si="28"/>
        <v>1442.3921319103945</v>
      </c>
      <c r="F151" s="13">
        <f t="shared" si="29"/>
        <v>1532.8999444368808</v>
      </c>
      <c r="G151" s="13">
        <f t="shared" si="30"/>
        <v>467537.71205894341</v>
      </c>
      <c r="I151" s="31">
        <f t="shared" si="34"/>
        <v>439.14929133914472</v>
      </c>
      <c r="J151" s="31">
        <f t="shared" si="31"/>
        <v>49</v>
      </c>
      <c r="K151" s="31">
        <f t="shared" si="33"/>
        <v>111.84381276864858</v>
      </c>
      <c r="L151" s="31">
        <f t="shared" si="27"/>
        <v>3575.2851804550687</v>
      </c>
    </row>
    <row r="152" spans="1:12" x14ac:dyDescent="0.3">
      <c r="A152" s="18">
        <f t="shared" si="24"/>
        <v>2034</v>
      </c>
      <c r="B152" s="23">
        <f t="shared" si="25"/>
        <v>49096</v>
      </c>
      <c r="C152" s="26">
        <f t="shared" si="26"/>
        <v>3.6900000000000002E-2</v>
      </c>
      <c r="D152" s="13">
        <f t="shared" si="32"/>
        <v>2975.2920763472753</v>
      </c>
      <c r="E152" s="13">
        <f t="shared" si="28"/>
        <v>1437.6784645812511</v>
      </c>
      <c r="F152" s="13">
        <f t="shared" si="29"/>
        <v>1537.6136117660242</v>
      </c>
      <c r="G152" s="13">
        <f t="shared" si="30"/>
        <v>466000.09844717738</v>
      </c>
      <c r="I152" s="31">
        <f t="shared" si="34"/>
        <v>439.14929133914472</v>
      </c>
      <c r="J152" s="31">
        <f t="shared" si="31"/>
        <v>49</v>
      </c>
      <c r="K152" s="31">
        <f t="shared" si="33"/>
        <v>111.84381276864858</v>
      </c>
      <c r="L152" s="31">
        <f t="shared" si="27"/>
        <v>3575.2851804550687</v>
      </c>
    </row>
    <row r="153" spans="1:12" x14ac:dyDescent="0.3">
      <c r="A153" s="18">
        <f t="shared" si="24"/>
        <v>2034</v>
      </c>
      <c r="B153" s="23">
        <f t="shared" si="25"/>
        <v>49126</v>
      </c>
      <c r="C153" s="26">
        <f t="shared" si="26"/>
        <v>3.6900000000000002E-2</v>
      </c>
      <c r="D153" s="13">
        <f t="shared" si="32"/>
        <v>2975.2920763472753</v>
      </c>
      <c r="E153" s="13">
        <f t="shared" si="28"/>
        <v>1432.9503027250705</v>
      </c>
      <c r="F153" s="13">
        <f t="shared" si="29"/>
        <v>1542.3417736222048</v>
      </c>
      <c r="G153" s="13">
        <f t="shared" si="30"/>
        <v>464457.75667355518</v>
      </c>
      <c r="I153" s="31">
        <f t="shared" si="34"/>
        <v>439.14929133914472</v>
      </c>
      <c r="J153" s="31">
        <f t="shared" si="31"/>
        <v>49</v>
      </c>
      <c r="K153" s="31">
        <f t="shared" si="33"/>
        <v>111.84381276864858</v>
      </c>
      <c r="L153" s="31">
        <f t="shared" si="27"/>
        <v>3575.2851804550687</v>
      </c>
    </row>
    <row r="154" spans="1:12" x14ac:dyDescent="0.3">
      <c r="A154" s="18">
        <f t="shared" si="24"/>
        <v>2034</v>
      </c>
      <c r="B154" s="23">
        <f t="shared" si="25"/>
        <v>49157</v>
      </c>
      <c r="C154" s="26">
        <f t="shared" si="26"/>
        <v>3.6900000000000002E-2</v>
      </c>
      <c r="D154" s="13">
        <f t="shared" si="32"/>
        <v>2975.2920763472753</v>
      </c>
      <c r="E154" s="13">
        <f t="shared" si="28"/>
        <v>1428.2076017711822</v>
      </c>
      <c r="F154" s="13">
        <f t="shared" si="29"/>
        <v>1547.084474576093</v>
      </c>
      <c r="G154" s="13">
        <f t="shared" si="30"/>
        <v>462910.67219897907</v>
      </c>
      <c r="I154" s="31">
        <f t="shared" si="34"/>
        <v>439.14929133914472</v>
      </c>
      <c r="J154" s="31">
        <f t="shared" si="31"/>
        <v>49</v>
      </c>
      <c r="K154" s="31">
        <f t="shared" si="33"/>
        <v>111.84381276864858</v>
      </c>
      <c r="L154" s="31">
        <f t="shared" si="27"/>
        <v>3575.2851804550687</v>
      </c>
    </row>
    <row r="155" spans="1:12" x14ac:dyDescent="0.3">
      <c r="A155" s="18">
        <f t="shared" si="24"/>
        <v>2034</v>
      </c>
      <c r="B155" s="23">
        <f t="shared" si="25"/>
        <v>49188</v>
      </c>
      <c r="C155" s="26">
        <f t="shared" si="26"/>
        <v>3.6900000000000002E-2</v>
      </c>
      <c r="D155" s="13">
        <f t="shared" si="32"/>
        <v>2975.2920763472753</v>
      </c>
      <c r="E155" s="13">
        <f t="shared" si="28"/>
        <v>1423.4503170118608</v>
      </c>
      <c r="F155" s="13">
        <f t="shared" si="29"/>
        <v>1551.8417593354145</v>
      </c>
      <c r="G155" s="13">
        <f t="shared" si="30"/>
        <v>461358.83043964364</v>
      </c>
      <c r="I155" s="31">
        <f t="shared" si="34"/>
        <v>439.14929133914472</v>
      </c>
      <c r="J155" s="31">
        <f t="shared" si="31"/>
        <v>49</v>
      </c>
      <c r="K155" s="31">
        <f t="shared" si="33"/>
        <v>111.84381276864858</v>
      </c>
      <c r="L155" s="31">
        <f t="shared" si="27"/>
        <v>3575.2851804550687</v>
      </c>
    </row>
    <row r="156" spans="1:12" x14ac:dyDescent="0.3">
      <c r="A156" s="18">
        <f t="shared" si="24"/>
        <v>2034</v>
      </c>
      <c r="B156" s="23">
        <f t="shared" si="25"/>
        <v>49218</v>
      </c>
      <c r="C156" s="26">
        <f t="shared" si="26"/>
        <v>3.6900000000000002E-2</v>
      </c>
      <c r="D156" s="13">
        <f t="shared" si="32"/>
        <v>2975.2920763472753</v>
      </c>
      <c r="E156" s="13">
        <f t="shared" si="28"/>
        <v>1418.6784036019044</v>
      </c>
      <c r="F156" s="13">
        <f t="shared" si="29"/>
        <v>1556.6136727453709</v>
      </c>
      <c r="G156" s="13">
        <f t="shared" si="30"/>
        <v>459802.21676689829</v>
      </c>
      <c r="I156" s="31">
        <f t="shared" si="34"/>
        <v>439.14929133914472</v>
      </c>
      <c r="J156" s="31">
        <f t="shared" si="31"/>
        <v>49</v>
      </c>
      <c r="K156" s="31">
        <f t="shared" si="33"/>
        <v>111.84381276864858</v>
      </c>
      <c r="L156" s="31">
        <f t="shared" si="27"/>
        <v>3575.2851804550687</v>
      </c>
    </row>
    <row r="157" spans="1:12" x14ac:dyDescent="0.3">
      <c r="A157" s="18">
        <f t="shared" si="24"/>
        <v>2034</v>
      </c>
      <c r="B157" s="23">
        <f t="shared" si="25"/>
        <v>49249</v>
      </c>
      <c r="C157" s="26">
        <f t="shared" si="26"/>
        <v>3.6900000000000002E-2</v>
      </c>
      <c r="D157" s="13">
        <f t="shared" si="32"/>
        <v>2975.2920763472753</v>
      </c>
      <c r="E157" s="13">
        <f t="shared" si="28"/>
        <v>1413.8918165582124</v>
      </c>
      <c r="F157" s="13">
        <f t="shared" si="29"/>
        <v>1561.4002597890628</v>
      </c>
      <c r="G157" s="13">
        <f t="shared" si="30"/>
        <v>458240.81650710921</v>
      </c>
      <c r="I157" s="31">
        <f t="shared" si="34"/>
        <v>439.14929133914472</v>
      </c>
      <c r="J157" s="31">
        <f t="shared" si="31"/>
        <v>49</v>
      </c>
      <c r="K157" s="31">
        <f t="shared" si="33"/>
        <v>111.84381276864858</v>
      </c>
      <c r="L157" s="31">
        <f t="shared" si="27"/>
        <v>3575.2851804550687</v>
      </c>
    </row>
    <row r="158" spans="1:12" x14ac:dyDescent="0.3">
      <c r="A158" s="18">
        <f t="shared" si="24"/>
        <v>2034</v>
      </c>
      <c r="B158" s="23">
        <f t="shared" si="25"/>
        <v>49279</v>
      </c>
      <c r="C158" s="26">
        <f t="shared" si="26"/>
        <v>3.6900000000000002E-2</v>
      </c>
      <c r="D158" s="13">
        <f t="shared" si="32"/>
        <v>2975.2920763472753</v>
      </c>
      <c r="E158" s="13">
        <f t="shared" si="28"/>
        <v>1409.0905107593608</v>
      </c>
      <c r="F158" s="13">
        <f t="shared" si="29"/>
        <v>1566.2015655879145</v>
      </c>
      <c r="G158" s="13">
        <f t="shared" si="30"/>
        <v>456674.61494152131</v>
      </c>
      <c r="I158" s="31">
        <f t="shared" si="34"/>
        <v>439.14929133914472</v>
      </c>
      <c r="J158" s="31">
        <f t="shared" si="31"/>
        <v>49</v>
      </c>
      <c r="K158" s="31">
        <f t="shared" si="33"/>
        <v>111.84381276864858</v>
      </c>
      <c r="L158" s="31">
        <f t="shared" si="27"/>
        <v>3575.2851804550687</v>
      </c>
    </row>
    <row r="159" spans="1:12" x14ac:dyDescent="0.3">
      <c r="A159" s="18">
        <f t="shared" si="24"/>
        <v>2035</v>
      </c>
      <c r="B159" s="23">
        <f t="shared" si="25"/>
        <v>49310</v>
      </c>
      <c r="C159" s="26">
        <f t="shared" si="26"/>
        <v>3.6900000000000002E-2</v>
      </c>
      <c r="D159" s="13">
        <f t="shared" si="32"/>
        <v>2975.2920763472753</v>
      </c>
      <c r="E159" s="13">
        <f t="shared" si="28"/>
        <v>1404.2744409451782</v>
      </c>
      <c r="F159" s="13">
        <f t="shared" si="29"/>
        <v>1571.0176354020971</v>
      </c>
      <c r="G159" s="13">
        <f t="shared" si="30"/>
        <v>455103.59730611922</v>
      </c>
      <c r="I159" s="31">
        <f t="shared" si="34"/>
        <v>452.3237700793191</v>
      </c>
      <c r="J159" s="31">
        <f t="shared" si="31"/>
        <v>49</v>
      </c>
      <c r="K159" s="31">
        <f t="shared" si="33"/>
        <v>115.19912715170804</v>
      </c>
      <c r="L159" s="31">
        <f t="shared" si="27"/>
        <v>3591.8149735783027</v>
      </c>
    </row>
    <row r="160" spans="1:12" x14ac:dyDescent="0.3">
      <c r="A160" s="18">
        <f t="shared" si="24"/>
        <v>2035</v>
      </c>
      <c r="B160" s="23">
        <f t="shared" si="25"/>
        <v>49341</v>
      </c>
      <c r="C160" s="26">
        <f t="shared" si="26"/>
        <v>3.6900000000000002E-2</v>
      </c>
      <c r="D160" s="13">
        <f t="shared" si="32"/>
        <v>2975.2920763472753</v>
      </c>
      <c r="E160" s="13">
        <f t="shared" si="28"/>
        <v>1399.4435617163165</v>
      </c>
      <c r="F160" s="13">
        <f t="shared" si="29"/>
        <v>1575.8485146309588</v>
      </c>
      <c r="G160" s="13">
        <f t="shared" si="30"/>
        <v>453527.74879148824</v>
      </c>
      <c r="I160" s="31">
        <f t="shared" si="34"/>
        <v>452.3237700793191</v>
      </c>
      <c r="J160" s="31">
        <f t="shared" si="31"/>
        <v>49</v>
      </c>
      <c r="K160" s="31">
        <f t="shared" si="33"/>
        <v>115.19912715170804</v>
      </c>
      <c r="L160" s="31">
        <f t="shared" si="27"/>
        <v>3591.8149735783027</v>
      </c>
    </row>
    <row r="161" spans="1:12" x14ac:dyDescent="0.3">
      <c r="A161" s="18">
        <f t="shared" si="24"/>
        <v>2035</v>
      </c>
      <c r="B161" s="23">
        <f t="shared" si="25"/>
        <v>49369</v>
      </c>
      <c r="C161" s="26">
        <f t="shared" si="26"/>
        <v>3.6900000000000002E-2</v>
      </c>
      <c r="D161" s="13">
        <f t="shared" si="32"/>
        <v>2975.2920763472753</v>
      </c>
      <c r="E161" s="13">
        <f t="shared" si="28"/>
        <v>1394.5978275338264</v>
      </c>
      <c r="F161" s="13">
        <f t="shared" si="29"/>
        <v>1580.6942488134489</v>
      </c>
      <c r="G161" s="13">
        <f t="shared" si="30"/>
        <v>451947.0545426748</v>
      </c>
      <c r="I161" s="31">
        <f t="shared" si="34"/>
        <v>452.3237700793191</v>
      </c>
      <c r="J161" s="31">
        <f t="shared" si="31"/>
        <v>49</v>
      </c>
      <c r="K161" s="31">
        <f t="shared" si="33"/>
        <v>115.19912715170804</v>
      </c>
      <c r="L161" s="31">
        <f t="shared" si="27"/>
        <v>3591.8149735783027</v>
      </c>
    </row>
    <row r="162" spans="1:12" x14ac:dyDescent="0.3">
      <c r="A162" s="18">
        <f t="shared" si="24"/>
        <v>2035</v>
      </c>
      <c r="B162" s="23">
        <f t="shared" si="25"/>
        <v>49400</v>
      </c>
      <c r="C162" s="26">
        <f t="shared" si="26"/>
        <v>3.6900000000000002E-2</v>
      </c>
      <c r="D162" s="13">
        <f t="shared" si="32"/>
        <v>2975.2920763472753</v>
      </c>
      <c r="E162" s="13">
        <f t="shared" si="28"/>
        <v>1389.7371927187251</v>
      </c>
      <c r="F162" s="13">
        <f t="shared" si="29"/>
        <v>1585.5548836285502</v>
      </c>
      <c r="G162" s="13">
        <f t="shared" si="30"/>
        <v>450361.49965904624</v>
      </c>
      <c r="I162" s="31">
        <f t="shared" si="34"/>
        <v>452.3237700793191</v>
      </c>
      <c r="J162" s="31">
        <f t="shared" si="31"/>
        <v>49</v>
      </c>
      <c r="K162" s="31">
        <f t="shared" si="33"/>
        <v>115.19912715170804</v>
      </c>
      <c r="L162" s="31">
        <f t="shared" si="27"/>
        <v>3591.8149735783027</v>
      </c>
    </row>
    <row r="163" spans="1:12" x14ac:dyDescent="0.3">
      <c r="A163" s="18">
        <f t="shared" si="24"/>
        <v>2035</v>
      </c>
      <c r="B163" s="23">
        <f t="shared" si="25"/>
        <v>49430</v>
      </c>
      <c r="C163" s="26">
        <f t="shared" si="26"/>
        <v>3.6900000000000002E-2</v>
      </c>
      <c r="D163" s="13">
        <f t="shared" si="32"/>
        <v>2975.2920763472753</v>
      </c>
      <c r="E163" s="13">
        <f t="shared" si="28"/>
        <v>1384.8616114515673</v>
      </c>
      <c r="F163" s="13">
        <f t="shared" si="29"/>
        <v>1590.4304648957079</v>
      </c>
      <c r="G163" s="13">
        <f t="shared" si="30"/>
        <v>448771.06919415051</v>
      </c>
      <c r="I163" s="31">
        <f t="shared" si="34"/>
        <v>452.3237700793191</v>
      </c>
      <c r="J163" s="31">
        <f t="shared" si="31"/>
        <v>49</v>
      </c>
      <c r="K163" s="31">
        <f t="shared" si="33"/>
        <v>115.19912715170804</v>
      </c>
      <c r="L163" s="31">
        <f t="shared" si="27"/>
        <v>3591.8149735783027</v>
      </c>
    </row>
    <row r="164" spans="1:12" x14ac:dyDescent="0.3">
      <c r="A164" s="18">
        <f t="shared" si="24"/>
        <v>2035</v>
      </c>
      <c r="B164" s="23">
        <f t="shared" si="25"/>
        <v>49461</v>
      </c>
      <c r="C164" s="26">
        <f t="shared" si="26"/>
        <v>3.6900000000000002E-2</v>
      </c>
      <c r="D164" s="13">
        <f t="shared" si="32"/>
        <v>2975.2920763472753</v>
      </c>
      <c r="E164" s="13">
        <f t="shared" si="28"/>
        <v>1379.971037772013</v>
      </c>
      <c r="F164" s="13">
        <f t="shared" si="29"/>
        <v>1595.3210385752623</v>
      </c>
      <c r="G164" s="13">
        <f t="shared" si="30"/>
        <v>447175.74815557525</v>
      </c>
      <c r="I164" s="31">
        <f t="shared" si="34"/>
        <v>452.3237700793191</v>
      </c>
      <c r="J164" s="31">
        <f t="shared" si="31"/>
        <v>49</v>
      </c>
      <c r="K164" s="31">
        <f t="shared" si="33"/>
        <v>115.19912715170804</v>
      </c>
      <c r="L164" s="31">
        <f t="shared" si="27"/>
        <v>3591.8149735783027</v>
      </c>
    </row>
    <row r="165" spans="1:12" x14ac:dyDescent="0.3">
      <c r="A165" s="18">
        <f t="shared" si="24"/>
        <v>2035</v>
      </c>
      <c r="B165" s="23">
        <f t="shared" si="25"/>
        <v>49491</v>
      </c>
      <c r="C165" s="26">
        <f t="shared" si="26"/>
        <v>3.6900000000000002E-2</v>
      </c>
      <c r="D165" s="13">
        <f t="shared" si="32"/>
        <v>2975.2920763472753</v>
      </c>
      <c r="E165" s="13">
        <f t="shared" si="28"/>
        <v>1375.0654255783938</v>
      </c>
      <c r="F165" s="13">
        <f t="shared" si="29"/>
        <v>1600.2266507688814</v>
      </c>
      <c r="G165" s="13">
        <f t="shared" si="30"/>
        <v>445575.52150480635</v>
      </c>
      <c r="I165" s="31">
        <f t="shared" si="34"/>
        <v>452.3237700793191</v>
      </c>
      <c r="J165" s="31">
        <f t="shared" si="31"/>
        <v>49</v>
      </c>
      <c r="K165" s="31">
        <f t="shared" si="33"/>
        <v>115.19912715170804</v>
      </c>
      <c r="L165" s="31">
        <f t="shared" si="27"/>
        <v>3591.8149735783027</v>
      </c>
    </row>
    <row r="166" spans="1:12" x14ac:dyDescent="0.3">
      <c r="A166" s="18">
        <f t="shared" si="24"/>
        <v>2035</v>
      </c>
      <c r="B166" s="23">
        <f t="shared" si="25"/>
        <v>49522</v>
      </c>
      <c r="C166" s="26">
        <f t="shared" si="26"/>
        <v>3.6900000000000002E-2</v>
      </c>
      <c r="D166" s="13">
        <f t="shared" si="32"/>
        <v>2975.2920763472753</v>
      </c>
      <c r="E166" s="13">
        <f t="shared" si="28"/>
        <v>1370.1447286272796</v>
      </c>
      <c r="F166" s="13">
        <f t="shared" si="29"/>
        <v>1605.1473477199957</v>
      </c>
      <c r="G166" s="13">
        <f t="shared" si="30"/>
        <v>443970.37415708636</v>
      </c>
      <c r="I166" s="31">
        <f t="shared" si="34"/>
        <v>452.3237700793191</v>
      </c>
      <c r="J166" s="31">
        <f t="shared" si="31"/>
        <v>49</v>
      </c>
      <c r="K166" s="31">
        <f t="shared" si="33"/>
        <v>115.19912715170804</v>
      </c>
      <c r="L166" s="31">
        <f t="shared" si="27"/>
        <v>3591.8149735783027</v>
      </c>
    </row>
    <row r="167" spans="1:12" x14ac:dyDescent="0.3">
      <c r="A167" s="18">
        <f t="shared" si="24"/>
        <v>2035</v>
      </c>
      <c r="B167" s="23">
        <f t="shared" si="25"/>
        <v>49553</v>
      </c>
      <c r="C167" s="26">
        <f t="shared" si="26"/>
        <v>3.6900000000000002E-2</v>
      </c>
      <c r="D167" s="13">
        <f t="shared" si="32"/>
        <v>2975.2920763472753</v>
      </c>
      <c r="E167" s="13">
        <f t="shared" si="28"/>
        <v>1365.2089005330406</v>
      </c>
      <c r="F167" s="13">
        <f t="shared" si="29"/>
        <v>1610.0831758142347</v>
      </c>
      <c r="G167" s="13">
        <f t="shared" si="30"/>
        <v>442360.29098127212</v>
      </c>
      <c r="I167" s="31">
        <f t="shared" si="34"/>
        <v>452.3237700793191</v>
      </c>
      <c r="J167" s="31">
        <f t="shared" si="31"/>
        <v>49</v>
      </c>
      <c r="K167" s="31">
        <f t="shared" si="33"/>
        <v>115.19912715170804</v>
      </c>
      <c r="L167" s="31">
        <f t="shared" si="27"/>
        <v>3591.8149735783027</v>
      </c>
    </row>
    <row r="168" spans="1:12" x14ac:dyDescent="0.3">
      <c r="A168" s="18">
        <f t="shared" si="24"/>
        <v>2035</v>
      </c>
      <c r="B168" s="23">
        <f t="shared" si="25"/>
        <v>49583</v>
      </c>
      <c r="C168" s="26">
        <f t="shared" si="26"/>
        <v>3.6900000000000002E-2</v>
      </c>
      <c r="D168" s="13">
        <f t="shared" si="32"/>
        <v>2975.2920763472753</v>
      </c>
      <c r="E168" s="13">
        <f t="shared" si="28"/>
        <v>1360.2578947674117</v>
      </c>
      <c r="F168" s="13">
        <f t="shared" si="29"/>
        <v>1615.0341815798636</v>
      </c>
      <c r="G168" s="13">
        <f t="shared" si="30"/>
        <v>440745.25679969223</v>
      </c>
      <c r="I168" s="31">
        <f t="shared" si="34"/>
        <v>452.3237700793191</v>
      </c>
      <c r="J168" s="31">
        <f t="shared" si="31"/>
        <v>49</v>
      </c>
      <c r="K168" s="31">
        <f t="shared" si="33"/>
        <v>115.19912715170804</v>
      </c>
      <c r="L168" s="31">
        <f t="shared" si="27"/>
        <v>3591.8149735783027</v>
      </c>
    </row>
    <row r="169" spans="1:12" x14ac:dyDescent="0.3">
      <c r="A169" s="18">
        <f t="shared" si="24"/>
        <v>2035</v>
      </c>
      <c r="B169" s="23">
        <f t="shared" si="25"/>
        <v>49614</v>
      </c>
      <c r="C169" s="26">
        <f t="shared" si="26"/>
        <v>3.6900000000000002E-2</v>
      </c>
      <c r="D169" s="13">
        <f t="shared" si="32"/>
        <v>2975.2920763472753</v>
      </c>
      <c r="E169" s="13">
        <f t="shared" si="28"/>
        <v>1355.2916646590536</v>
      </c>
      <c r="F169" s="13">
        <f t="shared" si="29"/>
        <v>1620.0004116882217</v>
      </c>
      <c r="G169" s="13">
        <f t="shared" si="30"/>
        <v>439125.256388004</v>
      </c>
      <c r="I169" s="31">
        <f t="shared" si="34"/>
        <v>452.3237700793191</v>
      </c>
      <c r="J169" s="31">
        <f t="shared" si="31"/>
        <v>49</v>
      </c>
      <c r="K169" s="31">
        <f t="shared" si="33"/>
        <v>115.19912715170804</v>
      </c>
      <c r="L169" s="31">
        <f t="shared" si="27"/>
        <v>3591.8149735783027</v>
      </c>
    </row>
    <row r="170" spans="1:12" x14ac:dyDescent="0.3">
      <c r="A170" s="18">
        <f t="shared" si="24"/>
        <v>2035</v>
      </c>
      <c r="B170" s="23">
        <f t="shared" si="25"/>
        <v>49644</v>
      </c>
      <c r="C170" s="26">
        <f t="shared" si="26"/>
        <v>3.6900000000000002E-2</v>
      </c>
      <c r="D170" s="13">
        <f t="shared" si="32"/>
        <v>2975.2920763472753</v>
      </c>
      <c r="E170" s="13">
        <f t="shared" si="28"/>
        <v>1350.3101633931124</v>
      </c>
      <c r="F170" s="13">
        <f t="shared" si="29"/>
        <v>1624.9819129541629</v>
      </c>
      <c r="G170" s="13">
        <f t="shared" si="30"/>
        <v>437500.27447504981</v>
      </c>
      <c r="I170" s="31">
        <f t="shared" si="34"/>
        <v>452.3237700793191</v>
      </c>
      <c r="J170" s="31">
        <f t="shared" si="31"/>
        <v>49</v>
      </c>
      <c r="K170" s="31">
        <f t="shared" si="33"/>
        <v>115.19912715170804</v>
      </c>
      <c r="L170" s="31">
        <f t="shared" si="27"/>
        <v>3591.8149735783027</v>
      </c>
    </row>
    <row r="171" spans="1:12" x14ac:dyDescent="0.3">
      <c r="A171" s="18">
        <f t="shared" si="24"/>
        <v>2036</v>
      </c>
      <c r="B171" s="23">
        <f t="shared" si="25"/>
        <v>49675</v>
      </c>
      <c r="C171" s="26">
        <f t="shared" si="26"/>
        <v>3.6900000000000002E-2</v>
      </c>
      <c r="D171" s="13">
        <f t="shared" si="32"/>
        <v>2975.2920763472753</v>
      </c>
      <c r="E171" s="13">
        <f t="shared" si="28"/>
        <v>1345.3133440107783</v>
      </c>
      <c r="F171" s="13">
        <f t="shared" si="29"/>
        <v>1629.9787323364969</v>
      </c>
      <c r="G171" s="13">
        <f t="shared" si="30"/>
        <v>435870.29574271332</v>
      </c>
      <c r="I171" s="31">
        <f t="shared" si="34"/>
        <v>465.89348318169868</v>
      </c>
      <c r="J171" s="31">
        <f t="shared" si="31"/>
        <v>49</v>
      </c>
      <c r="K171" s="31">
        <f t="shared" si="33"/>
        <v>118.65510096625928</v>
      </c>
      <c r="L171" s="31">
        <f t="shared" si="27"/>
        <v>3608.8406604952334</v>
      </c>
    </row>
    <row r="172" spans="1:12" x14ac:dyDescent="0.3">
      <c r="A172" s="18">
        <f t="shared" si="24"/>
        <v>2036</v>
      </c>
      <c r="B172" s="23">
        <f t="shared" si="25"/>
        <v>49706</v>
      </c>
      <c r="C172" s="26">
        <f t="shared" si="26"/>
        <v>3.6900000000000002E-2</v>
      </c>
      <c r="D172" s="13">
        <f t="shared" si="32"/>
        <v>2975.2920763472753</v>
      </c>
      <c r="E172" s="13">
        <f t="shared" si="28"/>
        <v>1340.3011594088437</v>
      </c>
      <c r="F172" s="13">
        <f t="shared" si="29"/>
        <v>1634.9909169384316</v>
      </c>
      <c r="G172" s="13">
        <f t="shared" si="30"/>
        <v>434235.30482577492</v>
      </c>
      <c r="I172" s="31">
        <f t="shared" si="34"/>
        <v>465.89348318169868</v>
      </c>
      <c r="J172" s="31">
        <f t="shared" si="31"/>
        <v>49</v>
      </c>
      <c r="K172" s="31">
        <f t="shared" si="33"/>
        <v>118.65510096625928</v>
      </c>
      <c r="L172" s="31">
        <f t="shared" si="27"/>
        <v>3608.8406604952334</v>
      </c>
    </row>
    <row r="173" spans="1:12" x14ac:dyDescent="0.3">
      <c r="A173" s="18">
        <f t="shared" si="24"/>
        <v>2036</v>
      </c>
      <c r="B173" s="23">
        <f t="shared" si="25"/>
        <v>49735</v>
      </c>
      <c r="C173" s="26">
        <f t="shared" si="26"/>
        <v>3.6900000000000002E-2</v>
      </c>
      <c r="D173" s="13">
        <f t="shared" si="32"/>
        <v>2975.2920763472753</v>
      </c>
      <c r="E173" s="13">
        <f t="shared" si="28"/>
        <v>1335.273562339258</v>
      </c>
      <c r="F173" s="13">
        <f t="shared" si="29"/>
        <v>1640.0185140080173</v>
      </c>
      <c r="G173" s="13">
        <f t="shared" si="30"/>
        <v>432595.28631176689</v>
      </c>
      <c r="I173" s="31">
        <f t="shared" si="34"/>
        <v>465.89348318169868</v>
      </c>
      <c r="J173" s="31">
        <f t="shared" si="31"/>
        <v>49</v>
      </c>
      <c r="K173" s="31">
        <f t="shared" si="33"/>
        <v>118.65510096625928</v>
      </c>
      <c r="L173" s="31">
        <f t="shared" si="27"/>
        <v>3608.8406604952334</v>
      </c>
    </row>
    <row r="174" spans="1:12" x14ac:dyDescent="0.3">
      <c r="A174" s="18">
        <f t="shared" si="24"/>
        <v>2036</v>
      </c>
      <c r="B174" s="23">
        <f t="shared" si="25"/>
        <v>49766</v>
      </c>
      <c r="C174" s="26">
        <f t="shared" si="26"/>
        <v>3.6900000000000002E-2</v>
      </c>
      <c r="D174" s="13">
        <f t="shared" si="32"/>
        <v>2975.2920763472753</v>
      </c>
      <c r="E174" s="13">
        <f t="shared" si="28"/>
        <v>1330.2305054086833</v>
      </c>
      <c r="F174" s="13">
        <f t="shared" si="29"/>
        <v>1645.061570938592</v>
      </c>
      <c r="G174" s="13">
        <f t="shared" si="30"/>
        <v>430950.22474082827</v>
      </c>
      <c r="I174" s="31">
        <f t="shared" si="34"/>
        <v>465.89348318169868</v>
      </c>
      <c r="J174" s="31">
        <f t="shared" si="31"/>
        <v>49</v>
      </c>
      <c r="K174" s="31">
        <f t="shared" si="33"/>
        <v>118.65510096625928</v>
      </c>
      <c r="L174" s="31">
        <f t="shared" si="27"/>
        <v>3608.8406604952334</v>
      </c>
    </row>
    <row r="175" spans="1:12" x14ac:dyDescent="0.3">
      <c r="A175" s="18">
        <f t="shared" si="24"/>
        <v>2036</v>
      </c>
      <c r="B175" s="23">
        <f t="shared" si="25"/>
        <v>49796</v>
      </c>
      <c r="C175" s="26">
        <f t="shared" si="26"/>
        <v>3.6900000000000002E-2</v>
      </c>
      <c r="D175" s="13">
        <f t="shared" si="32"/>
        <v>2975.2920763472753</v>
      </c>
      <c r="E175" s="13">
        <f t="shared" si="28"/>
        <v>1325.171941078047</v>
      </c>
      <c r="F175" s="13">
        <f t="shared" si="29"/>
        <v>1650.1201352692283</v>
      </c>
      <c r="G175" s="13">
        <f t="shared" si="30"/>
        <v>429300.10460555903</v>
      </c>
      <c r="I175" s="31">
        <f t="shared" si="34"/>
        <v>465.89348318169868</v>
      </c>
      <c r="J175" s="31">
        <f t="shared" si="31"/>
        <v>49</v>
      </c>
      <c r="K175" s="31">
        <f t="shared" si="33"/>
        <v>118.65510096625928</v>
      </c>
      <c r="L175" s="31">
        <f t="shared" si="27"/>
        <v>3608.8406604952334</v>
      </c>
    </row>
    <row r="176" spans="1:12" x14ac:dyDescent="0.3">
      <c r="A176" s="18">
        <f t="shared" si="24"/>
        <v>2036</v>
      </c>
      <c r="B176" s="23">
        <f t="shared" si="25"/>
        <v>49827</v>
      </c>
      <c r="C176" s="26">
        <f t="shared" si="26"/>
        <v>3.6900000000000002E-2</v>
      </c>
      <c r="D176" s="13">
        <f t="shared" si="32"/>
        <v>2975.2920763472753</v>
      </c>
      <c r="E176" s="13">
        <f t="shared" si="28"/>
        <v>1320.097821662094</v>
      </c>
      <c r="F176" s="13">
        <f t="shared" si="29"/>
        <v>1655.1942546851812</v>
      </c>
      <c r="G176" s="13">
        <f t="shared" si="30"/>
        <v>427644.91035087383</v>
      </c>
      <c r="I176" s="31">
        <f t="shared" si="34"/>
        <v>465.89348318169868</v>
      </c>
      <c r="J176" s="31">
        <f t="shared" si="31"/>
        <v>49</v>
      </c>
      <c r="K176" s="31">
        <f t="shared" si="33"/>
        <v>118.65510096625928</v>
      </c>
      <c r="L176" s="31">
        <f t="shared" si="27"/>
        <v>3608.8406604952334</v>
      </c>
    </row>
    <row r="177" spans="1:12" x14ac:dyDescent="0.3">
      <c r="A177" s="18">
        <f t="shared" si="24"/>
        <v>2036</v>
      </c>
      <c r="B177" s="23">
        <f t="shared" si="25"/>
        <v>49857</v>
      </c>
      <c r="C177" s="26">
        <f t="shared" si="26"/>
        <v>3.6900000000000002E-2</v>
      </c>
      <c r="D177" s="13">
        <f t="shared" si="32"/>
        <v>2975.2920763472753</v>
      </c>
      <c r="E177" s="13">
        <f t="shared" si="28"/>
        <v>1315.0080993289371</v>
      </c>
      <c r="F177" s="13">
        <f t="shared" si="29"/>
        <v>1660.2839770183382</v>
      </c>
      <c r="G177" s="13">
        <f t="shared" si="30"/>
        <v>425984.62637385551</v>
      </c>
      <c r="I177" s="31">
        <f t="shared" si="34"/>
        <v>465.89348318169868</v>
      </c>
      <c r="J177" s="31">
        <f t="shared" si="31"/>
        <v>49</v>
      </c>
      <c r="K177" s="31">
        <f t="shared" si="33"/>
        <v>118.65510096625928</v>
      </c>
      <c r="L177" s="31">
        <f t="shared" si="27"/>
        <v>3608.8406604952334</v>
      </c>
    </row>
    <row r="178" spans="1:12" x14ac:dyDescent="0.3">
      <c r="A178" s="18">
        <f t="shared" si="24"/>
        <v>2036</v>
      </c>
      <c r="B178" s="23">
        <f t="shared" si="25"/>
        <v>49888</v>
      </c>
      <c r="C178" s="26">
        <f t="shared" si="26"/>
        <v>3.6900000000000002E-2</v>
      </c>
      <c r="D178" s="13">
        <f t="shared" si="32"/>
        <v>2975.2920763472753</v>
      </c>
      <c r="E178" s="13">
        <f t="shared" si="28"/>
        <v>1309.9027260996058</v>
      </c>
      <c r="F178" s="13">
        <f t="shared" si="29"/>
        <v>1665.3893502476694</v>
      </c>
      <c r="G178" s="13">
        <f t="shared" si="30"/>
        <v>424319.23702360783</v>
      </c>
      <c r="I178" s="31">
        <f t="shared" si="34"/>
        <v>465.89348318169868</v>
      </c>
      <c r="J178" s="31">
        <f t="shared" si="31"/>
        <v>49</v>
      </c>
      <c r="K178" s="31">
        <f t="shared" si="33"/>
        <v>118.65510096625928</v>
      </c>
      <c r="L178" s="31">
        <f t="shared" si="27"/>
        <v>3608.8406604952334</v>
      </c>
    </row>
    <row r="179" spans="1:12" x14ac:dyDescent="0.3">
      <c r="A179" s="18">
        <f t="shared" si="24"/>
        <v>2036</v>
      </c>
      <c r="B179" s="23">
        <f t="shared" si="25"/>
        <v>49919</v>
      </c>
      <c r="C179" s="26">
        <f t="shared" si="26"/>
        <v>3.6900000000000002E-2</v>
      </c>
      <c r="D179" s="13">
        <f t="shared" si="32"/>
        <v>2975.2920763472753</v>
      </c>
      <c r="E179" s="13">
        <f t="shared" si="28"/>
        <v>1304.7816538475943</v>
      </c>
      <c r="F179" s="13">
        <f t="shared" si="29"/>
        <v>1670.510422499681</v>
      </c>
      <c r="G179" s="13">
        <f t="shared" si="30"/>
        <v>422648.72660110815</v>
      </c>
      <c r="I179" s="31">
        <f t="shared" si="34"/>
        <v>465.89348318169868</v>
      </c>
      <c r="J179" s="31">
        <f t="shared" si="31"/>
        <v>49</v>
      </c>
      <c r="K179" s="31">
        <f t="shared" si="33"/>
        <v>118.65510096625928</v>
      </c>
      <c r="L179" s="31">
        <f t="shared" si="27"/>
        <v>3608.8406604952334</v>
      </c>
    </row>
    <row r="180" spans="1:12" x14ac:dyDescent="0.3">
      <c r="A180" s="18">
        <f t="shared" si="24"/>
        <v>2036</v>
      </c>
      <c r="B180" s="23">
        <f t="shared" si="25"/>
        <v>49949</v>
      </c>
      <c r="C180" s="26">
        <f t="shared" si="26"/>
        <v>3.6900000000000002E-2</v>
      </c>
      <c r="D180" s="13">
        <f t="shared" si="32"/>
        <v>2975.2920763472753</v>
      </c>
      <c r="E180" s="13">
        <f t="shared" si="28"/>
        <v>1299.6448342984077</v>
      </c>
      <c r="F180" s="13">
        <f t="shared" si="29"/>
        <v>1675.6472420488676</v>
      </c>
      <c r="G180" s="13">
        <f t="shared" si="30"/>
        <v>420973.07935905928</v>
      </c>
      <c r="I180" s="31">
        <f t="shared" si="34"/>
        <v>465.89348318169868</v>
      </c>
      <c r="J180" s="31">
        <f t="shared" si="31"/>
        <v>49</v>
      </c>
      <c r="K180" s="31">
        <f t="shared" si="33"/>
        <v>118.65510096625928</v>
      </c>
      <c r="L180" s="31">
        <f t="shared" si="27"/>
        <v>3608.8406604952334</v>
      </c>
    </row>
    <row r="181" spans="1:12" x14ac:dyDescent="0.3">
      <c r="A181" s="18">
        <f t="shared" si="24"/>
        <v>2036</v>
      </c>
      <c r="B181" s="23">
        <f t="shared" si="25"/>
        <v>49980</v>
      </c>
      <c r="C181" s="26">
        <f t="shared" si="26"/>
        <v>3.6900000000000002E-2</v>
      </c>
      <c r="D181" s="13">
        <f t="shared" si="32"/>
        <v>2975.2920763472753</v>
      </c>
      <c r="E181" s="13">
        <f t="shared" si="28"/>
        <v>1294.4922190291074</v>
      </c>
      <c r="F181" s="13">
        <f t="shared" si="29"/>
        <v>1680.7998573181678</v>
      </c>
      <c r="G181" s="13">
        <f t="shared" si="30"/>
        <v>419292.27950174111</v>
      </c>
      <c r="I181" s="31">
        <f t="shared" si="34"/>
        <v>465.89348318169868</v>
      </c>
      <c r="J181" s="31">
        <f t="shared" si="31"/>
        <v>49</v>
      </c>
      <c r="K181" s="31">
        <f t="shared" si="33"/>
        <v>118.65510096625928</v>
      </c>
      <c r="L181" s="31">
        <f t="shared" si="27"/>
        <v>3608.8406604952334</v>
      </c>
    </row>
    <row r="182" spans="1:12" x14ac:dyDescent="0.3">
      <c r="A182" s="18">
        <f t="shared" si="24"/>
        <v>2036</v>
      </c>
      <c r="B182" s="23">
        <f t="shared" si="25"/>
        <v>50010</v>
      </c>
      <c r="C182" s="26">
        <f t="shared" si="26"/>
        <v>3.6900000000000002E-2</v>
      </c>
      <c r="D182" s="13">
        <f t="shared" si="32"/>
        <v>2975.2920763472753</v>
      </c>
      <c r="E182" s="13">
        <f t="shared" si="28"/>
        <v>1289.323759467854</v>
      </c>
      <c r="F182" s="13">
        <f t="shared" si="29"/>
        <v>1685.9683168794213</v>
      </c>
      <c r="G182" s="13">
        <f t="shared" si="30"/>
        <v>417606.3111848617</v>
      </c>
      <c r="I182" s="31">
        <f t="shared" si="34"/>
        <v>465.89348318169868</v>
      </c>
      <c r="J182" s="31">
        <f t="shared" si="31"/>
        <v>49</v>
      </c>
      <c r="K182" s="31">
        <f t="shared" si="33"/>
        <v>118.65510096625928</v>
      </c>
      <c r="L182" s="31">
        <f t="shared" si="27"/>
        <v>3608.8406604952334</v>
      </c>
    </row>
    <row r="183" spans="1:12" x14ac:dyDescent="0.3">
      <c r="A183" s="18">
        <f t="shared" si="24"/>
        <v>2037</v>
      </c>
      <c r="B183" s="23">
        <f t="shared" si="25"/>
        <v>50041</v>
      </c>
      <c r="C183" s="26">
        <f t="shared" si="26"/>
        <v>3.6900000000000002E-2</v>
      </c>
      <c r="D183" s="13">
        <f t="shared" si="32"/>
        <v>2975.2920763472753</v>
      </c>
      <c r="E183" s="13">
        <f t="shared" si="28"/>
        <v>1284.1394068934499</v>
      </c>
      <c r="F183" s="13">
        <f t="shared" si="29"/>
        <v>1691.1526694538254</v>
      </c>
      <c r="G183" s="13">
        <f t="shared" si="30"/>
        <v>415915.15851540788</v>
      </c>
      <c r="I183" s="31">
        <f t="shared" si="34"/>
        <v>479.87028767714963</v>
      </c>
      <c r="J183" s="31">
        <f t="shared" si="31"/>
        <v>49</v>
      </c>
      <c r="K183" s="31">
        <f t="shared" si="33"/>
        <v>122.21475399524707</v>
      </c>
      <c r="L183" s="31">
        <f t="shared" si="27"/>
        <v>3626.3771180196718</v>
      </c>
    </row>
    <row r="184" spans="1:12" x14ac:dyDescent="0.3">
      <c r="A184" s="18">
        <f t="shared" si="24"/>
        <v>2037</v>
      </c>
      <c r="B184" s="23">
        <f t="shared" si="25"/>
        <v>50072</v>
      </c>
      <c r="C184" s="26">
        <f t="shared" si="26"/>
        <v>3.6900000000000002E-2</v>
      </c>
      <c r="D184" s="13">
        <f t="shared" si="32"/>
        <v>2975.2920763472753</v>
      </c>
      <c r="E184" s="13">
        <f t="shared" si="28"/>
        <v>1278.9391124348792</v>
      </c>
      <c r="F184" s="13">
        <f t="shared" si="29"/>
        <v>1696.352963912396</v>
      </c>
      <c r="G184" s="13">
        <f t="shared" si="30"/>
        <v>414218.80555149546</v>
      </c>
      <c r="I184" s="31">
        <f t="shared" si="34"/>
        <v>479.87028767714963</v>
      </c>
      <c r="J184" s="31">
        <f t="shared" si="31"/>
        <v>49</v>
      </c>
      <c r="K184" s="31">
        <f t="shared" si="33"/>
        <v>122.21475399524707</v>
      </c>
      <c r="L184" s="31">
        <f t="shared" si="27"/>
        <v>3626.3771180196718</v>
      </c>
    </row>
    <row r="185" spans="1:12" x14ac:dyDescent="0.3">
      <c r="A185" s="18">
        <f t="shared" si="24"/>
        <v>2037</v>
      </c>
      <c r="B185" s="23">
        <f t="shared" si="25"/>
        <v>50100</v>
      </c>
      <c r="C185" s="26">
        <f t="shared" si="26"/>
        <v>3.6900000000000002E-2</v>
      </c>
      <c r="D185" s="13">
        <f t="shared" si="32"/>
        <v>2975.2920763472753</v>
      </c>
      <c r="E185" s="13">
        <f t="shared" si="28"/>
        <v>1273.7228270708486</v>
      </c>
      <c r="F185" s="13">
        <f t="shared" si="29"/>
        <v>1701.5692492764267</v>
      </c>
      <c r="G185" s="13">
        <f t="shared" si="30"/>
        <v>412517.23630221904</v>
      </c>
      <c r="I185" s="31">
        <f t="shared" si="34"/>
        <v>479.87028767714963</v>
      </c>
      <c r="J185" s="31">
        <f t="shared" si="31"/>
        <v>49</v>
      </c>
      <c r="K185" s="31">
        <f t="shared" si="33"/>
        <v>122.21475399524707</v>
      </c>
      <c r="L185" s="31">
        <f t="shared" si="27"/>
        <v>3626.3771180196718</v>
      </c>
    </row>
    <row r="186" spans="1:12" x14ac:dyDescent="0.3">
      <c r="A186" s="18">
        <f t="shared" si="24"/>
        <v>2037</v>
      </c>
      <c r="B186" s="23">
        <f t="shared" si="25"/>
        <v>50131</v>
      </c>
      <c r="C186" s="26">
        <f t="shared" si="26"/>
        <v>3.6900000000000002E-2</v>
      </c>
      <c r="D186" s="13">
        <f t="shared" si="32"/>
        <v>2975.2920763472753</v>
      </c>
      <c r="E186" s="13">
        <f t="shared" si="28"/>
        <v>1268.4905016293235</v>
      </c>
      <c r="F186" s="13">
        <f t="shared" si="29"/>
        <v>1706.8015747179518</v>
      </c>
      <c r="G186" s="13">
        <f t="shared" si="30"/>
        <v>410810.43472750107</v>
      </c>
      <c r="I186" s="31">
        <f t="shared" si="34"/>
        <v>479.87028767714963</v>
      </c>
      <c r="J186" s="31">
        <f t="shared" si="31"/>
        <v>49</v>
      </c>
      <c r="K186" s="31">
        <f t="shared" si="33"/>
        <v>122.21475399524707</v>
      </c>
      <c r="L186" s="31">
        <f t="shared" si="27"/>
        <v>3626.3771180196718</v>
      </c>
    </row>
    <row r="187" spans="1:12" x14ac:dyDescent="0.3">
      <c r="A187" s="18">
        <f t="shared" si="24"/>
        <v>2037</v>
      </c>
      <c r="B187" s="23">
        <f t="shared" si="25"/>
        <v>50161</v>
      </c>
      <c r="C187" s="26">
        <f t="shared" si="26"/>
        <v>3.6900000000000002E-2</v>
      </c>
      <c r="D187" s="13">
        <f t="shared" si="32"/>
        <v>2975.2920763472753</v>
      </c>
      <c r="E187" s="13">
        <f t="shared" si="28"/>
        <v>1263.2420867870658</v>
      </c>
      <c r="F187" s="13">
        <f t="shared" si="29"/>
        <v>1712.0499895602095</v>
      </c>
      <c r="G187" s="13">
        <f t="shared" si="30"/>
        <v>409098.38473794085</v>
      </c>
      <c r="I187" s="31">
        <f t="shared" si="34"/>
        <v>479.87028767714963</v>
      </c>
      <c r="J187" s="31">
        <f t="shared" si="31"/>
        <v>49</v>
      </c>
      <c r="K187" s="31">
        <f t="shared" si="33"/>
        <v>122.21475399524707</v>
      </c>
      <c r="L187" s="31">
        <f t="shared" si="27"/>
        <v>3626.3771180196718</v>
      </c>
    </row>
    <row r="188" spans="1:12" x14ac:dyDescent="0.3">
      <c r="A188" s="18">
        <f t="shared" si="24"/>
        <v>2037</v>
      </c>
      <c r="B188" s="23">
        <f t="shared" si="25"/>
        <v>50192</v>
      </c>
      <c r="C188" s="26">
        <f t="shared" si="26"/>
        <v>3.6900000000000002E-2</v>
      </c>
      <c r="D188" s="13">
        <f t="shared" si="32"/>
        <v>2975.2920763472753</v>
      </c>
      <c r="E188" s="13">
        <f t="shared" si="28"/>
        <v>1257.9775330691682</v>
      </c>
      <c r="F188" s="13">
        <f t="shared" si="29"/>
        <v>1717.3145432781071</v>
      </c>
      <c r="G188" s="13">
        <f t="shared" si="30"/>
        <v>407381.07019466272</v>
      </c>
      <c r="I188" s="31">
        <f t="shared" si="34"/>
        <v>479.87028767714963</v>
      </c>
      <c r="J188" s="31">
        <f t="shared" si="31"/>
        <v>49</v>
      </c>
      <c r="K188" s="31">
        <f t="shared" si="33"/>
        <v>122.21475399524707</v>
      </c>
      <c r="L188" s="31">
        <f t="shared" si="27"/>
        <v>3626.3771180196718</v>
      </c>
    </row>
    <row r="189" spans="1:12" x14ac:dyDescent="0.3">
      <c r="A189" s="18">
        <f t="shared" si="24"/>
        <v>2037</v>
      </c>
      <c r="B189" s="23">
        <f t="shared" si="25"/>
        <v>50222</v>
      </c>
      <c r="C189" s="26">
        <f t="shared" si="26"/>
        <v>3.6900000000000002E-2</v>
      </c>
      <c r="D189" s="13">
        <f t="shared" si="32"/>
        <v>2975.2920763472753</v>
      </c>
      <c r="E189" s="13">
        <f t="shared" si="28"/>
        <v>1252.6967908485879</v>
      </c>
      <c r="F189" s="13">
        <f t="shared" si="29"/>
        <v>1722.5952854986874</v>
      </c>
      <c r="G189" s="13">
        <f t="shared" si="30"/>
        <v>405658.47490916401</v>
      </c>
      <c r="I189" s="31">
        <f t="shared" si="34"/>
        <v>479.87028767714963</v>
      </c>
      <c r="J189" s="31">
        <f t="shared" si="31"/>
        <v>49</v>
      </c>
      <c r="K189" s="31">
        <f t="shared" si="33"/>
        <v>122.21475399524707</v>
      </c>
      <c r="L189" s="31">
        <f t="shared" si="27"/>
        <v>3626.3771180196718</v>
      </c>
    </row>
    <row r="190" spans="1:12" x14ac:dyDescent="0.3">
      <c r="A190" s="18">
        <f t="shared" si="24"/>
        <v>2037</v>
      </c>
      <c r="B190" s="23">
        <f t="shared" si="25"/>
        <v>50253</v>
      </c>
      <c r="C190" s="26">
        <f t="shared" si="26"/>
        <v>3.6900000000000002E-2</v>
      </c>
      <c r="D190" s="13">
        <f t="shared" si="32"/>
        <v>2975.2920763472753</v>
      </c>
      <c r="E190" s="13">
        <f t="shared" si="28"/>
        <v>1247.3998103456795</v>
      </c>
      <c r="F190" s="13">
        <f t="shared" si="29"/>
        <v>1727.8922660015958</v>
      </c>
      <c r="G190" s="13">
        <f t="shared" si="30"/>
        <v>403930.5826431624</v>
      </c>
      <c r="I190" s="31">
        <f t="shared" si="34"/>
        <v>479.87028767714963</v>
      </c>
      <c r="J190" s="31">
        <f t="shared" si="31"/>
        <v>49</v>
      </c>
      <c r="K190" s="31">
        <f t="shared" si="33"/>
        <v>122.21475399524707</v>
      </c>
      <c r="L190" s="31">
        <f t="shared" si="27"/>
        <v>3626.3771180196718</v>
      </c>
    </row>
    <row r="191" spans="1:12" x14ac:dyDescent="0.3">
      <c r="A191" s="18">
        <f t="shared" si="24"/>
        <v>2037</v>
      </c>
      <c r="B191" s="23">
        <f t="shared" si="25"/>
        <v>50284</v>
      </c>
      <c r="C191" s="26">
        <f t="shared" si="26"/>
        <v>3.6900000000000002E-2</v>
      </c>
      <c r="D191" s="13">
        <f t="shared" si="32"/>
        <v>2975.2920763472753</v>
      </c>
      <c r="E191" s="13">
        <f t="shared" si="28"/>
        <v>1242.0865416277245</v>
      </c>
      <c r="F191" s="13">
        <f t="shared" si="29"/>
        <v>1733.2055347195508</v>
      </c>
      <c r="G191" s="13">
        <f t="shared" si="30"/>
        <v>402197.37710844283</v>
      </c>
      <c r="I191" s="31">
        <f t="shared" si="34"/>
        <v>479.87028767714963</v>
      </c>
      <c r="J191" s="31">
        <f t="shared" si="31"/>
        <v>49</v>
      </c>
      <c r="K191" s="31">
        <f t="shared" si="33"/>
        <v>122.21475399524707</v>
      </c>
      <c r="L191" s="31">
        <f t="shared" si="27"/>
        <v>3626.3771180196718</v>
      </c>
    </row>
    <row r="192" spans="1:12" x14ac:dyDescent="0.3">
      <c r="A192" s="18">
        <f t="shared" si="24"/>
        <v>2037</v>
      </c>
      <c r="B192" s="23">
        <f t="shared" si="25"/>
        <v>50314</v>
      </c>
      <c r="C192" s="26">
        <f t="shared" si="26"/>
        <v>3.6900000000000002E-2</v>
      </c>
      <c r="D192" s="13">
        <f t="shared" si="32"/>
        <v>2975.2920763472753</v>
      </c>
      <c r="E192" s="13">
        <f t="shared" si="28"/>
        <v>1236.7569346084617</v>
      </c>
      <c r="F192" s="13">
        <f t="shared" si="29"/>
        <v>1738.5351417388135</v>
      </c>
      <c r="G192" s="13">
        <f t="shared" si="30"/>
        <v>400458.841966704</v>
      </c>
      <c r="I192" s="31">
        <f t="shared" si="34"/>
        <v>479.87028767714963</v>
      </c>
      <c r="J192" s="31">
        <f t="shared" si="31"/>
        <v>49</v>
      </c>
      <c r="K192" s="31">
        <f t="shared" si="33"/>
        <v>122.21475399524707</v>
      </c>
      <c r="L192" s="31">
        <f t="shared" si="27"/>
        <v>3626.3771180196718</v>
      </c>
    </row>
    <row r="193" spans="1:12" x14ac:dyDescent="0.3">
      <c r="A193" s="18">
        <f t="shared" si="24"/>
        <v>2037</v>
      </c>
      <c r="B193" s="23">
        <f t="shared" si="25"/>
        <v>50345</v>
      </c>
      <c r="C193" s="26">
        <f t="shared" si="26"/>
        <v>3.6900000000000002E-2</v>
      </c>
      <c r="D193" s="13">
        <f t="shared" si="32"/>
        <v>2975.2920763472753</v>
      </c>
      <c r="E193" s="13">
        <f t="shared" si="28"/>
        <v>1231.4109390476149</v>
      </c>
      <c r="F193" s="13">
        <f t="shared" si="29"/>
        <v>1743.8811372996604</v>
      </c>
      <c r="G193" s="13">
        <f t="shared" si="30"/>
        <v>398714.96082940436</v>
      </c>
      <c r="I193" s="31">
        <f t="shared" si="34"/>
        <v>479.87028767714963</v>
      </c>
      <c r="J193" s="31">
        <f t="shared" si="31"/>
        <v>49</v>
      </c>
      <c r="K193" s="31">
        <f t="shared" si="33"/>
        <v>122.21475399524707</v>
      </c>
      <c r="L193" s="31">
        <f t="shared" si="27"/>
        <v>3626.3771180196718</v>
      </c>
    </row>
    <row r="194" spans="1:12" x14ac:dyDescent="0.3">
      <c r="A194" s="18">
        <f t="shared" si="24"/>
        <v>2037</v>
      </c>
      <c r="B194" s="23">
        <f t="shared" si="25"/>
        <v>50375</v>
      </c>
      <c r="C194" s="26">
        <f t="shared" si="26"/>
        <v>3.6900000000000002E-2</v>
      </c>
      <c r="D194" s="13">
        <f t="shared" si="32"/>
        <v>2975.2920763472753</v>
      </c>
      <c r="E194" s="13">
        <f t="shared" si="28"/>
        <v>1226.0485045504186</v>
      </c>
      <c r="F194" s="13">
        <f t="shared" si="29"/>
        <v>1749.2435717968567</v>
      </c>
      <c r="G194" s="13">
        <f t="shared" si="30"/>
        <v>396965.7172576075</v>
      </c>
      <c r="I194" s="31">
        <f t="shared" si="34"/>
        <v>479.87028767714963</v>
      </c>
      <c r="J194" s="31">
        <f t="shared" si="31"/>
        <v>49</v>
      </c>
      <c r="K194" s="31">
        <f t="shared" si="33"/>
        <v>122.21475399524707</v>
      </c>
      <c r="L194" s="31">
        <f t="shared" si="27"/>
        <v>3626.3771180196718</v>
      </c>
    </row>
    <row r="195" spans="1:12" x14ac:dyDescent="0.3">
      <c r="A195" s="18">
        <f t="shared" ref="A195:A258" si="35">YEAR(B195)</f>
        <v>2038</v>
      </c>
      <c r="B195" s="23">
        <f t="shared" si="25"/>
        <v>50406</v>
      </c>
      <c r="C195" s="26">
        <f t="shared" si="26"/>
        <v>3.6900000000000002E-2</v>
      </c>
      <c r="D195" s="13">
        <f t="shared" si="32"/>
        <v>2975.2920763472753</v>
      </c>
      <c r="E195" s="13">
        <f t="shared" si="28"/>
        <v>1220.6695805671432</v>
      </c>
      <c r="F195" s="13">
        <f t="shared" si="29"/>
        <v>1754.6224957801321</v>
      </c>
      <c r="G195" s="13">
        <f t="shared" si="30"/>
        <v>395211.09476182738</v>
      </c>
      <c r="I195" s="31">
        <f t="shared" si="34"/>
        <v>494.26639630746416</v>
      </c>
      <c r="J195" s="31">
        <f t="shared" si="31"/>
        <v>49</v>
      </c>
      <c r="K195" s="31">
        <f t="shared" si="33"/>
        <v>125.88119661510449</v>
      </c>
      <c r="L195" s="31">
        <f t="shared" si="27"/>
        <v>3644.4396692698438</v>
      </c>
    </row>
    <row r="196" spans="1:12" x14ac:dyDescent="0.3">
      <c r="A196" s="18">
        <f t="shared" si="35"/>
        <v>2038</v>
      </c>
      <c r="B196" s="23">
        <f t="shared" ref="B196:B259" si="36">EDATE(B195,1)</f>
        <v>50437</v>
      </c>
      <c r="C196" s="26">
        <f t="shared" si="26"/>
        <v>3.6900000000000002E-2</v>
      </c>
      <c r="D196" s="13">
        <f t="shared" si="32"/>
        <v>2975.2920763472753</v>
      </c>
      <c r="E196" s="13">
        <f t="shared" si="28"/>
        <v>1215.2741163926191</v>
      </c>
      <c r="F196" s="13">
        <f t="shared" si="29"/>
        <v>1760.0179599546561</v>
      </c>
      <c r="G196" s="13">
        <f t="shared" si="30"/>
        <v>393451.0768018727</v>
      </c>
      <c r="I196" s="31">
        <f t="shared" si="34"/>
        <v>494.26639630746416</v>
      </c>
      <c r="J196" s="31">
        <f t="shared" si="31"/>
        <v>49</v>
      </c>
      <c r="K196" s="31">
        <f t="shared" si="33"/>
        <v>125.88119661510449</v>
      </c>
      <c r="L196" s="31">
        <f t="shared" si="27"/>
        <v>3644.4396692698438</v>
      </c>
    </row>
    <row r="197" spans="1:12" x14ac:dyDescent="0.3">
      <c r="A197" s="18">
        <f t="shared" si="35"/>
        <v>2038</v>
      </c>
      <c r="B197" s="23">
        <f t="shared" si="36"/>
        <v>50465</v>
      </c>
      <c r="C197" s="26">
        <f t="shared" ref="C197:C260" si="37">C196</f>
        <v>3.6900000000000002E-2</v>
      </c>
      <c r="D197" s="13">
        <f t="shared" si="32"/>
        <v>2975.2920763472753</v>
      </c>
      <c r="E197" s="13">
        <f t="shared" si="28"/>
        <v>1209.8620611657586</v>
      </c>
      <c r="F197" s="13">
        <f t="shared" si="29"/>
        <v>1765.4300151815166</v>
      </c>
      <c r="G197" s="13">
        <f t="shared" si="30"/>
        <v>391685.64678669116</v>
      </c>
      <c r="I197" s="31">
        <f t="shared" si="34"/>
        <v>494.26639630746416</v>
      </c>
      <c r="J197" s="31">
        <f t="shared" si="31"/>
        <v>49</v>
      </c>
      <c r="K197" s="31">
        <f t="shared" si="33"/>
        <v>125.88119661510449</v>
      </c>
      <c r="L197" s="31">
        <f t="shared" si="27"/>
        <v>3644.4396692698438</v>
      </c>
    </row>
    <row r="198" spans="1:12" x14ac:dyDescent="0.3">
      <c r="A198" s="18">
        <f t="shared" si="35"/>
        <v>2038</v>
      </c>
      <c r="B198" s="23">
        <f t="shared" si="36"/>
        <v>50496</v>
      </c>
      <c r="C198" s="26">
        <f t="shared" si="37"/>
        <v>3.6900000000000002E-2</v>
      </c>
      <c r="D198" s="13">
        <f t="shared" si="32"/>
        <v>2975.2920763472753</v>
      </c>
      <c r="E198" s="13">
        <f t="shared" si="28"/>
        <v>1204.4333638690753</v>
      </c>
      <c r="F198" s="13">
        <f t="shared" si="29"/>
        <v>1770.8587124782</v>
      </c>
      <c r="G198" s="13">
        <f t="shared" si="30"/>
        <v>389914.78807421296</v>
      </c>
      <c r="I198" s="31">
        <f t="shared" si="34"/>
        <v>494.26639630746416</v>
      </c>
      <c r="J198" s="31">
        <f t="shared" si="31"/>
        <v>49</v>
      </c>
      <c r="K198" s="31">
        <f t="shared" si="33"/>
        <v>125.88119661510449</v>
      </c>
      <c r="L198" s="31">
        <f t="shared" ref="L198:L261" si="38">SUM(I198:K198,D198)</f>
        <v>3644.4396692698438</v>
      </c>
    </row>
    <row r="199" spans="1:12" x14ac:dyDescent="0.3">
      <c r="A199" s="18">
        <f t="shared" si="35"/>
        <v>2038</v>
      </c>
      <c r="B199" s="23">
        <f t="shared" si="36"/>
        <v>50526</v>
      </c>
      <c r="C199" s="26">
        <f t="shared" si="37"/>
        <v>3.6900000000000002E-2</v>
      </c>
      <c r="D199" s="13">
        <f t="shared" si="32"/>
        <v>2975.2920763472753</v>
      </c>
      <c r="E199" s="13">
        <f t="shared" ref="E199:E262" si="39">G198*C198/12</f>
        <v>1198.9879733282048</v>
      </c>
      <c r="F199" s="13">
        <f t="shared" ref="F199:F262" si="40">D199-E199</f>
        <v>1776.3041030190705</v>
      </c>
      <c r="G199" s="13">
        <f t="shared" ref="G199:G262" si="41">IF(G198-F199&lt;0,,G198-F199)</f>
        <v>388138.4839711939</v>
      </c>
      <c r="I199" s="31">
        <f t="shared" si="34"/>
        <v>494.26639630746416</v>
      </c>
      <c r="J199" s="31">
        <f t="shared" ref="J199:J262" si="42">$P$6/12</f>
        <v>49</v>
      </c>
      <c r="K199" s="31">
        <f t="shared" si="33"/>
        <v>125.88119661510449</v>
      </c>
      <c r="L199" s="31">
        <f t="shared" si="38"/>
        <v>3644.4396692698438</v>
      </c>
    </row>
    <row r="200" spans="1:12" x14ac:dyDescent="0.3">
      <c r="A200" s="18">
        <f t="shared" si="35"/>
        <v>2038</v>
      </c>
      <c r="B200" s="23">
        <f t="shared" si="36"/>
        <v>50557</v>
      </c>
      <c r="C200" s="26">
        <f t="shared" si="37"/>
        <v>3.6900000000000002E-2</v>
      </c>
      <c r="D200" s="13">
        <f t="shared" ref="D200:D263" si="43">IF(G199&lt;=0,0,D199)</f>
        <v>2975.2920763472753</v>
      </c>
      <c r="E200" s="13">
        <f t="shared" si="39"/>
        <v>1193.5258382114214</v>
      </c>
      <c r="F200" s="13">
        <f t="shared" si="40"/>
        <v>1781.7662381358539</v>
      </c>
      <c r="G200" s="13">
        <f t="shared" si="41"/>
        <v>386356.71773305803</v>
      </c>
      <c r="I200" s="31">
        <f t="shared" si="34"/>
        <v>494.26639630746416</v>
      </c>
      <c r="J200" s="31">
        <f t="shared" si="42"/>
        <v>49</v>
      </c>
      <c r="K200" s="31">
        <f t="shared" si="33"/>
        <v>125.88119661510449</v>
      </c>
      <c r="L200" s="31">
        <f t="shared" si="38"/>
        <v>3644.4396692698438</v>
      </c>
    </row>
    <row r="201" spans="1:12" x14ac:dyDescent="0.3">
      <c r="A201" s="18">
        <f t="shared" si="35"/>
        <v>2038</v>
      </c>
      <c r="B201" s="23">
        <f t="shared" si="36"/>
        <v>50587</v>
      </c>
      <c r="C201" s="26">
        <f t="shared" si="37"/>
        <v>3.6900000000000002E-2</v>
      </c>
      <c r="D201" s="13">
        <f t="shared" si="43"/>
        <v>2975.2920763472753</v>
      </c>
      <c r="E201" s="13">
        <f t="shared" si="39"/>
        <v>1188.0469070291535</v>
      </c>
      <c r="F201" s="13">
        <f t="shared" si="40"/>
        <v>1787.2451693181217</v>
      </c>
      <c r="G201" s="13">
        <f t="shared" si="41"/>
        <v>384569.47256373992</v>
      </c>
      <c r="I201" s="31">
        <f t="shared" si="34"/>
        <v>494.26639630746416</v>
      </c>
      <c r="J201" s="31">
        <f t="shared" si="42"/>
        <v>49</v>
      </c>
      <c r="K201" s="31">
        <f t="shared" si="33"/>
        <v>125.88119661510449</v>
      </c>
      <c r="L201" s="31">
        <f t="shared" si="38"/>
        <v>3644.4396692698438</v>
      </c>
    </row>
    <row r="202" spans="1:12" x14ac:dyDescent="0.3">
      <c r="A202" s="18">
        <f t="shared" si="35"/>
        <v>2038</v>
      </c>
      <c r="B202" s="23">
        <f t="shared" si="36"/>
        <v>50618</v>
      </c>
      <c r="C202" s="26">
        <f t="shared" si="37"/>
        <v>3.6900000000000002E-2</v>
      </c>
      <c r="D202" s="13">
        <f t="shared" si="43"/>
        <v>2975.2920763472753</v>
      </c>
      <c r="E202" s="13">
        <f t="shared" si="39"/>
        <v>1182.5511281335005</v>
      </c>
      <c r="F202" s="13">
        <f t="shared" si="40"/>
        <v>1792.7409482137748</v>
      </c>
      <c r="G202" s="13">
        <f t="shared" si="41"/>
        <v>382776.73161552614</v>
      </c>
      <c r="I202" s="31">
        <f t="shared" si="34"/>
        <v>494.26639630746416</v>
      </c>
      <c r="J202" s="31">
        <f t="shared" si="42"/>
        <v>49</v>
      </c>
      <c r="K202" s="31">
        <f t="shared" si="33"/>
        <v>125.88119661510449</v>
      </c>
      <c r="L202" s="31">
        <f t="shared" si="38"/>
        <v>3644.4396692698438</v>
      </c>
    </row>
    <row r="203" spans="1:12" x14ac:dyDescent="0.3">
      <c r="A203" s="18">
        <f t="shared" si="35"/>
        <v>2038</v>
      </c>
      <c r="B203" s="23">
        <f t="shared" si="36"/>
        <v>50649</v>
      </c>
      <c r="C203" s="26">
        <f t="shared" si="37"/>
        <v>3.6900000000000002E-2</v>
      </c>
      <c r="D203" s="13">
        <f t="shared" si="43"/>
        <v>2975.2920763472753</v>
      </c>
      <c r="E203" s="13">
        <f t="shared" si="39"/>
        <v>1177.0384497177429</v>
      </c>
      <c r="F203" s="13">
        <f t="shared" si="40"/>
        <v>1798.2536266295324</v>
      </c>
      <c r="G203" s="13">
        <f t="shared" si="41"/>
        <v>380978.4779888966</v>
      </c>
      <c r="I203" s="31">
        <f t="shared" si="34"/>
        <v>494.26639630746416</v>
      </c>
      <c r="J203" s="31">
        <f t="shared" si="42"/>
        <v>49</v>
      </c>
      <c r="K203" s="31">
        <f t="shared" si="33"/>
        <v>125.88119661510449</v>
      </c>
      <c r="L203" s="31">
        <f t="shared" si="38"/>
        <v>3644.4396692698438</v>
      </c>
    </row>
    <row r="204" spans="1:12" x14ac:dyDescent="0.3">
      <c r="A204" s="18">
        <f t="shared" si="35"/>
        <v>2038</v>
      </c>
      <c r="B204" s="23">
        <f t="shared" si="36"/>
        <v>50679</v>
      </c>
      <c r="C204" s="26">
        <f t="shared" si="37"/>
        <v>3.6900000000000002E-2</v>
      </c>
      <c r="D204" s="13">
        <f t="shared" si="43"/>
        <v>2975.2920763472753</v>
      </c>
      <c r="E204" s="13">
        <f t="shared" si="39"/>
        <v>1171.5088198158571</v>
      </c>
      <c r="F204" s="13">
        <f t="shared" si="40"/>
        <v>1803.7832565314181</v>
      </c>
      <c r="G204" s="13">
        <f t="shared" si="41"/>
        <v>379174.6947323652</v>
      </c>
      <c r="I204" s="31">
        <f t="shared" si="34"/>
        <v>494.26639630746416</v>
      </c>
      <c r="J204" s="31">
        <f t="shared" si="42"/>
        <v>49</v>
      </c>
      <c r="K204" s="31">
        <f t="shared" si="33"/>
        <v>125.88119661510449</v>
      </c>
      <c r="L204" s="31">
        <f t="shared" si="38"/>
        <v>3644.4396692698438</v>
      </c>
    </row>
    <row r="205" spans="1:12" x14ac:dyDescent="0.3">
      <c r="A205" s="18">
        <f t="shared" si="35"/>
        <v>2038</v>
      </c>
      <c r="B205" s="23">
        <f t="shared" si="36"/>
        <v>50710</v>
      </c>
      <c r="C205" s="26">
        <f t="shared" si="37"/>
        <v>3.6900000000000002E-2</v>
      </c>
      <c r="D205" s="13">
        <f t="shared" si="43"/>
        <v>2975.2920763472753</v>
      </c>
      <c r="E205" s="13">
        <f t="shared" si="39"/>
        <v>1165.9621863020232</v>
      </c>
      <c r="F205" s="13">
        <f t="shared" si="40"/>
        <v>1809.3298900452521</v>
      </c>
      <c r="G205" s="13">
        <f t="shared" si="41"/>
        <v>377365.36484231992</v>
      </c>
      <c r="I205" s="31">
        <f t="shared" si="34"/>
        <v>494.26639630746416</v>
      </c>
      <c r="J205" s="31">
        <f t="shared" si="42"/>
        <v>49</v>
      </c>
      <c r="K205" s="31">
        <f t="shared" si="33"/>
        <v>125.88119661510449</v>
      </c>
      <c r="L205" s="31">
        <f t="shared" si="38"/>
        <v>3644.4396692698438</v>
      </c>
    </row>
    <row r="206" spans="1:12" x14ac:dyDescent="0.3">
      <c r="A206" s="18">
        <f t="shared" si="35"/>
        <v>2038</v>
      </c>
      <c r="B206" s="23">
        <f t="shared" si="36"/>
        <v>50740</v>
      </c>
      <c r="C206" s="26">
        <f t="shared" si="37"/>
        <v>3.6900000000000002E-2</v>
      </c>
      <c r="D206" s="13">
        <f t="shared" si="43"/>
        <v>2975.2920763472753</v>
      </c>
      <c r="E206" s="13">
        <f t="shared" si="39"/>
        <v>1160.3984968901339</v>
      </c>
      <c r="F206" s="13">
        <f t="shared" si="40"/>
        <v>1814.8935794571414</v>
      </c>
      <c r="G206" s="13">
        <f t="shared" si="41"/>
        <v>375550.47126286279</v>
      </c>
      <c r="I206" s="31">
        <f t="shared" si="34"/>
        <v>494.26639630746416</v>
      </c>
      <c r="J206" s="31">
        <f t="shared" si="42"/>
        <v>49</v>
      </c>
      <c r="K206" s="31">
        <f t="shared" si="33"/>
        <v>125.88119661510449</v>
      </c>
      <c r="L206" s="31">
        <f t="shared" si="38"/>
        <v>3644.4396692698438</v>
      </c>
    </row>
    <row r="207" spans="1:12" x14ac:dyDescent="0.3">
      <c r="A207" s="18">
        <f t="shared" si="35"/>
        <v>2039</v>
      </c>
      <c r="B207" s="23">
        <f t="shared" si="36"/>
        <v>50771</v>
      </c>
      <c r="C207" s="26">
        <f t="shared" si="37"/>
        <v>3.6900000000000002E-2</v>
      </c>
      <c r="D207" s="13">
        <f t="shared" si="43"/>
        <v>2975.2920763472753</v>
      </c>
      <c r="E207" s="13">
        <f t="shared" si="39"/>
        <v>1154.8176991333032</v>
      </c>
      <c r="F207" s="13">
        <f t="shared" si="40"/>
        <v>1820.474377213972</v>
      </c>
      <c r="G207" s="13">
        <f t="shared" si="41"/>
        <v>373729.99688564881</v>
      </c>
      <c r="I207" s="31">
        <f t="shared" si="34"/>
        <v>509.0943881966881</v>
      </c>
      <c r="J207" s="31">
        <f t="shared" si="42"/>
        <v>49</v>
      </c>
      <c r="K207" s="31">
        <f t="shared" ref="K207:K270" si="44">K206*(1+$R$7)^(YEAR(B207)-YEAR(B206))</f>
        <v>129.65763251355762</v>
      </c>
      <c r="L207" s="31">
        <f t="shared" si="38"/>
        <v>3663.044097057521</v>
      </c>
    </row>
    <row r="208" spans="1:12" x14ac:dyDescent="0.3">
      <c r="A208" s="18">
        <f t="shared" si="35"/>
        <v>2039</v>
      </c>
      <c r="B208" s="23">
        <f t="shared" si="36"/>
        <v>50802</v>
      </c>
      <c r="C208" s="26">
        <f t="shared" si="37"/>
        <v>3.6900000000000002E-2</v>
      </c>
      <c r="D208" s="13">
        <f t="shared" si="43"/>
        <v>2975.2920763472753</v>
      </c>
      <c r="E208" s="13">
        <f t="shared" si="39"/>
        <v>1149.2197404233702</v>
      </c>
      <c r="F208" s="13">
        <f t="shared" si="40"/>
        <v>1826.072335923905</v>
      </c>
      <c r="G208" s="13">
        <f t="shared" si="41"/>
        <v>371903.92454972491</v>
      </c>
      <c r="I208" s="31">
        <f t="shared" ref="I208:I271" si="45">I207*(1+$R$5)^(YEAR(B208)-YEAR(B207))</f>
        <v>509.0943881966881</v>
      </c>
      <c r="J208" s="31">
        <f t="shared" si="42"/>
        <v>49</v>
      </c>
      <c r="K208" s="31">
        <f t="shared" si="44"/>
        <v>129.65763251355762</v>
      </c>
      <c r="L208" s="31">
        <f t="shared" si="38"/>
        <v>3663.044097057521</v>
      </c>
    </row>
    <row r="209" spans="1:12" x14ac:dyDescent="0.3">
      <c r="A209" s="18">
        <f t="shared" si="35"/>
        <v>2039</v>
      </c>
      <c r="B209" s="23">
        <f t="shared" si="36"/>
        <v>50830</v>
      </c>
      <c r="C209" s="26">
        <f t="shared" si="37"/>
        <v>3.6900000000000002E-2</v>
      </c>
      <c r="D209" s="13">
        <f t="shared" si="43"/>
        <v>2975.2920763472753</v>
      </c>
      <c r="E209" s="13">
        <f t="shared" si="39"/>
        <v>1143.6045679904041</v>
      </c>
      <c r="F209" s="13">
        <f t="shared" si="40"/>
        <v>1831.6875083568711</v>
      </c>
      <c r="G209" s="13">
        <f t="shared" si="41"/>
        <v>370072.23704136803</v>
      </c>
      <c r="I209" s="31">
        <f t="shared" si="45"/>
        <v>509.0943881966881</v>
      </c>
      <c r="J209" s="31">
        <f t="shared" si="42"/>
        <v>49</v>
      </c>
      <c r="K209" s="31">
        <f t="shared" si="44"/>
        <v>129.65763251355762</v>
      </c>
      <c r="L209" s="31">
        <f t="shared" si="38"/>
        <v>3663.044097057521</v>
      </c>
    </row>
    <row r="210" spans="1:12" x14ac:dyDescent="0.3">
      <c r="A210" s="18">
        <f t="shared" si="35"/>
        <v>2039</v>
      </c>
      <c r="B210" s="23">
        <f t="shared" si="36"/>
        <v>50861</v>
      </c>
      <c r="C210" s="26">
        <f t="shared" si="37"/>
        <v>3.6900000000000002E-2</v>
      </c>
      <c r="D210" s="13">
        <f t="shared" si="43"/>
        <v>2975.2920763472753</v>
      </c>
      <c r="E210" s="13">
        <f t="shared" si="39"/>
        <v>1137.9721289022068</v>
      </c>
      <c r="F210" s="13">
        <f t="shared" si="40"/>
        <v>1837.3199474450685</v>
      </c>
      <c r="G210" s="13">
        <f t="shared" si="41"/>
        <v>368234.91709392297</v>
      </c>
      <c r="I210" s="31">
        <f t="shared" si="45"/>
        <v>509.0943881966881</v>
      </c>
      <c r="J210" s="31">
        <f t="shared" si="42"/>
        <v>49</v>
      </c>
      <c r="K210" s="31">
        <f t="shared" si="44"/>
        <v>129.65763251355762</v>
      </c>
      <c r="L210" s="31">
        <f t="shared" si="38"/>
        <v>3663.044097057521</v>
      </c>
    </row>
    <row r="211" spans="1:12" x14ac:dyDescent="0.3">
      <c r="A211" s="18">
        <f t="shared" si="35"/>
        <v>2039</v>
      </c>
      <c r="B211" s="23">
        <f t="shared" si="36"/>
        <v>50891</v>
      </c>
      <c r="C211" s="26">
        <f t="shared" si="37"/>
        <v>3.6900000000000002E-2</v>
      </c>
      <c r="D211" s="13">
        <f t="shared" si="43"/>
        <v>2975.2920763472753</v>
      </c>
      <c r="E211" s="13">
        <f t="shared" si="39"/>
        <v>1132.3223700638132</v>
      </c>
      <c r="F211" s="13">
        <f t="shared" si="40"/>
        <v>1842.9697062834621</v>
      </c>
      <c r="G211" s="13">
        <f t="shared" si="41"/>
        <v>366391.94738763949</v>
      </c>
      <c r="I211" s="31">
        <f t="shared" si="45"/>
        <v>509.0943881966881</v>
      </c>
      <c r="J211" s="31">
        <f t="shared" si="42"/>
        <v>49</v>
      </c>
      <c r="K211" s="31">
        <f t="shared" si="44"/>
        <v>129.65763251355762</v>
      </c>
      <c r="L211" s="31">
        <f t="shared" si="38"/>
        <v>3663.044097057521</v>
      </c>
    </row>
    <row r="212" spans="1:12" x14ac:dyDescent="0.3">
      <c r="A212" s="18">
        <f t="shared" si="35"/>
        <v>2039</v>
      </c>
      <c r="B212" s="23">
        <f t="shared" si="36"/>
        <v>50922</v>
      </c>
      <c r="C212" s="26">
        <f t="shared" si="37"/>
        <v>3.6900000000000002E-2</v>
      </c>
      <c r="D212" s="13">
        <f t="shared" si="43"/>
        <v>2975.2920763472753</v>
      </c>
      <c r="E212" s="13">
        <f t="shared" si="39"/>
        <v>1126.6552382169914</v>
      </c>
      <c r="F212" s="13">
        <f t="shared" si="40"/>
        <v>1848.6368381302839</v>
      </c>
      <c r="G212" s="13">
        <f t="shared" si="41"/>
        <v>364543.31054950919</v>
      </c>
      <c r="I212" s="31">
        <f t="shared" si="45"/>
        <v>509.0943881966881</v>
      </c>
      <c r="J212" s="31">
        <f t="shared" si="42"/>
        <v>49</v>
      </c>
      <c r="K212" s="31">
        <f t="shared" si="44"/>
        <v>129.65763251355762</v>
      </c>
      <c r="L212" s="31">
        <f t="shared" si="38"/>
        <v>3663.044097057521</v>
      </c>
    </row>
    <row r="213" spans="1:12" x14ac:dyDescent="0.3">
      <c r="A213" s="18">
        <f t="shared" si="35"/>
        <v>2039</v>
      </c>
      <c r="B213" s="23">
        <f t="shared" si="36"/>
        <v>50952</v>
      </c>
      <c r="C213" s="26">
        <f t="shared" si="37"/>
        <v>3.6900000000000002E-2</v>
      </c>
      <c r="D213" s="13">
        <f t="shared" si="43"/>
        <v>2975.2920763472753</v>
      </c>
      <c r="E213" s="13">
        <f t="shared" si="39"/>
        <v>1120.9706799397409</v>
      </c>
      <c r="F213" s="13">
        <f t="shared" si="40"/>
        <v>1854.3213964075344</v>
      </c>
      <c r="G213" s="13">
        <f t="shared" si="41"/>
        <v>362688.98915310163</v>
      </c>
      <c r="I213" s="31">
        <f t="shared" si="45"/>
        <v>509.0943881966881</v>
      </c>
      <c r="J213" s="31">
        <f t="shared" si="42"/>
        <v>49</v>
      </c>
      <c r="K213" s="31">
        <f t="shared" si="44"/>
        <v>129.65763251355762</v>
      </c>
      <c r="L213" s="31">
        <f t="shared" si="38"/>
        <v>3663.044097057521</v>
      </c>
    </row>
    <row r="214" spans="1:12" x14ac:dyDescent="0.3">
      <c r="A214" s="18">
        <f t="shared" si="35"/>
        <v>2039</v>
      </c>
      <c r="B214" s="23">
        <f t="shared" si="36"/>
        <v>50983</v>
      </c>
      <c r="C214" s="26">
        <f t="shared" si="37"/>
        <v>3.6900000000000002E-2</v>
      </c>
      <c r="D214" s="13">
        <f t="shared" si="43"/>
        <v>2975.2920763472753</v>
      </c>
      <c r="E214" s="13">
        <f t="shared" si="39"/>
        <v>1115.2686416457875</v>
      </c>
      <c r="F214" s="13">
        <f t="shared" si="40"/>
        <v>1860.0234347014878</v>
      </c>
      <c r="G214" s="13">
        <f t="shared" si="41"/>
        <v>360828.96571840014</v>
      </c>
      <c r="I214" s="31">
        <f t="shared" si="45"/>
        <v>509.0943881966881</v>
      </c>
      <c r="J214" s="31">
        <f t="shared" si="42"/>
        <v>49</v>
      </c>
      <c r="K214" s="31">
        <f t="shared" si="44"/>
        <v>129.65763251355762</v>
      </c>
      <c r="L214" s="31">
        <f t="shared" si="38"/>
        <v>3663.044097057521</v>
      </c>
    </row>
    <row r="215" spans="1:12" x14ac:dyDescent="0.3">
      <c r="A215" s="18">
        <f t="shared" si="35"/>
        <v>2039</v>
      </c>
      <c r="B215" s="23">
        <f t="shared" si="36"/>
        <v>51014</v>
      </c>
      <c r="C215" s="26">
        <f t="shared" si="37"/>
        <v>3.6900000000000002E-2</v>
      </c>
      <c r="D215" s="13">
        <f t="shared" si="43"/>
        <v>2975.2920763472753</v>
      </c>
      <c r="E215" s="13">
        <f t="shared" si="39"/>
        <v>1109.5490695840806</v>
      </c>
      <c r="F215" s="13">
        <f t="shared" si="40"/>
        <v>1865.7430067631947</v>
      </c>
      <c r="G215" s="13">
        <f t="shared" si="41"/>
        <v>358963.22271163692</v>
      </c>
      <c r="I215" s="31">
        <f t="shared" si="45"/>
        <v>509.0943881966881</v>
      </c>
      <c r="J215" s="31">
        <f t="shared" si="42"/>
        <v>49</v>
      </c>
      <c r="K215" s="31">
        <f t="shared" si="44"/>
        <v>129.65763251355762</v>
      </c>
      <c r="L215" s="31">
        <f t="shared" si="38"/>
        <v>3663.044097057521</v>
      </c>
    </row>
    <row r="216" spans="1:12" x14ac:dyDescent="0.3">
      <c r="A216" s="18">
        <f t="shared" si="35"/>
        <v>2039</v>
      </c>
      <c r="B216" s="23">
        <f t="shared" si="36"/>
        <v>51044</v>
      </c>
      <c r="C216" s="26">
        <f t="shared" si="37"/>
        <v>3.6900000000000002E-2</v>
      </c>
      <c r="D216" s="13">
        <f t="shared" si="43"/>
        <v>2975.2920763472753</v>
      </c>
      <c r="E216" s="13">
        <f t="shared" si="39"/>
        <v>1103.8119098382836</v>
      </c>
      <c r="F216" s="13">
        <f t="shared" si="40"/>
        <v>1871.4801665089917</v>
      </c>
      <c r="G216" s="13">
        <f t="shared" si="41"/>
        <v>357091.74254512793</v>
      </c>
      <c r="I216" s="31">
        <f t="shared" si="45"/>
        <v>509.0943881966881</v>
      </c>
      <c r="J216" s="31">
        <f t="shared" si="42"/>
        <v>49</v>
      </c>
      <c r="K216" s="31">
        <f t="shared" si="44"/>
        <v>129.65763251355762</v>
      </c>
      <c r="L216" s="31">
        <f t="shared" si="38"/>
        <v>3663.044097057521</v>
      </c>
    </row>
    <row r="217" spans="1:12" x14ac:dyDescent="0.3">
      <c r="A217" s="18">
        <f t="shared" si="35"/>
        <v>2039</v>
      </c>
      <c r="B217" s="23">
        <f t="shared" si="36"/>
        <v>51075</v>
      </c>
      <c r="C217" s="26">
        <f t="shared" si="37"/>
        <v>3.6900000000000002E-2</v>
      </c>
      <c r="D217" s="13">
        <f t="shared" si="43"/>
        <v>2975.2920763472753</v>
      </c>
      <c r="E217" s="13">
        <f t="shared" si="39"/>
        <v>1098.0571083262685</v>
      </c>
      <c r="F217" s="13">
        <f t="shared" si="40"/>
        <v>1877.2349680210068</v>
      </c>
      <c r="G217" s="13">
        <f t="shared" si="41"/>
        <v>355214.50757710694</v>
      </c>
      <c r="I217" s="31">
        <f t="shared" si="45"/>
        <v>509.0943881966881</v>
      </c>
      <c r="J217" s="31">
        <f t="shared" si="42"/>
        <v>49</v>
      </c>
      <c r="K217" s="31">
        <f t="shared" si="44"/>
        <v>129.65763251355762</v>
      </c>
      <c r="L217" s="31">
        <f t="shared" si="38"/>
        <v>3663.044097057521</v>
      </c>
    </row>
    <row r="218" spans="1:12" x14ac:dyDescent="0.3">
      <c r="A218" s="18">
        <f t="shared" si="35"/>
        <v>2039</v>
      </c>
      <c r="B218" s="23">
        <f t="shared" si="36"/>
        <v>51105</v>
      </c>
      <c r="C218" s="26">
        <f t="shared" si="37"/>
        <v>3.6900000000000002E-2</v>
      </c>
      <c r="D218" s="13">
        <f t="shared" si="43"/>
        <v>2975.2920763472753</v>
      </c>
      <c r="E218" s="13">
        <f t="shared" si="39"/>
        <v>1092.284610799604</v>
      </c>
      <c r="F218" s="13">
        <f t="shared" si="40"/>
        <v>1883.0074655476712</v>
      </c>
      <c r="G218" s="13">
        <f t="shared" si="41"/>
        <v>353331.50011155929</v>
      </c>
      <c r="I218" s="31">
        <f t="shared" si="45"/>
        <v>509.0943881966881</v>
      </c>
      <c r="J218" s="31">
        <f t="shared" si="42"/>
        <v>49</v>
      </c>
      <c r="K218" s="31">
        <f t="shared" si="44"/>
        <v>129.65763251355762</v>
      </c>
      <c r="L218" s="31">
        <f t="shared" si="38"/>
        <v>3663.044097057521</v>
      </c>
    </row>
    <row r="219" spans="1:12" x14ac:dyDescent="0.3">
      <c r="A219" s="18">
        <f t="shared" si="35"/>
        <v>2040</v>
      </c>
      <c r="B219" s="23">
        <f t="shared" si="36"/>
        <v>51136</v>
      </c>
      <c r="C219" s="26">
        <f t="shared" si="37"/>
        <v>3.6900000000000002E-2</v>
      </c>
      <c r="D219" s="13">
        <f t="shared" si="43"/>
        <v>2975.2920763472753</v>
      </c>
      <c r="E219" s="13">
        <f t="shared" si="39"/>
        <v>1086.4943628430449</v>
      </c>
      <c r="F219" s="13">
        <f t="shared" si="40"/>
        <v>1888.7977135042304</v>
      </c>
      <c r="G219" s="13">
        <f t="shared" si="41"/>
        <v>351442.70239805506</v>
      </c>
      <c r="I219" s="31">
        <f t="shared" si="45"/>
        <v>524.36721984258872</v>
      </c>
      <c r="J219" s="31">
        <f t="shared" si="42"/>
        <v>49</v>
      </c>
      <c r="K219" s="31">
        <f t="shared" si="44"/>
        <v>133.54736148896436</v>
      </c>
      <c r="L219" s="31">
        <f t="shared" si="38"/>
        <v>3682.2066576788284</v>
      </c>
    </row>
    <row r="220" spans="1:12" x14ac:dyDescent="0.3">
      <c r="A220" s="18">
        <f t="shared" si="35"/>
        <v>2040</v>
      </c>
      <c r="B220" s="23">
        <f t="shared" si="36"/>
        <v>51167</v>
      </c>
      <c r="C220" s="26">
        <f t="shared" si="37"/>
        <v>3.6900000000000002E-2</v>
      </c>
      <c r="D220" s="13">
        <f t="shared" si="43"/>
        <v>2975.2920763472753</v>
      </c>
      <c r="E220" s="13">
        <f t="shared" si="39"/>
        <v>1080.6863098740193</v>
      </c>
      <c r="F220" s="13">
        <f t="shared" si="40"/>
        <v>1894.6057664732559</v>
      </c>
      <c r="G220" s="13">
        <f t="shared" si="41"/>
        <v>349548.09663158178</v>
      </c>
      <c r="I220" s="31">
        <f t="shared" si="45"/>
        <v>524.36721984258872</v>
      </c>
      <c r="J220" s="31">
        <f t="shared" si="42"/>
        <v>49</v>
      </c>
      <c r="K220" s="31">
        <f t="shared" si="44"/>
        <v>133.54736148896436</v>
      </c>
      <c r="L220" s="31">
        <f t="shared" si="38"/>
        <v>3682.2066576788284</v>
      </c>
    </row>
    <row r="221" spans="1:12" x14ac:dyDescent="0.3">
      <c r="A221" s="18">
        <f t="shared" si="35"/>
        <v>2040</v>
      </c>
      <c r="B221" s="23">
        <f t="shared" si="36"/>
        <v>51196</v>
      </c>
      <c r="C221" s="26">
        <f t="shared" si="37"/>
        <v>3.6900000000000002E-2</v>
      </c>
      <c r="D221" s="13">
        <f t="shared" si="43"/>
        <v>2975.2920763472753</v>
      </c>
      <c r="E221" s="13">
        <f t="shared" si="39"/>
        <v>1074.8603971421142</v>
      </c>
      <c r="F221" s="13">
        <f t="shared" si="40"/>
        <v>1900.4316792051611</v>
      </c>
      <c r="G221" s="13">
        <f t="shared" si="41"/>
        <v>347647.66495237662</v>
      </c>
      <c r="I221" s="31">
        <f t="shared" si="45"/>
        <v>524.36721984258872</v>
      </c>
      <c r="J221" s="31">
        <f t="shared" si="42"/>
        <v>49</v>
      </c>
      <c r="K221" s="31">
        <f t="shared" si="44"/>
        <v>133.54736148896436</v>
      </c>
      <c r="L221" s="31">
        <f t="shared" si="38"/>
        <v>3682.2066576788284</v>
      </c>
    </row>
    <row r="222" spans="1:12" x14ac:dyDescent="0.3">
      <c r="A222" s="18">
        <f t="shared" si="35"/>
        <v>2040</v>
      </c>
      <c r="B222" s="23">
        <f t="shared" si="36"/>
        <v>51227</v>
      </c>
      <c r="C222" s="26">
        <f t="shared" si="37"/>
        <v>3.6900000000000002E-2</v>
      </c>
      <c r="D222" s="13">
        <f t="shared" si="43"/>
        <v>2975.2920763472753</v>
      </c>
      <c r="E222" s="13">
        <f t="shared" si="39"/>
        <v>1069.0165697285581</v>
      </c>
      <c r="F222" s="13">
        <f t="shared" si="40"/>
        <v>1906.2755066187171</v>
      </c>
      <c r="G222" s="13">
        <f t="shared" si="41"/>
        <v>345741.3894457579</v>
      </c>
      <c r="I222" s="31">
        <f t="shared" si="45"/>
        <v>524.36721984258872</v>
      </c>
      <c r="J222" s="31">
        <f t="shared" si="42"/>
        <v>49</v>
      </c>
      <c r="K222" s="31">
        <f t="shared" si="44"/>
        <v>133.54736148896436</v>
      </c>
      <c r="L222" s="31">
        <f t="shared" si="38"/>
        <v>3682.2066576788284</v>
      </c>
    </row>
    <row r="223" spans="1:12" x14ac:dyDescent="0.3">
      <c r="A223" s="18">
        <f t="shared" si="35"/>
        <v>2040</v>
      </c>
      <c r="B223" s="23">
        <f t="shared" si="36"/>
        <v>51257</v>
      </c>
      <c r="C223" s="26">
        <f t="shared" si="37"/>
        <v>3.6900000000000002E-2</v>
      </c>
      <c r="D223" s="13">
        <f t="shared" si="43"/>
        <v>2975.2920763472753</v>
      </c>
      <c r="E223" s="13">
        <f t="shared" si="39"/>
        <v>1063.1547725457056</v>
      </c>
      <c r="F223" s="13">
        <f t="shared" si="40"/>
        <v>1912.1373038015697</v>
      </c>
      <c r="G223" s="13">
        <f t="shared" si="41"/>
        <v>343829.25214195636</v>
      </c>
      <c r="I223" s="31">
        <f t="shared" si="45"/>
        <v>524.36721984258872</v>
      </c>
      <c r="J223" s="31">
        <f t="shared" si="42"/>
        <v>49</v>
      </c>
      <c r="K223" s="31">
        <f t="shared" si="44"/>
        <v>133.54736148896436</v>
      </c>
      <c r="L223" s="31">
        <f t="shared" si="38"/>
        <v>3682.2066576788284</v>
      </c>
    </row>
    <row r="224" spans="1:12" x14ac:dyDescent="0.3">
      <c r="A224" s="18">
        <f t="shared" si="35"/>
        <v>2040</v>
      </c>
      <c r="B224" s="23">
        <f t="shared" si="36"/>
        <v>51288</v>
      </c>
      <c r="C224" s="26">
        <f t="shared" si="37"/>
        <v>3.6900000000000002E-2</v>
      </c>
      <c r="D224" s="13">
        <f t="shared" si="43"/>
        <v>2975.2920763472753</v>
      </c>
      <c r="E224" s="13">
        <f t="shared" si="39"/>
        <v>1057.274950336516</v>
      </c>
      <c r="F224" s="13">
        <f t="shared" si="40"/>
        <v>1918.0171260107593</v>
      </c>
      <c r="G224" s="13">
        <f t="shared" si="41"/>
        <v>341911.23501594563</v>
      </c>
      <c r="I224" s="31">
        <f t="shared" si="45"/>
        <v>524.36721984258872</v>
      </c>
      <c r="J224" s="31">
        <f t="shared" si="42"/>
        <v>49</v>
      </c>
      <c r="K224" s="31">
        <f t="shared" si="44"/>
        <v>133.54736148896436</v>
      </c>
      <c r="L224" s="31">
        <f t="shared" si="38"/>
        <v>3682.2066576788284</v>
      </c>
    </row>
    <row r="225" spans="1:12" x14ac:dyDescent="0.3">
      <c r="A225" s="18">
        <f t="shared" si="35"/>
        <v>2040</v>
      </c>
      <c r="B225" s="23">
        <f t="shared" si="36"/>
        <v>51318</v>
      </c>
      <c r="C225" s="26">
        <f t="shared" si="37"/>
        <v>3.6900000000000002E-2</v>
      </c>
      <c r="D225" s="13">
        <f t="shared" si="43"/>
        <v>2975.2920763472753</v>
      </c>
      <c r="E225" s="13">
        <f t="shared" si="39"/>
        <v>1051.3770476740328</v>
      </c>
      <c r="F225" s="13">
        <f t="shared" si="40"/>
        <v>1923.9150286732424</v>
      </c>
      <c r="G225" s="13">
        <f t="shared" si="41"/>
        <v>339987.31998727238</v>
      </c>
      <c r="I225" s="31">
        <f t="shared" si="45"/>
        <v>524.36721984258872</v>
      </c>
      <c r="J225" s="31">
        <f t="shared" si="42"/>
        <v>49</v>
      </c>
      <c r="K225" s="31">
        <f t="shared" si="44"/>
        <v>133.54736148896436</v>
      </c>
      <c r="L225" s="31">
        <f t="shared" si="38"/>
        <v>3682.2066576788284</v>
      </c>
    </row>
    <row r="226" spans="1:12" x14ac:dyDescent="0.3">
      <c r="A226" s="18">
        <f t="shared" si="35"/>
        <v>2040</v>
      </c>
      <c r="B226" s="23">
        <f t="shared" si="36"/>
        <v>51349</v>
      </c>
      <c r="C226" s="26">
        <f t="shared" si="37"/>
        <v>3.6900000000000002E-2</v>
      </c>
      <c r="D226" s="13">
        <f t="shared" si="43"/>
        <v>2975.2920763472753</v>
      </c>
      <c r="E226" s="13">
        <f t="shared" si="39"/>
        <v>1045.4610089608625</v>
      </c>
      <c r="F226" s="13">
        <f t="shared" si="40"/>
        <v>1929.8310673864128</v>
      </c>
      <c r="G226" s="13">
        <f t="shared" si="41"/>
        <v>338057.48891988595</v>
      </c>
      <c r="I226" s="31">
        <f t="shared" si="45"/>
        <v>524.36721984258872</v>
      </c>
      <c r="J226" s="31">
        <f t="shared" si="42"/>
        <v>49</v>
      </c>
      <c r="K226" s="31">
        <f t="shared" si="44"/>
        <v>133.54736148896436</v>
      </c>
      <c r="L226" s="31">
        <f t="shared" si="38"/>
        <v>3682.2066576788284</v>
      </c>
    </row>
    <row r="227" spans="1:12" x14ac:dyDescent="0.3">
      <c r="A227" s="18">
        <f t="shared" si="35"/>
        <v>2040</v>
      </c>
      <c r="B227" s="23">
        <f t="shared" si="36"/>
        <v>51380</v>
      </c>
      <c r="C227" s="26">
        <f t="shared" si="37"/>
        <v>3.6900000000000002E-2</v>
      </c>
      <c r="D227" s="13">
        <f t="shared" si="43"/>
        <v>2975.2920763472753</v>
      </c>
      <c r="E227" s="13">
        <f t="shared" si="39"/>
        <v>1039.5267784286493</v>
      </c>
      <c r="F227" s="13">
        <f t="shared" si="40"/>
        <v>1935.7652979186259</v>
      </c>
      <c r="G227" s="13">
        <f t="shared" si="41"/>
        <v>336121.72362196731</v>
      </c>
      <c r="I227" s="31">
        <f t="shared" si="45"/>
        <v>524.36721984258872</v>
      </c>
      <c r="J227" s="31">
        <f t="shared" si="42"/>
        <v>49</v>
      </c>
      <c r="K227" s="31">
        <f t="shared" si="44"/>
        <v>133.54736148896436</v>
      </c>
      <c r="L227" s="31">
        <f t="shared" si="38"/>
        <v>3682.2066576788284</v>
      </c>
    </row>
    <row r="228" spans="1:12" x14ac:dyDescent="0.3">
      <c r="A228" s="18">
        <f t="shared" si="35"/>
        <v>2040</v>
      </c>
      <c r="B228" s="23">
        <f t="shared" si="36"/>
        <v>51410</v>
      </c>
      <c r="C228" s="26">
        <f t="shared" si="37"/>
        <v>3.6900000000000002E-2</v>
      </c>
      <c r="D228" s="13">
        <f t="shared" si="43"/>
        <v>2975.2920763472753</v>
      </c>
      <c r="E228" s="13">
        <f t="shared" si="39"/>
        <v>1033.5743001375495</v>
      </c>
      <c r="F228" s="13">
        <f t="shared" si="40"/>
        <v>1941.7177762097258</v>
      </c>
      <c r="G228" s="13">
        <f t="shared" si="41"/>
        <v>334180.00584575761</v>
      </c>
      <c r="I228" s="31">
        <f t="shared" si="45"/>
        <v>524.36721984258872</v>
      </c>
      <c r="J228" s="31">
        <f t="shared" si="42"/>
        <v>49</v>
      </c>
      <c r="K228" s="31">
        <f t="shared" si="44"/>
        <v>133.54736148896436</v>
      </c>
      <c r="L228" s="31">
        <f t="shared" si="38"/>
        <v>3682.2066576788284</v>
      </c>
    </row>
    <row r="229" spans="1:12" x14ac:dyDescent="0.3">
      <c r="A229" s="18">
        <f t="shared" si="35"/>
        <v>2040</v>
      </c>
      <c r="B229" s="23">
        <f t="shared" si="36"/>
        <v>51441</v>
      </c>
      <c r="C229" s="26">
        <f t="shared" si="37"/>
        <v>3.6900000000000002E-2</v>
      </c>
      <c r="D229" s="13">
        <f t="shared" si="43"/>
        <v>2975.2920763472753</v>
      </c>
      <c r="E229" s="13">
        <f t="shared" si="39"/>
        <v>1027.6035179757048</v>
      </c>
      <c r="F229" s="13">
        <f t="shared" si="40"/>
        <v>1947.6885583715705</v>
      </c>
      <c r="G229" s="13">
        <f t="shared" si="41"/>
        <v>332232.31728738605</v>
      </c>
      <c r="I229" s="31">
        <f t="shared" si="45"/>
        <v>524.36721984258872</v>
      </c>
      <c r="J229" s="31">
        <f t="shared" si="42"/>
        <v>49</v>
      </c>
      <c r="K229" s="31">
        <f t="shared" si="44"/>
        <v>133.54736148896436</v>
      </c>
      <c r="L229" s="31">
        <f t="shared" si="38"/>
        <v>3682.2066576788284</v>
      </c>
    </row>
    <row r="230" spans="1:12" x14ac:dyDescent="0.3">
      <c r="A230" s="18">
        <f t="shared" si="35"/>
        <v>2040</v>
      </c>
      <c r="B230" s="23">
        <f t="shared" si="36"/>
        <v>51471</v>
      </c>
      <c r="C230" s="26">
        <f t="shared" si="37"/>
        <v>3.6900000000000002E-2</v>
      </c>
      <c r="D230" s="13">
        <f t="shared" si="43"/>
        <v>2975.2920763472753</v>
      </c>
      <c r="E230" s="13">
        <f t="shared" si="39"/>
        <v>1021.6143756587121</v>
      </c>
      <c r="F230" s="13">
        <f t="shared" si="40"/>
        <v>1953.6777006885632</v>
      </c>
      <c r="G230" s="13">
        <f t="shared" si="41"/>
        <v>330278.63958669751</v>
      </c>
      <c r="I230" s="31">
        <f t="shared" si="45"/>
        <v>524.36721984258872</v>
      </c>
      <c r="J230" s="31">
        <f t="shared" si="42"/>
        <v>49</v>
      </c>
      <c r="K230" s="31">
        <f t="shared" si="44"/>
        <v>133.54736148896436</v>
      </c>
      <c r="L230" s="31">
        <f t="shared" si="38"/>
        <v>3682.2066576788284</v>
      </c>
    </row>
    <row r="231" spans="1:12" x14ac:dyDescent="0.3">
      <c r="A231" s="18">
        <f t="shared" si="35"/>
        <v>2041</v>
      </c>
      <c r="B231" s="23">
        <f t="shared" si="36"/>
        <v>51502</v>
      </c>
      <c r="C231" s="26">
        <f t="shared" si="37"/>
        <v>3.6900000000000002E-2</v>
      </c>
      <c r="D231" s="13">
        <f t="shared" si="43"/>
        <v>2975.2920763472753</v>
      </c>
      <c r="E231" s="13">
        <f t="shared" si="39"/>
        <v>1015.6068167290949</v>
      </c>
      <c r="F231" s="13">
        <f t="shared" si="40"/>
        <v>1959.6852596181802</v>
      </c>
      <c r="G231" s="13">
        <f t="shared" si="41"/>
        <v>328318.95432707935</v>
      </c>
      <c r="I231" s="31">
        <f t="shared" si="45"/>
        <v>540.09823643786638</v>
      </c>
      <c r="J231" s="31">
        <f t="shared" si="42"/>
        <v>49</v>
      </c>
      <c r="K231" s="31">
        <f t="shared" si="44"/>
        <v>137.55378233363328</v>
      </c>
      <c r="L231" s="31">
        <f t="shared" si="38"/>
        <v>3701.9440951187748</v>
      </c>
    </row>
    <row r="232" spans="1:12" x14ac:dyDescent="0.3">
      <c r="A232" s="18">
        <f t="shared" si="35"/>
        <v>2041</v>
      </c>
      <c r="B232" s="23">
        <f t="shared" si="36"/>
        <v>51533</v>
      </c>
      <c r="C232" s="26">
        <f t="shared" si="37"/>
        <v>3.6900000000000002E-2</v>
      </c>
      <c r="D232" s="13">
        <f t="shared" si="43"/>
        <v>2975.2920763472753</v>
      </c>
      <c r="E232" s="13">
        <f t="shared" si="39"/>
        <v>1009.5807845557691</v>
      </c>
      <c r="F232" s="13">
        <f t="shared" si="40"/>
        <v>1965.711291791506</v>
      </c>
      <c r="G232" s="13">
        <f t="shared" si="41"/>
        <v>326353.24303528783</v>
      </c>
      <c r="I232" s="31">
        <f t="shared" si="45"/>
        <v>540.09823643786638</v>
      </c>
      <c r="J232" s="31">
        <f t="shared" si="42"/>
        <v>49</v>
      </c>
      <c r="K232" s="31">
        <f t="shared" si="44"/>
        <v>137.55378233363328</v>
      </c>
      <c r="L232" s="31">
        <f t="shared" si="38"/>
        <v>3701.9440951187748</v>
      </c>
    </row>
    <row r="233" spans="1:12" x14ac:dyDescent="0.3">
      <c r="A233" s="18">
        <f t="shared" si="35"/>
        <v>2041</v>
      </c>
      <c r="B233" s="23">
        <f t="shared" si="36"/>
        <v>51561</v>
      </c>
      <c r="C233" s="26">
        <f t="shared" si="37"/>
        <v>3.6900000000000002E-2</v>
      </c>
      <c r="D233" s="13">
        <f t="shared" si="43"/>
        <v>2975.2920763472753</v>
      </c>
      <c r="E233" s="13">
        <f t="shared" si="39"/>
        <v>1003.5362223335101</v>
      </c>
      <c r="F233" s="13">
        <f t="shared" si="40"/>
        <v>1971.7558540137652</v>
      </c>
      <c r="G233" s="13">
        <f t="shared" si="41"/>
        <v>324381.48718127405</v>
      </c>
      <c r="I233" s="31">
        <f t="shared" si="45"/>
        <v>540.09823643786638</v>
      </c>
      <c r="J233" s="31">
        <f t="shared" si="42"/>
        <v>49</v>
      </c>
      <c r="K233" s="31">
        <f t="shared" si="44"/>
        <v>137.55378233363328</v>
      </c>
      <c r="L233" s="31">
        <f t="shared" si="38"/>
        <v>3701.9440951187748</v>
      </c>
    </row>
    <row r="234" spans="1:12" x14ac:dyDescent="0.3">
      <c r="A234" s="18">
        <f t="shared" si="35"/>
        <v>2041</v>
      </c>
      <c r="B234" s="23">
        <f t="shared" si="36"/>
        <v>51592</v>
      </c>
      <c r="C234" s="26">
        <f t="shared" si="37"/>
        <v>3.6900000000000002E-2</v>
      </c>
      <c r="D234" s="13">
        <f t="shared" si="43"/>
        <v>2975.2920763472753</v>
      </c>
      <c r="E234" s="13">
        <f t="shared" si="39"/>
        <v>997.47307308241773</v>
      </c>
      <c r="F234" s="13">
        <f t="shared" si="40"/>
        <v>1977.8190032648577</v>
      </c>
      <c r="G234" s="13">
        <f t="shared" si="41"/>
        <v>322403.66817800916</v>
      </c>
      <c r="I234" s="31">
        <f t="shared" si="45"/>
        <v>540.09823643786638</v>
      </c>
      <c r="J234" s="31">
        <f t="shared" si="42"/>
        <v>49</v>
      </c>
      <c r="K234" s="31">
        <f t="shared" si="44"/>
        <v>137.55378233363328</v>
      </c>
      <c r="L234" s="31">
        <f t="shared" si="38"/>
        <v>3701.9440951187748</v>
      </c>
    </row>
    <row r="235" spans="1:12" x14ac:dyDescent="0.3">
      <c r="A235" s="18">
        <f t="shared" si="35"/>
        <v>2041</v>
      </c>
      <c r="B235" s="23">
        <f t="shared" si="36"/>
        <v>51622</v>
      </c>
      <c r="C235" s="26">
        <f t="shared" si="37"/>
        <v>3.6900000000000002E-2</v>
      </c>
      <c r="D235" s="13">
        <f t="shared" si="43"/>
        <v>2975.2920763472753</v>
      </c>
      <c r="E235" s="13">
        <f t="shared" si="39"/>
        <v>991.39127964737827</v>
      </c>
      <c r="F235" s="13">
        <f t="shared" si="40"/>
        <v>1983.900796699897</v>
      </c>
      <c r="G235" s="13">
        <f t="shared" si="41"/>
        <v>320419.76738130924</v>
      </c>
      <c r="I235" s="31">
        <f t="shared" si="45"/>
        <v>540.09823643786638</v>
      </c>
      <c r="J235" s="31">
        <f t="shared" si="42"/>
        <v>49</v>
      </c>
      <c r="K235" s="31">
        <f t="shared" si="44"/>
        <v>137.55378233363328</v>
      </c>
      <c r="L235" s="31">
        <f t="shared" si="38"/>
        <v>3701.9440951187748</v>
      </c>
    </row>
    <row r="236" spans="1:12" x14ac:dyDescent="0.3">
      <c r="A236" s="18">
        <f t="shared" si="35"/>
        <v>2041</v>
      </c>
      <c r="B236" s="23">
        <f t="shared" si="36"/>
        <v>51653</v>
      </c>
      <c r="C236" s="26">
        <f t="shared" si="37"/>
        <v>3.6900000000000002E-2</v>
      </c>
      <c r="D236" s="13">
        <f t="shared" si="43"/>
        <v>2975.2920763472753</v>
      </c>
      <c r="E236" s="13">
        <f t="shared" si="39"/>
        <v>985.29078469752596</v>
      </c>
      <c r="F236" s="13">
        <f t="shared" si="40"/>
        <v>1990.0012916497494</v>
      </c>
      <c r="G236" s="13">
        <f t="shared" si="41"/>
        <v>318429.76608965948</v>
      </c>
      <c r="I236" s="31">
        <f t="shared" si="45"/>
        <v>540.09823643786638</v>
      </c>
      <c r="J236" s="31">
        <f t="shared" si="42"/>
        <v>49</v>
      </c>
      <c r="K236" s="31">
        <f t="shared" si="44"/>
        <v>137.55378233363328</v>
      </c>
      <c r="L236" s="31">
        <f t="shared" si="38"/>
        <v>3701.9440951187748</v>
      </c>
    </row>
    <row r="237" spans="1:12" x14ac:dyDescent="0.3">
      <c r="A237" s="18">
        <f t="shared" si="35"/>
        <v>2041</v>
      </c>
      <c r="B237" s="23">
        <f t="shared" si="36"/>
        <v>51683</v>
      </c>
      <c r="C237" s="26">
        <f t="shared" si="37"/>
        <v>3.6900000000000002E-2</v>
      </c>
      <c r="D237" s="13">
        <f t="shared" si="43"/>
        <v>2975.2920763472753</v>
      </c>
      <c r="E237" s="13">
        <f t="shared" si="39"/>
        <v>979.17153072570284</v>
      </c>
      <c r="F237" s="13">
        <f t="shared" si="40"/>
        <v>1996.1205456215725</v>
      </c>
      <c r="G237" s="13">
        <f t="shared" si="41"/>
        <v>316433.64554403792</v>
      </c>
      <c r="I237" s="31">
        <f t="shared" si="45"/>
        <v>540.09823643786638</v>
      </c>
      <c r="J237" s="31">
        <f t="shared" si="42"/>
        <v>49</v>
      </c>
      <c r="K237" s="31">
        <f t="shared" si="44"/>
        <v>137.55378233363328</v>
      </c>
      <c r="L237" s="31">
        <f t="shared" si="38"/>
        <v>3701.9440951187748</v>
      </c>
    </row>
    <row r="238" spans="1:12" x14ac:dyDescent="0.3">
      <c r="A238" s="18">
        <f t="shared" si="35"/>
        <v>2041</v>
      </c>
      <c r="B238" s="23">
        <f t="shared" si="36"/>
        <v>51714</v>
      </c>
      <c r="C238" s="26">
        <f t="shared" si="37"/>
        <v>3.6900000000000002E-2</v>
      </c>
      <c r="D238" s="13">
        <f t="shared" si="43"/>
        <v>2975.2920763472753</v>
      </c>
      <c r="E238" s="13">
        <f t="shared" si="39"/>
        <v>973.03346004791672</v>
      </c>
      <c r="F238" s="13">
        <f t="shared" si="40"/>
        <v>2002.2586162993584</v>
      </c>
      <c r="G238" s="13">
        <f t="shared" si="41"/>
        <v>314431.38692773855</v>
      </c>
      <c r="I238" s="31">
        <f t="shared" si="45"/>
        <v>540.09823643786638</v>
      </c>
      <c r="J238" s="31">
        <f t="shared" si="42"/>
        <v>49</v>
      </c>
      <c r="K238" s="31">
        <f t="shared" si="44"/>
        <v>137.55378233363328</v>
      </c>
      <c r="L238" s="31">
        <f t="shared" si="38"/>
        <v>3701.9440951187748</v>
      </c>
    </row>
    <row r="239" spans="1:12" x14ac:dyDescent="0.3">
      <c r="A239" s="18">
        <f t="shared" si="35"/>
        <v>2041</v>
      </c>
      <c r="B239" s="23">
        <f t="shared" si="36"/>
        <v>51745</v>
      </c>
      <c r="C239" s="26">
        <f t="shared" si="37"/>
        <v>3.6900000000000002E-2</v>
      </c>
      <c r="D239" s="13">
        <f t="shared" si="43"/>
        <v>2975.2920763472753</v>
      </c>
      <c r="E239" s="13">
        <f t="shared" si="39"/>
        <v>966.87651480279612</v>
      </c>
      <c r="F239" s="13">
        <f t="shared" si="40"/>
        <v>2008.4155615444793</v>
      </c>
      <c r="G239" s="13">
        <f t="shared" si="41"/>
        <v>312422.97136619408</v>
      </c>
      <c r="I239" s="31">
        <f t="shared" si="45"/>
        <v>540.09823643786638</v>
      </c>
      <c r="J239" s="31">
        <f t="shared" si="42"/>
        <v>49</v>
      </c>
      <c r="K239" s="31">
        <f t="shared" si="44"/>
        <v>137.55378233363328</v>
      </c>
      <c r="L239" s="31">
        <f t="shared" si="38"/>
        <v>3701.9440951187748</v>
      </c>
    </row>
    <row r="240" spans="1:12" x14ac:dyDescent="0.3">
      <c r="A240" s="18">
        <f t="shared" si="35"/>
        <v>2041</v>
      </c>
      <c r="B240" s="23">
        <f t="shared" si="36"/>
        <v>51775</v>
      </c>
      <c r="C240" s="26">
        <f t="shared" si="37"/>
        <v>3.6900000000000002E-2</v>
      </c>
      <c r="D240" s="13">
        <f t="shared" si="43"/>
        <v>2975.2920763472753</v>
      </c>
      <c r="E240" s="13">
        <f t="shared" si="39"/>
        <v>960.70063695104682</v>
      </c>
      <c r="F240" s="13">
        <f t="shared" si="40"/>
        <v>2014.5914393962285</v>
      </c>
      <c r="G240" s="13">
        <f t="shared" si="41"/>
        <v>310408.37992679788</v>
      </c>
      <c r="I240" s="31">
        <f t="shared" si="45"/>
        <v>540.09823643786638</v>
      </c>
      <c r="J240" s="31">
        <f t="shared" si="42"/>
        <v>49</v>
      </c>
      <c r="K240" s="31">
        <f t="shared" si="44"/>
        <v>137.55378233363328</v>
      </c>
      <c r="L240" s="31">
        <f t="shared" si="38"/>
        <v>3701.9440951187748</v>
      </c>
    </row>
    <row r="241" spans="1:12" x14ac:dyDescent="0.3">
      <c r="A241" s="18">
        <f t="shared" si="35"/>
        <v>2041</v>
      </c>
      <c r="B241" s="23">
        <f t="shared" si="36"/>
        <v>51806</v>
      </c>
      <c r="C241" s="26">
        <f t="shared" si="37"/>
        <v>3.6900000000000002E-2</v>
      </c>
      <c r="D241" s="13">
        <f t="shared" si="43"/>
        <v>2975.2920763472753</v>
      </c>
      <c r="E241" s="13">
        <f t="shared" si="39"/>
        <v>954.50576827490352</v>
      </c>
      <c r="F241" s="13">
        <f t="shared" si="40"/>
        <v>2020.7863080723719</v>
      </c>
      <c r="G241" s="13">
        <f t="shared" si="41"/>
        <v>308387.59361872548</v>
      </c>
      <c r="I241" s="31">
        <f t="shared" si="45"/>
        <v>540.09823643786638</v>
      </c>
      <c r="J241" s="31">
        <f t="shared" si="42"/>
        <v>49</v>
      </c>
      <c r="K241" s="31">
        <f t="shared" si="44"/>
        <v>137.55378233363328</v>
      </c>
      <c r="L241" s="31">
        <f t="shared" si="38"/>
        <v>3701.9440951187748</v>
      </c>
    </row>
    <row r="242" spans="1:12" x14ac:dyDescent="0.3">
      <c r="A242" s="18">
        <f t="shared" si="35"/>
        <v>2041</v>
      </c>
      <c r="B242" s="23">
        <f t="shared" si="36"/>
        <v>51836</v>
      </c>
      <c r="C242" s="26">
        <f t="shared" si="37"/>
        <v>3.6900000000000002E-2</v>
      </c>
      <c r="D242" s="13">
        <f t="shared" si="43"/>
        <v>2975.2920763472753</v>
      </c>
      <c r="E242" s="13">
        <f t="shared" si="39"/>
        <v>948.29185037758089</v>
      </c>
      <c r="F242" s="13">
        <f t="shared" si="40"/>
        <v>2027.0002259696944</v>
      </c>
      <c r="G242" s="13">
        <f t="shared" si="41"/>
        <v>306360.59339275578</v>
      </c>
      <c r="I242" s="31">
        <f t="shared" si="45"/>
        <v>540.09823643786638</v>
      </c>
      <c r="J242" s="31">
        <f t="shared" si="42"/>
        <v>49</v>
      </c>
      <c r="K242" s="31">
        <f t="shared" si="44"/>
        <v>137.55378233363328</v>
      </c>
      <c r="L242" s="31">
        <f t="shared" si="38"/>
        <v>3701.9440951187748</v>
      </c>
    </row>
    <row r="243" spans="1:12" x14ac:dyDescent="0.3">
      <c r="A243" s="18">
        <f t="shared" si="35"/>
        <v>2042</v>
      </c>
      <c r="B243" s="23">
        <f t="shared" si="36"/>
        <v>51867</v>
      </c>
      <c r="C243" s="26">
        <f t="shared" si="37"/>
        <v>3.6900000000000002E-2</v>
      </c>
      <c r="D243" s="13">
        <f t="shared" si="43"/>
        <v>2975.2920763472753</v>
      </c>
      <c r="E243" s="13">
        <f t="shared" si="39"/>
        <v>942.05882468272409</v>
      </c>
      <c r="F243" s="13">
        <f t="shared" si="40"/>
        <v>2033.2332516645511</v>
      </c>
      <c r="G243" s="13">
        <f t="shared" si="41"/>
        <v>304327.36014109122</v>
      </c>
      <c r="I243" s="31">
        <f t="shared" si="45"/>
        <v>556.30118353100238</v>
      </c>
      <c r="J243" s="31">
        <f t="shared" si="42"/>
        <v>49</v>
      </c>
      <c r="K243" s="31">
        <f t="shared" si="44"/>
        <v>141.68039580364228</v>
      </c>
      <c r="L243" s="31">
        <f t="shared" si="38"/>
        <v>3722.27365568192</v>
      </c>
    </row>
    <row r="244" spans="1:12" x14ac:dyDescent="0.3">
      <c r="A244" s="18">
        <f t="shared" si="35"/>
        <v>2042</v>
      </c>
      <c r="B244" s="23">
        <f t="shared" si="36"/>
        <v>51898</v>
      </c>
      <c r="C244" s="26">
        <f t="shared" si="37"/>
        <v>3.6900000000000002E-2</v>
      </c>
      <c r="D244" s="13">
        <f t="shared" si="43"/>
        <v>2975.2920763472753</v>
      </c>
      <c r="E244" s="13">
        <f t="shared" si="39"/>
        <v>935.80663243385561</v>
      </c>
      <c r="F244" s="13">
        <f t="shared" si="40"/>
        <v>2039.4854439134197</v>
      </c>
      <c r="G244" s="13">
        <f t="shared" si="41"/>
        <v>302287.87469717779</v>
      </c>
      <c r="I244" s="31">
        <f t="shared" si="45"/>
        <v>556.30118353100238</v>
      </c>
      <c r="J244" s="31">
        <f t="shared" si="42"/>
        <v>49</v>
      </c>
      <c r="K244" s="31">
        <f t="shared" si="44"/>
        <v>141.68039580364228</v>
      </c>
      <c r="L244" s="31">
        <f t="shared" si="38"/>
        <v>3722.27365568192</v>
      </c>
    </row>
    <row r="245" spans="1:12" x14ac:dyDescent="0.3">
      <c r="A245" s="18">
        <f t="shared" si="35"/>
        <v>2042</v>
      </c>
      <c r="B245" s="23">
        <f t="shared" si="36"/>
        <v>51926</v>
      </c>
      <c r="C245" s="26">
        <f t="shared" si="37"/>
        <v>3.6900000000000002E-2</v>
      </c>
      <c r="D245" s="13">
        <f t="shared" si="43"/>
        <v>2975.2920763472753</v>
      </c>
      <c r="E245" s="13">
        <f t="shared" si="39"/>
        <v>929.53521469382179</v>
      </c>
      <c r="F245" s="13">
        <f t="shared" si="40"/>
        <v>2045.7568616534536</v>
      </c>
      <c r="G245" s="13">
        <f t="shared" si="41"/>
        <v>300242.11783552432</v>
      </c>
      <c r="I245" s="31">
        <f t="shared" si="45"/>
        <v>556.30118353100238</v>
      </c>
      <c r="J245" s="31">
        <f t="shared" si="42"/>
        <v>49</v>
      </c>
      <c r="K245" s="31">
        <f t="shared" si="44"/>
        <v>141.68039580364228</v>
      </c>
      <c r="L245" s="31">
        <f t="shared" si="38"/>
        <v>3722.27365568192</v>
      </c>
    </row>
    <row r="246" spans="1:12" x14ac:dyDescent="0.3">
      <c r="A246" s="18">
        <f t="shared" si="35"/>
        <v>2042</v>
      </c>
      <c r="B246" s="23">
        <f t="shared" si="36"/>
        <v>51957</v>
      </c>
      <c r="C246" s="26">
        <f t="shared" si="37"/>
        <v>3.6900000000000002E-2</v>
      </c>
      <c r="D246" s="13">
        <f t="shared" si="43"/>
        <v>2975.2920763472753</v>
      </c>
      <c r="E246" s="13">
        <f t="shared" si="39"/>
        <v>923.24451234423725</v>
      </c>
      <c r="F246" s="13">
        <f t="shared" si="40"/>
        <v>2052.0475640030381</v>
      </c>
      <c r="G246" s="13">
        <f t="shared" si="41"/>
        <v>298190.07027152128</v>
      </c>
      <c r="I246" s="31">
        <f t="shared" si="45"/>
        <v>556.30118353100238</v>
      </c>
      <c r="J246" s="31">
        <f t="shared" si="42"/>
        <v>49</v>
      </c>
      <c r="K246" s="31">
        <f t="shared" si="44"/>
        <v>141.68039580364228</v>
      </c>
      <c r="L246" s="31">
        <f t="shared" si="38"/>
        <v>3722.27365568192</v>
      </c>
    </row>
    <row r="247" spans="1:12" x14ac:dyDescent="0.3">
      <c r="A247" s="18">
        <f t="shared" si="35"/>
        <v>2042</v>
      </c>
      <c r="B247" s="23">
        <f t="shared" si="36"/>
        <v>51987</v>
      </c>
      <c r="C247" s="26">
        <f t="shared" si="37"/>
        <v>3.6900000000000002E-2</v>
      </c>
      <c r="D247" s="13">
        <f t="shared" si="43"/>
        <v>2975.2920763472753</v>
      </c>
      <c r="E247" s="13">
        <f t="shared" si="39"/>
        <v>916.93446608492798</v>
      </c>
      <c r="F247" s="13">
        <f t="shared" si="40"/>
        <v>2058.3576102623474</v>
      </c>
      <c r="G247" s="13">
        <f t="shared" si="41"/>
        <v>296131.71266125893</v>
      </c>
      <c r="I247" s="31">
        <f t="shared" si="45"/>
        <v>556.30118353100238</v>
      </c>
      <c r="J247" s="31">
        <f t="shared" si="42"/>
        <v>49</v>
      </c>
      <c r="K247" s="31">
        <f t="shared" si="44"/>
        <v>141.68039580364228</v>
      </c>
      <c r="L247" s="31">
        <f t="shared" si="38"/>
        <v>3722.27365568192</v>
      </c>
    </row>
    <row r="248" spans="1:12" x14ac:dyDescent="0.3">
      <c r="A248" s="18">
        <f t="shared" si="35"/>
        <v>2042</v>
      </c>
      <c r="B248" s="23">
        <f t="shared" si="36"/>
        <v>52018</v>
      </c>
      <c r="C248" s="26">
        <f t="shared" si="37"/>
        <v>3.6900000000000002E-2</v>
      </c>
      <c r="D248" s="13">
        <f t="shared" si="43"/>
        <v>2975.2920763472753</v>
      </c>
      <c r="E248" s="13">
        <f t="shared" si="39"/>
        <v>910.60501643337136</v>
      </c>
      <c r="F248" s="13">
        <f t="shared" si="40"/>
        <v>2064.6870599139038</v>
      </c>
      <c r="G248" s="13">
        <f t="shared" si="41"/>
        <v>294067.02560134506</v>
      </c>
      <c r="I248" s="31">
        <f t="shared" si="45"/>
        <v>556.30118353100238</v>
      </c>
      <c r="J248" s="31">
        <f t="shared" si="42"/>
        <v>49</v>
      </c>
      <c r="K248" s="31">
        <f t="shared" si="44"/>
        <v>141.68039580364228</v>
      </c>
      <c r="L248" s="31">
        <f t="shared" si="38"/>
        <v>3722.27365568192</v>
      </c>
    </row>
    <row r="249" spans="1:12" x14ac:dyDescent="0.3">
      <c r="A249" s="18">
        <f t="shared" si="35"/>
        <v>2042</v>
      </c>
      <c r="B249" s="23">
        <f t="shared" si="36"/>
        <v>52048</v>
      </c>
      <c r="C249" s="26">
        <f t="shared" si="37"/>
        <v>3.6900000000000002E-2</v>
      </c>
      <c r="D249" s="13">
        <f t="shared" si="43"/>
        <v>2975.2920763472753</v>
      </c>
      <c r="E249" s="13">
        <f t="shared" si="39"/>
        <v>904.2561037241361</v>
      </c>
      <c r="F249" s="13">
        <f t="shared" si="40"/>
        <v>2071.0359726231391</v>
      </c>
      <c r="G249" s="13">
        <f t="shared" si="41"/>
        <v>291995.9896287219</v>
      </c>
      <c r="I249" s="31">
        <f t="shared" si="45"/>
        <v>556.30118353100238</v>
      </c>
      <c r="J249" s="31">
        <f t="shared" si="42"/>
        <v>49</v>
      </c>
      <c r="K249" s="31">
        <f t="shared" si="44"/>
        <v>141.68039580364228</v>
      </c>
      <c r="L249" s="31">
        <f t="shared" si="38"/>
        <v>3722.27365568192</v>
      </c>
    </row>
    <row r="250" spans="1:12" x14ac:dyDescent="0.3">
      <c r="A250" s="18">
        <f t="shared" si="35"/>
        <v>2042</v>
      </c>
      <c r="B250" s="23">
        <f t="shared" si="36"/>
        <v>52079</v>
      </c>
      <c r="C250" s="26">
        <f t="shared" si="37"/>
        <v>3.6900000000000002E-2</v>
      </c>
      <c r="D250" s="13">
        <f t="shared" si="43"/>
        <v>2975.2920763472753</v>
      </c>
      <c r="E250" s="13">
        <f t="shared" si="39"/>
        <v>897.88766810831987</v>
      </c>
      <c r="F250" s="13">
        <f t="shared" si="40"/>
        <v>2077.4044082389555</v>
      </c>
      <c r="G250" s="13">
        <f t="shared" si="41"/>
        <v>289918.58522048296</v>
      </c>
      <c r="I250" s="31">
        <f t="shared" si="45"/>
        <v>556.30118353100238</v>
      </c>
      <c r="J250" s="31">
        <f t="shared" si="42"/>
        <v>49</v>
      </c>
      <c r="K250" s="31">
        <f t="shared" si="44"/>
        <v>141.68039580364228</v>
      </c>
      <c r="L250" s="31">
        <f t="shared" si="38"/>
        <v>3722.27365568192</v>
      </c>
    </row>
    <row r="251" spans="1:12" x14ac:dyDescent="0.3">
      <c r="A251" s="18">
        <f t="shared" si="35"/>
        <v>2042</v>
      </c>
      <c r="B251" s="23">
        <f t="shared" si="36"/>
        <v>52110</v>
      </c>
      <c r="C251" s="26">
        <f t="shared" si="37"/>
        <v>3.6900000000000002E-2</v>
      </c>
      <c r="D251" s="13">
        <f t="shared" si="43"/>
        <v>2975.2920763472753</v>
      </c>
      <c r="E251" s="13">
        <f t="shared" si="39"/>
        <v>891.49964955298526</v>
      </c>
      <c r="F251" s="13">
        <f t="shared" si="40"/>
        <v>2083.7924267942899</v>
      </c>
      <c r="G251" s="13">
        <f t="shared" si="41"/>
        <v>287834.79279368866</v>
      </c>
      <c r="I251" s="31">
        <f t="shared" si="45"/>
        <v>556.30118353100238</v>
      </c>
      <c r="J251" s="31">
        <f t="shared" si="42"/>
        <v>49</v>
      </c>
      <c r="K251" s="31">
        <f t="shared" si="44"/>
        <v>141.68039580364228</v>
      </c>
      <c r="L251" s="31">
        <f t="shared" si="38"/>
        <v>3722.27365568192</v>
      </c>
    </row>
    <row r="252" spans="1:12" x14ac:dyDescent="0.3">
      <c r="A252" s="18">
        <f t="shared" si="35"/>
        <v>2042</v>
      </c>
      <c r="B252" s="23">
        <f t="shared" si="36"/>
        <v>52140</v>
      </c>
      <c r="C252" s="26">
        <f t="shared" si="37"/>
        <v>3.6900000000000002E-2</v>
      </c>
      <c r="D252" s="13">
        <f t="shared" si="43"/>
        <v>2975.2920763472753</v>
      </c>
      <c r="E252" s="13">
        <f t="shared" si="39"/>
        <v>885.09198784059265</v>
      </c>
      <c r="F252" s="13">
        <f t="shared" si="40"/>
        <v>2090.2000885066827</v>
      </c>
      <c r="G252" s="13">
        <f t="shared" si="41"/>
        <v>285744.59270518197</v>
      </c>
      <c r="I252" s="31">
        <f t="shared" si="45"/>
        <v>556.30118353100238</v>
      </c>
      <c r="J252" s="31">
        <f t="shared" si="42"/>
        <v>49</v>
      </c>
      <c r="K252" s="31">
        <f t="shared" si="44"/>
        <v>141.68039580364228</v>
      </c>
      <c r="L252" s="31">
        <f t="shared" si="38"/>
        <v>3722.27365568192</v>
      </c>
    </row>
    <row r="253" spans="1:12" x14ac:dyDescent="0.3">
      <c r="A253" s="18">
        <f t="shared" si="35"/>
        <v>2042</v>
      </c>
      <c r="B253" s="23">
        <f t="shared" si="36"/>
        <v>52171</v>
      </c>
      <c r="C253" s="26">
        <f t="shared" si="37"/>
        <v>3.6900000000000002E-2</v>
      </c>
      <c r="D253" s="13">
        <f t="shared" si="43"/>
        <v>2975.2920763472753</v>
      </c>
      <c r="E253" s="13">
        <f t="shared" si="39"/>
        <v>878.66462256843454</v>
      </c>
      <c r="F253" s="13">
        <f t="shared" si="40"/>
        <v>2096.6274537788408</v>
      </c>
      <c r="G253" s="13">
        <f t="shared" si="41"/>
        <v>283647.96525140316</v>
      </c>
      <c r="I253" s="31">
        <f t="shared" si="45"/>
        <v>556.30118353100238</v>
      </c>
      <c r="J253" s="31">
        <f t="shared" si="42"/>
        <v>49</v>
      </c>
      <c r="K253" s="31">
        <f t="shared" si="44"/>
        <v>141.68039580364228</v>
      </c>
      <c r="L253" s="31">
        <f t="shared" si="38"/>
        <v>3722.27365568192</v>
      </c>
    </row>
    <row r="254" spans="1:12" x14ac:dyDescent="0.3">
      <c r="A254" s="18">
        <f t="shared" si="35"/>
        <v>2042</v>
      </c>
      <c r="B254" s="23">
        <f t="shared" si="36"/>
        <v>52201</v>
      </c>
      <c r="C254" s="26">
        <f t="shared" si="37"/>
        <v>3.6900000000000002E-2</v>
      </c>
      <c r="D254" s="13">
        <f t="shared" si="43"/>
        <v>2975.2920763472753</v>
      </c>
      <c r="E254" s="13">
        <f t="shared" si="39"/>
        <v>872.21749314806482</v>
      </c>
      <c r="F254" s="13">
        <f t="shared" si="40"/>
        <v>2103.0745831992103</v>
      </c>
      <c r="G254" s="13">
        <f t="shared" si="41"/>
        <v>281544.89066820394</v>
      </c>
      <c r="I254" s="31">
        <f t="shared" si="45"/>
        <v>556.30118353100238</v>
      </c>
      <c r="J254" s="31">
        <f t="shared" si="42"/>
        <v>49</v>
      </c>
      <c r="K254" s="31">
        <f t="shared" si="44"/>
        <v>141.68039580364228</v>
      </c>
      <c r="L254" s="31">
        <f t="shared" si="38"/>
        <v>3722.27365568192</v>
      </c>
    </row>
    <row r="255" spans="1:12" x14ac:dyDescent="0.3">
      <c r="A255" s="18">
        <f t="shared" si="35"/>
        <v>2043</v>
      </c>
      <c r="B255" s="23">
        <f t="shared" si="36"/>
        <v>52232</v>
      </c>
      <c r="C255" s="26">
        <f t="shared" si="37"/>
        <v>3.6900000000000002E-2</v>
      </c>
      <c r="D255" s="13">
        <f t="shared" si="43"/>
        <v>2975.2920763472753</v>
      </c>
      <c r="E255" s="13">
        <f t="shared" si="39"/>
        <v>865.75053880472717</v>
      </c>
      <c r="F255" s="13">
        <f t="shared" si="40"/>
        <v>2109.5415375425482</v>
      </c>
      <c r="G255" s="13">
        <f t="shared" si="41"/>
        <v>279435.3491306614</v>
      </c>
      <c r="I255" s="31">
        <f t="shared" si="45"/>
        <v>572.99021903693244</v>
      </c>
      <c r="J255" s="31">
        <f t="shared" si="42"/>
        <v>49</v>
      </c>
      <c r="K255" s="31">
        <f t="shared" si="44"/>
        <v>145.93080767775155</v>
      </c>
      <c r="L255" s="31">
        <f t="shared" si="38"/>
        <v>3743.2131030619594</v>
      </c>
    </row>
    <row r="256" spans="1:12" x14ac:dyDescent="0.3">
      <c r="A256" s="18">
        <f t="shared" si="35"/>
        <v>2043</v>
      </c>
      <c r="B256" s="23">
        <f t="shared" si="36"/>
        <v>52263</v>
      </c>
      <c r="C256" s="26">
        <f t="shared" si="37"/>
        <v>3.6900000000000002E-2</v>
      </c>
      <c r="D256" s="13">
        <f t="shared" si="43"/>
        <v>2975.2920763472753</v>
      </c>
      <c r="E256" s="13">
        <f t="shared" si="39"/>
        <v>859.2636985767839</v>
      </c>
      <c r="F256" s="13">
        <f t="shared" si="40"/>
        <v>2116.0283777704913</v>
      </c>
      <c r="G256" s="13">
        <f t="shared" si="41"/>
        <v>277319.3207528909</v>
      </c>
      <c r="I256" s="31">
        <f t="shared" si="45"/>
        <v>572.99021903693244</v>
      </c>
      <c r="J256" s="31">
        <f t="shared" si="42"/>
        <v>49</v>
      </c>
      <c r="K256" s="31">
        <f t="shared" si="44"/>
        <v>145.93080767775155</v>
      </c>
      <c r="L256" s="31">
        <f t="shared" si="38"/>
        <v>3743.2131030619594</v>
      </c>
    </row>
    <row r="257" spans="1:12" x14ac:dyDescent="0.3">
      <c r="A257" s="18">
        <f t="shared" si="35"/>
        <v>2043</v>
      </c>
      <c r="B257" s="23">
        <f t="shared" si="36"/>
        <v>52291</v>
      </c>
      <c r="C257" s="26">
        <f t="shared" si="37"/>
        <v>3.6900000000000002E-2</v>
      </c>
      <c r="D257" s="13">
        <f t="shared" si="43"/>
        <v>2975.2920763472753</v>
      </c>
      <c r="E257" s="13">
        <f t="shared" si="39"/>
        <v>852.75691131513952</v>
      </c>
      <c r="F257" s="13">
        <f t="shared" si="40"/>
        <v>2122.5351650321359</v>
      </c>
      <c r="G257" s="13">
        <f t="shared" si="41"/>
        <v>275196.78558785876</v>
      </c>
      <c r="I257" s="31">
        <f t="shared" si="45"/>
        <v>572.99021903693244</v>
      </c>
      <c r="J257" s="31">
        <f t="shared" si="42"/>
        <v>49</v>
      </c>
      <c r="K257" s="31">
        <f t="shared" si="44"/>
        <v>145.93080767775155</v>
      </c>
      <c r="L257" s="31">
        <f t="shared" si="38"/>
        <v>3743.2131030619594</v>
      </c>
    </row>
    <row r="258" spans="1:12" x14ac:dyDescent="0.3">
      <c r="A258" s="18">
        <f t="shared" si="35"/>
        <v>2043</v>
      </c>
      <c r="B258" s="23">
        <f t="shared" si="36"/>
        <v>52322</v>
      </c>
      <c r="C258" s="26">
        <f t="shared" si="37"/>
        <v>3.6900000000000002E-2</v>
      </c>
      <c r="D258" s="13">
        <f t="shared" si="43"/>
        <v>2975.2920763472753</v>
      </c>
      <c r="E258" s="13">
        <f t="shared" si="39"/>
        <v>846.23011568266577</v>
      </c>
      <c r="F258" s="13">
        <f t="shared" si="40"/>
        <v>2129.0619606646096</v>
      </c>
      <c r="G258" s="13">
        <f t="shared" si="41"/>
        <v>273067.72362719412</v>
      </c>
      <c r="I258" s="31">
        <f t="shared" si="45"/>
        <v>572.99021903693244</v>
      </c>
      <c r="J258" s="31">
        <f t="shared" si="42"/>
        <v>49</v>
      </c>
      <c r="K258" s="31">
        <f t="shared" si="44"/>
        <v>145.93080767775155</v>
      </c>
      <c r="L258" s="31">
        <f t="shared" si="38"/>
        <v>3743.2131030619594</v>
      </c>
    </row>
    <row r="259" spans="1:12" x14ac:dyDescent="0.3">
      <c r="A259" s="18">
        <f t="shared" ref="A259:A322" si="46">YEAR(B259)</f>
        <v>2043</v>
      </c>
      <c r="B259" s="23">
        <f t="shared" si="36"/>
        <v>52352</v>
      </c>
      <c r="C259" s="26">
        <f t="shared" si="37"/>
        <v>3.6900000000000002E-2</v>
      </c>
      <c r="D259" s="13">
        <f t="shared" si="43"/>
        <v>2975.2920763472753</v>
      </c>
      <c r="E259" s="13">
        <f t="shared" si="39"/>
        <v>839.683250153622</v>
      </c>
      <c r="F259" s="13">
        <f t="shared" si="40"/>
        <v>2135.6088261936534</v>
      </c>
      <c r="G259" s="13">
        <f t="shared" si="41"/>
        <v>270932.11480100045</v>
      </c>
      <c r="I259" s="31">
        <f t="shared" si="45"/>
        <v>572.99021903693244</v>
      </c>
      <c r="J259" s="31">
        <f t="shared" si="42"/>
        <v>49</v>
      </c>
      <c r="K259" s="31">
        <f t="shared" si="44"/>
        <v>145.93080767775155</v>
      </c>
      <c r="L259" s="31">
        <f t="shared" si="38"/>
        <v>3743.2131030619594</v>
      </c>
    </row>
    <row r="260" spans="1:12" x14ac:dyDescent="0.3">
      <c r="A260" s="18">
        <f t="shared" si="46"/>
        <v>2043</v>
      </c>
      <c r="B260" s="23">
        <f t="shared" ref="B260:B323" si="47">EDATE(B259,1)</f>
        <v>52383</v>
      </c>
      <c r="C260" s="26">
        <f t="shared" si="37"/>
        <v>3.6900000000000002E-2</v>
      </c>
      <c r="D260" s="13">
        <f t="shared" si="43"/>
        <v>2975.2920763472753</v>
      </c>
      <c r="E260" s="13">
        <f t="shared" si="39"/>
        <v>833.1162530130764</v>
      </c>
      <c r="F260" s="13">
        <f t="shared" si="40"/>
        <v>2142.1758233341989</v>
      </c>
      <c r="G260" s="13">
        <f t="shared" si="41"/>
        <v>268789.93897766626</v>
      </c>
      <c r="I260" s="31">
        <f t="shared" si="45"/>
        <v>572.99021903693244</v>
      </c>
      <c r="J260" s="31">
        <f t="shared" si="42"/>
        <v>49</v>
      </c>
      <c r="K260" s="31">
        <f t="shared" si="44"/>
        <v>145.93080767775155</v>
      </c>
      <c r="L260" s="31">
        <f t="shared" si="38"/>
        <v>3743.2131030619594</v>
      </c>
    </row>
    <row r="261" spans="1:12" x14ac:dyDescent="0.3">
      <c r="A261" s="18">
        <f t="shared" si="46"/>
        <v>2043</v>
      </c>
      <c r="B261" s="23">
        <f t="shared" si="47"/>
        <v>52413</v>
      </c>
      <c r="C261" s="26">
        <f t="shared" ref="C261:C324" si="48">C260</f>
        <v>3.6900000000000002E-2</v>
      </c>
      <c r="D261" s="13">
        <f t="shared" si="43"/>
        <v>2975.2920763472753</v>
      </c>
      <c r="E261" s="13">
        <f t="shared" si="39"/>
        <v>826.52906235632372</v>
      </c>
      <c r="F261" s="13">
        <f t="shared" si="40"/>
        <v>2148.7630139909515</v>
      </c>
      <c r="G261" s="13">
        <f t="shared" si="41"/>
        <v>266641.17596367531</v>
      </c>
      <c r="I261" s="31">
        <f t="shared" si="45"/>
        <v>572.99021903693244</v>
      </c>
      <c r="J261" s="31">
        <f t="shared" si="42"/>
        <v>49</v>
      </c>
      <c r="K261" s="31">
        <f t="shared" si="44"/>
        <v>145.93080767775155</v>
      </c>
      <c r="L261" s="31">
        <f t="shared" si="38"/>
        <v>3743.2131030619594</v>
      </c>
    </row>
    <row r="262" spans="1:12" x14ac:dyDescent="0.3">
      <c r="A262" s="18">
        <f t="shared" si="46"/>
        <v>2043</v>
      </c>
      <c r="B262" s="23">
        <f t="shared" si="47"/>
        <v>52444</v>
      </c>
      <c r="C262" s="26">
        <f t="shared" si="48"/>
        <v>3.6900000000000002E-2</v>
      </c>
      <c r="D262" s="13">
        <f t="shared" si="43"/>
        <v>2975.2920763472753</v>
      </c>
      <c r="E262" s="13">
        <f t="shared" si="39"/>
        <v>819.92161608830156</v>
      </c>
      <c r="F262" s="13">
        <f t="shared" si="40"/>
        <v>2155.3704602589737</v>
      </c>
      <c r="G262" s="13">
        <f t="shared" si="41"/>
        <v>264485.80550341634</v>
      </c>
      <c r="I262" s="31">
        <f t="shared" si="45"/>
        <v>572.99021903693244</v>
      </c>
      <c r="J262" s="31">
        <f t="shared" si="42"/>
        <v>49</v>
      </c>
      <c r="K262" s="31">
        <f t="shared" si="44"/>
        <v>145.93080767775155</v>
      </c>
      <c r="L262" s="31">
        <f t="shared" ref="L262:L325" si="49">SUM(I262:K262,D262)</f>
        <v>3743.2131030619594</v>
      </c>
    </row>
    <row r="263" spans="1:12" x14ac:dyDescent="0.3">
      <c r="A263" s="18">
        <f t="shared" si="46"/>
        <v>2043</v>
      </c>
      <c r="B263" s="23">
        <f t="shared" si="47"/>
        <v>52475</v>
      </c>
      <c r="C263" s="26">
        <f t="shared" si="48"/>
        <v>3.6900000000000002E-2</v>
      </c>
      <c r="D263" s="13">
        <f t="shared" si="43"/>
        <v>2975.2920763472753</v>
      </c>
      <c r="E263" s="13">
        <f t="shared" ref="E263:E326" si="50">G262*C262/12</f>
        <v>813.29385192300526</v>
      </c>
      <c r="F263" s="13">
        <f t="shared" ref="F263:F326" si="51">D263-E263</f>
        <v>2161.9982244242701</v>
      </c>
      <c r="G263" s="13">
        <f t="shared" ref="G263:G326" si="52">IF(G262-F263&lt;0,,G262-F263)</f>
        <v>262323.80727899208</v>
      </c>
      <c r="I263" s="31">
        <f t="shared" si="45"/>
        <v>572.99021903693244</v>
      </c>
      <c r="J263" s="31">
        <f t="shared" ref="J263:J326" si="53">$P$6/12</f>
        <v>49</v>
      </c>
      <c r="K263" s="31">
        <f t="shared" si="44"/>
        <v>145.93080767775155</v>
      </c>
      <c r="L263" s="31">
        <f t="shared" si="49"/>
        <v>3743.2131030619594</v>
      </c>
    </row>
    <row r="264" spans="1:12" x14ac:dyDescent="0.3">
      <c r="A264" s="18">
        <f t="shared" si="46"/>
        <v>2043</v>
      </c>
      <c r="B264" s="23">
        <f t="shared" si="47"/>
        <v>52505</v>
      </c>
      <c r="C264" s="26">
        <f t="shared" si="48"/>
        <v>3.6900000000000002E-2</v>
      </c>
      <c r="D264" s="13">
        <f t="shared" ref="D264:D327" si="54">IF(G263&lt;=0,0,D263)</f>
        <v>2975.2920763472753</v>
      </c>
      <c r="E264" s="13">
        <f t="shared" si="50"/>
        <v>806.6457073829007</v>
      </c>
      <c r="F264" s="13">
        <f t="shared" si="51"/>
        <v>2168.6463689643747</v>
      </c>
      <c r="G264" s="13">
        <f t="shared" si="52"/>
        <v>260155.16091002771</v>
      </c>
      <c r="I264" s="31">
        <f t="shared" si="45"/>
        <v>572.99021903693244</v>
      </c>
      <c r="J264" s="31">
        <f t="shared" si="53"/>
        <v>49</v>
      </c>
      <c r="K264" s="31">
        <f t="shared" si="44"/>
        <v>145.93080767775155</v>
      </c>
      <c r="L264" s="31">
        <f t="shared" si="49"/>
        <v>3743.2131030619594</v>
      </c>
    </row>
    <row r="265" spans="1:12" x14ac:dyDescent="0.3">
      <c r="A265" s="18">
        <f t="shared" si="46"/>
        <v>2043</v>
      </c>
      <c r="B265" s="23">
        <f t="shared" si="47"/>
        <v>52536</v>
      </c>
      <c r="C265" s="26">
        <f t="shared" si="48"/>
        <v>3.6900000000000002E-2</v>
      </c>
      <c r="D265" s="13">
        <f t="shared" si="54"/>
        <v>2975.2920763472753</v>
      </c>
      <c r="E265" s="13">
        <f t="shared" si="50"/>
        <v>799.97711979833537</v>
      </c>
      <c r="F265" s="13">
        <f t="shared" si="51"/>
        <v>2175.3149565489398</v>
      </c>
      <c r="G265" s="13">
        <f t="shared" si="52"/>
        <v>257979.84595347877</v>
      </c>
      <c r="I265" s="31">
        <f t="shared" si="45"/>
        <v>572.99021903693244</v>
      </c>
      <c r="J265" s="31">
        <f t="shared" si="53"/>
        <v>49</v>
      </c>
      <c r="K265" s="31">
        <f t="shared" si="44"/>
        <v>145.93080767775155</v>
      </c>
      <c r="L265" s="31">
        <f t="shared" si="49"/>
        <v>3743.2131030619594</v>
      </c>
    </row>
    <row r="266" spans="1:12" x14ac:dyDescent="0.3">
      <c r="A266" s="18">
        <f t="shared" si="46"/>
        <v>2043</v>
      </c>
      <c r="B266" s="23">
        <f t="shared" si="47"/>
        <v>52566</v>
      </c>
      <c r="C266" s="26">
        <f t="shared" si="48"/>
        <v>3.6900000000000002E-2</v>
      </c>
      <c r="D266" s="13">
        <f t="shared" si="54"/>
        <v>2975.2920763472753</v>
      </c>
      <c r="E266" s="13">
        <f t="shared" si="50"/>
        <v>793.28802630694724</v>
      </c>
      <c r="F266" s="13">
        <f t="shared" si="51"/>
        <v>2182.0040500403279</v>
      </c>
      <c r="G266" s="13">
        <f t="shared" si="52"/>
        <v>255797.84190343844</v>
      </c>
      <c r="I266" s="31">
        <f t="shared" si="45"/>
        <v>572.99021903693244</v>
      </c>
      <c r="J266" s="31">
        <f t="shared" si="53"/>
        <v>49</v>
      </c>
      <c r="K266" s="31">
        <f t="shared" si="44"/>
        <v>145.93080767775155</v>
      </c>
      <c r="L266" s="31">
        <f t="shared" si="49"/>
        <v>3743.2131030619594</v>
      </c>
    </row>
    <row r="267" spans="1:12" x14ac:dyDescent="0.3">
      <c r="A267" s="18">
        <f t="shared" si="46"/>
        <v>2044</v>
      </c>
      <c r="B267" s="23">
        <f t="shared" si="47"/>
        <v>52597</v>
      </c>
      <c r="C267" s="26">
        <f t="shared" si="48"/>
        <v>3.6900000000000002E-2</v>
      </c>
      <c r="D267" s="13">
        <f t="shared" si="54"/>
        <v>2975.2920763472753</v>
      </c>
      <c r="E267" s="13">
        <f t="shared" si="50"/>
        <v>786.57836385307326</v>
      </c>
      <c r="F267" s="13">
        <f t="shared" si="51"/>
        <v>2188.7137124942019</v>
      </c>
      <c r="G267" s="13">
        <f t="shared" si="52"/>
        <v>253609.12819094423</v>
      </c>
      <c r="I267" s="31">
        <f t="shared" si="45"/>
        <v>590.17992560804043</v>
      </c>
      <c r="J267" s="31">
        <f t="shared" si="53"/>
        <v>49</v>
      </c>
      <c r="K267" s="31">
        <f t="shared" si="44"/>
        <v>150.3087319080841</v>
      </c>
      <c r="L267" s="31">
        <f t="shared" si="49"/>
        <v>3764.7807338633997</v>
      </c>
    </row>
    <row r="268" spans="1:12" x14ac:dyDescent="0.3">
      <c r="A268" s="18">
        <f t="shared" si="46"/>
        <v>2044</v>
      </c>
      <c r="B268" s="23">
        <f t="shared" si="47"/>
        <v>52628</v>
      </c>
      <c r="C268" s="26">
        <f t="shared" si="48"/>
        <v>3.6900000000000002E-2</v>
      </c>
      <c r="D268" s="13">
        <f t="shared" si="54"/>
        <v>2975.2920763472753</v>
      </c>
      <c r="E268" s="13">
        <f t="shared" si="50"/>
        <v>779.84806918715356</v>
      </c>
      <c r="F268" s="13">
        <f t="shared" si="51"/>
        <v>2195.4440071601216</v>
      </c>
      <c r="G268" s="13">
        <f t="shared" si="52"/>
        <v>251413.68418378412</v>
      </c>
      <c r="I268" s="31">
        <f t="shared" si="45"/>
        <v>590.17992560804043</v>
      </c>
      <c r="J268" s="31">
        <f t="shared" si="53"/>
        <v>49</v>
      </c>
      <c r="K268" s="31">
        <f t="shared" si="44"/>
        <v>150.3087319080841</v>
      </c>
      <c r="L268" s="31">
        <f t="shared" si="49"/>
        <v>3764.7807338633997</v>
      </c>
    </row>
    <row r="269" spans="1:12" x14ac:dyDescent="0.3">
      <c r="A269" s="18">
        <f t="shared" si="46"/>
        <v>2044</v>
      </c>
      <c r="B269" s="23">
        <f t="shared" si="47"/>
        <v>52657</v>
      </c>
      <c r="C269" s="26">
        <f t="shared" si="48"/>
        <v>3.6900000000000002E-2</v>
      </c>
      <c r="D269" s="13">
        <f t="shared" si="54"/>
        <v>2975.2920763472753</v>
      </c>
      <c r="E269" s="13">
        <f t="shared" si="50"/>
        <v>773.09707886513615</v>
      </c>
      <c r="F269" s="13">
        <f t="shared" si="51"/>
        <v>2202.1949974821391</v>
      </c>
      <c r="G269" s="13">
        <f t="shared" si="52"/>
        <v>249211.48918630197</v>
      </c>
      <c r="I269" s="31">
        <f t="shared" si="45"/>
        <v>590.17992560804043</v>
      </c>
      <c r="J269" s="31">
        <f t="shared" si="53"/>
        <v>49</v>
      </c>
      <c r="K269" s="31">
        <f t="shared" si="44"/>
        <v>150.3087319080841</v>
      </c>
      <c r="L269" s="31">
        <f t="shared" si="49"/>
        <v>3764.7807338633997</v>
      </c>
    </row>
    <row r="270" spans="1:12" x14ac:dyDescent="0.3">
      <c r="A270" s="18">
        <f t="shared" si="46"/>
        <v>2044</v>
      </c>
      <c r="B270" s="23">
        <f t="shared" si="47"/>
        <v>52688</v>
      </c>
      <c r="C270" s="26">
        <f t="shared" si="48"/>
        <v>3.6900000000000002E-2</v>
      </c>
      <c r="D270" s="13">
        <f t="shared" si="54"/>
        <v>2975.2920763472753</v>
      </c>
      <c r="E270" s="13">
        <f t="shared" si="50"/>
        <v>766.32532924787859</v>
      </c>
      <c r="F270" s="13">
        <f t="shared" si="51"/>
        <v>2208.9667470993968</v>
      </c>
      <c r="G270" s="13">
        <f t="shared" si="52"/>
        <v>247002.52243920258</v>
      </c>
      <c r="I270" s="31">
        <f t="shared" si="45"/>
        <v>590.17992560804043</v>
      </c>
      <c r="J270" s="31">
        <f t="shared" si="53"/>
        <v>49</v>
      </c>
      <c r="K270" s="31">
        <f t="shared" si="44"/>
        <v>150.3087319080841</v>
      </c>
      <c r="L270" s="31">
        <f t="shared" si="49"/>
        <v>3764.7807338633997</v>
      </c>
    </row>
    <row r="271" spans="1:12" x14ac:dyDescent="0.3">
      <c r="A271" s="18">
        <f t="shared" si="46"/>
        <v>2044</v>
      </c>
      <c r="B271" s="23">
        <f t="shared" si="47"/>
        <v>52718</v>
      </c>
      <c r="C271" s="26">
        <f t="shared" si="48"/>
        <v>3.6900000000000002E-2</v>
      </c>
      <c r="D271" s="13">
        <f t="shared" si="54"/>
        <v>2975.2920763472753</v>
      </c>
      <c r="E271" s="13">
        <f t="shared" si="50"/>
        <v>759.53275650054809</v>
      </c>
      <c r="F271" s="13">
        <f t="shared" si="51"/>
        <v>2215.7593198467271</v>
      </c>
      <c r="G271" s="13">
        <f t="shared" si="52"/>
        <v>244786.76311935586</v>
      </c>
      <c r="I271" s="31">
        <f t="shared" si="45"/>
        <v>590.17992560804043</v>
      </c>
      <c r="J271" s="31">
        <f t="shared" si="53"/>
        <v>49</v>
      </c>
      <c r="K271" s="31">
        <f t="shared" ref="K271:K334" si="55">K270*(1+$R$7)^(YEAR(B271)-YEAR(B270))</f>
        <v>150.3087319080841</v>
      </c>
      <c r="L271" s="31">
        <f t="shared" si="49"/>
        <v>3764.7807338633997</v>
      </c>
    </row>
    <row r="272" spans="1:12" x14ac:dyDescent="0.3">
      <c r="A272" s="18">
        <f t="shared" si="46"/>
        <v>2044</v>
      </c>
      <c r="B272" s="23">
        <f t="shared" si="47"/>
        <v>52749</v>
      </c>
      <c r="C272" s="26">
        <f t="shared" si="48"/>
        <v>3.6900000000000002E-2</v>
      </c>
      <c r="D272" s="13">
        <f t="shared" si="54"/>
        <v>2975.2920763472753</v>
      </c>
      <c r="E272" s="13">
        <f t="shared" si="50"/>
        <v>752.7192965920193</v>
      </c>
      <c r="F272" s="13">
        <f t="shared" si="51"/>
        <v>2222.5727797552559</v>
      </c>
      <c r="G272" s="13">
        <f t="shared" si="52"/>
        <v>242564.19033960061</v>
      </c>
      <c r="I272" s="31">
        <f t="shared" ref="I272:I335" si="56">I271*(1+$R$5)^(YEAR(B272)-YEAR(B271))</f>
        <v>590.17992560804043</v>
      </c>
      <c r="J272" s="31">
        <f t="shared" si="53"/>
        <v>49</v>
      </c>
      <c r="K272" s="31">
        <f t="shared" si="55"/>
        <v>150.3087319080841</v>
      </c>
      <c r="L272" s="31">
        <f t="shared" si="49"/>
        <v>3764.7807338633997</v>
      </c>
    </row>
    <row r="273" spans="1:12" x14ac:dyDescent="0.3">
      <c r="A273" s="18">
        <f t="shared" si="46"/>
        <v>2044</v>
      </c>
      <c r="B273" s="23">
        <f t="shared" si="47"/>
        <v>52779</v>
      </c>
      <c r="C273" s="26">
        <f t="shared" si="48"/>
        <v>3.6900000000000002E-2</v>
      </c>
      <c r="D273" s="13">
        <f t="shared" si="54"/>
        <v>2975.2920763472753</v>
      </c>
      <c r="E273" s="13">
        <f t="shared" si="50"/>
        <v>745.88488529427195</v>
      </c>
      <c r="F273" s="13">
        <f t="shared" si="51"/>
        <v>2229.4071910530033</v>
      </c>
      <c r="G273" s="13">
        <f t="shared" si="52"/>
        <v>240334.78314854761</v>
      </c>
      <c r="I273" s="31">
        <f t="shared" si="56"/>
        <v>590.17992560804043</v>
      </c>
      <c r="J273" s="31">
        <f t="shared" si="53"/>
        <v>49</v>
      </c>
      <c r="K273" s="31">
        <f t="shared" si="55"/>
        <v>150.3087319080841</v>
      </c>
      <c r="L273" s="31">
        <f t="shared" si="49"/>
        <v>3764.7807338633997</v>
      </c>
    </row>
    <row r="274" spans="1:12" x14ac:dyDescent="0.3">
      <c r="A274" s="18">
        <f t="shared" si="46"/>
        <v>2044</v>
      </c>
      <c r="B274" s="23">
        <f t="shared" si="47"/>
        <v>52810</v>
      </c>
      <c r="C274" s="26">
        <f t="shared" si="48"/>
        <v>3.6900000000000002E-2</v>
      </c>
      <c r="D274" s="13">
        <f t="shared" si="54"/>
        <v>2975.2920763472753</v>
      </c>
      <c r="E274" s="13">
        <f t="shared" si="50"/>
        <v>739.02945818178387</v>
      </c>
      <c r="F274" s="13">
        <f t="shared" si="51"/>
        <v>2236.2626181654914</v>
      </c>
      <c r="G274" s="13">
        <f t="shared" si="52"/>
        <v>238098.52053038211</v>
      </c>
      <c r="I274" s="31">
        <f t="shared" si="56"/>
        <v>590.17992560804043</v>
      </c>
      <c r="J274" s="31">
        <f t="shared" si="53"/>
        <v>49</v>
      </c>
      <c r="K274" s="31">
        <f t="shared" si="55"/>
        <v>150.3087319080841</v>
      </c>
      <c r="L274" s="31">
        <f t="shared" si="49"/>
        <v>3764.7807338633997</v>
      </c>
    </row>
    <row r="275" spans="1:12" x14ac:dyDescent="0.3">
      <c r="A275" s="18">
        <f t="shared" si="46"/>
        <v>2044</v>
      </c>
      <c r="B275" s="23">
        <f t="shared" si="47"/>
        <v>52841</v>
      </c>
      <c r="C275" s="26">
        <f t="shared" si="48"/>
        <v>3.6900000000000002E-2</v>
      </c>
      <c r="D275" s="13">
        <f t="shared" si="54"/>
        <v>2975.2920763472753</v>
      </c>
      <c r="E275" s="13">
        <f t="shared" si="50"/>
        <v>732.15295063092515</v>
      </c>
      <c r="F275" s="13">
        <f t="shared" si="51"/>
        <v>2243.13912571635</v>
      </c>
      <c r="G275" s="13">
        <f t="shared" si="52"/>
        <v>235855.38140466576</v>
      </c>
      <c r="I275" s="31">
        <f t="shared" si="56"/>
        <v>590.17992560804043</v>
      </c>
      <c r="J275" s="31">
        <f t="shared" si="53"/>
        <v>49</v>
      </c>
      <c r="K275" s="31">
        <f t="shared" si="55"/>
        <v>150.3087319080841</v>
      </c>
      <c r="L275" s="31">
        <f t="shared" si="49"/>
        <v>3764.7807338633997</v>
      </c>
    </row>
    <row r="276" spans="1:12" x14ac:dyDescent="0.3">
      <c r="A276" s="18">
        <f t="shared" si="46"/>
        <v>2044</v>
      </c>
      <c r="B276" s="23">
        <f t="shared" si="47"/>
        <v>52871</v>
      </c>
      <c r="C276" s="26">
        <f t="shared" si="48"/>
        <v>3.6900000000000002E-2</v>
      </c>
      <c r="D276" s="13">
        <f t="shared" si="54"/>
        <v>2975.2920763472753</v>
      </c>
      <c r="E276" s="13">
        <f t="shared" si="50"/>
        <v>725.25529781934722</v>
      </c>
      <c r="F276" s="13">
        <f t="shared" si="51"/>
        <v>2250.0367785279282</v>
      </c>
      <c r="G276" s="13">
        <f t="shared" si="52"/>
        <v>233605.34462613784</v>
      </c>
      <c r="I276" s="31">
        <f t="shared" si="56"/>
        <v>590.17992560804043</v>
      </c>
      <c r="J276" s="31">
        <f t="shared" si="53"/>
        <v>49</v>
      </c>
      <c r="K276" s="31">
        <f t="shared" si="55"/>
        <v>150.3087319080841</v>
      </c>
      <c r="L276" s="31">
        <f t="shared" si="49"/>
        <v>3764.7807338633997</v>
      </c>
    </row>
    <row r="277" spans="1:12" x14ac:dyDescent="0.3">
      <c r="A277" s="18">
        <f t="shared" si="46"/>
        <v>2044</v>
      </c>
      <c r="B277" s="23">
        <f t="shared" si="47"/>
        <v>52902</v>
      </c>
      <c r="C277" s="26">
        <f t="shared" si="48"/>
        <v>3.6900000000000002E-2</v>
      </c>
      <c r="D277" s="13">
        <f t="shared" si="54"/>
        <v>2975.2920763472753</v>
      </c>
      <c r="E277" s="13">
        <f t="shared" si="50"/>
        <v>718.33643472537381</v>
      </c>
      <c r="F277" s="13">
        <f t="shared" si="51"/>
        <v>2256.9556416219016</v>
      </c>
      <c r="G277" s="13">
        <f t="shared" si="52"/>
        <v>231348.38898451594</v>
      </c>
      <c r="I277" s="31">
        <f t="shared" si="56"/>
        <v>590.17992560804043</v>
      </c>
      <c r="J277" s="31">
        <f t="shared" si="53"/>
        <v>49</v>
      </c>
      <c r="K277" s="31">
        <f t="shared" si="55"/>
        <v>150.3087319080841</v>
      </c>
      <c r="L277" s="31">
        <f t="shared" si="49"/>
        <v>3764.7807338633997</v>
      </c>
    </row>
    <row r="278" spans="1:12" x14ac:dyDescent="0.3">
      <c r="A278" s="18">
        <f t="shared" si="46"/>
        <v>2044</v>
      </c>
      <c r="B278" s="23">
        <f t="shared" si="47"/>
        <v>52932</v>
      </c>
      <c r="C278" s="26">
        <f t="shared" si="48"/>
        <v>3.6900000000000002E-2</v>
      </c>
      <c r="D278" s="13">
        <f t="shared" si="54"/>
        <v>2975.2920763472753</v>
      </c>
      <c r="E278" s="13">
        <f t="shared" si="50"/>
        <v>711.39629612738656</v>
      </c>
      <c r="F278" s="13">
        <f t="shared" si="51"/>
        <v>2263.8957802198888</v>
      </c>
      <c r="G278" s="13">
        <f t="shared" si="52"/>
        <v>229084.49320429604</v>
      </c>
      <c r="I278" s="31">
        <f t="shared" si="56"/>
        <v>590.17992560804043</v>
      </c>
      <c r="J278" s="31">
        <f t="shared" si="53"/>
        <v>49</v>
      </c>
      <c r="K278" s="31">
        <f t="shared" si="55"/>
        <v>150.3087319080841</v>
      </c>
      <c r="L278" s="31">
        <f t="shared" si="49"/>
        <v>3764.7807338633997</v>
      </c>
    </row>
    <row r="279" spans="1:12" x14ac:dyDescent="0.3">
      <c r="A279" s="18">
        <f t="shared" si="46"/>
        <v>2045</v>
      </c>
      <c r="B279" s="23">
        <f t="shared" si="47"/>
        <v>52963</v>
      </c>
      <c r="C279" s="26">
        <f t="shared" si="48"/>
        <v>3.6900000000000002E-2</v>
      </c>
      <c r="D279" s="13">
        <f t="shared" si="54"/>
        <v>2975.2920763472753</v>
      </c>
      <c r="E279" s="13">
        <f t="shared" si="50"/>
        <v>704.43481660321038</v>
      </c>
      <c r="F279" s="13">
        <f t="shared" si="51"/>
        <v>2270.8572597440648</v>
      </c>
      <c r="G279" s="13">
        <f t="shared" si="52"/>
        <v>226813.63594455199</v>
      </c>
      <c r="I279" s="31">
        <f t="shared" si="56"/>
        <v>607.88532337628169</v>
      </c>
      <c r="J279" s="31">
        <f t="shared" si="53"/>
        <v>49</v>
      </c>
      <c r="K279" s="31">
        <f t="shared" si="55"/>
        <v>154.81799386532663</v>
      </c>
      <c r="L279" s="31">
        <f t="shared" si="49"/>
        <v>3786.9953935888834</v>
      </c>
    </row>
    <row r="280" spans="1:12" x14ac:dyDescent="0.3">
      <c r="A280" s="18">
        <f t="shared" si="46"/>
        <v>2045</v>
      </c>
      <c r="B280" s="23">
        <f t="shared" si="47"/>
        <v>52994</v>
      </c>
      <c r="C280" s="26">
        <f t="shared" si="48"/>
        <v>3.6900000000000002E-2</v>
      </c>
      <c r="D280" s="13">
        <f t="shared" si="54"/>
        <v>2975.2920763472753</v>
      </c>
      <c r="E280" s="13">
        <f t="shared" si="50"/>
        <v>697.45193052949742</v>
      </c>
      <c r="F280" s="13">
        <f t="shared" si="51"/>
        <v>2277.8401458177777</v>
      </c>
      <c r="G280" s="13">
        <f t="shared" si="52"/>
        <v>224535.79579873421</v>
      </c>
      <c r="I280" s="31">
        <f t="shared" si="56"/>
        <v>607.88532337628169</v>
      </c>
      <c r="J280" s="31">
        <f t="shared" si="53"/>
        <v>49</v>
      </c>
      <c r="K280" s="31">
        <f t="shared" si="55"/>
        <v>154.81799386532663</v>
      </c>
      <c r="L280" s="31">
        <f t="shared" si="49"/>
        <v>3786.9953935888834</v>
      </c>
    </row>
    <row r="281" spans="1:12" x14ac:dyDescent="0.3">
      <c r="A281" s="18">
        <f t="shared" si="46"/>
        <v>2045</v>
      </c>
      <c r="B281" s="23">
        <f t="shared" si="47"/>
        <v>53022</v>
      </c>
      <c r="C281" s="26">
        <f t="shared" si="48"/>
        <v>3.6900000000000002E-2</v>
      </c>
      <c r="D281" s="13">
        <f t="shared" si="54"/>
        <v>2975.2920763472753</v>
      </c>
      <c r="E281" s="13">
        <f t="shared" si="50"/>
        <v>690.44757208110775</v>
      </c>
      <c r="F281" s="13">
        <f t="shared" si="51"/>
        <v>2284.8445042661674</v>
      </c>
      <c r="G281" s="13">
        <f t="shared" si="52"/>
        <v>222250.95129446805</v>
      </c>
      <c r="I281" s="31">
        <f t="shared" si="56"/>
        <v>607.88532337628169</v>
      </c>
      <c r="J281" s="31">
        <f t="shared" si="53"/>
        <v>49</v>
      </c>
      <c r="K281" s="31">
        <f t="shared" si="55"/>
        <v>154.81799386532663</v>
      </c>
      <c r="L281" s="31">
        <f t="shared" si="49"/>
        <v>3786.9953935888834</v>
      </c>
    </row>
    <row r="282" spans="1:12" x14ac:dyDescent="0.3">
      <c r="A282" s="18">
        <f t="shared" si="46"/>
        <v>2045</v>
      </c>
      <c r="B282" s="23">
        <f t="shared" si="47"/>
        <v>53053</v>
      </c>
      <c r="C282" s="26">
        <f t="shared" si="48"/>
        <v>3.6900000000000002E-2</v>
      </c>
      <c r="D282" s="13">
        <f t="shared" si="54"/>
        <v>2975.2920763472753</v>
      </c>
      <c r="E282" s="13">
        <f t="shared" si="50"/>
        <v>683.42167523048931</v>
      </c>
      <c r="F282" s="13">
        <f t="shared" si="51"/>
        <v>2291.8704011167861</v>
      </c>
      <c r="G282" s="13">
        <f t="shared" si="52"/>
        <v>219959.08089335126</v>
      </c>
      <c r="I282" s="31">
        <f t="shared" si="56"/>
        <v>607.88532337628169</v>
      </c>
      <c r="J282" s="31">
        <f t="shared" si="53"/>
        <v>49</v>
      </c>
      <c r="K282" s="31">
        <f t="shared" si="55"/>
        <v>154.81799386532663</v>
      </c>
      <c r="L282" s="31">
        <f t="shared" si="49"/>
        <v>3786.9953935888834</v>
      </c>
    </row>
    <row r="283" spans="1:12" x14ac:dyDescent="0.3">
      <c r="A283" s="18">
        <f t="shared" si="46"/>
        <v>2045</v>
      </c>
      <c r="B283" s="23">
        <f t="shared" si="47"/>
        <v>53083</v>
      </c>
      <c r="C283" s="26">
        <f t="shared" si="48"/>
        <v>3.6900000000000002E-2</v>
      </c>
      <c r="D283" s="13">
        <f t="shared" si="54"/>
        <v>2975.2920763472753</v>
      </c>
      <c r="E283" s="13">
        <f t="shared" si="50"/>
        <v>676.37417374705512</v>
      </c>
      <c r="F283" s="13">
        <f t="shared" si="51"/>
        <v>2298.9179026002203</v>
      </c>
      <c r="G283" s="13">
        <f t="shared" si="52"/>
        <v>217660.16299075104</v>
      </c>
      <c r="I283" s="31">
        <f t="shared" si="56"/>
        <v>607.88532337628169</v>
      </c>
      <c r="J283" s="31">
        <f t="shared" si="53"/>
        <v>49</v>
      </c>
      <c r="K283" s="31">
        <f t="shared" si="55"/>
        <v>154.81799386532663</v>
      </c>
      <c r="L283" s="31">
        <f t="shared" si="49"/>
        <v>3786.9953935888834</v>
      </c>
    </row>
    <row r="284" spans="1:12" x14ac:dyDescent="0.3">
      <c r="A284" s="18">
        <f t="shared" si="46"/>
        <v>2045</v>
      </c>
      <c r="B284" s="23">
        <f t="shared" si="47"/>
        <v>53114</v>
      </c>
      <c r="C284" s="26">
        <f t="shared" si="48"/>
        <v>3.6900000000000002E-2</v>
      </c>
      <c r="D284" s="13">
        <f t="shared" si="54"/>
        <v>2975.2920763472753</v>
      </c>
      <c r="E284" s="13">
        <f t="shared" si="50"/>
        <v>669.30500119655949</v>
      </c>
      <c r="F284" s="13">
        <f t="shared" si="51"/>
        <v>2305.987075150716</v>
      </c>
      <c r="G284" s="13">
        <f t="shared" si="52"/>
        <v>215354.17591560032</v>
      </c>
      <c r="I284" s="31">
        <f t="shared" si="56"/>
        <v>607.88532337628169</v>
      </c>
      <c r="J284" s="31">
        <f t="shared" si="53"/>
        <v>49</v>
      </c>
      <c r="K284" s="31">
        <f t="shared" si="55"/>
        <v>154.81799386532663</v>
      </c>
      <c r="L284" s="31">
        <f t="shared" si="49"/>
        <v>3786.9953935888834</v>
      </c>
    </row>
    <row r="285" spans="1:12" x14ac:dyDescent="0.3">
      <c r="A285" s="18">
        <f t="shared" si="46"/>
        <v>2045</v>
      </c>
      <c r="B285" s="23">
        <f t="shared" si="47"/>
        <v>53144</v>
      </c>
      <c r="C285" s="26">
        <f t="shared" si="48"/>
        <v>3.6900000000000002E-2</v>
      </c>
      <c r="D285" s="13">
        <f t="shared" si="54"/>
        <v>2975.2920763472753</v>
      </c>
      <c r="E285" s="13">
        <f t="shared" si="50"/>
        <v>662.21409094047101</v>
      </c>
      <c r="F285" s="13">
        <f t="shared" si="51"/>
        <v>2313.0779854068041</v>
      </c>
      <c r="G285" s="13">
        <f t="shared" si="52"/>
        <v>213041.09793019353</v>
      </c>
      <c r="I285" s="31">
        <f t="shared" si="56"/>
        <v>607.88532337628169</v>
      </c>
      <c r="J285" s="31">
        <f t="shared" si="53"/>
        <v>49</v>
      </c>
      <c r="K285" s="31">
        <f t="shared" si="55"/>
        <v>154.81799386532663</v>
      </c>
      <c r="L285" s="31">
        <f t="shared" si="49"/>
        <v>3786.9953935888834</v>
      </c>
    </row>
    <row r="286" spans="1:12" x14ac:dyDescent="0.3">
      <c r="A286" s="18">
        <f t="shared" si="46"/>
        <v>2045</v>
      </c>
      <c r="B286" s="23">
        <f t="shared" si="47"/>
        <v>53175</v>
      </c>
      <c r="C286" s="26">
        <f t="shared" si="48"/>
        <v>3.6900000000000002E-2</v>
      </c>
      <c r="D286" s="13">
        <f t="shared" si="54"/>
        <v>2975.2920763472753</v>
      </c>
      <c r="E286" s="13">
        <f t="shared" si="50"/>
        <v>655.10137613534516</v>
      </c>
      <c r="F286" s="13">
        <f t="shared" si="51"/>
        <v>2320.1907002119301</v>
      </c>
      <c r="G286" s="13">
        <f t="shared" si="52"/>
        <v>210720.90722998159</v>
      </c>
      <c r="I286" s="31">
        <f t="shared" si="56"/>
        <v>607.88532337628169</v>
      </c>
      <c r="J286" s="31">
        <f t="shared" si="53"/>
        <v>49</v>
      </c>
      <c r="K286" s="31">
        <f t="shared" si="55"/>
        <v>154.81799386532663</v>
      </c>
      <c r="L286" s="31">
        <f t="shared" si="49"/>
        <v>3786.9953935888834</v>
      </c>
    </row>
    <row r="287" spans="1:12" x14ac:dyDescent="0.3">
      <c r="A287" s="18">
        <f t="shared" si="46"/>
        <v>2045</v>
      </c>
      <c r="B287" s="23">
        <f t="shared" si="47"/>
        <v>53206</v>
      </c>
      <c r="C287" s="26">
        <f t="shared" si="48"/>
        <v>3.6900000000000002E-2</v>
      </c>
      <c r="D287" s="13">
        <f t="shared" si="54"/>
        <v>2975.2920763472753</v>
      </c>
      <c r="E287" s="13">
        <f t="shared" si="50"/>
        <v>647.96678973219343</v>
      </c>
      <c r="F287" s="13">
        <f t="shared" si="51"/>
        <v>2327.325286615082</v>
      </c>
      <c r="G287" s="13">
        <f t="shared" si="52"/>
        <v>208393.5819433665</v>
      </c>
      <c r="I287" s="31">
        <f t="shared" si="56"/>
        <v>607.88532337628169</v>
      </c>
      <c r="J287" s="31">
        <f t="shared" si="53"/>
        <v>49</v>
      </c>
      <c r="K287" s="31">
        <f t="shared" si="55"/>
        <v>154.81799386532663</v>
      </c>
      <c r="L287" s="31">
        <f t="shared" si="49"/>
        <v>3786.9953935888834</v>
      </c>
    </row>
    <row r="288" spans="1:12" x14ac:dyDescent="0.3">
      <c r="A288" s="18">
        <f t="shared" si="46"/>
        <v>2045</v>
      </c>
      <c r="B288" s="23">
        <f t="shared" si="47"/>
        <v>53236</v>
      </c>
      <c r="C288" s="26">
        <f t="shared" si="48"/>
        <v>3.6900000000000002E-2</v>
      </c>
      <c r="D288" s="13">
        <f t="shared" si="54"/>
        <v>2975.2920763472753</v>
      </c>
      <c r="E288" s="13">
        <f t="shared" si="50"/>
        <v>640.81026447585202</v>
      </c>
      <c r="F288" s="13">
        <f t="shared" si="51"/>
        <v>2334.4818118714234</v>
      </c>
      <c r="G288" s="13">
        <f t="shared" si="52"/>
        <v>206059.10013149507</v>
      </c>
      <c r="I288" s="31">
        <f t="shared" si="56"/>
        <v>607.88532337628169</v>
      </c>
      <c r="J288" s="31">
        <f t="shared" si="53"/>
        <v>49</v>
      </c>
      <c r="K288" s="31">
        <f t="shared" si="55"/>
        <v>154.81799386532663</v>
      </c>
      <c r="L288" s="31">
        <f t="shared" si="49"/>
        <v>3786.9953935888834</v>
      </c>
    </row>
    <row r="289" spans="1:12" x14ac:dyDescent="0.3">
      <c r="A289" s="18">
        <f t="shared" si="46"/>
        <v>2045</v>
      </c>
      <c r="B289" s="23">
        <f t="shared" si="47"/>
        <v>53267</v>
      </c>
      <c r="C289" s="26">
        <f t="shared" si="48"/>
        <v>3.6900000000000002E-2</v>
      </c>
      <c r="D289" s="13">
        <f t="shared" si="54"/>
        <v>2975.2920763472753</v>
      </c>
      <c r="E289" s="13">
        <f t="shared" si="50"/>
        <v>633.63173290434736</v>
      </c>
      <c r="F289" s="13">
        <f t="shared" si="51"/>
        <v>2341.660343442928</v>
      </c>
      <c r="G289" s="13">
        <f t="shared" si="52"/>
        <v>203717.43978805214</v>
      </c>
      <c r="I289" s="31">
        <f t="shared" si="56"/>
        <v>607.88532337628169</v>
      </c>
      <c r="J289" s="31">
        <f t="shared" si="53"/>
        <v>49</v>
      </c>
      <c r="K289" s="31">
        <f t="shared" si="55"/>
        <v>154.81799386532663</v>
      </c>
      <c r="L289" s="31">
        <f t="shared" si="49"/>
        <v>3786.9953935888834</v>
      </c>
    </row>
    <row r="290" spans="1:12" x14ac:dyDescent="0.3">
      <c r="A290" s="18">
        <f t="shared" si="46"/>
        <v>2045</v>
      </c>
      <c r="B290" s="23">
        <f t="shared" si="47"/>
        <v>53297</v>
      </c>
      <c r="C290" s="26">
        <f t="shared" si="48"/>
        <v>3.6900000000000002E-2</v>
      </c>
      <c r="D290" s="13">
        <f t="shared" si="54"/>
        <v>2975.2920763472753</v>
      </c>
      <c r="E290" s="13">
        <f t="shared" si="50"/>
        <v>626.43112734826036</v>
      </c>
      <c r="F290" s="13">
        <f t="shared" si="51"/>
        <v>2348.8609489990149</v>
      </c>
      <c r="G290" s="13">
        <f t="shared" si="52"/>
        <v>201368.57883905314</v>
      </c>
      <c r="I290" s="31">
        <f t="shared" si="56"/>
        <v>607.88532337628169</v>
      </c>
      <c r="J290" s="31">
        <f t="shared" si="53"/>
        <v>49</v>
      </c>
      <c r="K290" s="31">
        <f t="shared" si="55"/>
        <v>154.81799386532663</v>
      </c>
      <c r="L290" s="31">
        <f t="shared" si="49"/>
        <v>3786.9953935888834</v>
      </c>
    </row>
    <row r="291" spans="1:12" x14ac:dyDescent="0.3">
      <c r="A291" s="18">
        <f t="shared" si="46"/>
        <v>2046</v>
      </c>
      <c r="B291" s="23">
        <f t="shared" si="47"/>
        <v>53328</v>
      </c>
      <c r="C291" s="26">
        <f t="shared" si="48"/>
        <v>3.6900000000000002E-2</v>
      </c>
      <c r="D291" s="13">
        <f t="shared" si="54"/>
        <v>2975.2920763472753</v>
      </c>
      <c r="E291" s="13">
        <f t="shared" si="50"/>
        <v>619.20837993008843</v>
      </c>
      <c r="F291" s="13">
        <f t="shared" si="51"/>
        <v>2356.0836964171867</v>
      </c>
      <c r="G291" s="13">
        <f t="shared" si="52"/>
        <v>199012.49514263595</v>
      </c>
      <c r="I291" s="31">
        <f t="shared" si="56"/>
        <v>626.12188307757015</v>
      </c>
      <c r="J291" s="31">
        <f t="shared" si="53"/>
        <v>49</v>
      </c>
      <c r="K291" s="31">
        <f t="shared" si="55"/>
        <v>159.46253368128643</v>
      </c>
      <c r="L291" s="31">
        <f t="shared" si="49"/>
        <v>3809.8764931061319</v>
      </c>
    </row>
    <row r="292" spans="1:12" x14ac:dyDescent="0.3">
      <c r="A292" s="18">
        <f t="shared" si="46"/>
        <v>2046</v>
      </c>
      <c r="B292" s="23">
        <f t="shared" si="47"/>
        <v>53359</v>
      </c>
      <c r="C292" s="26">
        <f t="shared" si="48"/>
        <v>3.6900000000000002E-2</v>
      </c>
      <c r="D292" s="13">
        <f t="shared" si="54"/>
        <v>2975.2920763472753</v>
      </c>
      <c r="E292" s="13">
        <f t="shared" si="50"/>
        <v>611.9634225636056</v>
      </c>
      <c r="F292" s="13">
        <f t="shared" si="51"/>
        <v>2363.3286537836698</v>
      </c>
      <c r="G292" s="13">
        <f t="shared" si="52"/>
        <v>196649.16648885226</v>
      </c>
      <c r="I292" s="31">
        <f t="shared" si="56"/>
        <v>626.12188307757015</v>
      </c>
      <c r="J292" s="31">
        <f t="shared" si="53"/>
        <v>49</v>
      </c>
      <c r="K292" s="31">
        <f t="shared" si="55"/>
        <v>159.46253368128643</v>
      </c>
      <c r="L292" s="31">
        <f t="shared" si="49"/>
        <v>3809.8764931061319</v>
      </c>
    </row>
    <row r="293" spans="1:12" x14ac:dyDescent="0.3">
      <c r="A293" s="18">
        <f t="shared" si="46"/>
        <v>2046</v>
      </c>
      <c r="B293" s="23">
        <f t="shared" si="47"/>
        <v>53387</v>
      </c>
      <c r="C293" s="26">
        <f t="shared" si="48"/>
        <v>3.6900000000000002E-2</v>
      </c>
      <c r="D293" s="13">
        <f t="shared" si="54"/>
        <v>2975.2920763472753</v>
      </c>
      <c r="E293" s="13">
        <f t="shared" si="50"/>
        <v>604.69618695322072</v>
      </c>
      <c r="F293" s="13">
        <f t="shared" si="51"/>
        <v>2370.5958893940547</v>
      </c>
      <c r="G293" s="13">
        <f t="shared" si="52"/>
        <v>194278.57059945821</v>
      </c>
      <c r="I293" s="31">
        <f t="shared" si="56"/>
        <v>626.12188307757015</v>
      </c>
      <c r="J293" s="31">
        <f t="shared" si="53"/>
        <v>49</v>
      </c>
      <c r="K293" s="31">
        <f t="shared" si="55"/>
        <v>159.46253368128643</v>
      </c>
      <c r="L293" s="31">
        <f t="shared" si="49"/>
        <v>3809.8764931061319</v>
      </c>
    </row>
    <row r="294" spans="1:12" x14ac:dyDescent="0.3">
      <c r="A294" s="18">
        <f t="shared" si="46"/>
        <v>2046</v>
      </c>
      <c r="B294" s="23">
        <f t="shared" si="47"/>
        <v>53418</v>
      </c>
      <c r="C294" s="26">
        <f t="shared" si="48"/>
        <v>3.6900000000000002E-2</v>
      </c>
      <c r="D294" s="13">
        <f t="shared" si="54"/>
        <v>2975.2920763472753</v>
      </c>
      <c r="E294" s="13">
        <f t="shared" si="50"/>
        <v>597.40660459333401</v>
      </c>
      <c r="F294" s="13">
        <f t="shared" si="51"/>
        <v>2377.8854717539411</v>
      </c>
      <c r="G294" s="13">
        <f t="shared" si="52"/>
        <v>191900.68512770426</v>
      </c>
      <c r="I294" s="31">
        <f t="shared" si="56"/>
        <v>626.12188307757015</v>
      </c>
      <c r="J294" s="31">
        <f t="shared" si="53"/>
        <v>49</v>
      </c>
      <c r="K294" s="31">
        <f t="shared" si="55"/>
        <v>159.46253368128643</v>
      </c>
      <c r="L294" s="31">
        <f t="shared" si="49"/>
        <v>3809.8764931061319</v>
      </c>
    </row>
    <row r="295" spans="1:12" x14ac:dyDescent="0.3">
      <c r="A295" s="18">
        <f t="shared" si="46"/>
        <v>2046</v>
      </c>
      <c r="B295" s="23">
        <f t="shared" si="47"/>
        <v>53448</v>
      </c>
      <c r="C295" s="26">
        <f t="shared" si="48"/>
        <v>3.6900000000000002E-2</v>
      </c>
      <c r="D295" s="13">
        <f t="shared" si="54"/>
        <v>2975.2920763472753</v>
      </c>
      <c r="E295" s="13">
        <f t="shared" si="50"/>
        <v>590.09460676769061</v>
      </c>
      <c r="F295" s="13">
        <f t="shared" si="51"/>
        <v>2385.1974695795848</v>
      </c>
      <c r="G295" s="13">
        <f t="shared" si="52"/>
        <v>189515.48765812468</v>
      </c>
      <c r="I295" s="31">
        <f t="shared" si="56"/>
        <v>626.12188307757015</v>
      </c>
      <c r="J295" s="31">
        <f t="shared" si="53"/>
        <v>49</v>
      </c>
      <c r="K295" s="31">
        <f t="shared" si="55"/>
        <v>159.46253368128643</v>
      </c>
      <c r="L295" s="31">
        <f t="shared" si="49"/>
        <v>3809.8764931061319</v>
      </c>
    </row>
    <row r="296" spans="1:12" x14ac:dyDescent="0.3">
      <c r="A296" s="18">
        <f t="shared" si="46"/>
        <v>2046</v>
      </c>
      <c r="B296" s="23">
        <f t="shared" si="47"/>
        <v>53479</v>
      </c>
      <c r="C296" s="26">
        <f t="shared" si="48"/>
        <v>3.6900000000000002E-2</v>
      </c>
      <c r="D296" s="13">
        <f t="shared" si="54"/>
        <v>2975.2920763472753</v>
      </c>
      <c r="E296" s="13">
        <f t="shared" si="50"/>
        <v>582.76012454873342</v>
      </c>
      <c r="F296" s="13">
        <f t="shared" si="51"/>
        <v>2392.5319517985417</v>
      </c>
      <c r="G296" s="13">
        <f t="shared" si="52"/>
        <v>187122.95570632615</v>
      </c>
      <c r="I296" s="31">
        <f t="shared" si="56"/>
        <v>626.12188307757015</v>
      </c>
      <c r="J296" s="31">
        <f t="shared" si="53"/>
        <v>49</v>
      </c>
      <c r="K296" s="31">
        <f t="shared" si="55"/>
        <v>159.46253368128643</v>
      </c>
      <c r="L296" s="31">
        <f t="shared" si="49"/>
        <v>3809.8764931061319</v>
      </c>
    </row>
    <row r="297" spans="1:12" x14ac:dyDescent="0.3">
      <c r="A297" s="18">
        <f t="shared" si="46"/>
        <v>2046</v>
      </c>
      <c r="B297" s="23">
        <f t="shared" si="47"/>
        <v>53509</v>
      </c>
      <c r="C297" s="26">
        <f t="shared" si="48"/>
        <v>3.6900000000000002E-2</v>
      </c>
      <c r="D297" s="13">
        <f t="shared" si="54"/>
        <v>2975.2920763472753</v>
      </c>
      <c r="E297" s="13">
        <f t="shared" si="50"/>
        <v>575.40308879695294</v>
      </c>
      <c r="F297" s="13">
        <f t="shared" si="51"/>
        <v>2399.8889875503223</v>
      </c>
      <c r="G297" s="13">
        <f t="shared" si="52"/>
        <v>184723.06671877584</v>
      </c>
      <c r="I297" s="31">
        <f t="shared" si="56"/>
        <v>626.12188307757015</v>
      </c>
      <c r="J297" s="31">
        <f t="shared" si="53"/>
        <v>49</v>
      </c>
      <c r="K297" s="31">
        <f t="shared" si="55"/>
        <v>159.46253368128643</v>
      </c>
      <c r="L297" s="31">
        <f t="shared" si="49"/>
        <v>3809.8764931061319</v>
      </c>
    </row>
    <row r="298" spans="1:12" x14ac:dyDescent="0.3">
      <c r="A298" s="18">
        <f t="shared" si="46"/>
        <v>2046</v>
      </c>
      <c r="B298" s="23">
        <f t="shared" si="47"/>
        <v>53540</v>
      </c>
      <c r="C298" s="26">
        <f t="shared" si="48"/>
        <v>3.6900000000000002E-2</v>
      </c>
      <c r="D298" s="13">
        <f t="shared" si="54"/>
        <v>2975.2920763472753</v>
      </c>
      <c r="E298" s="13">
        <f t="shared" si="50"/>
        <v>568.02343016023576</v>
      </c>
      <c r="F298" s="13">
        <f t="shared" si="51"/>
        <v>2407.2686461870394</v>
      </c>
      <c r="G298" s="13">
        <f t="shared" si="52"/>
        <v>182315.7980725888</v>
      </c>
      <c r="I298" s="31">
        <f t="shared" si="56"/>
        <v>626.12188307757015</v>
      </c>
      <c r="J298" s="31">
        <f t="shared" si="53"/>
        <v>49</v>
      </c>
      <c r="K298" s="31">
        <f t="shared" si="55"/>
        <v>159.46253368128643</v>
      </c>
      <c r="L298" s="31">
        <f t="shared" si="49"/>
        <v>3809.8764931061319</v>
      </c>
    </row>
    <row r="299" spans="1:12" x14ac:dyDescent="0.3">
      <c r="A299" s="18">
        <f t="shared" si="46"/>
        <v>2046</v>
      </c>
      <c r="B299" s="23">
        <f t="shared" si="47"/>
        <v>53571</v>
      </c>
      <c r="C299" s="26">
        <f t="shared" si="48"/>
        <v>3.6900000000000002E-2</v>
      </c>
      <c r="D299" s="13">
        <f t="shared" si="54"/>
        <v>2975.2920763472753</v>
      </c>
      <c r="E299" s="13">
        <f t="shared" si="50"/>
        <v>560.62107907321058</v>
      </c>
      <c r="F299" s="13">
        <f t="shared" si="51"/>
        <v>2414.6709972740646</v>
      </c>
      <c r="G299" s="13">
        <f t="shared" si="52"/>
        <v>179901.12707531475</v>
      </c>
      <c r="I299" s="31">
        <f t="shared" si="56"/>
        <v>626.12188307757015</v>
      </c>
      <c r="J299" s="31">
        <f t="shared" si="53"/>
        <v>49</v>
      </c>
      <c r="K299" s="31">
        <f t="shared" si="55"/>
        <v>159.46253368128643</v>
      </c>
      <c r="L299" s="31">
        <f t="shared" si="49"/>
        <v>3809.8764931061319</v>
      </c>
    </row>
    <row r="300" spans="1:12" x14ac:dyDescent="0.3">
      <c r="A300" s="18">
        <f t="shared" si="46"/>
        <v>2046</v>
      </c>
      <c r="B300" s="23">
        <f t="shared" si="47"/>
        <v>53601</v>
      </c>
      <c r="C300" s="26">
        <f t="shared" si="48"/>
        <v>3.6900000000000002E-2</v>
      </c>
      <c r="D300" s="13">
        <f t="shared" si="54"/>
        <v>2975.2920763472753</v>
      </c>
      <c r="E300" s="13">
        <f t="shared" si="50"/>
        <v>553.19596575659295</v>
      </c>
      <c r="F300" s="13">
        <f t="shared" si="51"/>
        <v>2422.0961105906822</v>
      </c>
      <c r="G300" s="13">
        <f t="shared" si="52"/>
        <v>177479.03096472408</v>
      </c>
      <c r="I300" s="31">
        <f t="shared" si="56"/>
        <v>626.12188307757015</v>
      </c>
      <c r="J300" s="31">
        <f t="shared" si="53"/>
        <v>49</v>
      </c>
      <c r="K300" s="31">
        <f t="shared" si="55"/>
        <v>159.46253368128643</v>
      </c>
      <c r="L300" s="31">
        <f t="shared" si="49"/>
        <v>3809.8764931061319</v>
      </c>
    </row>
    <row r="301" spans="1:12" x14ac:dyDescent="0.3">
      <c r="A301" s="18">
        <f t="shared" si="46"/>
        <v>2046</v>
      </c>
      <c r="B301" s="23">
        <f t="shared" si="47"/>
        <v>53632</v>
      </c>
      <c r="C301" s="26">
        <f t="shared" si="48"/>
        <v>3.6900000000000002E-2</v>
      </c>
      <c r="D301" s="13">
        <f t="shared" si="54"/>
        <v>2975.2920763472753</v>
      </c>
      <c r="E301" s="13">
        <f t="shared" si="50"/>
        <v>545.74802021652658</v>
      </c>
      <c r="F301" s="13">
        <f t="shared" si="51"/>
        <v>2429.5440561307487</v>
      </c>
      <c r="G301" s="13">
        <f t="shared" si="52"/>
        <v>175049.48690859333</v>
      </c>
      <c r="I301" s="31">
        <f t="shared" si="56"/>
        <v>626.12188307757015</v>
      </c>
      <c r="J301" s="31">
        <f t="shared" si="53"/>
        <v>49</v>
      </c>
      <c r="K301" s="31">
        <f t="shared" si="55"/>
        <v>159.46253368128643</v>
      </c>
      <c r="L301" s="31">
        <f t="shared" si="49"/>
        <v>3809.8764931061319</v>
      </c>
    </row>
    <row r="302" spans="1:12" x14ac:dyDescent="0.3">
      <c r="A302" s="18">
        <f t="shared" si="46"/>
        <v>2046</v>
      </c>
      <c r="B302" s="23">
        <f t="shared" si="47"/>
        <v>53662</v>
      </c>
      <c r="C302" s="26">
        <f t="shared" si="48"/>
        <v>3.6900000000000002E-2</v>
      </c>
      <c r="D302" s="13">
        <f t="shared" si="54"/>
        <v>2975.2920763472753</v>
      </c>
      <c r="E302" s="13">
        <f t="shared" si="50"/>
        <v>538.2771722439245</v>
      </c>
      <c r="F302" s="13">
        <f t="shared" si="51"/>
        <v>2437.014904103351</v>
      </c>
      <c r="G302" s="13">
        <f t="shared" si="52"/>
        <v>172612.47200448997</v>
      </c>
      <c r="I302" s="31">
        <f t="shared" si="56"/>
        <v>626.12188307757015</v>
      </c>
      <c r="J302" s="31">
        <f t="shared" si="53"/>
        <v>49</v>
      </c>
      <c r="K302" s="31">
        <f t="shared" si="55"/>
        <v>159.46253368128643</v>
      </c>
      <c r="L302" s="31">
        <f t="shared" si="49"/>
        <v>3809.8764931061319</v>
      </c>
    </row>
    <row r="303" spans="1:12" x14ac:dyDescent="0.3">
      <c r="A303" s="18">
        <f t="shared" si="46"/>
        <v>2047</v>
      </c>
      <c r="B303" s="23">
        <f t="shared" si="47"/>
        <v>53693</v>
      </c>
      <c r="C303" s="26">
        <f t="shared" si="48"/>
        <v>3.6900000000000002E-2</v>
      </c>
      <c r="D303" s="13">
        <f t="shared" si="54"/>
        <v>2975.2920763472753</v>
      </c>
      <c r="E303" s="13">
        <f t="shared" si="50"/>
        <v>530.78335141380671</v>
      </c>
      <c r="F303" s="13">
        <f t="shared" si="51"/>
        <v>2444.5087249334683</v>
      </c>
      <c r="G303" s="13">
        <f t="shared" si="52"/>
        <v>170167.96327955651</v>
      </c>
      <c r="I303" s="31">
        <f t="shared" si="56"/>
        <v>644.90553956989731</v>
      </c>
      <c r="J303" s="31">
        <f t="shared" si="53"/>
        <v>49</v>
      </c>
      <c r="K303" s="31">
        <f t="shared" si="55"/>
        <v>164.24640969172503</v>
      </c>
      <c r="L303" s="31">
        <f t="shared" si="49"/>
        <v>3833.4440256088974</v>
      </c>
    </row>
    <row r="304" spans="1:12" x14ac:dyDescent="0.3">
      <c r="A304" s="18">
        <f t="shared" si="46"/>
        <v>2047</v>
      </c>
      <c r="B304" s="23">
        <f t="shared" si="47"/>
        <v>53724</v>
      </c>
      <c r="C304" s="26">
        <f t="shared" si="48"/>
        <v>3.6900000000000002E-2</v>
      </c>
      <c r="D304" s="13">
        <f t="shared" si="54"/>
        <v>2975.2920763472753</v>
      </c>
      <c r="E304" s="13">
        <f t="shared" si="50"/>
        <v>523.26648708463631</v>
      </c>
      <c r="F304" s="13">
        <f t="shared" si="51"/>
        <v>2452.0255892626392</v>
      </c>
      <c r="G304" s="13">
        <f t="shared" si="52"/>
        <v>167715.93769029388</v>
      </c>
      <c r="I304" s="31">
        <f t="shared" si="56"/>
        <v>644.90553956989731</v>
      </c>
      <c r="J304" s="31">
        <f t="shared" si="53"/>
        <v>49</v>
      </c>
      <c r="K304" s="31">
        <f t="shared" si="55"/>
        <v>164.24640969172503</v>
      </c>
      <c r="L304" s="31">
        <f t="shared" si="49"/>
        <v>3833.4440256088974</v>
      </c>
    </row>
    <row r="305" spans="1:12" x14ac:dyDescent="0.3">
      <c r="A305" s="18">
        <f t="shared" si="46"/>
        <v>2047</v>
      </c>
      <c r="B305" s="23">
        <f t="shared" si="47"/>
        <v>53752</v>
      </c>
      <c r="C305" s="26">
        <f t="shared" si="48"/>
        <v>3.6900000000000002E-2</v>
      </c>
      <c r="D305" s="13">
        <f t="shared" si="54"/>
        <v>2975.2920763472753</v>
      </c>
      <c r="E305" s="13">
        <f t="shared" si="50"/>
        <v>515.72650839765367</v>
      </c>
      <c r="F305" s="13">
        <f t="shared" si="51"/>
        <v>2459.5655679496217</v>
      </c>
      <c r="G305" s="13">
        <f t="shared" si="52"/>
        <v>165256.37212234427</v>
      </c>
      <c r="I305" s="31">
        <f t="shared" si="56"/>
        <v>644.90553956989731</v>
      </c>
      <c r="J305" s="31">
        <f t="shared" si="53"/>
        <v>49</v>
      </c>
      <c r="K305" s="31">
        <f t="shared" si="55"/>
        <v>164.24640969172503</v>
      </c>
      <c r="L305" s="31">
        <f t="shared" si="49"/>
        <v>3833.4440256088974</v>
      </c>
    </row>
    <row r="306" spans="1:12" x14ac:dyDescent="0.3">
      <c r="A306" s="18">
        <f t="shared" si="46"/>
        <v>2047</v>
      </c>
      <c r="B306" s="23">
        <f t="shared" si="47"/>
        <v>53783</v>
      </c>
      <c r="C306" s="26">
        <f t="shared" si="48"/>
        <v>3.6900000000000002E-2</v>
      </c>
      <c r="D306" s="13">
        <f t="shared" si="54"/>
        <v>2975.2920763472753</v>
      </c>
      <c r="E306" s="13">
        <f t="shared" si="50"/>
        <v>508.16334427620865</v>
      </c>
      <c r="F306" s="13">
        <f t="shared" si="51"/>
        <v>2467.1287320710667</v>
      </c>
      <c r="G306" s="13">
        <f t="shared" si="52"/>
        <v>162789.24339027322</v>
      </c>
      <c r="I306" s="31">
        <f t="shared" si="56"/>
        <v>644.90553956989731</v>
      </c>
      <c r="J306" s="31">
        <f t="shared" si="53"/>
        <v>49</v>
      </c>
      <c r="K306" s="31">
        <f t="shared" si="55"/>
        <v>164.24640969172503</v>
      </c>
      <c r="L306" s="31">
        <f t="shared" si="49"/>
        <v>3833.4440256088974</v>
      </c>
    </row>
    <row r="307" spans="1:12" x14ac:dyDescent="0.3">
      <c r="A307" s="18">
        <f t="shared" si="46"/>
        <v>2047</v>
      </c>
      <c r="B307" s="23">
        <f t="shared" si="47"/>
        <v>53813</v>
      </c>
      <c r="C307" s="26">
        <f t="shared" si="48"/>
        <v>3.6900000000000002E-2</v>
      </c>
      <c r="D307" s="13">
        <f t="shared" si="54"/>
        <v>2975.2920763472753</v>
      </c>
      <c r="E307" s="13">
        <f t="shared" si="50"/>
        <v>500.57692342509017</v>
      </c>
      <c r="F307" s="13">
        <f t="shared" si="51"/>
        <v>2474.7151529221851</v>
      </c>
      <c r="G307" s="13">
        <f t="shared" si="52"/>
        <v>160314.52823735104</v>
      </c>
      <c r="I307" s="31">
        <f t="shared" si="56"/>
        <v>644.90553956989731</v>
      </c>
      <c r="J307" s="31">
        <f t="shared" si="53"/>
        <v>49</v>
      </c>
      <c r="K307" s="31">
        <f t="shared" si="55"/>
        <v>164.24640969172503</v>
      </c>
      <c r="L307" s="31">
        <f t="shared" si="49"/>
        <v>3833.4440256088974</v>
      </c>
    </row>
    <row r="308" spans="1:12" x14ac:dyDescent="0.3">
      <c r="A308" s="18">
        <f t="shared" si="46"/>
        <v>2047</v>
      </c>
      <c r="B308" s="23">
        <f t="shared" si="47"/>
        <v>53844</v>
      </c>
      <c r="C308" s="26">
        <f t="shared" si="48"/>
        <v>3.6900000000000002E-2</v>
      </c>
      <c r="D308" s="13">
        <f t="shared" si="54"/>
        <v>2975.2920763472753</v>
      </c>
      <c r="E308" s="13">
        <f t="shared" si="50"/>
        <v>492.96717432985452</v>
      </c>
      <c r="F308" s="13">
        <f t="shared" si="51"/>
        <v>2482.3249020174208</v>
      </c>
      <c r="G308" s="13">
        <f t="shared" si="52"/>
        <v>157832.20333533362</v>
      </c>
      <c r="I308" s="31">
        <f t="shared" si="56"/>
        <v>644.90553956989731</v>
      </c>
      <c r="J308" s="31">
        <f t="shared" si="53"/>
        <v>49</v>
      </c>
      <c r="K308" s="31">
        <f t="shared" si="55"/>
        <v>164.24640969172503</v>
      </c>
      <c r="L308" s="31">
        <f t="shared" si="49"/>
        <v>3833.4440256088974</v>
      </c>
    </row>
    <row r="309" spans="1:12" x14ac:dyDescent="0.3">
      <c r="A309" s="18">
        <f t="shared" si="46"/>
        <v>2047</v>
      </c>
      <c r="B309" s="23">
        <f t="shared" si="47"/>
        <v>53874</v>
      </c>
      <c r="C309" s="26">
        <f t="shared" si="48"/>
        <v>3.6900000000000002E-2</v>
      </c>
      <c r="D309" s="13">
        <f t="shared" si="54"/>
        <v>2975.2920763472753</v>
      </c>
      <c r="E309" s="13">
        <f t="shared" si="50"/>
        <v>485.33402525615088</v>
      </c>
      <c r="F309" s="13">
        <f t="shared" si="51"/>
        <v>2489.9580510911246</v>
      </c>
      <c r="G309" s="13">
        <f t="shared" si="52"/>
        <v>155342.2452842425</v>
      </c>
      <c r="I309" s="31">
        <f t="shared" si="56"/>
        <v>644.90553956989731</v>
      </c>
      <c r="J309" s="31">
        <f t="shared" si="53"/>
        <v>49</v>
      </c>
      <c r="K309" s="31">
        <f t="shared" si="55"/>
        <v>164.24640969172503</v>
      </c>
      <c r="L309" s="31">
        <f t="shared" si="49"/>
        <v>3833.4440256088974</v>
      </c>
    </row>
    <row r="310" spans="1:12" x14ac:dyDescent="0.3">
      <c r="A310" s="18">
        <f t="shared" si="46"/>
        <v>2047</v>
      </c>
      <c r="B310" s="23">
        <f t="shared" si="47"/>
        <v>53905</v>
      </c>
      <c r="C310" s="26">
        <f t="shared" si="48"/>
        <v>3.6900000000000002E-2</v>
      </c>
      <c r="D310" s="13">
        <f t="shared" si="54"/>
        <v>2975.2920763472753</v>
      </c>
      <c r="E310" s="13">
        <f t="shared" si="50"/>
        <v>477.67740424904576</v>
      </c>
      <c r="F310" s="13">
        <f t="shared" si="51"/>
        <v>2497.6146720982297</v>
      </c>
      <c r="G310" s="13">
        <f t="shared" si="52"/>
        <v>152844.63061214428</v>
      </c>
      <c r="I310" s="31">
        <f t="shared" si="56"/>
        <v>644.90553956989731</v>
      </c>
      <c r="J310" s="31">
        <f t="shared" si="53"/>
        <v>49</v>
      </c>
      <c r="K310" s="31">
        <f t="shared" si="55"/>
        <v>164.24640969172503</v>
      </c>
      <c r="L310" s="31">
        <f t="shared" si="49"/>
        <v>3833.4440256088974</v>
      </c>
    </row>
    <row r="311" spans="1:12" x14ac:dyDescent="0.3">
      <c r="A311" s="18">
        <f t="shared" si="46"/>
        <v>2047</v>
      </c>
      <c r="B311" s="23">
        <f t="shared" si="47"/>
        <v>53936</v>
      </c>
      <c r="C311" s="26">
        <f t="shared" si="48"/>
        <v>3.6900000000000002E-2</v>
      </c>
      <c r="D311" s="13">
        <f t="shared" si="54"/>
        <v>2975.2920763472753</v>
      </c>
      <c r="E311" s="13">
        <f t="shared" si="50"/>
        <v>469.99723913234362</v>
      </c>
      <c r="F311" s="13">
        <f t="shared" si="51"/>
        <v>2505.2948372149317</v>
      </c>
      <c r="G311" s="13">
        <f t="shared" si="52"/>
        <v>150339.33577492935</v>
      </c>
      <c r="I311" s="31">
        <f t="shared" si="56"/>
        <v>644.90553956989731</v>
      </c>
      <c r="J311" s="31">
        <f t="shared" si="53"/>
        <v>49</v>
      </c>
      <c r="K311" s="31">
        <f t="shared" si="55"/>
        <v>164.24640969172503</v>
      </c>
      <c r="L311" s="31">
        <f t="shared" si="49"/>
        <v>3833.4440256088974</v>
      </c>
    </row>
    <row r="312" spans="1:12" x14ac:dyDescent="0.3">
      <c r="A312" s="18">
        <f t="shared" si="46"/>
        <v>2047</v>
      </c>
      <c r="B312" s="23">
        <f t="shared" si="47"/>
        <v>53966</v>
      </c>
      <c r="C312" s="26">
        <f t="shared" si="48"/>
        <v>3.6900000000000002E-2</v>
      </c>
      <c r="D312" s="13">
        <f t="shared" si="54"/>
        <v>2975.2920763472753</v>
      </c>
      <c r="E312" s="13">
        <f t="shared" si="50"/>
        <v>462.29345750790776</v>
      </c>
      <c r="F312" s="13">
        <f t="shared" si="51"/>
        <v>2512.9986188393677</v>
      </c>
      <c r="G312" s="13">
        <f t="shared" si="52"/>
        <v>147826.33715608998</v>
      </c>
      <c r="I312" s="31">
        <f t="shared" si="56"/>
        <v>644.90553956989731</v>
      </c>
      <c r="J312" s="31">
        <f t="shared" si="53"/>
        <v>49</v>
      </c>
      <c r="K312" s="31">
        <f t="shared" si="55"/>
        <v>164.24640969172503</v>
      </c>
      <c r="L312" s="31">
        <f t="shared" si="49"/>
        <v>3833.4440256088974</v>
      </c>
    </row>
    <row r="313" spans="1:12" x14ac:dyDescent="0.3">
      <c r="A313" s="18">
        <f t="shared" si="46"/>
        <v>2047</v>
      </c>
      <c r="B313" s="23">
        <f t="shared" si="47"/>
        <v>53997</v>
      </c>
      <c r="C313" s="26">
        <f t="shared" si="48"/>
        <v>3.6900000000000002E-2</v>
      </c>
      <c r="D313" s="13">
        <f t="shared" si="54"/>
        <v>2975.2920763472753</v>
      </c>
      <c r="E313" s="13">
        <f t="shared" si="50"/>
        <v>454.56598675497668</v>
      </c>
      <c r="F313" s="13">
        <f t="shared" si="51"/>
        <v>2520.7260895922986</v>
      </c>
      <c r="G313" s="13">
        <f t="shared" si="52"/>
        <v>145305.61106649769</v>
      </c>
      <c r="I313" s="31">
        <f t="shared" si="56"/>
        <v>644.90553956989731</v>
      </c>
      <c r="J313" s="31">
        <f t="shared" si="53"/>
        <v>49</v>
      </c>
      <c r="K313" s="31">
        <f t="shared" si="55"/>
        <v>164.24640969172503</v>
      </c>
      <c r="L313" s="31">
        <f t="shared" si="49"/>
        <v>3833.4440256088974</v>
      </c>
    </row>
    <row r="314" spans="1:12" x14ac:dyDescent="0.3">
      <c r="A314" s="18">
        <f t="shared" si="46"/>
        <v>2047</v>
      </c>
      <c r="B314" s="23">
        <f t="shared" si="47"/>
        <v>54027</v>
      </c>
      <c r="C314" s="26">
        <f t="shared" si="48"/>
        <v>3.6900000000000002E-2</v>
      </c>
      <c r="D314" s="13">
        <f t="shared" si="54"/>
        <v>2975.2920763472753</v>
      </c>
      <c r="E314" s="13">
        <f t="shared" si="50"/>
        <v>446.81475402948041</v>
      </c>
      <c r="F314" s="13">
        <f t="shared" si="51"/>
        <v>2528.4773223177949</v>
      </c>
      <c r="G314" s="13">
        <f t="shared" si="52"/>
        <v>142777.13374417988</v>
      </c>
      <c r="I314" s="31">
        <f t="shared" si="56"/>
        <v>644.90553956989731</v>
      </c>
      <c r="J314" s="31">
        <f t="shared" si="53"/>
        <v>49</v>
      </c>
      <c r="K314" s="31">
        <f t="shared" si="55"/>
        <v>164.24640969172503</v>
      </c>
      <c r="L314" s="31">
        <f t="shared" si="49"/>
        <v>3833.4440256088974</v>
      </c>
    </row>
    <row r="315" spans="1:12" x14ac:dyDescent="0.3">
      <c r="A315" s="18">
        <f t="shared" si="46"/>
        <v>2048</v>
      </c>
      <c r="B315" s="23">
        <f t="shared" si="47"/>
        <v>54058</v>
      </c>
      <c r="C315" s="26">
        <f t="shared" si="48"/>
        <v>3.6900000000000002E-2</v>
      </c>
      <c r="D315" s="13">
        <f t="shared" si="54"/>
        <v>2975.2920763472753</v>
      </c>
      <c r="E315" s="13">
        <f t="shared" si="50"/>
        <v>439.03968626335313</v>
      </c>
      <c r="F315" s="13">
        <f t="shared" si="51"/>
        <v>2536.2523900839224</v>
      </c>
      <c r="G315" s="13">
        <f t="shared" si="52"/>
        <v>140240.88135409597</v>
      </c>
      <c r="I315" s="31">
        <f t="shared" si="56"/>
        <v>664.25270575699426</v>
      </c>
      <c r="J315" s="31">
        <f t="shared" si="53"/>
        <v>49</v>
      </c>
      <c r="K315" s="31">
        <f t="shared" si="55"/>
        <v>169.17380198247679</v>
      </c>
      <c r="L315" s="31">
        <f t="shared" si="49"/>
        <v>3857.7185840867464</v>
      </c>
    </row>
    <row r="316" spans="1:12" x14ac:dyDescent="0.3">
      <c r="A316" s="18">
        <f t="shared" si="46"/>
        <v>2048</v>
      </c>
      <c r="B316" s="23">
        <f t="shared" si="47"/>
        <v>54089</v>
      </c>
      <c r="C316" s="26">
        <f t="shared" si="48"/>
        <v>3.6900000000000002E-2</v>
      </c>
      <c r="D316" s="13">
        <f t="shared" si="54"/>
        <v>2975.2920763472753</v>
      </c>
      <c r="E316" s="13">
        <f t="shared" si="50"/>
        <v>431.24071016384511</v>
      </c>
      <c r="F316" s="13">
        <f t="shared" si="51"/>
        <v>2544.0513661834302</v>
      </c>
      <c r="G316" s="13">
        <f t="shared" si="52"/>
        <v>137696.82998791253</v>
      </c>
      <c r="I316" s="31">
        <f t="shared" si="56"/>
        <v>664.25270575699426</v>
      </c>
      <c r="J316" s="31">
        <f t="shared" si="53"/>
        <v>49</v>
      </c>
      <c r="K316" s="31">
        <f t="shared" si="55"/>
        <v>169.17380198247679</v>
      </c>
      <c r="L316" s="31">
        <f t="shared" si="49"/>
        <v>3857.7185840867464</v>
      </c>
    </row>
    <row r="317" spans="1:12" x14ac:dyDescent="0.3">
      <c r="A317" s="18">
        <f t="shared" si="46"/>
        <v>2048</v>
      </c>
      <c r="B317" s="23">
        <f t="shared" si="47"/>
        <v>54118</v>
      </c>
      <c r="C317" s="26">
        <f t="shared" si="48"/>
        <v>3.6900000000000002E-2</v>
      </c>
      <c r="D317" s="13">
        <f t="shared" si="54"/>
        <v>2975.2920763472753</v>
      </c>
      <c r="E317" s="13">
        <f t="shared" si="50"/>
        <v>423.41775221283109</v>
      </c>
      <c r="F317" s="13">
        <f t="shared" si="51"/>
        <v>2551.8743241344441</v>
      </c>
      <c r="G317" s="13">
        <f t="shared" si="52"/>
        <v>135144.95566377809</v>
      </c>
      <c r="I317" s="31">
        <f t="shared" si="56"/>
        <v>664.25270575699426</v>
      </c>
      <c r="J317" s="31">
        <f t="shared" si="53"/>
        <v>49</v>
      </c>
      <c r="K317" s="31">
        <f t="shared" si="55"/>
        <v>169.17380198247679</v>
      </c>
      <c r="L317" s="31">
        <f t="shared" si="49"/>
        <v>3857.7185840867464</v>
      </c>
    </row>
    <row r="318" spans="1:12" x14ac:dyDescent="0.3">
      <c r="A318" s="18">
        <f t="shared" si="46"/>
        <v>2048</v>
      </c>
      <c r="B318" s="23">
        <f t="shared" si="47"/>
        <v>54149</v>
      </c>
      <c r="C318" s="26">
        <f t="shared" si="48"/>
        <v>3.6900000000000002E-2</v>
      </c>
      <c r="D318" s="13">
        <f t="shared" si="54"/>
        <v>2975.2920763472753</v>
      </c>
      <c r="E318" s="13">
        <f t="shared" si="50"/>
        <v>415.57073866611768</v>
      </c>
      <c r="F318" s="13">
        <f t="shared" si="51"/>
        <v>2559.7213376811578</v>
      </c>
      <c r="G318" s="13">
        <f t="shared" si="52"/>
        <v>132585.23432609692</v>
      </c>
      <c r="I318" s="31">
        <f t="shared" si="56"/>
        <v>664.25270575699426</v>
      </c>
      <c r="J318" s="31">
        <f t="shared" si="53"/>
        <v>49</v>
      </c>
      <c r="K318" s="31">
        <f t="shared" si="55"/>
        <v>169.17380198247679</v>
      </c>
      <c r="L318" s="31">
        <f t="shared" si="49"/>
        <v>3857.7185840867464</v>
      </c>
    </row>
    <row r="319" spans="1:12" x14ac:dyDescent="0.3">
      <c r="A319" s="18">
        <f t="shared" si="46"/>
        <v>2048</v>
      </c>
      <c r="B319" s="23">
        <f t="shared" si="47"/>
        <v>54179</v>
      </c>
      <c r="C319" s="26">
        <f t="shared" si="48"/>
        <v>3.6900000000000002E-2</v>
      </c>
      <c r="D319" s="13">
        <f t="shared" si="54"/>
        <v>2975.2920763472753</v>
      </c>
      <c r="E319" s="13">
        <f t="shared" si="50"/>
        <v>407.69959555274801</v>
      </c>
      <c r="F319" s="13">
        <f t="shared" si="51"/>
        <v>2567.5924807945271</v>
      </c>
      <c r="G319" s="13">
        <f t="shared" si="52"/>
        <v>130017.64184530239</v>
      </c>
      <c r="I319" s="31">
        <f t="shared" si="56"/>
        <v>664.25270575699426</v>
      </c>
      <c r="J319" s="31">
        <f t="shared" si="53"/>
        <v>49</v>
      </c>
      <c r="K319" s="31">
        <f t="shared" si="55"/>
        <v>169.17380198247679</v>
      </c>
      <c r="L319" s="31">
        <f t="shared" si="49"/>
        <v>3857.7185840867464</v>
      </c>
    </row>
    <row r="320" spans="1:12" x14ac:dyDescent="0.3">
      <c r="A320" s="18">
        <f t="shared" si="46"/>
        <v>2048</v>
      </c>
      <c r="B320" s="23">
        <f t="shared" si="47"/>
        <v>54210</v>
      </c>
      <c r="C320" s="26">
        <f t="shared" si="48"/>
        <v>3.6900000000000002E-2</v>
      </c>
      <c r="D320" s="13">
        <f t="shared" si="54"/>
        <v>2975.2920763472753</v>
      </c>
      <c r="E320" s="13">
        <f t="shared" si="50"/>
        <v>399.80424867430492</v>
      </c>
      <c r="F320" s="13">
        <f t="shared" si="51"/>
        <v>2575.4878276729705</v>
      </c>
      <c r="G320" s="13">
        <f t="shared" si="52"/>
        <v>127442.15401762942</v>
      </c>
      <c r="I320" s="31">
        <f t="shared" si="56"/>
        <v>664.25270575699426</v>
      </c>
      <c r="J320" s="31">
        <f t="shared" si="53"/>
        <v>49</v>
      </c>
      <c r="K320" s="31">
        <f t="shared" si="55"/>
        <v>169.17380198247679</v>
      </c>
      <c r="L320" s="31">
        <f t="shared" si="49"/>
        <v>3857.7185840867464</v>
      </c>
    </row>
    <row r="321" spans="1:12" x14ac:dyDescent="0.3">
      <c r="A321" s="18">
        <f t="shared" si="46"/>
        <v>2048</v>
      </c>
      <c r="B321" s="23">
        <f t="shared" si="47"/>
        <v>54240</v>
      </c>
      <c r="C321" s="26">
        <f t="shared" si="48"/>
        <v>3.6900000000000002E-2</v>
      </c>
      <c r="D321" s="13">
        <f t="shared" si="54"/>
        <v>2975.2920763472753</v>
      </c>
      <c r="E321" s="13">
        <f t="shared" si="50"/>
        <v>391.8846236042105</v>
      </c>
      <c r="F321" s="13">
        <f t="shared" si="51"/>
        <v>2583.4074527430648</v>
      </c>
      <c r="G321" s="13">
        <f t="shared" si="52"/>
        <v>124858.74656488636</v>
      </c>
      <c r="I321" s="31">
        <f t="shared" si="56"/>
        <v>664.25270575699426</v>
      </c>
      <c r="J321" s="31">
        <f t="shared" si="53"/>
        <v>49</v>
      </c>
      <c r="K321" s="31">
        <f t="shared" si="55"/>
        <v>169.17380198247679</v>
      </c>
      <c r="L321" s="31">
        <f t="shared" si="49"/>
        <v>3857.7185840867464</v>
      </c>
    </row>
    <row r="322" spans="1:12" x14ac:dyDescent="0.3">
      <c r="A322" s="18">
        <f t="shared" si="46"/>
        <v>2048</v>
      </c>
      <c r="B322" s="23">
        <f t="shared" si="47"/>
        <v>54271</v>
      </c>
      <c r="C322" s="26">
        <f t="shared" si="48"/>
        <v>3.6900000000000002E-2</v>
      </c>
      <c r="D322" s="13">
        <f t="shared" si="54"/>
        <v>2975.2920763472753</v>
      </c>
      <c r="E322" s="13">
        <f t="shared" si="50"/>
        <v>383.94064568702561</v>
      </c>
      <c r="F322" s="13">
        <f t="shared" si="51"/>
        <v>2591.3514306602497</v>
      </c>
      <c r="G322" s="13">
        <f t="shared" si="52"/>
        <v>122267.39513422611</v>
      </c>
      <c r="I322" s="31">
        <f t="shared" si="56"/>
        <v>664.25270575699426</v>
      </c>
      <c r="J322" s="31">
        <f t="shared" si="53"/>
        <v>49</v>
      </c>
      <c r="K322" s="31">
        <f t="shared" si="55"/>
        <v>169.17380198247679</v>
      </c>
      <c r="L322" s="31">
        <f t="shared" si="49"/>
        <v>3857.7185840867464</v>
      </c>
    </row>
    <row r="323" spans="1:12" x14ac:dyDescent="0.3">
      <c r="A323" s="18">
        <f t="shared" ref="A323:A386" si="57">YEAR(B323)</f>
        <v>2048</v>
      </c>
      <c r="B323" s="23">
        <f t="shared" si="47"/>
        <v>54302</v>
      </c>
      <c r="C323" s="26">
        <f t="shared" si="48"/>
        <v>3.6900000000000002E-2</v>
      </c>
      <c r="D323" s="13">
        <f t="shared" si="54"/>
        <v>2975.2920763472753</v>
      </c>
      <c r="E323" s="13">
        <f t="shared" si="50"/>
        <v>375.97224003774528</v>
      </c>
      <c r="F323" s="13">
        <f t="shared" si="51"/>
        <v>2599.3198363095298</v>
      </c>
      <c r="G323" s="13">
        <f t="shared" si="52"/>
        <v>119668.07529791658</v>
      </c>
      <c r="I323" s="31">
        <f t="shared" si="56"/>
        <v>664.25270575699426</v>
      </c>
      <c r="J323" s="31">
        <f t="shared" si="53"/>
        <v>49</v>
      </c>
      <c r="K323" s="31">
        <f t="shared" si="55"/>
        <v>169.17380198247679</v>
      </c>
      <c r="L323" s="31">
        <f t="shared" si="49"/>
        <v>3857.7185840867464</v>
      </c>
    </row>
    <row r="324" spans="1:12" x14ac:dyDescent="0.3">
      <c r="A324" s="18">
        <f t="shared" si="57"/>
        <v>2048</v>
      </c>
      <c r="B324" s="23">
        <f t="shared" ref="B324:B387" si="58">EDATE(B323,1)</f>
        <v>54332</v>
      </c>
      <c r="C324" s="26">
        <f t="shared" si="48"/>
        <v>3.6900000000000002E-2</v>
      </c>
      <c r="D324" s="13">
        <f t="shared" si="54"/>
        <v>2975.2920763472753</v>
      </c>
      <c r="E324" s="13">
        <f t="shared" si="50"/>
        <v>367.97933154109347</v>
      </c>
      <c r="F324" s="13">
        <f t="shared" si="51"/>
        <v>2607.3127448061819</v>
      </c>
      <c r="G324" s="13">
        <f t="shared" si="52"/>
        <v>117060.7625531104</v>
      </c>
      <c r="I324" s="31">
        <f t="shared" si="56"/>
        <v>664.25270575699426</v>
      </c>
      <c r="J324" s="31">
        <f t="shared" si="53"/>
        <v>49</v>
      </c>
      <c r="K324" s="31">
        <f t="shared" si="55"/>
        <v>169.17380198247679</v>
      </c>
      <c r="L324" s="31">
        <f t="shared" si="49"/>
        <v>3857.7185840867464</v>
      </c>
    </row>
    <row r="325" spans="1:12" x14ac:dyDescent="0.3">
      <c r="A325" s="18">
        <f t="shared" si="57"/>
        <v>2048</v>
      </c>
      <c r="B325" s="23">
        <f t="shared" si="58"/>
        <v>54363</v>
      </c>
      <c r="C325" s="26">
        <f t="shared" ref="C325:C388" si="59">C324</f>
        <v>3.6900000000000002E-2</v>
      </c>
      <c r="D325" s="13">
        <f t="shared" si="54"/>
        <v>2975.2920763472753</v>
      </c>
      <c r="E325" s="13">
        <f t="shared" si="50"/>
        <v>359.96184485081449</v>
      </c>
      <c r="F325" s="13">
        <f t="shared" si="51"/>
        <v>2615.3302314964608</v>
      </c>
      <c r="G325" s="13">
        <f t="shared" si="52"/>
        <v>114445.43232161393</v>
      </c>
      <c r="I325" s="31">
        <f t="shared" si="56"/>
        <v>664.25270575699426</v>
      </c>
      <c r="J325" s="31">
        <f t="shared" si="53"/>
        <v>49</v>
      </c>
      <c r="K325" s="31">
        <f t="shared" si="55"/>
        <v>169.17380198247679</v>
      </c>
      <c r="L325" s="31">
        <f t="shared" si="49"/>
        <v>3857.7185840867464</v>
      </c>
    </row>
    <row r="326" spans="1:12" x14ac:dyDescent="0.3">
      <c r="A326" s="18">
        <f t="shared" si="57"/>
        <v>2048</v>
      </c>
      <c r="B326" s="23">
        <f t="shared" si="58"/>
        <v>54393</v>
      </c>
      <c r="C326" s="26">
        <f t="shared" si="59"/>
        <v>3.6900000000000002E-2</v>
      </c>
      <c r="D326" s="13">
        <f t="shared" si="54"/>
        <v>2975.2920763472753</v>
      </c>
      <c r="E326" s="13">
        <f t="shared" si="50"/>
        <v>351.91970438896283</v>
      </c>
      <c r="F326" s="13">
        <f t="shared" si="51"/>
        <v>2623.3723719583122</v>
      </c>
      <c r="G326" s="13">
        <f t="shared" si="52"/>
        <v>111822.05994965562</v>
      </c>
      <c r="I326" s="31">
        <f t="shared" si="56"/>
        <v>664.25270575699426</v>
      </c>
      <c r="J326" s="31">
        <f t="shared" si="53"/>
        <v>49</v>
      </c>
      <c r="K326" s="31">
        <f t="shared" si="55"/>
        <v>169.17380198247679</v>
      </c>
      <c r="L326" s="31">
        <f t="shared" ref="L326:L389" si="60">SUM(I326:K326,D326)</f>
        <v>3857.7185840867464</v>
      </c>
    </row>
    <row r="327" spans="1:12" x14ac:dyDescent="0.3">
      <c r="A327" s="18">
        <f t="shared" si="57"/>
        <v>2049</v>
      </c>
      <c r="B327" s="23">
        <f t="shared" si="58"/>
        <v>54424</v>
      </c>
      <c r="C327" s="26">
        <f t="shared" si="59"/>
        <v>3.6900000000000002E-2</v>
      </c>
      <c r="D327" s="13">
        <f t="shared" si="54"/>
        <v>2975.2920763472753</v>
      </c>
      <c r="E327" s="13">
        <f t="shared" ref="E327:E389" si="61">G326*C326/12</f>
        <v>343.85283434519107</v>
      </c>
      <c r="F327" s="13">
        <f t="shared" ref="F327:F389" si="62">D327-E327</f>
        <v>2631.439242002084</v>
      </c>
      <c r="G327" s="13">
        <f t="shared" ref="G327:G389" si="63">IF(G326-F327&lt;0,,G326-F327)</f>
        <v>109190.62070765354</v>
      </c>
      <c r="I327" s="31">
        <f t="shared" si="56"/>
        <v>684.18028692970415</v>
      </c>
      <c r="J327" s="31">
        <f t="shared" ref="J327:J389" si="64">$P$6/12</f>
        <v>49</v>
      </c>
      <c r="K327" s="31">
        <f t="shared" si="55"/>
        <v>174.24901604195111</v>
      </c>
      <c r="L327" s="31">
        <f t="shared" si="60"/>
        <v>3882.7213793189303</v>
      </c>
    </row>
    <row r="328" spans="1:12" x14ac:dyDescent="0.3">
      <c r="A328" s="18">
        <f t="shared" si="57"/>
        <v>2049</v>
      </c>
      <c r="B328" s="23">
        <f t="shared" si="58"/>
        <v>54455</v>
      </c>
      <c r="C328" s="26">
        <f t="shared" si="59"/>
        <v>3.6900000000000002E-2</v>
      </c>
      <c r="D328" s="13">
        <f t="shared" ref="D328:D389" si="65">IF(G327&lt;=0,0,D327)</f>
        <v>2975.2920763472753</v>
      </c>
      <c r="E328" s="13">
        <f t="shared" si="61"/>
        <v>335.76115867603465</v>
      </c>
      <c r="F328" s="13">
        <f t="shared" si="62"/>
        <v>2639.5309176712408</v>
      </c>
      <c r="G328" s="13">
        <f t="shared" si="63"/>
        <v>106551.08978998229</v>
      </c>
      <c r="I328" s="31">
        <f t="shared" si="56"/>
        <v>684.18028692970415</v>
      </c>
      <c r="J328" s="31">
        <f t="shared" si="64"/>
        <v>49</v>
      </c>
      <c r="K328" s="31">
        <f t="shared" si="55"/>
        <v>174.24901604195111</v>
      </c>
      <c r="L328" s="31">
        <f t="shared" si="60"/>
        <v>3882.7213793189303</v>
      </c>
    </row>
    <row r="329" spans="1:12" x14ac:dyDescent="0.3">
      <c r="A329" s="18">
        <f t="shared" si="57"/>
        <v>2049</v>
      </c>
      <c r="B329" s="23">
        <f t="shared" si="58"/>
        <v>54483</v>
      </c>
      <c r="C329" s="26">
        <f t="shared" si="59"/>
        <v>3.6900000000000002E-2</v>
      </c>
      <c r="D329" s="13">
        <f t="shared" si="65"/>
        <v>2975.2920763472753</v>
      </c>
      <c r="E329" s="13">
        <f t="shared" si="61"/>
        <v>327.64460110419554</v>
      </c>
      <c r="F329" s="13">
        <f t="shared" si="62"/>
        <v>2647.6474752430795</v>
      </c>
      <c r="G329" s="13">
        <f t="shared" si="63"/>
        <v>103903.44231473921</v>
      </c>
      <c r="I329" s="31">
        <f t="shared" si="56"/>
        <v>684.18028692970415</v>
      </c>
      <c r="J329" s="31">
        <f t="shared" si="64"/>
        <v>49</v>
      </c>
      <c r="K329" s="31">
        <f t="shared" si="55"/>
        <v>174.24901604195111</v>
      </c>
      <c r="L329" s="31">
        <f t="shared" si="60"/>
        <v>3882.7213793189303</v>
      </c>
    </row>
    <row r="330" spans="1:12" x14ac:dyDescent="0.3">
      <c r="A330" s="18">
        <f t="shared" si="57"/>
        <v>2049</v>
      </c>
      <c r="B330" s="23">
        <f t="shared" si="58"/>
        <v>54514</v>
      </c>
      <c r="C330" s="26">
        <f t="shared" si="59"/>
        <v>3.6900000000000002E-2</v>
      </c>
      <c r="D330" s="13">
        <f t="shared" si="65"/>
        <v>2975.2920763472753</v>
      </c>
      <c r="E330" s="13">
        <f t="shared" si="61"/>
        <v>319.5030851178231</v>
      </c>
      <c r="F330" s="13">
        <f t="shared" si="62"/>
        <v>2655.7889912294522</v>
      </c>
      <c r="G330" s="13">
        <f t="shared" si="63"/>
        <v>101247.65332350976</v>
      </c>
      <c r="I330" s="31">
        <f t="shared" si="56"/>
        <v>684.18028692970415</v>
      </c>
      <c r="J330" s="31">
        <f t="shared" si="64"/>
        <v>49</v>
      </c>
      <c r="K330" s="31">
        <f t="shared" si="55"/>
        <v>174.24901604195111</v>
      </c>
      <c r="L330" s="31">
        <f t="shared" si="60"/>
        <v>3882.7213793189303</v>
      </c>
    </row>
    <row r="331" spans="1:12" x14ac:dyDescent="0.3">
      <c r="A331" s="18">
        <f t="shared" si="57"/>
        <v>2049</v>
      </c>
      <c r="B331" s="23">
        <f t="shared" si="58"/>
        <v>54544</v>
      </c>
      <c r="C331" s="26">
        <f t="shared" si="59"/>
        <v>3.6900000000000002E-2</v>
      </c>
      <c r="D331" s="13">
        <f t="shared" si="65"/>
        <v>2975.2920763472753</v>
      </c>
      <c r="E331" s="13">
        <f t="shared" si="61"/>
        <v>311.33653396979253</v>
      </c>
      <c r="F331" s="13">
        <f t="shared" si="62"/>
        <v>2663.9555423774827</v>
      </c>
      <c r="G331" s="13">
        <f t="shared" si="63"/>
        <v>98583.697781132272</v>
      </c>
      <c r="I331" s="31">
        <f t="shared" si="56"/>
        <v>684.18028692970415</v>
      </c>
      <c r="J331" s="31">
        <f t="shared" si="64"/>
        <v>49</v>
      </c>
      <c r="K331" s="31">
        <f t="shared" si="55"/>
        <v>174.24901604195111</v>
      </c>
      <c r="L331" s="31">
        <f t="shared" si="60"/>
        <v>3882.7213793189303</v>
      </c>
    </row>
    <row r="332" spans="1:12" x14ac:dyDescent="0.3">
      <c r="A332" s="18">
        <f t="shared" si="57"/>
        <v>2049</v>
      </c>
      <c r="B332" s="23">
        <f t="shared" si="58"/>
        <v>54575</v>
      </c>
      <c r="C332" s="26">
        <f t="shared" si="59"/>
        <v>3.6900000000000002E-2</v>
      </c>
      <c r="D332" s="13">
        <f t="shared" si="65"/>
        <v>2975.2920763472753</v>
      </c>
      <c r="E332" s="13">
        <f t="shared" si="61"/>
        <v>303.14487067698172</v>
      </c>
      <c r="F332" s="13">
        <f t="shared" si="62"/>
        <v>2672.1472056702937</v>
      </c>
      <c r="G332" s="13">
        <f t="shared" si="63"/>
        <v>95911.550575461981</v>
      </c>
      <c r="I332" s="31">
        <f t="shared" si="56"/>
        <v>684.18028692970415</v>
      </c>
      <c r="J332" s="31">
        <f t="shared" si="64"/>
        <v>49</v>
      </c>
      <c r="K332" s="31">
        <f t="shared" si="55"/>
        <v>174.24901604195111</v>
      </c>
      <c r="L332" s="31">
        <f t="shared" si="60"/>
        <v>3882.7213793189303</v>
      </c>
    </row>
    <row r="333" spans="1:12" x14ac:dyDescent="0.3">
      <c r="A333" s="18">
        <f t="shared" si="57"/>
        <v>2049</v>
      </c>
      <c r="B333" s="23">
        <f t="shared" si="58"/>
        <v>54605</v>
      </c>
      <c r="C333" s="26">
        <f t="shared" si="59"/>
        <v>3.6900000000000002E-2</v>
      </c>
      <c r="D333" s="13">
        <f t="shared" si="65"/>
        <v>2975.2920763472753</v>
      </c>
      <c r="E333" s="13">
        <f t="shared" si="61"/>
        <v>294.92801801954562</v>
      </c>
      <c r="F333" s="13">
        <f t="shared" si="62"/>
        <v>2680.3640583277297</v>
      </c>
      <c r="G333" s="13">
        <f t="shared" si="63"/>
        <v>93231.186517134251</v>
      </c>
      <c r="I333" s="31">
        <f t="shared" si="56"/>
        <v>684.18028692970415</v>
      </c>
      <c r="J333" s="31">
        <f t="shared" si="64"/>
        <v>49</v>
      </c>
      <c r="K333" s="31">
        <f t="shared" si="55"/>
        <v>174.24901604195111</v>
      </c>
      <c r="L333" s="31">
        <f t="shared" si="60"/>
        <v>3882.7213793189303</v>
      </c>
    </row>
    <row r="334" spans="1:12" x14ac:dyDescent="0.3">
      <c r="A334" s="18">
        <f t="shared" si="57"/>
        <v>2049</v>
      </c>
      <c r="B334" s="23">
        <f t="shared" si="58"/>
        <v>54636</v>
      </c>
      <c r="C334" s="26">
        <f t="shared" si="59"/>
        <v>3.6900000000000002E-2</v>
      </c>
      <c r="D334" s="13">
        <f t="shared" si="65"/>
        <v>2975.2920763472753</v>
      </c>
      <c r="E334" s="13">
        <f t="shared" si="61"/>
        <v>286.68589854018785</v>
      </c>
      <c r="F334" s="13">
        <f t="shared" si="62"/>
        <v>2688.6061778070875</v>
      </c>
      <c r="G334" s="13">
        <f t="shared" si="63"/>
        <v>90542.580339327164</v>
      </c>
      <c r="I334" s="31">
        <f t="shared" si="56"/>
        <v>684.18028692970415</v>
      </c>
      <c r="J334" s="31">
        <f t="shared" si="64"/>
        <v>49</v>
      </c>
      <c r="K334" s="31">
        <f t="shared" si="55"/>
        <v>174.24901604195111</v>
      </c>
      <c r="L334" s="31">
        <f t="shared" si="60"/>
        <v>3882.7213793189303</v>
      </c>
    </row>
    <row r="335" spans="1:12" x14ac:dyDescent="0.3">
      <c r="A335" s="18">
        <f t="shared" si="57"/>
        <v>2049</v>
      </c>
      <c r="B335" s="23">
        <f t="shared" si="58"/>
        <v>54667</v>
      </c>
      <c r="C335" s="26">
        <f t="shared" si="59"/>
        <v>3.6900000000000002E-2</v>
      </c>
      <c r="D335" s="13">
        <f t="shared" si="65"/>
        <v>2975.2920763472753</v>
      </c>
      <c r="E335" s="13">
        <f t="shared" si="61"/>
        <v>278.41843454343103</v>
      </c>
      <c r="F335" s="13">
        <f t="shared" si="62"/>
        <v>2696.8736418038443</v>
      </c>
      <c r="G335" s="13">
        <f t="shared" si="63"/>
        <v>87845.706697523317</v>
      </c>
      <c r="I335" s="31">
        <f t="shared" si="56"/>
        <v>684.18028692970415</v>
      </c>
      <c r="J335" s="31">
        <f t="shared" si="64"/>
        <v>49</v>
      </c>
      <c r="K335" s="31">
        <f t="shared" ref="K335:K389" si="66">K334*(1+$R$7)^(YEAR(B335)-YEAR(B334))</f>
        <v>174.24901604195111</v>
      </c>
      <c r="L335" s="31">
        <f t="shared" si="60"/>
        <v>3882.7213793189303</v>
      </c>
    </row>
    <row r="336" spans="1:12" x14ac:dyDescent="0.3">
      <c r="A336" s="18">
        <f t="shared" si="57"/>
        <v>2049</v>
      </c>
      <c r="B336" s="23">
        <f t="shared" si="58"/>
        <v>54697</v>
      </c>
      <c r="C336" s="26">
        <f t="shared" si="59"/>
        <v>3.6900000000000002E-2</v>
      </c>
      <c r="D336" s="13">
        <f t="shared" si="65"/>
        <v>2975.2920763472753</v>
      </c>
      <c r="E336" s="13">
        <f t="shared" si="61"/>
        <v>270.12554809488421</v>
      </c>
      <c r="F336" s="13">
        <f t="shared" si="62"/>
        <v>2705.1665282523909</v>
      </c>
      <c r="G336" s="13">
        <f t="shared" si="63"/>
        <v>85140.540169270927</v>
      </c>
      <c r="I336" s="31">
        <f t="shared" ref="I336:I389" si="67">I335*(1+$R$5)^(YEAR(B336)-YEAR(B335))</f>
        <v>684.18028692970415</v>
      </c>
      <c r="J336" s="31">
        <f t="shared" si="64"/>
        <v>49</v>
      </c>
      <c r="K336" s="31">
        <f t="shared" si="66"/>
        <v>174.24901604195111</v>
      </c>
      <c r="L336" s="31">
        <f t="shared" si="60"/>
        <v>3882.7213793189303</v>
      </c>
    </row>
    <row r="337" spans="1:12" x14ac:dyDescent="0.3">
      <c r="A337" s="18">
        <f t="shared" si="57"/>
        <v>2049</v>
      </c>
      <c r="B337" s="23">
        <f t="shared" si="58"/>
        <v>54728</v>
      </c>
      <c r="C337" s="26">
        <f t="shared" si="59"/>
        <v>3.6900000000000002E-2</v>
      </c>
      <c r="D337" s="13">
        <f t="shared" si="65"/>
        <v>2975.2920763472753</v>
      </c>
      <c r="E337" s="13">
        <f t="shared" si="61"/>
        <v>261.80716102050809</v>
      </c>
      <c r="F337" s="13">
        <f t="shared" si="62"/>
        <v>2713.4849153267674</v>
      </c>
      <c r="G337" s="13">
        <f t="shared" si="63"/>
        <v>82427.055253944156</v>
      </c>
      <c r="I337" s="31">
        <f t="shared" si="67"/>
        <v>684.18028692970415</v>
      </c>
      <c r="J337" s="31">
        <f t="shared" si="64"/>
        <v>49</v>
      </c>
      <c r="K337" s="31">
        <f t="shared" si="66"/>
        <v>174.24901604195111</v>
      </c>
      <c r="L337" s="31">
        <f t="shared" si="60"/>
        <v>3882.7213793189303</v>
      </c>
    </row>
    <row r="338" spans="1:12" x14ac:dyDescent="0.3">
      <c r="A338" s="18">
        <f t="shared" si="57"/>
        <v>2049</v>
      </c>
      <c r="B338" s="23">
        <f t="shared" si="58"/>
        <v>54758</v>
      </c>
      <c r="C338" s="26">
        <f t="shared" si="59"/>
        <v>3.6900000000000002E-2</v>
      </c>
      <c r="D338" s="13">
        <f t="shared" si="65"/>
        <v>2975.2920763472753</v>
      </c>
      <c r="E338" s="13">
        <f t="shared" si="61"/>
        <v>253.46319490587828</v>
      </c>
      <c r="F338" s="13">
        <f t="shared" si="62"/>
        <v>2721.8288814413968</v>
      </c>
      <c r="G338" s="13">
        <f t="shared" si="63"/>
        <v>79705.226372502759</v>
      </c>
      <c r="I338" s="31">
        <f t="shared" si="67"/>
        <v>684.18028692970415</v>
      </c>
      <c r="J338" s="31">
        <f t="shared" si="64"/>
        <v>49</v>
      </c>
      <c r="K338" s="31">
        <f t="shared" si="66"/>
        <v>174.24901604195111</v>
      </c>
      <c r="L338" s="31">
        <f t="shared" si="60"/>
        <v>3882.7213793189303</v>
      </c>
    </row>
    <row r="339" spans="1:12" x14ac:dyDescent="0.3">
      <c r="A339" s="18">
        <f t="shared" si="57"/>
        <v>2050</v>
      </c>
      <c r="B339" s="23">
        <f t="shared" si="58"/>
        <v>54789</v>
      </c>
      <c r="C339" s="26">
        <f t="shared" si="59"/>
        <v>3.6900000000000002E-2</v>
      </c>
      <c r="D339" s="13">
        <f t="shared" si="65"/>
        <v>2975.2920763472753</v>
      </c>
      <c r="E339" s="13">
        <f t="shared" si="61"/>
        <v>245.09357109544601</v>
      </c>
      <c r="F339" s="13">
        <f t="shared" si="62"/>
        <v>2730.1985052518294</v>
      </c>
      <c r="G339" s="13">
        <f t="shared" si="63"/>
        <v>76975.02786725093</v>
      </c>
      <c r="I339" s="31">
        <f t="shared" si="67"/>
        <v>704.70569553759526</v>
      </c>
      <c r="J339" s="31">
        <f t="shared" si="64"/>
        <v>49</v>
      </c>
      <c r="K339" s="31">
        <f t="shared" si="66"/>
        <v>179.47648652320964</v>
      </c>
      <c r="L339" s="31">
        <f t="shared" si="60"/>
        <v>3908.4742584080805</v>
      </c>
    </row>
    <row r="340" spans="1:12" x14ac:dyDescent="0.3">
      <c r="A340" s="18">
        <f t="shared" si="57"/>
        <v>2050</v>
      </c>
      <c r="B340" s="23">
        <f t="shared" si="58"/>
        <v>54820</v>
      </c>
      <c r="C340" s="26">
        <f t="shared" si="59"/>
        <v>3.6900000000000002E-2</v>
      </c>
      <c r="D340" s="13">
        <f t="shared" si="65"/>
        <v>2975.2920763472753</v>
      </c>
      <c r="E340" s="13">
        <f t="shared" si="61"/>
        <v>236.69821069179662</v>
      </c>
      <c r="F340" s="13">
        <f t="shared" si="62"/>
        <v>2738.5938656554786</v>
      </c>
      <c r="G340" s="13">
        <f t="shared" si="63"/>
        <v>74236.434001595451</v>
      </c>
      <c r="I340" s="31">
        <f t="shared" si="67"/>
        <v>704.70569553759526</v>
      </c>
      <c r="J340" s="31">
        <f t="shared" si="64"/>
        <v>49</v>
      </c>
      <c r="K340" s="31">
        <f t="shared" si="66"/>
        <v>179.47648652320964</v>
      </c>
      <c r="L340" s="31">
        <f t="shared" si="60"/>
        <v>3908.4742584080805</v>
      </c>
    </row>
    <row r="341" spans="1:12" x14ac:dyDescent="0.3">
      <c r="A341" s="18">
        <f t="shared" si="57"/>
        <v>2050</v>
      </c>
      <c r="B341" s="23">
        <f t="shared" si="58"/>
        <v>54848</v>
      </c>
      <c r="C341" s="26">
        <f t="shared" si="59"/>
        <v>3.6900000000000002E-2</v>
      </c>
      <c r="D341" s="13">
        <f t="shared" si="65"/>
        <v>2975.2920763472753</v>
      </c>
      <c r="E341" s="13">
        <f t="shared" si="61"/>
        <v>228.27703455490601</v>
      </c>
      <c r="F341" s="13">
        <f t="shared" si="62"/>
        <v>2747.0150417923692</v>
      </c>
      <c r="G341" s="13">
        <f t="shared" si="63"/>
        <v>71489.418959803079</v>
      </c>
      <c r="I341" s="31">
        <f t="shared" si="67"/>
        <v>704.70569553759526</v>
      </c>
      <c r="J341" s="31">
        <f t="shared" si="64"/>
        <v>49</v>
      </c>
      <c r="K341" s="31">
        <f t="shared" si="66"/>
        <v>179.47648652320964</v>
      </c>
      <c r="L341" s="31">
        <f t="shared" si="60"/>
        <v>3908.4742584080805</v>
      </c>
    </row>
    <row r="342" spans="1:12" x14ac:dyDescent="0.3">
      <c r="A342" s="18">
        <f t="shared" si="57"/>
        <v>2050</v>
      </c>
      <c r="B342" s="23">
        <f t="shared" si="58"/>
        <v>54879</v>
      </c>
      <c r="C342" s="26">
        <f t="shared" si="59"/>
        <v>3.6900000000000002E-2</v>
      </c>
      <c r="D342" s="13">
        <f t="shared" si="65"/>
        <v>2975.2920763472753</v>
      </c>
      <c r="E342" s="13">
        <f t="shared" si="61"/>
        <v>219.82996330139449</v>
      </c>
      <c r="F342" s="13">
        <f t="shared" si="62"/>
        <v>2755.4621130458809</v>
      </c>
      <c r="G342" s="13">
        <f t="shared" si="63"/>
        <v>68733.956846757195</v>
      </c>
      <c r="I342" s="31">
        <f t="shared" si="67"/>
        <v>704.70569553759526</v>
      </c>
      <c r="J342" s="31">
        <f t="shared" si="64"/>
        <v>49</v>
      </c>
      <c r="K342" s="31">
        <f t="shared" si="66"/>
        <v>179.47648652320964</v>
      </c>
      <c r="L342" s="31">
        <f t="shared" si="60"/>
        <v>3908.4742584080805</v>
      </c>
    </row>
    <row r="343" spans="1:12" x14ac:dyDescent="0.3">
      <c r="A343" s="18">
        <f t="shared" si="57"/>
        <v>2050</v>
      </c>
      <c r="B343" s="23">
        <f t="shared" si="58"/>
        <v>54909</v>
      </c>
      <c r="C343" s="26">
        <f t="shared" si="59"/>
        <v>3.6900000000000002E-2</v>
      </c>
      <c r="D343" s="13">
        <f t="shared" si="65"/>
        <v>2975.2920763472753</v>
      </c>
      <c r="E343" s="13">
        <f t="shared" si="61"/>
        <v>211.35691730377837</v>
      </c>
      <c r="F343" s="13">
        <f t="shared" si="62"/>
        <v>2763.9351590434967</v>
      </c>
      <c r="G343" s="13">
        <f t="shared" si="63"/>
        <v>65970.021687713699</v>
      </c>
      <c r="I343" s="31">
        <f t="shared" si="67"/>
        <v>704.70569553759526</v>
      </c>
      <c r="J343" s="31">
        <f t="shared" si="64"/>
        <v>49</v>
      </c>
      <c r="K343" s="31">
        <f t="shared" si="66"/>
        <v>179.47648652320964</v>
      </c>
      <c r="L343" s="31">
        <f t="shared" si="60"/>
        <v>3908.4742584080805</v>
      </c>
    </row>
    <row r="344" spans="1:12" x14ac:dyDescent="0.3">
      <c r="A344" s="18">
        <f t="shared" si="57"/>
        <v>2050</v>
      </c>
      <c r="B344" s="23">
        <f t="shared" si="58"/>
        <v>54940</v>
      </c>
      <c r="C344" s="26">
        <f t="shared" si="59"/>
        <v>3.6900000000000002E-2</v>
      </c>
      <c r="D344" s="13">
        <f t="shared" si="65"/>
        <v>2975.2920763472753</v>
      </c>
      <c r="E344" s="13">
        <f t="shared" si="61"/>
        <v>202.85781668971961</v>
      </c>
      <c r="F344" s="13">
        <f t="shared" si="62"/>
        <v>2772.4342596575557</v>
      </c>
      <c r="G344" s="13">
        <f t="shared" si="63"/>
        <v>63197.58742805614</v>
      </c>
      <c r="I344" s="31">
        <f t="shared" si="67"/>
        <v>704.70569553759526</v>
      </c>
      <c r="J344" s="31">
        <f t="shared" si="64"/>
        <v>49</v>
      </c>
      <c r="K344" s="31">
        <f t="shared" si="66"/>
        <v>179.47648652320964</v>
      </c>
      <c r="L344" s="31">
        <f t="shared" si="60"/>
        <v>3908.4742584080805</v>
      </c>
    </row>
    <row r="345" spans="1:12" x14ac:dyDescent="0.3">
      <c r="A345" s="18">
        <f t="shared" si="57"/>
        <v>2050</v>
      </c>
      <c r="B345" s="23">
        <f t="shared" si="58"/>
        <v>54970</v>
      </c>
      <c r="C345" s="26">
        <f t="shared" si="59"/>
        <v>3.6900000000000002E-2</v>
      </c>
      <c r="D345" s="13">
        <f t="shared" si="65"/>
        <v>2975.2920763472753</v>
      </c>
      <c r="E345" s="13">
        <f t="shared" si="61"/>
        <v>194.33258134127266</v>
      </c>
      <c r="F345" s="13">
        <f t="shared" si="62"/>
        <v>2780.9594950060027</v>
      </c>
      <c r="G345" s="13">
        <f t="shared" si="63"/>
        <v>60416.627933050135</v>
      </c>
      <c r="I345" s="31">
        <f t="shared" si="67"/>
        <v>704.70569553759526</v>
      </c>
      <c r="J345" s="31">
        <f t="shared" si="64"/>
        <v>49</v>
      </c>
      <c r="K345" s="31">
        <f t="shared" si="66"/>
        <v>179.47648652320964</v>
      </c>
      <c r="L345" s="31">
        <f t="shared" si="60"/>
        <v>3908.4742584080805</v>
      </c>
    </row>
    <row r="346" spans="1:12" x14ac:dyDescent="0.3">
      <c r="A346" s="18">
        <f t="shared" si="57"/>
        <v>2050</v>
      </c>
      <c r="B346" s="23">
        <f t="shared" si="58"/>
        <v>55001</v>
      </c>
      <c r="C346" s="26">
        <f t="shared" si="59"/>
        <v>3.6900000000000002E-2</v>
      </c>
      <c r="D346" s="13">
        <f t="shared" si="65"/>
        <v>2975.2920763472753</v>
      </c>
      <c r="E346" s="13">
        <f t="shared" si="61"/>
        <v>185.78113089412918</v>
      </c>
      <c r="F346" s="13">
        <f t="shared" si="62"/>
        <v>2789.5109454531462</v>
      </c>
      <c r="G346" s="13">
        <f t="shared" si="63"/>
        <v>57627.116987596986</v>
      </c>
      <c r="I346" s="31">
        <f t="shared" si="67"/>
        <v>704.70569553759526</v>
      </c>
      <c r="J346" s="31">
        <f t="shared" si="64"/>
        <v>49</v>
      </c>
      <c r="K346" s="31">
        <f t="shared" si="66"/>
        <v>179.47648652320964</v>
      </c>
      <c r="L346" s="31">
        <f t="shared" si="60"/>
        <v>3908.4742584080805</v>
      </c>
    </row>
    <row r="347" spans="1:12" x14ac:dyDescent="0.3">
      <c r="A347" s="18">
        <f t="shared" si="57"/>
        <v>2050</v>
      </c>
      <c r="B347" s="23">
        <f t="shared" si="58"/>
        <v>55032</v>
      </c>
      <c r="C347" s="26">
        <f t="shared" si="59"/>
        <v>3.6900000000000002E-2</v>
      </c>
      <c r="D347" s="13">
        <f t="shared" si="65"/>
        <v>2975.2920763472753</v>
      </c>
      <c r="E347" s="13">
        <f t="shared" si="61"/>
        <v>177.20338473686073</v>
      </c>
      <c r="F347" s="13">
        <f t="shared" si="62"/>
        <v>2798.0886916104146</v>
      </c>
      <c r="G347" s="13">
        <f t="shared" si="63"/>
        <v>54829.028295986573</v>
      </c>
      <c r="I347" s="31">
        <f t="shared" si="67"/>
        <v>704.70569553759526</v>
      </c>
      <c r="J347" s="31">
        <f t="shared" si="64"/>
        <v>49</v>
      </c>
      <c r="K347" s="31">
        <f t="shared" si="66"/>
        <v>179.47648652320964</v>
      </c>
      <c r="L347" s="31">
        <f t="shared" si="60"/>
        <v>3908.4742584080805</v>
      </c>
    </row>
    <row r="348" spans="1:12" x14ac:dyDescent="0.3">
      <c r="A348" s="18">
        <f t="shared" si="57"/>
        <v>2050</v>
      </c>
      <c r="B348" s="23">
        <f t="shared" si="58"/>
        <v>55062</v>
      </c>
      <c r="C348" s="26">
        <f t="shared" si="59"/>
        <v>3.6900000000000002E-2</v>
      </c>
      <c r="D348" s="13">
        <f t="shared" si="65"/>
        <v>2975.2920763472753</v>
      </c>
      <c r="E348" s="13">
        <f t="shared" si="61"/>
        <v>168.59926201015872</v>
      </c>
      <c r="F348" s="13">
        <f t="shared" si="62"/>
        <v>2806.6928143371165</v>
      </c>
      <c r="G348" s="13">
        <f t="shared" si="63"/>
        <v>52022.335481649454</v>
      </c>
      <c r="I348" s="31">
        <f t="shared" si="67"/>
        <v>704.70569553759526</v>
      </c>
      <c r="J348" s="31">
        <f t="shared" si="64"/>
        <v>49</v>
      </c>
      <c r="K348" s="31">
        <f t="shared" si="66"/>
        <v>179.47648652320964</v>
      </c>
      <c r="L348" s="31">
        <f t="shared" si="60"/>
        <v>3908.4742584080805</v>
      </c>
    </row>
    <row r="349" spans="1:12" x14ac:dyDescent="0.3">
      <c r="A349" s="18">
        <f t="shared" si="57"/>
        <v>2050</v>
      </c>
      <c r="B349" s="23">
        <f t="shared" si="58"/>
        <v>55093</v>
      </c>
      <c r="C349" s="26">
        <f t="shared" si="59"/>
        <v>3.6900000000000002E-2</v>
      </c>
      <c r="D349" s="13">
        <f t="shared" si="65"/>
        <v>2975.2920763472753</v>
      </c>
      <c r="E349" s="13">
        <f t="shared" si="61"/>
        <v>159.96868160607207</v>
      </c>
      <c r="F349" s="13">
        <f t="shared" si="62"/>
        <v>2815.3233947412032</v>
      </c>
      <c r="G349" s="13">
        <f t="shared" si="63"/>
        <v>49207.012086908253</v>
      </c>
      <c r="I349" s="31">
        <f t="shared" si="67"/>
        <v>704.70569553759526</v>
      </c>
      <c r="J349" s="31">
        <f t="shared" si="64"/>
        <v>49</v>
      </c>
      <c r="K349" s="31">
        <f t="shared" si="66"/>
        <v>179.47648652320964</v>
      </c>
      <c r="L349" s="31">
        <f t="shared" si="60"/>
        <v>3908.4742584080805</v>
      </c>
    </row>
    <row r="350" spans="1:12" x14ac:dyDescent="0.3">
      <c r="A350" s="18">
        <f t="shared" si="57"/>
        <v>2050</v>
      </c>
      <c r="B350" s="23">
        <f t="shared" si="58"/>
        <v>55123</v>
      </c>
      <c r="C350" s="26">
        <f t="shared" si="59"/>
        <v>3.6900000000000002E-2</v>
      </c>
      <c r="D350" s="13">
        <f t="shared" si="65"/>
        <v>2975.2920763472753</v>
      </c>
      <c r="E350" s="13">
        <f t="shared" si="61"/>
        <v>151.3115621672429</v>
      </c>
      <c r="F350" s="13">
        <f t="shared" si="62"/>
        <v>2823.9805141800325</v>
      </c>
      <c r="G350" s="13">
        <f t="shared" si="63"/>
        <v>46383.031572728221</v>
      </c>
      <c r="I350" s="31">
        <f t="shared" si="67"/>
        <v>704.70569553759526</v>
      </c>
      <c r="J350" s="31">
        <f t="shared" si="64"/>
        <v>49</v>
      </c>
      <c r="K350" s="31">
        <f t="shared" si="66"/>
        <v>179.47648652320964</v>
      </c>
      <c r="L350" s="31">
        <f t="shared" si="60"/>
        <v>3908.4742584080805</v>
      </c>
    </row>
    <row r="351" spans="1:12" x14ac:dyDescent="0.3">
      <c r="A351" s="18">
        <f t="shared" si="57"/>
        <v>2051</v>
      </c>
      <c r="B351" s="23">
        <f t="shared" si="58"/>
        <v>55154</v>
      </c>
      <c r="C351" s="26">
        <f t="shared" si="59"/>
        <v>3.6900000000000002E-2</v>
      </c>
      <c r="D351" s="13">
        <f t="shared" si="65"/>
        <v>2975.2920763472753</v>
      </c>
      <c r="E351" s="13">
        <f t="shared" si="61"/>
        <v>142.62782208613928</v>
      </c>
      <c r="F351" s="13">
        <f t="shared" si="62"/>
        <v>2832.6642542611362</v>
      </c>
      <c r="G351" s="13">
        <f t="shared" si="63"/>
        <v>43550.367318467084</v>
      </c>
      <c r="I351" s="31">
        <f t="shared" si="67"/>
        <v>725.84686640372308</v>
      </c>
      <c r="J351" s="31">
        <f t="shared" si="64"/>
        <v>49</v>
      </c>
      <c r="K351" s="31">
        <f t="shared" si="66"/>
        <v>184.86078111890595</v>
      </c>
      <c r="L351" s="31">
        <f t="shared" si="60"/>
        <v>3934.9997238699043</v>
      </c>
    </row>
    <row r="352" spans="1:12" x14ac:dyDescent="0.3">
      <c r="A352" s="18">
        <f t="shared" si="57"/>
        <v>2051</v>
      </c>
      <c r="B352" s="23">
        <f t="shared" si="58"/>
        <v>55185</v>
      </c>
      <c r="C352" s="26">
        <f t="shared" si="59"/>
        <v>3.6900000000000002E-2</v>
      </c>
      <c r="D352" s="13">
        <f t="shared" si="65"/>
        <v>2975.2920763472753</v>
      </c>
      <c r="E352" s="13">
        <f t="shared" si="61"/>
        <v>133.91737950428629</v>
      </c>
      <c r="F352" s="13">
        <f t="shared" si="62"/>
        <v>2841.3746968429891</v>
      </c>
      <c r="G352" s="13">
        <f t="shared" si="63"/>
        <v>40708.992621624093</v>
      </c>
      <c r="I352" s="31">
        <f t="shared" si="67"/>
        <v>725.84686640372308</v>
      </c>
      <c r="J352" s="31">
        <f t="shared" si="64"/>
        <v>49</v>
      </c>
      <c r="K352" s="31">
        <f t="shared" si="66"/>
        <v>184.86078111890595</v>
      </c>
      <c r="L352" s="31">
        <f t="shared" si="60"/>
        <v>3934.9997238699043</v>
      </c>
    </row>
    <row r="353" spans="1:12" x14ac:dyDescent="0.3">
      <c r="A353" s="18">
        <f t="shared" si="57"/>
        <v>2051</v>
      </c>
      <c r="B353" s="23">
        <f t="shared" si="58"/>
        <v>55213</v>
      </c>
      <c r="C353" s="26">
        <f t="shared" si="59"/>
        <v>3.6900000000000002E-2</v>
      </c>
      <c r="D353" s="13">
        <f t="shared" si="65"/>
        <v>2975.2920763472753</v>
      </c>
      <c r="E353" s="13">
        <f t="shared" si="61"/>
        <v>125.1801523114941</v>
      </c>
      <c r="F353" s="13">
        <f t="shared" si="62"/>
        <v>2850.1119240357812</v>
      </c>
      <c r="G353" s="13">
        <f t="shared" si="63"/>
        <v>37858.880697588313</v>
      </c>
      <c r="I353" s="31">
        <f t="shared" si="67"/>
        <v>725.84686640372308</v>
      </c>
      <c r="J353" s="31">
        <f t="shared" si="64"/>
        <v>49</v>
      </c>
      <c r="K353" s="31">
        <f t="shared" si="66"/>
        <v>184.86078111890595</v>
      </c>
      <c r="L353" s="31">
        <f t="shared" si="60"/>
        <v>3934.9997238699043</v>
      </c>
    </row>
    <row r="354" spans="1:12" x14ac:dyDescent="0.3">
      <c r="A354" s="18">
        <f t="shared" si="57"/>
        <v>2051</v>
      </c>
      <c r="B354" s="23">
        <f t="shared" si="58"/>
        <v>55244</v>
      </c>
      <c r="C354" s="26">
        <f t="shared" si="59"/>
        <v>3.6900000000000002E-2</v>
      </c>
      <c r="D354" s="13">
        <f t="shared" si="65"/>
        <v>2975.2920763472753</v>
      </c>
      <c r="E354" s="13">
        <f t="shared" si="61"/>
        <v>116.41605814508408</v>
      </c>
      <c r="F354" s="13">
        <f t="shared" si="62"/>
        <v>2858.8760182021911</v>
      </c>
      <c r="G354" s="13">
        <f t="shared" si="63"/>
        <v>35000.004679386118</v>
      </c>
      <c r="I354" s="31">
        <f t="shared" si="67"/>
        <v>725.84686640372308</v>
      </c>
      <c r="J354" s="31">
        <f t="shared" si="64"/>
        <v>49</v>
      </c>
      <c r="K354" s="31">
        <f t="shared" si="66"/>
        <v>184.86078111890595</v>
      </c>
      <c r="L354" s="31">
        <f t="shared" si="60"/>
        <v>3934.9997238699043</v>
      </c>
    </row>
    <row r="355" spans="1:12" x14ac:dyDescent="0.3">
      <c r="A355" s="18">
        <f t="shared" si="57"/>
        <v>2051</v>
      </c>
      <c r="B355" s="23">
        <f t="shared" si="58"/>
        <v>55274</v>
      </c>
      <c r="C355" s="26">
        <f t="shared" si="59"/>
        <v>3.6900000000000002E-2</v>
      </c>
      <c r="D355" s="13">
        <f t="shared" si="65"/>
        <v>2975.2920763472753</v>
      </c>
      <c r="E355" s="13">
        <f t="shared" si="61"/>
        <v>107.62501438911232</v>
      </c>
      <c r="F355" s="13">
        <f t="shared" si="62"/>
        <v>2867.6670619581628</v>
      </c>
      <c r="G355" s="13">
        <f t="shared" si="63"/>
        <v>32132.337617427955</v>
      </c>
      <c r="I355" s="31">
        <f t="shared" si="67"/>
        <v>725.84686640372308</v>
      </c>
      <c r="J355" s="31">
        <f t="shared" si="64"/>
        <v>49</v>
      </c>
      <c r="K355" s="31">
        <f t="shared" si="66"/>
        <v>184.86078111890595</v>
      </c>
      <c r="L355" s="31">
        <f t="shared" si="60"/>
        <v>3934.9997238699043</v>
      </c>
    </row>
    <row r="356" spans="1:12" x14ac:dyDescent="0.3">
      <c r="A356" s="18">
        <f t="shared" si="57"/>
        <v>2051</v>
      </c>
      <c r="B356" s="23">
        <f t="shared" si="58"/>
        <v>55305</v>
      </c>
      <c r="C356" s="26">
        <f t="shared" si="59"/>
        <v>3.6900000000000002E-2</v>
      </c>
      <c r="D356" s="13">
        <f t="shared" si="65"/>
        <v>2975.2920763472753</v>
      </c>
      <c r="E356" s="13">
        <f t="shared" si="61"/>
        <v>98.806938173590979</v>
      </c>
      <c r="F356" s="13">
        <f t="shared" si="62"/>
        <v>2876.4851381736844</v>
      </c>
      <c r="G356" s="13">
        <f t="shared" si="63"/>
        <v>29255.85247925427</v>
      </c>
      <c r="I356" s="31">
        <f t="shared" si="67"/>
        <v>725.84686640372308</v>
      </c>
      <c r="J356" s="31">
        <f t="shared" si="64"/>
        <v>49</v>
      </c>
      <c r="K356" s="31">
        <f t="shared" si="66"/>
        <v>184.86078111890595</v>
      </c>
      <c r="L356" s="31">
        <f t="shared" si="60"/>
        <v>3934.9997238699043</v>
      </c>
    </row>
    <row r="357" spans="1:12" x14ac:dyDescent="0.3">
      <c r="A357" s="18">
        <f t="shared" si="57"/>
        <v>2051</v>
      </c>
      <c r="B357" s="23">
        <f t="shared" si="58"/>
        <v>55335</v>
      </c>
      <c r="C357" s="26">
        <f t="shared" si="59"/>
        <v>3.6900000000000002E-2</v>
      </c>
      <c r="D357" s="13">
        <f t="shared" si="65"/>
        <v>2975.2920763472753</v>
      </c>
      <c r="E357" s="13">
        <f t="shared" si="61"/>
        <v>89.961746373706887</v>
      </c>
      <c r="F357" s="13">
        <f t="shared" si="62"/>
        <v>2885.3303299735685</v>
      </c>
      <c r="G357" s="13">
        <f t="shared" si="63"/>
        <v>26370.522149280703</v>
      </c>
      <c r="I357" s="31">
        <f t="shared" si="67"/>
        <v>725.84686640372308</v>
      </c>
      <c r="J357" s="31">
        <f t="shared" si="64"/>
        <v>49</v>
      </c>
      <c r="K357" s="31">
        <f t="shared" si="66"/>
        <v>184.86078111890595</v>
      </c>
      <c r="L357" s="31">
        <f t="shared" si="60"/>
        <v>3934.9997238699043</v>
      </c>
    </row>
    <row r="358" spans="1:12" x14ac:dyDescent="0.3">
      <c r="A358" s="18">
        <f t="shared" si="57"/>
        <v>2051</v>
      </c>
      <c r="B358" s="23">
        <f t="shared" si="58"/>
        <v>55366</v>
      </c>
      <c r="C358" s="26">
        <f t="shared" si="59"/>
        <v>3.6900000000000002E-2</v>
      </c>
      <c r="D358" s="13">
        <f t="shared" si="65"/>
        <v>2975.2920763472753</v>
      </c>
      <c r="E358" s="13">
        <f t="shared" si="61"/>
        <v>81.089355609038165</v>
      </c>
      <c r="F358" s="13">
        <f t="shared" si="62"/>
        <v>2894.2027207382371</v>
      </c>
      <c r="G358" s="13">
        <f t="shared" si="63"/>
        <v>23476.319428542465</v>
      </c>
      <c r="I358" s="31">
        <f t="shared" si="67"/>
        <v>725.84686640372308</v>
      </c>
      <c r="J358" s="31">
        <f t="shared" si="64"/>
        <v>49</v>
      </c>
      <c r="K358" s="31">
        <f t="shared" si="66"/>
        <v>184.86078111890595</v>
      </c>
      <c r="L358" s="31">
        <f t="shared" si="60"/>
        <v>3934.9997238699043</v>
      </c>
    </row>
    <row r="359" spans="1:12" x14ac:dyDescent="0.3">
      <c r="A359" s="18">
        <f t="shared" si="57"/>
        <v>2051</v>
      </c>
      <c r="B359" s="23">
        <f t="shared" si="58"/>
        <v>55397</v>
      </c>
      <c r="C359" s="26">
        <f t="shared" si="59"/>
        <v>3.6900000000000002E-2</v>
      </c>
      <c r="D359" s="13">
        <f t="shared" si="65"/>
        <v>2975.2920763472753</v>
      </c>
      <c r="E359" s="13">
        <f t="shared" si="61"/>
        <v>72.189682242768086</v>
      </c>
      <c r="F359" s="13">
        <f t="shared" si="62"/>
        <v>2903.1023941045073</v>
      </c>
      <c r="G359" s="13">
        <f t="shared" si="63"/>
        <v>20573.217034437959</v>
      </c>
      <c r="I359" s="31">
        <f t="shared" si="67"/>
        <v>725.84686640372308</v>
      </c>
      <c r="J359" s="31">
        <f t="shared" si="64"/>
        <v>49</v>
      </c>
      <c r="K359" s="31">
        <f t="shared" si="66"/>
        <v>184.86078111890595</v>
      </c>
      <c r="L359" s="31">
        <f t="shared" si="60"/>
        <v>3934.9997238699043</v>
      </c>
    </row>
    <row r="360" spans="1:12" x14ac:dyDescent="0.3">
      <c r="A360" s="18">
        <f t="shared" si="57"/>
        <v>2051</v>
      </c>
      <c r="B360" s="23">
        <f t="shared" si="58"/>
        <v>55427</v>
      </c>
      <c r="C360" s="26">
        <f t="shared" si="59"/>
        <v>3.6900000000000002E-2</v>
      </c>
      <c r="D360" s="13">
        <f t="shared" si="65"/>
        <v>2975.2920763472753</v>
      </c>
      <c r="E360" s="13">
        <f t="shared" si="61"/>
        <v>63.262642380896729</v>
      </c>
      <c r="F360" s="13">
        <f t="shared" si="62"/>
        <v>2912.0294339663787</v>
      </c>
      <c r="G360" s="13">
        <f t="shared" si="63"/>
        <v>17661.187600471581</v>
      </c>
      <c r="I360" s="31">
        <f t="shared" si="67"/>
        <v>725.84686640372308</v>
      </c>
      <c r="J360" s="31">
        <f t="shared" si="64"/>
        <v>49</v>
      </c>
      <c r="K360" s="31">
        <f t="shared" si="66"/>
        <v>184.86078111890595</v>
      </c>
      <c r="L360" s="31">
        <f t="shared" si="60"/>
        <v>3934.9997238699043</v>
      </c>
    </row>
    <row r="361" spans="1:12" x14ac:dyDescent="0.3">
      <c r="A361" s="18">
        <f t="shared" si="57"/>
        <v>2051</v>
      </c>
      <c r="B361" s="23">
        <f t="shared" si="58"/>
        <v>55458</v>
      </c>
      <c r="C361" s="26">
        <f t="shared" si="59"/>
        <v>3.6900000000000002E-2</v>
      </c>
      <c r="D361" s="13">
        <f t="shared" si="65"/>
        <v>2975.2920763472753</v>
      </c>
      <c r="E361" s="13">
        <f t="shared" si="61"/>
        <v>54.308151871450114</v>
      </c>
      <c r="F361" s="13">
        <f t="shared" si="62"/>
        <v>2920.983924475825</v>
      </c>
      <c r="G361" s="13">
        <f t="shared" si="63"/>
        <v>14740.203675995755</v>
      </c>
      <c r="I361" s="31">
        <f t="shared" si="67"/>
        <v>725.84686640372308</v>
      </c>
      <c r="J361" s="31">
        <f t="shared" si="64"/>
        <v>49</v>
      </c>
      <c r="K361" s="31">
        <f t="shared" si="66"/>
        <v>184.86078111890595</v>
      </c>
      <c r="L361" s="31">
        <f t="shared" si="60"/>
        <v>3934.9997238699043</v>
      </c>
    </row>
    <row r="362" spans="1:12" x14ac:dyDescent="0.3">
      <c r="A362" s="18">
        <f t="shared" si="57"/>
        <v>2051</v>
      </c>
      <c r="B362" s="23">
        <f t="shared" si="58"/>
        <v>55488</v>
      </c>
      <c r="C362" s="26">
        <f t="shared" si="59"/>
        <v>3.6900000000000002E-2</v>
      </c>
      <c r="D362" s="13">
        <f t="shared" si="65"/>
        <v>2975.2920763472753</v>
      </c>
      <c r="E362" s="13">
        <f t="shared" si="61"/>
        <v>45.326126303686948</v>
      </c>
      <c r="F362" s="13">
        <f t="shared" si="62"/>
        <v>2929.9659500435882</v>
      </c>
      <c r="G362" s="13">
        <f t="shared" si="63"/>
        <v>11810.237725952167</v>
      </c>
      <c r="I362" s="31">
        <f t="shared" si="67"/>
        <v>725.84686640372308</v>
      </c>
      <c r="J362" s="31">
        <f t="shared" si="64"/>
        <v>49</v>
      </c>
      <c r="K362" s="31">
        <f t="shared" si="66"/>
        <v>184.86078111890595</v>
      </c>
      <c r="L362" s="31">
        <f t="shared" si="60"/>
        <v>3934.9997238699043</v>
      </c>
    </row>
    <row r="363" spans="1:12" x14ac:dyDescent="0.3">
      <c r="A363" s="18">
        <f t="shared" si="57"/>
        <v>2052</v>
      </c>
      <c r="B363" s="23">
        <f t="shared" si="58"/>
        <v>55519</v>
      </c>
      <c r="C363" s="26">
        <f t="shared" si="59"/>
        <v>3.6900000000000002E-2</v>
      </c>
      <c r="D363" s="13">
        <f t="shared" si="65"/>
        <v>2975.2920763472753</v>
      </c>
      <c r="E363" s="13">
        <f t="shared" si="61"/>
        <v>36.316481007302919</v>
      </c>
      <c r="F363" s="13">
        <f t="shared" si="62"/>
        <v>2938.9755953399722</v>
      </c>
      <c r="G363" s="13">
        <f t="shared" si="63"/>
        <v>8871.2621306121946</v>
      </c>
      <c r="I363" s="31">
        <f t="shared" si="67"/>
        <v>747.62227239583478</v>
      </c>
      <c r="J363" s="31">
        <f t="shared" si="64"/>
        <v>49</v>
      </c>
      <c r="K363" s="31">
        <f t="shared" si="66"/>
        <v>190.40660455247314</v>
      </c>
      <c r="L363" s="31">
        <f t="shared" si="60"/>
        <v>3962.3209532955834</v>
      </c>
    </row>
    <row r="364" spans="1:12" x14ac:dyDescent="0.3">
      <c r="A364" s="18">
        <f t="shared" si="57"/>
        <v>2052</v>
      </c>
      <c r="B364" s="23">
        <f t="shared" si="58"/>
        <v>55550</v>
      </c>
      <c r="C364" s="26">
        <f t="shared" si="59"/>
        <v>3.6900000000000002E-2</v>
      </c>
      <c r="D364" s="13">
        <f t="shared" si="65"/>
        <v>2975.2920763472753</v>
      </c>
      <c r="E364" s="13">
        <f t="shared" si="61"/>
        <v>27.279131051632501</v>
      </c>
      <c r="F364" s="13">
        <f t="shared" si="62"/>
        <v>2948.0129452956426</v>
      </c>
      <c r="G364" s="13">
        <f t="shared" si="63"/>
        <v>5923.249185316552</v>
      </c>
      <c r="I364" s="31">
        <f t="shared" si="67"/>
        <v>747.62227239583478</v>
      </c>
      <c r="J364" s="31">
        <f t="shared" si="64"/>
        <v>49</v>
      </c>
      <c r="K364" s="31">
        <f t="shared" si="66"/>
        <v>190.40660455247314</v>
      </c>
      <c r="L364" s="31">
        <f t="shared" si="60"/>
        <v>3962.3209532955834</v>
      </c>
    </row>
    <row r="365" spans="1:12" x14ac:dyDescent="0.3">
      <c r="A365" s="18">
        <f t="shared" si="57"/>
        <v>2052</v>
      </c>
      <c r="B365" s="23">
        <f t="shared" si="58"/>
        <v>55579</v>
      </c>
      <c r="C365" s="26">
        <f t="shared" si="59"/>
        <v>3.6900000000000002E-2</v>
      </c>
      <c r="D365" s="13">
        <f t="shared" si="65"/>
        <v>2975.2920763472753</v>
      </c>
      <c r="E365" s="13">
        <f t="shared" si="61"/>
        <v>18.213991244848398</v>
      </c>
      <c r="F365" s="13">
        <f t="shared" si="62"/>
        <v>2957.0780851024269</v>
      </c>
      <c r="G365" s="13">
        <f t="shared" si="63"/>
        <v>2966.1711002141251</v>
      </c>
      <c r="I365" s="31">
        <f t="shared" si="67"/>
        <v>747.62227239583478</v>
      </c>
      <c r="J365" s="31">
        <f t="shared" si="64"/>
        <v>49</v>
      </c>
      <c r="K365" s="31">
        <f t="shared" si="66"/>
        <v>190.40660455247314</v>
      </c>
      <c r="L365" s="31">
        <f t="shared" si="60"/>
        <v>3962.3209532955834</v>
      </c>
    </row>
    <row r="366" spans="1:12" x14ac:dyDescent="0.3">
      <c r="A366" s="18">
        <f t="shared" si="57"/>
        <v>2052</v>
      </c>
      <c r="B366" s="23">
        <f t="shared" si="58"/>
        <v>55610</v>
      </c>
      <c r="C366" s="26">
        <f t="shared" si="59"/>
        <v>3.6900000000000002E-2</v>
      </c>
      <c r="D366" s="13">
        <f t="shared" si="65"/>
        <v>2975.2920763472753</v>
      </c>
      <c r="E366" s="13">
        <f t="shared" si="61"/>
        <v>9.1209761331584343</v>
      </c>
      <c r="F366" s="13">
        <f t="shared" si="62"/>
        <v>2966.1711002141169</v>
      </c>
      <c r="G366" s="13">
        <f t="shared" si="63"/>
        <v>8.1854523159563541E-12</v>
      </c>
      <c r="I366" s="31">
        <f t="shared" si="67"/>
        <v>747.62227239583478</v>
      </c>
      <c r="J366" s="31">
        <f t="shared" si="64"/>
        <v>49</v>
      </c>
      <c r="K366" s="31">
        <f t="shared" si="66"/>
        <v>190.40660455247314</v>
      </c>
      <c r="L366" s="31">
        <f t="shared" si="60"/>
        <v>3962.3209532955834</v>
      </c>
    </row>
    <row r="367" spans="1:12" x14ac:dyDescent="0.3">
      <c r="A367" s="18">
        <f t="shared" si="57"/>
        <v>2052</v>
      </c>
      <c r="B367" s="23">
        <f t="shared" si="58"/>
        <v>55640</v>
      </c>
      <c r="C367" s="26">
        <f t="shared" si="59"/>
        <v>3.6900000000000002E-2</v>
      </c>
      <c r="D367" s="13">
        <f t="shared" si="65"/>
        <v>2975.2920763472753</v>
      </c>
      <c r="E367" s="13">
        <f t="shared" si="61"/>
        <v>2.5170265871565791E-14</v>
      </c>
      <c r="F367" s="13">
        <f t="shared" si="62"/>
        <v>2975.2920763472753</v>
      </c>
      <c r="G367" s="13">
        <f t="shared" si="63"/>
        <v>0</v>
      </c>
      <c r="I367" s="31">
        <f t="shared" si="67"/>
        <v>747.62227239583478</v>
      </c>
      <c r="J367" s="31">
        <f t="shared" si="64"/>
        <v>49</v>
      </c>
      <c r="K367" s="31">
        <f t="shared" si="66"/>
        <v>190.40660455247314</v>
      </c>
      <c r="L367" s="31">
        <f t="shared" si="60"/>
        <v>3962.3209532955834</v>
      </c>
    </row>
    <row r="368" spans="1:12" x14ac:dyDescent="0.3">
      <c r="A368" s="18">
        <f t="shared" si="57"/>
        <v>2052</v>
      </c>
      <c r="B368" s="23">
        <f t="shared" si="58"/>
        <v>55671</v>
      </c>
      <c r="C368" s="26">
        <f t="shared" si="59"/>
        <v>3.6900000000000002E-2</v>
      </c>
      <c r="D368" s="13">
        <f t="shared" si="65"/>
        <v>0</v>
      </c>
      <c r="E368" s="13">
        <f t="shared" si="61"/>
        <v>0</v>
      </c>
      <c r="F368" s="13">
        <f t="shared" si="62"/>
        <v>0</v>
      </c>
      <c r="G368" s="13">
        <f t="shared" si="63"/>
        <v>0</v>
      </c>
      <c r="I368" s="31">
        <f t="shared" si="67"/>
        <v>747.62227239583478</v>
      </c>
      <c r="J368" s="31">
        <f t="shared" si="64"/>
        <v>49</v>
      </c>
      <c r="K368" s="31">
        <f t="shared" si="66"/>
        <v>190.40660455247314</v>
      </c>
      <c r="L368" s="31">
        <f t="shared" si="60"/>
        <v>987.02887694830792</v>
      </c>
    </row>
    <row r="369" spans="1:12" x14ac:dyDescent="0.3">
      <c r="A369" s="18">
        <f t="shared" si="57"/>
        <v>2052</v>
      </c>
      <c r="B369" s="23">
        <f t="shared" si="58"/>
        <v>55701</v>
      </c>
      <c r="C369" s="26">
        <f t="shared" si="59"/>
        <v>3.6900000000000002E-2</v>
      </c>
      <c r="D369" s="13">
        <f t="shared" si="65"/>
        <v>0</v>
      </c>
      <c r="E369" s="13">
        <f t="shared" si="61"/>
        <v>0</v>
      </c>
      <c r="F369" s="13">
        <f t="shared" si="62"/>
        <v>0</v>
      </c>
      <c r="G369" s="13">
        <f t="shared" si="63"/>
        <v>0</v>
      </c>
      <c r="I369" s="31">
        <f t="shared" si="67"/>
        <v>747.62227239583478</v>
      </c>
      <c r="J369" s="31">
        <f t="shared" si="64"/>
        <v>49</v>
      </c>
      <c r="K369" s="31">
        <f t="shared" si="66"/>
        <v>190.40660455247314</v>
      </c>
      <c r="L369" s="31">
        <f t="shared" si="60"/>
        <v>987.02887694830792</v>
      </c>
    </row>
    <row r="370" spans="1:12" x14ac:dyDescent="0.3">
      <c r="A370" s="18">
        <f t="shared" si="57"/>
        <v>2052</v>
      </c>
      <c r="B370" s="23">
        <f t="shared" si="58"/>
        <v>55732</v>
      </c>
      <c r="C370" s="26">
        <f t="shared" si="59"/>
        <v>3.6900000000000002E-2</v>
      </c>
      <c r="D370" s="13">
        <f t="shared" si="65"/>
        <v>0</v>
      </c>
      <c r="E370" s="13">
        <f t="shared" si="61"/>
        <v>0</v>
      </c>
      <c r="F370" s="13">
        <f t="shared" si="62"/>
        <v>0</v>
      </c>
      <c r="G370" s="13">
        <f t="shared" si="63"/>
        <v>0</v>
      </c>
      <c r="I370" s="31">
        <f t="shared" si="67"/>
        <v>747.62227239583478</v>
      </c>
      <c r="J370" s="31">
        <f t="shared" si="64"/>
        <v>49</v>
      </c>
      <c r="K370" s="31">
        <f t="shared" si="66"/>
        <v>190.40660455247314</v>
      </c>
      <c r="L370" s="31">
        <f t="shared" si="60"/>
        <v>987.02887694830792</v>
      </c>
    </row>
    <row r="371" spans="1:12" x14ac:dyDescent="0.3">
      <c r="A371" s="18">
        <f t="shared" si="57"/>
        <v>2052</v>
      </c>
      <c r="B371" s="23">
        <f t="shared" si="58"/>
        <v>55763</v>
      </c>
      <c r="C371" s="26">
        <f t="shared" si="59"/>
        <v>3.6900000000000002E-2</v>
      </c>
      <c r="D371" s="13">
        <f t="shared" si="65"/>
        <v>0</v>
      </c>
      <c r="E371" s="13">
        <f t="shared" si="61"/>
        <v>0</v>
      </c>
      <c r="F371" s="13">
        <f t="shared" si="62"/>
        <v>0</v>
      </c>
      <c r="G371" s="13">
        <f t="shared" si="63"/>
        <v>0</v>
      </c>
      <c r="I371" s="31">
        <f t="shared" si="67"/>
        <v>747.62227239583478</v>
      </c>
      <c r="J371" s="31">
        <f t="shared" si="64"/>
        <v>49</v>
      </c>
      <c r="K371" s="31">
        <f t="shared" si="66"/>
        <v>190.40660455247314</v>
      </c>
      <c r="L371" s="31">
        <f t="shared" si="60"/>
        <v>987.02887694830792</v>
      </c>
    </row>
    <row r="372" spans="1:12" x14ac:dyDescent="0.3">
      <c r="A372" s="18">
        <f t="shared" si="57"/>
        <v>2052</v>
      </c>
      <c r="B372" s="23">
        <f t="shared" si="58"/>
        <v>55793</v>
      </c>
      <c r="C372" s="26">
        <f t="shared" si="59"/>
        <v>3.6900000000000002E-2</v>
      </c>
      <c r="D372" s="13">
        <f t="shared" si="65"/>
        <v>0</v>
      </c>
      <c r="E372" s="13">
        <f t="shared" si="61"/>
        <v>0</v>
      </c>
      <c r="F372" s="13">
        <f t="shared" si="62"/>
        <v>0</v>
      </c>
      <c r="G372" s="13">
        <f t="shared" si="63"/>
        <v>0</v>
      </c>
      <c r="I372" s="31">
        <f t="shared" si="67"/>
        <v>747.62227239583478</v>
      </c>
      <c r="J372" s="31">
        <f t="shared" si="64"/>
        <v>49</v>
      </c>
      <c r="K372" s="31">
        <f t="shared" si="66"/>
        <v>190.40660455247314</v>
      </c>
      <c r="L372" s="31">
        <f t="shared" si="60"/>
        <v>987.02887694830792</v>
      </c>
    </row>
    <row r="373" spans="1:12" x14ac:dyDescent="0.3">
      <c r="A373" s="18">
        <f t="shared" si="57"/>
        <v>2052</v>
      </c>
      <c r="B373" s="23">
        <f t="shared" si="58"/>
        <v>55824</v>
      </c>
      <c r="C373" s="26">
        <f t="shared" si="59"/>
        <v>3.6900000000000002E-2</v>
      </c>
      <c r="D373" s="13">
        <f t="shared" si="65"/>
        <v>0</v>
      </c>
      <c r="E373" s="13">
        <f t="shared" si="61"/>
        <v>0</v>
      </c>
      <c r="F373" s="13">
        <f t="shared" si="62"/>
        <v>0</v>
      </c>
      <c r="G373" s="13">
        <f t="shared" si="63"/>
        <v>0</v>
      </c>
      <c r="I373" s="31">
        <f t="shared" si="67"/>
        <v>747.62227239583478</v>
      </c>
      <c r="J373" s="31">
        <f t="shared" si="64"/>
        <v>49</v>
      </c>
      <c r="K373" s="31">
        <f t="shared" si="66"/>
        <v>190.40660455247314</v>
      </c>
      <c r="L373" s="31">
        <f t="shared" si="60"/>
        <v>987.02887694830792</v>
      </c>
    </row>
    <row r="374" spans="1:12" x14ac:dyDescent="0.3">
      <c r="A374" s="18">
        <f t="shared" si="57"/>
        <v>2052</v>
      </c>
      <c r="B374" s="23">
        <f t="shared" si="58"/>
        <v>55854</v>
      </c>
      <c r="C374" s="26">
        <f t="shared" si="59"/>
        <v>3.6900000000000002E-2</v>
      </c>
      <c r="D374" s="13">
        <f t="shared" si="65"/>
        <v>0</v>
      </c>
      <c r="E374" s="13">
        <f t="shared" si="61"/>
        <v>0</v>
      </c>
      <c r="F374" s="13">
        <f t="shared" si="62"/>
        <v>0</v>
      </c>
      <c r="G374" s="13">
        <f t="shared" si="63"/>
        <v>0</v>
      </c>
      <c r="I374" s="31">
        <f t="shared" si="67"/>
        <v>747.62227239583478</v>
      </c>
      <c r="J374" s="31">
        <f t="shared" si="64"/>
        <v>49</v>
      </c>
      <c r="K374" s="31">
        <f t="shared" si="66"/>
        <v>190.40660455247314</v>
      </c>
      <c r="L374" s="31">
        <f t="shared" si="60"/>
        <v>987.02887694830792</v>
      </c>
    </row>
    <row r="375" spans="1:12" x14ac:dyDescent="0.3">
      <c r="A375" s="18">
        <f t="shared" si="57"/>
        <v>2053</v>
      </c>
      <c r="B375" s="23">
        <f t="shared" si="58"/>
        <v>55885</v>
      </c>
      <c r="C375" s="26">
        <f t="shared" si="59"/>
        <v>3.6900000000000002E-2</v>
      </c>
      <c r="D375" s="13">
        <f t="shared" si="65"/>
        <v>0</v>
      </c>
      <c r="E375" s="13">
        <f t="shared" si="61"/>
        <v>0</v>
      </c>
      <c r="F375" s="13">
        <f t="shared" si="62"/>
        <v>0</v>
      </c>
      <c r="G375" s="13">
        <f t="shared" si="63"/>
        <v>0</v>
      </c>
      <c r="I375" s="31">
        <f t="shared" si="67"/>
        <v>770.05094056770986</v>
      </c>
      <c r="J375" s="31">
        <f t="shared" si="64"/>
        <v>49</v>
      </c>
      <c r="K375" s="31">
        <f t="shared" si="66"/>
        <v>196.11880268904733</v>
      </c>
      <c r="L375" s="31">
        <f t="shared" si="60"/>
        <v>1015.1697432567572</v>
      </c>
    </row>
    <row r="376" spans="1:12" x14ac:dyDescent="0.3">
      <c r="A376" s="18">
        <f t="shared" si="57"/>
        <v>2053</v>
      </c>
      <c r="B376" s="23">
        <f t="shared" si="58"/>
        <v>55916</v>
      </c>
      <c r="C376" s="26">
        <f t="shared" si="59"/>
        <v>3.6900000000000002E-2</v>
      </c>
      <c r="D376" s="13">
        <f t="shared" si="65"/>
        <v>0</v>
      </c>
      <c r="E376" s="13">
        <f t="shared" si="61"/>
        <v>0</v>
      </c>
      <c r="F376" s="13">
        <f t="shared" si="62"/>
        <v>0</v>
      </c>
      <c r="G376" s="13">
        <f t="shared" si="63"/>
        <v>0</v>
      </c>
      <c r="I376" s="31">
        <f t="shared" si="67"/>
        <v>770.05094056770986</v>
      </c>
      <c r="J376" s="31">
        <f t="shared" si="64"/>
        <v>49</v>
      </c>
      <c r="K376" s="31">
        <f t="shared" si="66"/>
        <v>196.11880268904733</v>
      </c>
      <c r="L376" s="31">
        <f t="shared" si="60"/>
        <v>1015.1697432567572</v>
      </c>
    </row>
    <row r="377" spans="1:12" x14ac:dyDescent="0.3">
      <c r="A377" s="18">
        <f t="shared" si="57"/>
        <v>2053</v>
      </c>
      <c r="B377" s="23">
        <f t="shared" si="58"/>
        <v>55944</v>
      </c>
      <c r="C377" s="26">
        <f t="shared" si="59"/>
        <v>3.6900000000000002E-2</v>
      </c>
      <c r="D377" s="13">
        <f t="shared" si="65"/>
        <v>0</v>
      </c>
      <c r="E377" s="13">
        <f t="shared" si="61"/>
        <v>0</v>
      </c>
      <c r="F377" s="13">
        <f t="shared" si="62"/>
        <v>0</v>
      </c>
      <c r="G377" s="13">
        <f t="shared" si="63"/>
        <v>0</v>
      </c>
      <c r="I377" s="31">
        <f t="shared" si="67"/>
        <v>770.05094056770986</v>
      </c>
      <c r="J377" s="31">
        <f t="shared" si="64"/>
        <v>49</v>
      </c>
      <c r="K377" s="31">
        <f t="shared" si="66"/>
        <v>196.11880268904733</v>
      </c>
      <c r="L377" s="31">
        <f t="shared" si="60"/>
        <v>1015.1697432567572</v>
      </c>
    </row>
    <row r="378" spans="1:12" x14ac:dyDescent="0.3">
      <c r="A378" s="18">
        <f t="shared" si="57"/>
        <v>2053</v>
      </c>
      <c r="B378" s="23">
        <f t="shared" si="58"/>
        <v>55975</v>
      </c>
      <c r="C378" s="26">
        <f t="shared" si="59"/>
        <v>3.6900000000000002E-2</v>
      </c>
      <c r="D378" s="13">
        <f t="shared" si="65"/>
        <v>0</v>
      </c>
      <c r="E378" s="13">
        <f t="shared" si="61"/>
        <v>0</v>
      </c>
      <c r="F378" s="13">
        <f t="shared" si="62"/>
        <v>0</v>
      </c>
      <c r="G378" s="13">
        <f t="shared" si="63"/>
        <v>0</v>
      </c>
      <c r="I378" s="31">
        <f t="shared" si="67"/>
        <v>770.05094056770986</v>
      </c>
      <c r="J378" s="31">
        <f t="shared" si="64"/>
        <v>49</v>
      </c>
      <c r="K378" s="31">
        <f t="shared" si="66"/>
        <v>196.11880268904733</v>
      </c>
      <c r="L378" s="31">
        <f t="shared" si="60"/>
        <v>1015.1697432567572</v>
      </c>
    </row>
    <row r="379" spans="1:12" x14ac:dyDescent="0.3">
      <c r="A379" s="18">
        <f t="shared" si="57"/>
        <v>2053</v>
      </c>
      <c r="B379" s="23">
        <f t="shared" si="58"/>
        <v>56005</v>
      </c>
      <c r="C379" s="26">
        <f t="shared" si="59"/>
        <v>3.6900000000000002E-2</v>
      </c>
      <c r="D379" s="13">
        <f t="shared" si="65"/>
        <v>0</v>
      </c>
      <c r="E379" s="13">
        <f t="shared" si="61"/>
        <v>0</v>
      </c>
      <c r="F379" s="13">
        <f t="shared" si="62"/>
        <v>0</v>
      </c>
      <c r="G379" s="13">
        <f t="shared" si="63"/>
        <v>0</v>
      </c>
      <c r="I379" s="31">
        <f t="shared" si="67"/>
        <v>770.05094056770986</v>
      </c>
      <c r="J379" s="31">
        <f t="shared" si="64"/>
        <v>49</v>
      </c>
      <c r="K379" s="31">
        <f t="shared" si="66"/>
        <v>196.11880268904733</v>
      </c>
      <c r="L379" s="31">
        <f t="shared" si="60"/>
        <v>1015.1697432567572</v>
      </c>
    </row>
    <row r="380" spans="1:12" x14ac:dyDescent="0.3">
      <c r="A380" s="18">
        <f t="shared" si="57"/>
        <v>2053</v>
      </c>
      <c r="B380" s="23">
        <f t="shared" si="58"/>
        <v>56036</v>
      </c>
      <c r="C380" s="26">
        <f t="shared" si="59"/>
        <v>3.6900000000000002E-2</v>
      </c>
      <c r="D380" s="13">
        <f t="shared" si="65"/>
        <v>0</v>
      </c>
      <c r="E380" s="13">
        <f t="shared" si="61"/>
        <v>0</v>
      </c>
      <c r="F380" s="13">
        <f t="shared" si="62"/>
        <v>0</v>
      </c>
      <c r="G380" s="13">
        <f t="shared" si="63"/>
        <v>0</v>
      </c>
      <c r="I380" s="31">
        <f t="shared" si="67"/>
        <v>770.05094056770986</v>
      </c>
      <c r="J380" s="31">
        <f t="shared" si="64"/>
        <v>49</v>
      </c>
      <c r="K380" s="31">
        <f t="shared" si="66"/>
        <v>196.11880268904733</v>
      </c>
      <c r="L380" s="31">
        <f t="shared" si="60"/>
        <v>1015.1697432567572</v>
      </c>
    </row>
    <row r="381" spans="1:12" x14ac:dyDescent="0.3">
      <c r="A381" s="18">
        <f t="shared" si="57"/>
        <v>2053</v>
      </c>
      <c r="B381" s="23">
        <f t="shared" si="58"/>
        <v>56066</v>
      </c>
      <c r="C381" s="26">
        <f t="shared" si="59"/>
        <v>3.6900000000000002E-2</v>
      </c>
      <c r="D381" s="13">
        <f t="shared" si="65"/>
        <v>0</v>
      </c>
      <c r="E381" s="13">
        <f t="shared" si="61"/>
        <v>0</v>
      </c>
      <c r="F381" s="13">
        <f t="shared" si="62"/>
        <v>0</v>
      </c>
      <c r="G381" s="13">
        <f t="shared" si="63"/>
        <v>0</v>
      </c>
      <c r="I381" s="31">
        <f t="shared" si="67"/>
        <v>770.05094056770986</v>
      </c>
      <c r="J381" s="31">
        <f t="shared" si="64"/>
        <v>49</v>
      </c>
      <c r="K381" s="31">
        <f t="shared" si="66"/>
        <v>196.11880268904733</v>
      </c>
      <c r="L381" s="31">
        <f t="shared" si="60"/>
        <v>1015.1697432567572</v>
      </c>
    </row>
    <row r="382" spans="1:12" x14ac:dyDescent="0.3">
      <c r="A382" s="18">
        <f t="shared" si="57"/>
        <v>2053</v>
      </c>
      <c r="B382" s="23">
        <f t="shared" si="58"/>
        <v>56097</v>
      </c>
      <c r="C382" s="26">
        <f t="shared" si="59"/>
        <v>3.6900000000000002E-2</v>
      </c>
      <c r="D382" s="13">
        <f t="shared" si="65"/>
        <v>0</v>
      </c>
      <c r="E382" s="13">
        <f t="shared" si="61"/>
        <v>0</v>
      </c>
      <c r="F382" s="13">
        <f t="shared" si="62"/>
        <v>0</v>
      </c>
      <c r="G382" s="13">
        <f t="shared" si="63"/>
        <v>0</v>
      </c>
      <c r="I382" s="31">
        <f t="shared" si="67"/>
        <v>770.05094056770986</v>
      </c>
      <c r="J382" s="31">
        <f t="shared" si="64"/>
        <v>49</v>
      </c>
      <c r="K382" s="31">
        <f t="shared" si="66"/>
        <v>196.11880268904733</v>
      </c>
      <c r="L382" s="31">
        <f t="shared" si="60"/>
        <v>1015.1697432567572</v>
      </c>
    </row>
    <row r="383" spans="1:12" x14ac:dyDescent="0.3">
      <c r="A383" s="18">
        <f t="shared" si="57"/>
        <v>2053</v>
      </c>
      <c r="B383" s="23">
        <f t="shared" si="58"/>
        <v>56128</v>
      </c>
      <c r="C383" s="26">
        <f t="shared" si="59"/>
        <v>3.6900000000000002E-2</v>
      </c>
      <c r="D383" s="13">
        <f t="shared" si="65"/>
        <v>0</v>
      </c>
      <c r="E383" s="13">
        <f t="shared" si="61"/>
        <v>0</v>
      </c>
      <c r="F383" s="13">
        <f t="shared" si="62"/>
        <v>0</v>
      </c>
      <c r="G383" s="13">
        <f t="shared" si="63"/>
        <v>0</v>
      </c>
      <c r="I383" s="31">
        <f t="shared" si="67"/>
        <v>770.05094056770986</v>
      </c>
      <c r="J383" s="31">
        <f t="shared" si="64"/>
        <v>49</v>
      </c>
      <c r="K383" s="31">
        <f t="shared" si="66"/>
        <v>196.11880268904733</v>
      </c>
      <c r="L383" s="31">
        <f t="shared" si="60"/>
        <v>1015.1697432567572</v>
      </c>
    </row>
    <row r="384" spans="1:12" x14ac:dyDescent="0.3">
      <c r="A384" s="18">
        <f t="shared" si="57"/>
        <v>2053</v>
      </c>
      <c r="B384" s="23">
        <f t="shared" si="58"/>
        <v>56158</v>
      </c>
      <c r="C384" s="26">
        <f t="shared" si="59"/>
        <v>3.6900000000000002E-2</v>
      </c>
      <c r="D384" s="13">
        <f t="shared" si="65"/>
        <v>0</v>
      </c>
      <c r="E384" s="13">
        <f t="shared" si="61"/>
        <v>0</v>
      </c>
      <c r="F384" s="13">
        <f t="shared" si="62"/>
        <v>0</v>
      </c>
      <c r="G384" s="13">
        <f t="shared" si="63"/>
        <v>0</v>
      </c>
      <c r="I384" s="31">
        <f t="shared" si="67"/>
        <v>770.05094056770986</v>
      </c>
      <c r="J384" s="31">
        <f t="shared" si="64"/>
        <v>49</v>
      </c>
      <c r="K384" s="31">
        <f t="shared" si="66"/>
        <v>196.11880268904733</v>
      </c>
      <c r="L384" s="31">
        <f t="shared" si="60"/>
        <v>1015.1697432567572</v>
      </c>
    </row>
    <row r="385" spans="1:12" x14ac:dyDescent="0.3">
      <c r="A385" s="18">
        <f t="shared" si="57"/>
        <v>2053</v>
      </c>
      <c r="B385" s="23">
        <f t="shared" si="58"/>
        <v>56189</v>
      </c>
      <c r="C385" s="26">
        <f t="shared" si="59"/>
        <v>3.6900000000000002E-2</v>
      </c>
      <c r="D385" s="13">
        <f t="shared" si="65"/>
        <v>0</v>
      </c>
      <c r="E385" s="13">
        <f t="shared" si="61"/>
        <v>0</v>
      </c>
      <c r="F385" s="13">
        <f t="shared" si="62"/>
        <v>0</v>
      </c>
      <c r="G385" s="13">
        <f t="shared" si="63"/>
        <v>0</v>
      </c>
      <c r="I385" s="31">
        <f t="shared" si="67"/>
        <v>770.05094056770986</v>
      </c>
      <c r="J385" s="31">
        <f t="shared" si="64"/>
        <v>49</v>
      </c>
      <c r="K385" s="31">
        <f t="shared" si="66"/>
        <v>196.11880268904733</v>
      </c>
      <c r="L385" s="31">
        <f t="shared" si="60"/>
        <v>1015.1697432567572</v>
      </c>
    </row>
    <row r="386" spans="1:12" x14ac:dyDescent="0.3">
      <c r="A386" s="18">
        <f t="shared" si="57"/>
        <v>2053</v>
      </c>
      <c r="B386" s="23">
        <f t="shared" si="58"/>
        <v>56219</v>
      </c>
      <c r="C386" s="26">
        <f t="shared" si="59"/>
        <v>3.6900000000000002E-2</v>
      </c>
      <c r="D386" s="13">
        <f t="shared" si="65"/>
        <v>0</v>
      </c>
      <c r="E386" s="13">
        <f t="shared" si="61"/>
        <v>0</v>
      </c>
      <c r="F386" s="13">
        <f t="shared" si="62"/>
        <v>0</v>
      </c>
      <c r="G386" s="13">
        <f t="shared" si="63"/>
        <v>0</v>
      </c>
      <c r="I386" s="31">
        <f t="shared" si="67"/>
        <v>770.05094056770986</v>
      </c>
      <c r="J386" s="31">
        <f t="shared" si="64"/>
        <v>49</v>
      </c>
      <c r="K386" s="31">
        <f t="shared" si="66"/>
        <v>196.11880268904733</v>
      </c>
      <c r="L386" s="31">
        <f t="shared" si="60"/>
        <v>1015.1697432567572</v>
      </c>
    </row>
    <row r="387" spans="1:12" x14ac:dyDescent="0.3">
      <c r="A387" s="18">
        <f>YEAR(B387)</f>
        <v>2054</v>
      </c>
      <c r="B387" s="23">
        <f t="shared" si="58"/>
        <v>56250</v>
      </c>
      <c r="C387" s="26">
        <f t="shared" si="59"/>
        <v>3.6900000000000002E-2</v>
      </c>
      <c r="D387" s="13">
        <f t="shared" si="65"/>
        <v>0</v>
      </c>
      <c r="E387" s="13">
        <f t="shared" si="61"/>
        <v>0</v>
      </c>
      <c r="F387" s="13">
        <f t="shared" si="62"/>
        <v>0</v>
      </c>
      <c r="G387" s="13">
        <f t="shared" si="63"/>
        <v>0</v>
      </c>
      <c r="I387" s="31">
        <f t="shared" si="67"/>
        <v>793.15246878474113</v>
      </c>
      <c r="J387" s="31">
        <f t="shared" si="64"/>
        <v>49</v>
      </c>
      <c r="K387" s="31">
        <f t="shared" si="66"/>
        <v>202.00236676971875</v>
      </c>
      <c r="L387" s="31">
        <f t="shared" si="60"/>
        <v>1044.1548355544599</v>
      </c>
    </row>
    <row r="388" spans="1:12" x14ac:dyDescent="0.3">
      <c r="A388" s="18">
        <f>YEAR(B388)</f>
        <v>2054</v>
      </c>
      <c r="B388" s="23">
        <f t="shared" ref="B388:B389" si="68">EDATE(B387,1)</f>
        <v>56281</v>
      </c>
      <c r="C388" s="26">
        <f t="shared" si="59"/>
        <v>3.6900000000000002E-2</v>
      </c>
      <c r="D388" s="13">
        <f t="shared" si="65"/>
        <v>0</v>
      </c>
      <c r="E388" s="13">
        <f t="shared" si="61"/>
        <v>0</v>
      </c>
      <c r="F388" s="13">
        <f t="shared" si="62"/>
        <v>0</v>
      </c>
      <c r="G388" s="13">
        <f t="shared" si="63"/>
        <v>0</v>
      </c>
      <c r="I388" s="31">
        <f t="shared" si="67"/>
        <v>793.15246878474113</v>
      </c>
      <c r="J388" s="31">
        <f t="shared" si="64"/>
        <v>49</v>
      </c>
      <c r="K388" s="31">
        <f t="shared" si="66"/>
        <v>202.00236676971875</v>
      </c>
      <c r="L388" s="31">
        <f t="shared" si="60"/>
        <v>1044.1548355544599</v>
      </c>
    </row>
    <row r="389" spans="1:12" x14ac:dyDescent="0.3">
      <c r="A389" s="18">
        <f>YEAR(B389)</f>
        <v>2054</v>
      </c>
      <c r="B389" s="23">
        <f t="shared" si="68"/>
        <v>56309</v>
      </c>
      <c r="C389" s="26">
        <f t="shared" ref="C389" si="69">C388</f>
        <v>3.6900000000000002E-2</v>
      </c>
      <c r="D389" s="13">
        <f t="shared" si="65"/>
        <v>0</v>
      </c>
      <c r="E389" s="13">
        <f t="shared" si="61"/>
        <v>0</v>
      </c>
      <c r="F389" s="13">
        <f t="shared" si="62"/>
        <v>0</v>
      </c>
      <c r="G389" s="13">
        <f t="shared" si="63"/>
        <v>0</v>
      </c>
      <c r="I389" s="31">
        <f t="shared" si="67"/>
        <v>793.15246878474113</v>
      </c>
      <c r="J389" s="31">
        <f t="shared" si="64"/>
        <v>49</v>
      </c>
      <c r="K389" s="31">
        <f t="shared" si="66"/>
        <v>202.00236676971875</v>
      </c>
      <c r="L389" s="31">
        <f t="shared" si="60"/>
        <v>1044.1548355544599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183D1-3BA6-4F73-BAE4-BD90B3D17E14}">
  <dimension ref="A1:K485"/>
  <sheetViews>
    <sheetView zoomScale="85" zoomScaleNormal="85" workbookViewId="0">
      <pane xSplit="2" ySplit="2" topLeftCell="C3" activePane="bottomRight" state="frozen"/>
      <selection activeCell="B39" sqref="B39"/>
      <selection pane="topRight" activeCell="B39" sqref="B39"/>
      <selection pane="bottomLeft" activeCell="B39" sqref="B39"/>
      <selection pane="bottomRight" activeCell="F3" sqref="F3"/>
    </sheetView>
  </sheetViews>
  <sheetFormatPr defaultColWidth="9.1796875" defaultRowHeight="13" x14ac:dyDescent="0.3"/>
  <cols>
    <col min="1" max="2" width="9.1796875" style="97"/>
    <col min="3" max="6" width="9.1796875" style="86"/>
    <col min="7" max="7" width="9.1796875" style="97"/>
    <col min="8" max="11" width="9.1796875" style="86"/>
    <col min="12" max="16384" width="9.1796875" style="97"/>
  </cols>
  <sheetData>
    <row r="1" spans="1:11" x14ac:dyDescent="0.3">
      <c r="C1" s="98" t="s">
        <v>134</v>
      </c>
      <c r="D1" s="98"/>
      <c r="E1" s="98"/>
      <c r="F1" s="98"/>
      <c r="H1" s="98" t="s">
        <v>284</v>
      </c>
      <c r="I1" s="98"/>
      <c r="J1" s="98"/>
      <c r="K1" s="98"/>
    </row>
    <row r="2" spans="1:11" x14ac:dyDescent="0.3">
      <c r="A2" s="97" t="s">
        <v>132</v>
      </c>
      <c r="C2" s="86" t="s">
        <v>141</v>
      </c>
      <c r="D2" s="86" t="s">
        <v>139</v>
      </c>
      <c r="E2" s="86" t="s">
        <v>140</v>
      </c>
      <c r="F2" s="86" t="s">
        <v>138</v>
      </c>
      <c r="H2" s="86" t="s">
        <v>141</v>
      </c>
      <c r="I2" s="86" t="s">
        <v>139</v>
      </c>
      <c r="J2" s="86" t="s">
        <v>140</v>
      </c>
      <c r="K2" s="86" t="s">
        <v>138</v>
      </c>
    </row>
    <row r="3" spans="1:11" x14ac:dyDescent="0.3">
      <c r="A3" s="97">
        <f>YEAR(B3)</f>
        <v>2025</v>
      </c>
      <c r="B3" s="79">
        <f>Financials!B1</f>
        <v>45658</v>
      </c>
      <c r="C3" s="86" t="e">
        <f>ROUND(Inputs!$B$11-Inputs!$B$13,2)</f>
        <v>#N/A</v>
      </c>
      <c r="D3" s="86" t="e">
        <f>IF($C3&lt;&gt;0,Inputs!$B$14/12*C3,0)</f>
        <v>#N/A</v>
      </c>
      <c r="E3" s="86" t="e">
        <f>F3-D3</f>
        <v>#N/A</v>
      </c>
      <c r="F3" s="86" t="e">
        <f>IF($C3&gt;0,-PMT(Inputs!$B$14/12,Inputs!$B$15,Inputs!$B$11-Inputs!$B$13),0)</f>
        <v>#N/A</v>
      </c>
      <c r="H3" s="86">
        <f>ROUND(Inputs!$B$27,2)</f>
        <v>0</v>
      </c>
      <c r="I3" s="86">
        <f>IF($H3&lt;&gt;0,Inputs!$B$28/12*H3,0)</f>
        <v>0</v>
      </c>
      <c r="J3" s="86">
        <f>K3-I3</f>
        <v>0</v>
      </c>
      <c r="K3" s="86">
        <f>H3*600/100000</f>
        <v>0</v>
      </c>
    </row>
    <row r="4" spans="1:11" x14ac:dyDescent="0.3">
      <c r="A4" s="97">
        <f t="shared" ref="A4:A67" si="0">YEAR(B4)</f>
        <v>2025</v>
      </c>
      <c r="B4" s="79">
        <f>EDATE(B3,1)</f>
        <v>45689</v>
      </c>
      <c r="C4" s="86" t="e">
        <f>IF(C3&gt;0,C3-E3,0)</f>
        <v>#N/A</v>
      </c>
      <c r="D4" s="86" t="e">
        <f>IF($C4&lt;&gt;0,Inputs!$B$14/12*C4,0)</f>
        <v>#N/A</v>
      </c>
      <c r="E4" s="86" t="e">
        <f t="shared" ref="E4:E67" si="1">F4-D4</f>
        <v>#N/A</v>
      </c>
      <c r="F4" s="86" t="e">
        <f>IF($C4&gt;0,-PMT(Inputs!$B$14/12,Inputs!$B$15,Inputs!$B$11-Inputs!$B$13),0)</f>
        <v>#N/A</v>
      </c>
      <c r="H4" s="86">
        <f>IF(H3&gt;0,H3-J3,0)</f>
        <v>0</v>
      </c>
      <c r="I4" s="86">
        <f>IF($H4&lt;&gt;0,Inputs!$B$28/12*H4,0)</f>
        <v>0</v>
      </c>
      <c r="J4" s="86">
        <f t="shared" ref="J4:J67" si="2">K4-I4</f>
        <v>0</v>
      </c>
      <c r="K4" s="86">
        <f t="shared" ref="K4:K67" si="3">IF(H4&gt;0,IF(H4+I4&gt;K3,K3,H4+I4),0)</f>
        <v>0</v>
      </c>
    </row>
    <row r="5" spans="1:11" x14ac:dyDescent="0.3">
      <c r="A5" s="97">
        <f t="shared" si="0"/>
        <v>2025</v>
      </c>
      <c r="B5" s="79">
        <f t="shared" ref="B5:B68" si="4">EDATE(B4,1)</f>
        <v>45717</v>
      </c>
      <c r="C5" s="86" t="e">
        <f t="shared" ref="C5:C68" si="5">IF(C4&gt;0,C4-E4,0)</f>
        <v>#N/A</v>
      </c>
      <c r="D5" s="86" t="e">
        <f>IF($C5&lt;&gt;0,Inputs!$B$14/12*C5,0)</f>
        <v>#N/A</v>
      </c>
      <c r="E5" s="86" t="e">
        <f t="shared" si="1"/>
        <v>#N/A</v>
      </c>
      <c r="F5" s="86" t="e">
        <f>IF($C5&gt;0,-PMT(Inputs!$B$14/12,Inputs!$B$15,Inputs!$B$11-Inputs!$B$13),0)</f>
        <v>#N/A</v>
      </c>
      <c r="H5" s="86">
        <f t="shared" ref="H5:H68" si="6">IF(H4&gt;0,H4-J4,0)</f>
        <v>0</v>
      </c>
      <c r="I5" s="86">
        <f>IF($H5&lt;&gt;0,Inputs!$B$28/12*H5,0)</f>
        <v>0</v>
      </c>
      <c r="J5" s="86">
        <f t="shared" si="2"/>
        <v>0</v>
      </c>
      <c r="K5" s="86">
        <f t="shared" si="3"/>
        <v>0</v>
      </c>
    </row>
    <row r="6" spans="1:11" x14ac:dyDescent="0.3">
      <c r="A6" s="97">
        <f t="shared" si="0"/>
        <v>2025</v>
      </c>
      <c r="B6" s="79">
        <f t="shared" si="4"/>
        <v>45748</v>
      </c>
      <c r="C6" s="86" t="e">
        <f t="shared" si="5"/>
        <v>#N/A</v>
      </c>
      <c r="D6" s="86" t="e">
        <f>IF($C6&lt;&gt;0,Inputs!$B$14/12*C6,0)</f>
        <v>#N/A</v>
      </c>
      <c r="E6" s="86" t="e">
        <f t="shared" si="1"/>
        <v>#N/A</v>
      </c>
      <c r="F6" s="86" t="e">
        <f>IF($C6&gt;0,-PMT(Inputs!$B$14/12,Inputs!$B$15,Inputs!$B$11-Inputs!$B$13),0)</f>
        <v>#N/A</v>
      </c>
      <c r="H6" s="86">
        <f t="shared" si="6"/>
        <v>0</v>
      </c>
      <c r="I6" s="86">
        <f>IF($H6&lt;&gt;0,Inputs!$B$28/12*H6,0)</f>
        <v>0</v>
      </c>
      <c r="J6" s="86">
        <f t="shared" si="2"/>
        <v>0</v>
      </c>
      <c r="K6" s="86">
        <f t="shared" si="3"/>
        <v>0</v>
      </c>
    </row>
    <row r="7" spans="1:11" x14ac:dyDescent="0.3">
      <c r="A7" s="97">
        <f t="shared" si="0"/>
        <v>2025</v>
      </c>
      <c r="B7" s="79">
        <f t="shared" si="4"/>
        <v>45778</v>
      </c>
      <c r="C7" s="86" t="e">
        <f t="shared" si="5"/>
        <v>#N/A</v>
      </c>
      <c r="D7" s="86" t="e">
        <f>IF($C7&lt;&gt;0,Inputs!$B$14/12*C7,0)</f>
        <v>#N/A</v>
      </c>
      <c r="E7" s="86" t="e">
        <f t="shared" si="1"/>
        <v>#N/A</v>
      </c>
      <c r="F7" s="86" t="e">
        <f>IF($C7&gt;0,-PMT(Inputs!$B$14/12,Inputs!$B$15,Inputs!$B$11-Inputs!$B$13),0)</f>
        <v>#N/A</v>
      </c>
      <c r="H7" s="86">
        <f t="shared" si="6"/>
        <v>0</v>
      </c>
      <c r="I7" s="86">
        <f>IF($H7&lt;&gt;0,Inputs!$B$28/12*H7,0)</f>
        <v>0</v>
      </c>
      <c r="J7" s="86">
        <f t="shared" si="2"/>
        <v>0</v>
      </c>
      <c r="K7" s="86">
        <f t="shared" si="3"/>
        <v>0</v>
      </c>
    </row>
    <row r="8" spans="1:11" x14ac:dyDescent="0.3">
      <c r="A8" s="97">
        <f t="shared" si="0"/>
        <v>2025</v>
      </c>
      <c r="B8" s="79">
        <f t="shared" si="4"/>
        <v>45809</v>
      </c>
      <c r="C8" s="86" t="e">
        <f t="shared" si="5"/>
        <v>#N/A</v>
      </c>
      <c r="D8" s="86" t="e">
        <f>IF($C8&lt;&gt;0,Inputs!$B$14/12*C8,0)</f>
        <v>#N/A</v>
      </c>
      <c r="E8" s="86" t="e">
        <f t="shared" si="1"/>
        <v>#N/A</v>
      </c>
      <c r="F8" s="86" t="e">
        <f>IF($C8&gt;0,-PMT(Inputs!$B$14/12,Inputs!$B$15,Inputs!$B$11-Inputs!$B$13),0)</f>
        <v>#N/A</v>
      </c>
      <c r="H8" s="86">
        <f t="shared" si="6"/>
        <v>0</v>
      </c>
      <c r="I8" s="86">
        <f>IF($H8&lt;&gt;0,Inputs!$B$28/12*H8,0)</f>
        <v>0</v>
      </c>
      <c r="J8" s="86">
        <f t="shared" si="2"/>
        <v>0</v>
      </c>
      <c r="K8" s="86">
        <f t="shared" si="3"/>
        <v>0</v>
      </c>
    </row>
    <row r="9" spans="1:11" x14ac:dyDescent="0.3">
      <c r="A9" s="97">
        <f t="shared" si="0"/>
        <v>2025</v>
      </c>
      <c r="B9" s="79">
        <f t="shared" si="4"/>
        <v>45839</v>
      </c>
      <c r="C9" s="86" t="e">
        <f t="shared" si="5"/>
        <v>#N/A</v>
      </c>
      <c r="D9" s="86" t="e">
        <f>IF($C9&lt;&gt;0,Inputs!$B$14/12*C9,0)</f>
        <v>#N/A</v>
      </c>
      <c r="E9" s="86" t="e">
        <f t="shared" si="1"/>
        <v>#N/A</v>
      </c>
      <c r="F9" s="86" t="e">
        <f>IF($C9&gt;0,-PMT(Inputs!$B$14/12,Inputs!$B$15,Inputs!$B$11-Inputs!$B$13),0)</f>
        <v>#N/A</v>
      </c>
      <c r="H9" s="86">
        <f t="shared" si="6"/>
        <v>0</v>
      </c>
      <c r="I9" s="86">
        <f>IF($H9&lt;&gt;0,Inputs!$B$28/12*H9,0)</f>
        <v>0</v>
      </c>
      <c r="J9" s="86">
        <f t="shared" si="2"/>
        <v>0</v>
      </c>
      <c r="K9" s="86">
        <f t="shared" si="3"/>
        <v>0</v>
      </c>
    </row>
    <row r="10" spans="1:11" x14ac:dyDescent="0.3">
      <c r="A10" s="97">
        <f t="shared" si="0"/>
        <v>2025</v>
      </c>
      <c r="B10" s="79">
        <f t="shared" si="4"/>
        <v>45870</v>
      </c>
      <c r="C10" s="86" t="e">
        <f t="shared" si="5"/>
        <v>#N/A</v>
      </c>
      <c r="D10" s="86" t="e">
        <f>IF($C10&lt;&gt;0,Inputs!$B$14/12*C10,0)</f>
        <v>#N/A</v>
      </c>
      <c r="E10" s="86" t="e">
        <f t="shared" si="1"/>
        <v>#N/A</v>
      </c>
      <c r="F10" s="86" t="e">
        <f>IF($C10&gt;0,-PMT(Inputs!$B$14/12,Inputs!$B$15,Inputs!$B$11-Inputs!$B$13),0)</f>
        <v>#N/A</v>
      </c>
      <c r="H10" s="86">
        <f t="shared" si="6"/>
        <v>0</v>
      </c>
      <c r="I10" s="86">
        <f>IF($H10&lt;&gt;0,Inputs!$B$28/12*H10,0)</f>
        <v>0</v>
      </c>
      <c r="J10" s="86">
        <f t="shared" si="2"/>
        <v>0</v>
      </c>
      <c r="K10" s="86">
        <f t="shared" si="3"/>
        <v>0</v>
      </c>
    </row>
    <row r="11" spans="1:11" x14ac:dyDescent="0.3">
      <c r="A11" s="97">
        <f t="shared" si="0"/>
        <v>2025</v>
      </c>
      <c r="B11" s="79">
        <f t="shared" si="4"/>
        <v>45901</v>
      </c>
      <c r="C11" s="86" t="e">
        <f t="shared" si="5"/>
        <v>#N/A</v>
      </c>
      <c r="D11" s="86" t="e">
        <f>IF($C11&lt;&gt;0,Inputs!$B$14/12*C11,0)</f>
        <v>#N/A</v>
      </c>
      <c r="E11" s="86" t="e">
        <f t="shared" si="1"/>
        <v>#N/A</v>
      </c>
      <c r="F11" s="86" t="e">
        <f>IF($C11&gt;0,-PMT(Inputs!$B$14/12,Inputs!$B$15,Inputs!$B$11-Inputs!$B$13),0)</f>
        <v>#N/A</v>
      </c>
      <c r="H11" s="86">
        <f t="shared" si="6"/>
        <v>0</v>
      </c>
      <c r="I11" s="86">
        <f>IF($H11&lt;&gt;0,Inputs!$B$28/12*H11,0)</f>
        <v>0</v>
      </c>
      <c r="J11" s="86">
        <f t="shared" si="2"/>
        <v>0</v>
      </c>
      <c r="K11" s="86">
        <f t="shared" si="3"/>
        <v>0</v>
      </c>
    </row>
    <row r="12" spans="1:11" x14ac:dyDescent="0.3">
      <c r="A12" s="97">
        <f t="shared" si="0"/>
        <v>2025</v>
      </c>
      <c r="B12" s="79">
        <f t="shared" si="4"/>
        <v>45931</v>
      </c>
      <c r="C12" s="86" t="e">
        <f t="shared" si="5"/>
        <v>#N/A</v>
      </c>
      <c r="D12" s="86" t="e">
        <f>IF($C12&lt;&gt;0,Inputs!$B$14/12*C12,0)</f>
        <v>#N/A</v>
      </c>
      <c r="E12" s="86" t="e">
        <f t="shared" si="1"/>
        <v>#N/A</v>
      </c>
      <c r="F12" s="86" t="e">
        <f>IF($C12&gt;0,-PMT(Inputs!$B$14/12,Inputs!$B$15,Inputs!$B$11-Inputs!$B$13),0)</f>
        <v>#N/A</v>
      </c>
      <c r="H12" s="86">
        <f t="shared" si="6"/>
        <v>0</v>
      </c>
      <c r="I12" s="86">
        <f>IF($H12&lt;&gt;0,Inputs!$B$28/12*H12,0)</f>
        <v>0</v>
      </c>
      <c r="J12" s="86">
        <f t="shared" si="2"/>
        <v>0</v>
      </c>
      <c r="K12" s="86">
        <f t="shared" si="3"/>
        <v>0</v>
      </c>
    </row>
    <row r="13" spans="1:11" x14ac:dyDescent="0.3">
      <c r="A13" s="97">
        <f t="shared" si="0"/>
        <v>2025</v>
      </c>
      <c r="B13" s="79">
        <f t="shared" si="4"/>
        <v>45962</v>
      </c>
      <c r="C13" s="86" t="e">
        <f t="shared" si="5"/>
        <v>#N/A</v>
      </c>
      <c r="D13" s="86" t="e">
        <f>IF($C13&lt;&gt;0,Inputs!$B$14/12*C13,0)</f>
        <v>#N/A</v>
      </c>
      <c r="E13" s="86" t="e">
        <f t="shared" si="1"/>
        <v>#N/A</v>
      </c>
      <c r="F13" s="86" t="e">
        <f>IF($C13&gt;0,-PMT(Inputs!$B$14/12,Inputs!$B$15,Inputs!$B$11-Inputs!$B$13),0)</f>
        <v>#N/A</v>
      </c>
      <c r="H13" s="86">
        <f t="shared" si="6"/>
        <v>0</v>
      </c>
      <c r="I13" s="86">
        <f>IF($H13&lt;&gt;0,Inputs!$B$28/12*H13,0)</f>
        <v>0</v>
      </c>
      <c r="J13" s="86">
        <f t="shared" si="2"/>
        <v>0</v>
      </c>
      <c r="K13" s="86">
        <f t="shared" si="3"/>
        <v>0</v>
      </c>
    </row>
    <row r="14" spans="1:11" x14ac:dyDescent="0.3">
      <c r="A14" s="97">
        <f t="shared" si="0"/>
        <v>2025</v>
      </c>
      <c r="B14" s="79">
        <f t="shared" si="4"/>
        <v>45992</v>
      </c>
      <c r="C14" s="86" t="e">
        <f t="shared" si="5"/>
        <v>#N/A</v>
      </c>
      <c r="D14" s="86" t="e">
        <f>IF($C14&lt;&gt;0,Inputs!$B$14/12*C14,0)</f>
        <v>#N/A</v>
      </c>
      <c r="E14" s="86" t="e">
        <f t="shared" si="1"/>
        <v>#N/A</v>
      </c>
      <c r="F14" s="86" t="e">
        <f>IF($C14&gt;0,-PMT(Inputs!$B$14/12,Inputs!$B$15,Inputs!$B$11-Inputs!$B$13),0)</f>
        <v>#N/A</v>
      </c>
      <c r="H14" s="86">
        <f t="shared" si="6"/>
        <v>0</v>
      </c>
      <c r="I14" s="86">
        <f>IF($H14&lt;&gt;0,Inputs!$B$28/12*H14,0)</f>
        <v>0</v>
      </c>
      <c r="J14" s="86">
        <f t="shared" si="2"/>
        <v>0</v>
      </c>
      <c r="K14" s="86">
        <f t="shared" si="3"/>
        <v>0</v>
      </c>
    </row>
    <row r="15" spans="1:11" x14ac:dyDescent="0.3">
      <c r="A15" s="97">
        <f t="shared" si="0"/>
        <v>2026</v>
      </c>
      <c r="B15" s="79">
        <f t="shared" si="4"/>
        <v>46023</v>
      </c>
      <c r="C15" s="86" t="e">
        <f t="shared" si="5"/>
        <v>#N/A</v>
      </c>
      <c r="D15" s="86" t="e">
        <f>IF($C15&lt;&gt;0,Inputs!$B$14/12*C15,0)</f>
        <v>#N/A</v>
      </c>
      <c r="E15" s="86" t="e">
        <f t="shared" si="1"/>
        <v>#N/A</v>
      </c>
      <c r="F15" s="86" t="e">
        <f>IF($C15&gt;0,-PMT(Inputs!$B$14/12,Inputs!$B$15,Inputs!$B$11-Inputs!$B$13),0)</f>
        <v>#N/A</v>
      </c>
      <c r="H15" s="86">
        <f t="shared" si="6"/>
        <v>0</v>
      </c>
      <c r="I15" s="86">
        <f>IF($H15&lt;&gt;0,Inputs!$B$28/12*H15,0)</f>
        <v>0</v>
      </c>
      <c r="J15" s="86">
        <f t="shared" si="2"/>
        <v>0</v>
      </c>
      <c r="K15" s="86">
        <f t="shared" si="3"/>
        <v>0</v>
      </c>
    </row>
    <row r="16" spans="1:11" x14ac:dyDescent="0.3">
      <c r="A16" s="97">
        <f t="shared" si="0"/>
        <v>2026</v>
      </c>
      <c r="B16" s="79">
        <f t="shared" si="4"/>
        <v>46054</v>
      </c>
      <c r="C16" s="86" t="e">
        <f t="shared" si="5"/>
        <v>#N/A</v>
      </c>
      <c r="D16" s="86" t="e">
        <f>IF($C16&lt;&gt;0,Inputs!$B$14/12*C16,0)</f>
        <v>#N/A</v>
      </c>
      <c r="E16" s="86" t="e">
        <f t="shared" si="1"/>
        <v>#N/A</v>
      </c>
      <c r="F16" s="86" t="e">
        <f>IF($C16&gt;0,-PMT(Inputs!$B$14/12,Inputs!$B$15,Inputs!$B$11-Inputs!$B$13),0)</f>
        <v>#N/A</v>
      </c>
      <c r="H16" s="86">
        <f t="shared" si="6"/>
        <v>0</v>
      </c>
      <c r="I16" s="86">
        <f>IF($H16&lt;&gt;0,Inputs!$B$28/12*H16,0)</f>
        <v>0</v>
      </c>
      <c r="J16" s="86">
        <f t="shared" si="2"/>
        <v>0</v>
      </c>
      <c r="K16" s="86">
        <f t="shared" si="3"/>
        <v>0</v>
      </c>
    </row>
    <row r="17" spans="1:11" x14ac:dyDescent="0.3">
      <c r="A17" s="97">
        <f t="shared" si="0"/>
        <v>2026</v>
      </c>
      <c r="B17" s="79">
        <f t="shared" si="4"/>
        <v>46082</v>
      </c>
      <c r="C17" s="86" t="e">
        <f t="shared" si="5"/>
        <v>#N/A</v>
      </c>
      <c r="D17" s="86" t="e">
        <f>IF($C17&lt;&gt;0,Inputs!$B$14/12*C17,0)</f>
        <v>#N/A</v>
      </c>
      <c r="E17" s="86" t="e">
        <f t="shared" si="1"/>
        <v>#N/A</v>
      </c>
      <c r="F17" s="86" t="e">
        <f>IF($C17&gt;0,-PMT(Inputs!$B$14/12,Inputs!$B$15,Inputs!$B$11-Inputs!$B$13),0)</f>
        <v>#N/A</v>
      </c>
      <c r="H17" s="86">
        <f t="shared" si="6"/>
        <v>0</v>
      </c>
      <c r="I17" s="86">
        <f>IF($H17&lt;&gt;0,Inputs!$B$28/12*H17,0)</f>
        <v>0</v>
      </c>
      <c r="J17" s="86">
        <f t="shared" si="2"/>
        <v>0</v>
      </c>
      <c r="K17" s="86">
        <f t="shared" si="3"/>
        <v>0</v>
      </c>
    </row>
    <row r="18" spans="1:11" x14ac:dyDescent="0.3">
      <c r="A18" s="97">
        <f t="shared" si="0"/>
        <v>2026</v>
      </c>
      <c r="B18" s="79">
        <f t="shared" si="4"/>
        <v>46113</v>
      </c>
      <c r="C18" s="86" t="e">
        <f t="shared" si="5"/>
        <v>#N/A</v>
      </c>
      <c r="D18" s="86" t="e">
        <f>IF($C18&lt;&gt;0,Inputs!$B$14/12*C18,0)</f>
        <v>#N/A</v>
      </c>
      <c r="E18" s="86" t="e">
        <f t="shared" si="1"/>
        <v>#N/A</v>
      </c>
      <c r="F18" s="86" t="e">
        <f>IF($C18&gt;0,-PMT(Inputs!$B$14/12,Inputs!$B$15,Inputs!$B$11-Inputs!$B$13),0)</f>
        <v>#N/A</v>
      </c>
      <c r="H18" s="86">
        <f t="shared" si="6"/>
        <v>0</v>
      </c>
      <c r="I18" s="86">
        <f>IF($H18&lt;&gt;0,Inputs!$B$28/12*H18,0)</f>
        <v>0</v>
      </c>
      <c r="J18" s="86">
        <f t="shared" si="2"/>
        <v>0</v>
      </c>
      <c r="K18" s="86">
        <f t="shared" si="3"/>
        <v>0</v>
      </c>
    </row>
    <row r="19" spans="1:11" x14ac:dyDescent="0.3">
      <c r="A19" s="97">
        <f t="shared" si="0"/>
        <v>2026</v>
      </c>
      <c r="B19" s="79">
        <f t="shared" si="4"/>
        <v>46143</v>
      </c>
      <c r="C19" s="86" t="e">
        <f t="shared" si="5"/>
        <v>#N/A</v>
      </c>
      <c r="D19" s="86" t="e">
        <f>IF($C19&lt;&gt;0,Inputs!$B$14/12*C19,0)</f>
        <v>#N/A</v>
      </c>
      <c r="E19" s="86" t="e">
        <f t="shared" si="1"/>
        <v>#N/A</v>
      </c>
      <c r="F19" s="86" t="e">
        <f>IF($C19&gt;0,-PMT(Inputs!$B$14/12,Inputs!$B$15,Inputs!$B$11-Inputs!$B$13),0)</f>
        <v>#N/A</v>
      </c>
      <c r="H19" s="86">
        <f t="shared" si="6"/>
        <v>0</v>
      </c>
      <c r="I19" s="86">
        <f>IF($H19&lt;&gt;0,Inputs!$B$28/12*H19,0)</f>
        <v>0</v>
      </c>
      <c r="J19" s="86">
        <f t="shared" si="2"/>
        <v>0</v>
      </c>
      <c r="K19" s="86">
        <f t="shared" si="3"/>
        <v>0</v>
      </c>
    </row>
    <row r="20" spans="1:11" x14ac:dyDescent="0.3">
      <c r="A20" s="97">
        <f t="shared" si="0"/>
        <v>2026</v>
      </c>
      <c r="B20" s="79">
        <f t="shared" si="4"/>
        <v>46174</v>
      </c>
      <c r="C20" s="86" t="e">
        <f t="shared" si="5"/>
        <v>#N/A</v>
      </c>
      <c r="D20" s="86" t="e">
        <f>IF($C20&lt;&gt;0,Inputs!$B$14/12*C20,0)</f>
        <v>#N/A</v>
      </c>
      <c r="E20" s="86" t="e">
        <f t="shared" si="1"/>
        <v>#N/A</v>
      </c>
      <c r="F20" s="86" t="e">
        <f>IF($C20&gt;0,-PMT(Inputs!$B$14/12,Inputs!$B$15,Inputs!$B$11-Inputs!$B$13),0)</f>
        <v>#N/A</v>
      </c>
      <c r="H20" s="86">
        <f t="shared" si="6"/>
        <v>0</v>
      </c>
      <c r="I20" s="86">
        <f>IF($H20&lt;&gt;0,Inputs!$B$28/12*H20,0)</f>
        <v>0</v>
      </c>
      <c r="J20" s="86">
        <f t="shared" si="2"/>
        <v>0</v>
      </c>
      <c r="K20" s="86">
        <f t="shared" si="3"/>
        <v>0</v>
      </c>
    </row>
    <row r="21" spans="1:11" x14ac:dyDescent="0.3">
      <c r="A21" s="97">
        <f t="shared" si="0"/>
        <v>2026</v>
      </c>
      <c r="B21" s="79">
        <f t="shared" si="4"/>
        <v>46204</v>
      </c>
      <c r="C21" s="86" t="e">
        <f t="shared" si="5"/>
        <v>#N/A</v>
      </c>
      <c r="D21" s="86" t="e">
        <f>IF($C21&lt;&gt;0,Inputs!$B$14/12*C21,0)</f>
        <v>#N/A</v>
      </c>
      <c r="E21" s="86" t="e">
        <f t="shared" si="1"/>
        <v>#N/A</v>
      </c>
      <c r="F21" s="86" t="e">
        <f>IF($C21&gt;0,-PMT(Inputs!$B$14/12,Inputs!$B$15,Inputs!$B$11-Inputs!$B$13),0)</f>
        <v>#N/A</v>
      </c>
      <c r="H21" s="86">
        <f t="shared" si="6"/>
        <v>0</v>
      </c>
      <c r="I21" s="86">
        <f>IF($H21&lt;&gt;0,Inputs!$B$28/12*H21,0)</f>
        <v>0</v>
      </c>
      <c r="J21" s="86">
        <f t="shared" si="2"/>
        <v>0</v>
      </c>
      <c r="K21" s="86">
        <f t="shared" si="3"/>
        <v>0</v>
      </c>
    </row>
    <row r="22" spans="1:11" x14ac:dyDescent="0.3">
      <c r="A22" s="97">
        <f t="shared" si="0"/>
        <v>2026</v>
      </c>
      <c r="B22" s="79">
        <f t="shared" si="4"/>
        <v>46235</v>
      </c>
      <c r="C22" s="86" t="e">
        <f t="shared" si="5"/>
        <v>#N/A</v>
      </c>
      <c r="D22" s="86" t="e">
        <f>IF($C22&lt;&gt;0,Inputs!$B$14/12*C22,0)</f>
        <v>#N/A</v>
      </c>
      <c r="E22" s="86" t="e">
        <f t="shared" si="1"/>
        <v>#N/A</v>
      </c>
      <c r="F22" s="86" t="e">
        <f>IF($C22&gt;0,-PMT(Inputs!$B$14/12,Inputs!$B$15,Inputs!$B$11-Inputs!$B$13),0)</f>
        <v>#N/A</v>
      </c>
      <c r="H22" s="86">
        <f t="shared" si="6"/>
        <v>0</v>
      </c>
      <c r="I22" s="86">
        <f>IF($H22&lt;&gt;0,Inputs!$B$28/12*H22,0)</f>
        <v>0</v>
      </c>
      <c r="J22" s="86">
        <f t="shared" si="2"/>
        <v>0</v>
      </c>
      <c r="K22" s="86">
        <f t="shared" si="3"/>
        <v>0</v>
      </c>
    </row>
    <row r="23" spans="1:11" x14ac:dyDescent="0.3">
      <c r="A23" s="97">
        <f t="shared" si="0"/>
        <v>2026</v>
      </c>
      <c r="B23" s="79">
        <f t="shared" si="4"/>
        <v>46266</v>
      </c>
      <c r="C23" s="86" t="e">
        <f t="shared" si="5"/>
        <v>#N/A</v>
      </c>
      <c r="D23" s="86" t="e">
        <f>IF($C23&lt;&gt;0,Inputs!$B$14/12*C23,0)</f>
        <v>#N/A</v>
      </c>
      <c r="E23" s="86" t="e">
        <f t="shared" si="1"/>
        <v>#N/A</v>
      </c>
      <c r="F23" s="86" t="e">
        <f>IF($C23&gt;0,-PMT(Inputs!$B$14/12,Inputs!$B$15,Inputs!$B$11-Inputs!$B$13),0)</f>
        <v>#N/A</v>
      </c>
      <c r="H23" s="86">
        <f t="shared" si="6"/>
        <v>0</v>
      </c>
      <c r="I23" s="86">
        <f>IF($H23&lt;&gt;0,Inputs!$B$28/12*H23,0)</f>
        <v>0</v>
      </c>
      <c r="J23" s="86">
        <f t="shared" si="2"/>
        <v>0</v>
      </c>
      <c r="K23" s="86">
        <f t="shared" si="3"/>
        <v>0</v>
      </c>
    </row>
    <row r="24" spans="1:11" x14ac:dyDescent="0.3">
      <c r="A24" s="97">
        <f t="shared" si="0"/>
        <v>2026</v>
      </c>
      <c r="B24" s="79">
        <f t="shared" si="4"/>
        <v>46296</v>
      </c>
      <c r="C24" s="86" t="e">
        <f t="shared" si="5"/>
        <v>#N/A</v>
      </c>
      <c r="D24" s="86" t="e">
        <f>IF($C24&lt;&gt;0,Inputs!$B$14/12*C24,0)</f>
        <v>#N/A</v>
      </c>
      <c r="E24" s="86" t="e">
        <f t="shared" si="1"/>
        <v>#N/A</v>
      </c>
      <c r="F24" s="86" t="e">
        <f>IF($C24&gt;0,-PMT(Inputs!$B$14/12,Inputs!$B$15,Inputs!$B$11-Inputs!$B$13),0)</f>
        <v>#N/A</v>
      </c>
      <c r="H24" s="86">
        <f t="shared" si="6"/>
        <v>0</v>
      </c>
      <c r="I24" s="86">
        <f>IF($H24&lt;&gt;0,Inputs!$B$28/12*H24,0)</f>
        <v>0</v>
      </c>
      <c r="J24" s="86">
        <f t="shared" si="2"/>
        <v>0</v>
      </c>
      <c r="K24" s="86">
        <f t="shared" si="3"/>
        <v>0</v>
      </c>
    </row>
    <row r="25" spans="1:11" x14ac:dyDescent="0.3">
      <c r="A25" s="97">
        <f t="shared" si="0"/>
        <v>2026</v>
      </c>
      <c r="B25" s="79">
        <f t="shared" si="4"/>
        <v>46327</v>
      </c>
      <c r="C25" s="86" t="e">
        <f t="shared" si="5"/>
        <v>#N/A</v>
      </c>
      <c r="D25" s="86" t="e">
        <f>IF($C25&lt;&gt;0,Inputs!$B$14/12*C25,0)</f>
        <v>#N/A</v>
      </c>
      <c r="E25" s="86" t="e">
        <f t="shared" si="1"/>
        <v>#N/A</v>
      </c>
      <c r="F25" s="86" t="e">
        <f>IF($C25&gt;0,-PMT(Inputs!$B$14/12,Inputs!$B$15,Inputs!$B$11-Inputs!$B$13),0)</f>
        <v>#N/A</v>
      </c>
      <c r="H25" s="86">
        <f t="shared" si="6"/>
        <v>0</v>
      </c>
      <c r="I25" s="86">
        <f>IF($H25&lt;&gt;0,Inputs!$B$28/12*H25,0)</f>
        <v>0</v>
      </c>
      <c r="J25" s="86">
        <f t="shared" si="2"/>
        <v>0</v>
      </c>
      <c r="K25" s="86">
        <f t="shared" si="3"/>
        <v>0</v>
      </c>
    </row>
    <row r="26" spans="1:11" x14ac:dyDescent="0.3">
      <c r="A26" s="97">
        <f t="shared" si="0"/>
        <v>2026</v>
      </c>
      <c r="B26" s="79">
        <f t="shared" si="4"/>
        <v>46357</v>
      </c>
      <c r="C26" s="86" t="e">
        <f t="shared" si="5"/>
        <v>#N/A</v>
      </c>
      <c r="D26" s="86" t="e">
        <f>IF($C26&lt;&gt;0,Inputs!$B$14/12*C26,0)</f>
        <v>#N/A</v>
      </c>
      <c r="E26" s="86" t="e">
        <f t="shared" si="1"/>
        <v>#N/A</v>
      </c>
      <c r="F26" s="86" t="e">
        <f>IF($C26&gt;0,-PMT(Inputs!$B$14/12,Inputs!$B$15,Inputs!$B$11-Inputs!$B$13),0)</f>
        <v>#N/A</v>
      </c>
      <c r="H26" s="86">
        <f t="shared" si="6"/>
        <v>0</v>
      </c>
      <c r="I26" s="86">
        <f>IF($H26&lt;&gt;0,Inputs!$B$28/12*H26,0)</f>
        <v>0</v>
      </c>
      <c r="J26" s="86">
        <f t="shared" si="2"/>
        <v>0</v>
      </c>
      <c r="K26" s="86">
        <f t="shared" si="3"/>
        <v>0</v>
      </c>
    </row>
    <row r="27" spans="1:11" x14ac:dyDescent="0.3">
      <c r="A27" s="97">
        <f t="shared" si="0"/>
        <v>2027</v>
      </c>
      <c r="B27" s="79">
        <f t="shared" si="4"/>
        <v>46388</v>
      </c>
      <c r="C27" s="86" t="e">
        <f t="shared" si="5"/>
        <v>#N/A</v>
      </c>
      <c r="D27" s="86" t="e">
        <f>IF($C27&lt;&gt;0,Inputs!$B$14/12*C27,0)</f>
        <v>#N/A</v>
      </c>
      <c r="E27" s="86" t="e">
        <f t="shared" si="1"/>
        <v>#N/A</v>
      </c>
      <c r="F27" s="86" t="e">
        <f>IF($C27&gt;0,-PMT(Inputs!$B$14/12,Inputs!$B$15,Inputs!$B$11-Inputs!$B$13),0)</f>
        <v>#N/A</v>
      </c>
      <c r="H27" s="86">
        <f t="shared" si="6"/>
        <v>0</v>
      </c>
      <c r="I27" s="86">
        <f>IF($H27&lt;&gt;0,Inputs!$B$28/12*H27,0)</f>
        <v>0</v>
      </c>
      <c r="J27" s="86">
        <f t="shared" si="2"/>
        <v>0</v>
      </c>
      <c r="K27" s="86">
        <f t="shared" si="3"/>
        <v>0</v>
      </c>
    </row>
    <row r="28" spans="1:11" x14ac:dyDescent="0.3">
      <c r="A28" s="97">
        <f t="shared" si="0"/>
        <v>2027</v>
      </c>
      <c r="B28" s="79">
        <f t="shared" si="4"/>
        <v>46419</v>
      </c>
      <c r="C28" s="86" t="e">
        <f t="shared" si="5"/>
        <v>#N/A</v>
      </c>
      <c r="D28" s="86" t="e">
        <f>IF($C28&lt;&gt;0,Inputs!$B$14/12*C28,0)</f>
        <v>#N/A</v>
      </c>
      <c r="E28" s="86" t="e">
        <f t="shared" si="1"/>
        <v>#N/A</v>
      </c>
      <c r="F28" s="86" t="e">
        <f>IF($C28&gt;0,-PMT(Inputs!$B$14/12,Inputs!$B$15,Inputs!$B$11-Inputs!$B$13),0)</f>
        <v>#N/A</v>
      </c>
      <c r="H28" s="86">
        <f t="shared" si="6"/>
        <v>0</v>
      </c>
      <c r="I28" s="86">
        <f>IF($H28&lt;&gt;0,Inputs!$B$28/12*H28,0)</f>
        <v>0</v>
      </c>
      <c r="J28" s="86">
        <f t="shared" si="2"/>
        <v>0</v>
      </c>
      <c r="K28" s="86">
        <f t="shared" si="3"/>
        <v>0</v>
      </c>
    </row>
    <row r="29" spans="1:11" x14ac:dyDescent="0.3">
      <c r="A29" s="97">
        <f t="shared" si="0"/>
        <v>2027</v>
      </c>
      <c r="B29" s="79">
        <f t="shared" si="4"/>
        <v>46447</v>
      </c>
      <c r="C29" s="86" t="e">
        <f t="shared" si="5"/>
        <v>#N/A</v>
      </c>
      <c r="D29" s="86" t="e">
        <f>IF($C29&lt;&gt;0,Inputs!$B$14/12*C29,0)</f>
        <v>#N/A</v>
      </c>
      <c r="E29" s="86" t="e">
        <f t="shared" si="1"/>
        <v>#N/A</v>
      </c>
      <c r="F29" s="86" t="e">
        <f>IF($C29&gt;0,-PMT(Inputs!$B$14/12,Inputs!$B$15,Inputs!$B$11-Inputs!$B$13),0)</f>
        <v>#N/A</v>
      </c>
      <c r="H29" s="86">
        <f t="shared" si="6"/>
        <v>0</v>
      </c>
      <c r="I29" s="86">
        <f>IF($H29&lt;&gt;0,Inputs!$B$28/12*H29,0)</f>
        <v>0</v>
      </c>
      <c r="J29" s="86">
        <f t="shared" si="2"/>
        <v>0</v>
      </c>
      <c r="K29" s="86">
        <f t="shared" si="3"/>
        <v>0</v>
      </c>
    </row>
    <row r="30" spans="1:11" x14ac:dyDescent="0.3">
      <c r="A30" s="97">
        <f t="shared" si="0"/>
        <v>2027</v>
      </c>
      <c r="B30" s="79">
        <f t="shared" si="4"/>
        <v>46478</v>
      </c>
      <c r="C30" s="86" t="e">
        <f t="shared" si="5"/>
        <v>#N/A</v>
      </c>
      <c r="D30" s="86" t="e">
        <f>IF($C30&lt;&gt;0,Inputs!$B$14/12*C30,0)</f>
        <v>#N/A</v>
      </c>
      <c r="E30" s="86" t="e">
        <f t="shared" si="1"/>
        <v>#N/A</v>
      </c>
      <c r="F30" s="86" t="e">
        <f>IF($C30&gt;0,-PMT(Inputs!$B$14/12,Inputs!$B$15,Inputs!$B$11-Inputs!$B$13),0)</f>
        <v>#N/A</v>
      </c>
      <c r="H30" s="86">
        <f t="shared" si="6"/>
        <v>0</v>
      </c>
      <c r="I30" s="86">
        <f>IF($H30&lt;&gt;0,Inputs!$B$28/12*H30,0)</f>
        <v>0</v>
      </c>
      <c r="J30" s="86">
        <f t="shared" si="2"/>
        <v>0</v>
      </c>
      <c r="K30" s="86">
        <f t="shared" si="3"/>
        <v>0</v>
      </c>
    </row>
    <row r="31" spans="1:11" x14ac:dyDescent="0.3">
      <c r="A31" s="97">
        <f t="shared" si="0"/>
        <v>2027</v>
      </c>
      <c r="B31" s="79">
        <f t="shared" si="4"/>
        <v>46508</v>
      </c>
      <c r="C31" s="86" t="e">
        <f t="shared" si="5"/>
        <v>#N/A</v>
      </c>
      <c r="D31" s="86" t="e">
        <f>IF($C31&lt;&gt;0,Inputs!$B$14/12*C31,0)</f>
        <v>#N/A</v>
      </c>
      <c r="E31" s="86" t="e">
        <f t="shared" si="1"/>
        <v>#N/A</v>
      </c>
      <c r="F31" s="86" t="e">
        <f>IF($C31&gt;0,-PMT(Inputs!$B$14/12,Inputs!$B$15,Inputs!$B$11-Inputs!$B$13),0)</f>
        <v>#N/A</v>
      </c>
      <c r="H31" s="86">
        <f t="shared" si="6"/>
        <v>0</v>
      </c>
      <c r="I31" s="86">
        <f>IF($H31&lt;&gt;0,Inputs!$B$28/12*H31,0)</f>
        <v>0</v>
      </c>
      <c r="J31" s="86">
        <f t="shared" si="2"/>
        <v>0</v>
      </c>
      <c r="K31" s="86">
        <f t="shared" si="3"/>
        <v>0</v>
      </c>
    </row>
    <row r="32" spans="1:11" x14ac:dyDescent="0.3">
      <c r="A32" s="97">
        <f t="shared" si="0"/>
        <v>2027</v>
      </c>
      <c r="B32" s="79">
        <f t="shared" si="4"/>
        <v>46539</v>
      </c>
      <c r="C32" s="86" t="e">
        <f t="shared" si="5"/>
        <v>#N/A</v>
      </c>
      <c r="D32" s="86" t="e">
        <f>IF($C32&lt;&gt;0,Inputs!$B$14/12*C32,0)</f>
        <v>#N/A</v>
      </c>
      <c r="E32" s="86" t="e">
        <f t="shared" si="1"/>
        <v>#N/A</v>
      </c>
      <c r="F32" s="86" t="e">
        <f>IF($C32&gt;0,-PMT(Inputs!$B$14/12,Inputs!$B$15,Inputs!$B$11-Inputs!$B$13),0)</f>
        <v>#N/A</v>
      </c>
      <c r="H32" s="86">
        <f t="shared" si="6"/>
        <v>0</v>
      </c>
      <c r="I32" s="86">
        <f>IF($H32&lt;&gt;0,Inputs!$B$28/12*H32,0)</f>
        <v>0</v>
      </c>
      <c r="J32" s="86">
        <f t="shared" si="2"/>
        <v>0</v>
      </c>
      <c r="K32" s="86">
        <f t="shared" si="3"/>
        <v>0</v>
      </c>
    </row>
    <row r="33" spans="1:11" x14ac:dyDescent="0.3">
      <c r="A33" s="97">
        <f t="shared" si="0"/>
        <v>2027</v>
      </c>
      <c r="B33" s="79">
        <f t="shared" si="4"/>
        <v>46569</v>
      </c>
      <c r="C33" s="86" t="e">
        <f t="shared" si="5"/>
        <v>#N/A</v>
      </c>
      <c r="D33" s="86" t="e">
        <f>IF($C33&lt;&gt;0,Inputs!$B$14/12*C33,0)</f>
        <v>#N/A</v>
      </c>
      <c r="E33" s="86" t="e">
        <f t="shared" si="1"/>
        <v>#N/A</v>
      </c>
      <c r="F33" s="86" t="e">
        <f>IF($C33&gt;0,-PMT(Inputs!$B$14/12,Inputs!$B$15,Inputs!$B$11-Inputs!$B$13),0)</f>
        <v>#N/A</v>
      </c>
      <c r="H33" s="86">
        <f t="shared" si="6"/>
        <v>0</v>
      </c>
      <c r="I33" s="86">
        <f>IF($H33&lt;&gt;0,Inputs!$B$28/12*H33,0)</f>
        <v>0</v>
      </c>
      <c r="J33" s="86">
        <f t="shared" si="2"/>
        <v>0</v>
      </c>
      <c r="K33" s="86">
        <f t="shared" si="3"/>
        <v>0</v>
      </c>
    </row>
    <row r="34" spans="1:11" x14ac:dyDescent="0.3">
      <c r="A34" s="97">
        <f t="shared" si="0"/>
        <v>2027</v>
      </c>
      <c r="B34" s="79">
        <f t="shared" si="4"/>
        <v>46600</v>
      </c>
      <c r="C34" s="86" t="e">
        <f t="shared" si="5"/>
        <v>#N/A</v>
      </c>
      <c r="D34" s="86" t="e">
        <f>IF($C34&lt;&gt;0,Inputs!$B$14/12*C34,0)</f>
        <v>#N/A</v>
      </c>
      <c r="E34" s="86" t="e">
        <f t="shared" si="1"/>
        <v>#N/A</v>
      </c>
      <c r="F34" s="86" t="e">
        <f>IF($C34&gt;0,-PMT(Inputs!$B$14/12,Inputs!$B$15,Inputs!$B$11-Inputs!$B$13),0)</f>
        <v>#N/A</v>
      </c>
      <c r="H34" s="86">
        <f t="shared" si="6"/>
        <v>0</v>
      </c>
      <c r="I34" s="86">
        <f>IF($H34&lt;&gt;0,Inputs!$B$28/12*H34,0)</f>
        <v>0</v>
      </c>
      <c r="J34" s="86">
        <f t="shared" si="2"/>
        <v>0</v>
      </c>
      <c r="K34" s="86">
        <f t="shared" si="3"/>
        <v>0</v>
      </c>
    </row>
    <row r="35" spans="1:11" x14ac:dyDescent="0.3">
      <c r="A35" s="97">
        <f t="shared" si="0"/>
        <v>2027</v>
      </c>
      <c r="B35" s="79">
        <f t="shared" si="4"/>
        <v>46631</v>
      </c>
      <c r="C35" s="86" t="e">
        <f t="shared" si="5"/>
        <v>#N/A</v>
      </c>
      <c r="D35" s="86" t="e">
        <f>IF($C35&lt;&gt;0,Inputs!$B$14/12*C35,0)</f>
        <v>#N/A</v>
      </c>
      <c r="E35" s="86" t="e">
        <f t="shared" si="1"/>
        <v>#N/A</v>
      </c>
      <c r="F35" s="86" t="e">
        <f>IF($C35&gt;0,-PMT(Inputs!$B$14/12,Inputs!$B$15,Inputs!$B$11-Inputs!$B$13),0)</f>
        <v>#N/A</v>
      </c>
      <c r="H35" s="86">
        <f t="shared" si="6"/>
        <v>0</v>
      </c>
      <c r="I35" s="86">
        <f>IF($H35&lt;&gt;0,Inputs!$B$28/12*H35,0)</f>
        <v>0</v>
      </c>
      <c r="J35" s="86">
        <f t="shared" si="2"/>
        <v>0</v>
      </c>
      <c r="K35" s="86">
        <f t="shared" si="3"/>
        <v>0</v>
      </c>
    </row>
    <row r="36" spans="1:11" x14ac:dyDescent="0.3">
      <c r="A36" s="97">
        <f t="shared" si="0"/>
        <v>2027</v>
      </c>
      <c r="B36" s="79">
        <f t="shared" si="4"/>
        <v>46661</v>
      </c>
      <c r="C36" s="86" t="e">
        <f t="shared" si="5"/>
        <v>#N/A</v>
      </c>
      <c r="D36" s="86" t="e">
        <f>IF($C36&lt;&gt;0,Inputs!$B$14/12*C36,0)</f>
        <v>#N/A</v>
      </c>
      <c r="E36" s="86" t="e">
        <f t="shared" si="1"/>
        <v>#N/A</v>
      </c>
      <c r="F36" s="86" t="e">
        <f>IF($C36&gt;0,-PMT(Inputs!$B$14/12,Inputs!$B$15,Inputs!$B$11-Inputs!$B$13),0)</f>
        <v>#N/A</v>
      </c>
      <c r="H36" s="86">
        <f t="shared" si="6"/>
        <v>0</v>
      </c>
      <c r="I36" s="86">
        <f>IF($H36&lt;&gt;0,Inputs!$B$28/12*H36,0)</f>
        <v>0</v>
      </c>
      <c r="J36" s="86">
        <f t="shared" si="2"/>
        <v>0</v>
      </c>
      <c r="K36" s="86">
        <f t="shared" si="3"/>
        <v>0</v>
      </c>
    </row>
    <row r="37" spans="1:11" x14ac:dyDescent="0.3">
      <c r="A37" s="97">
        <f t="shared" si="0"/>
        <v>2027</v>
      </c>
      <c r="B37" s="79">
        <f t="shared" si="4"/>
        <v>46692</v>
      </c>
      <c r="C37" s="86" t="e">
        <f t="shared" si="5"/>
        <v>#N/A</v>
      </c>
      <c r="D37" s="86" t="e">
        <f>IF($C37&lt;&gt;0,Inputs!$B$14/12*C37,0)</f>
        <v>#N/A</v>
      </c>
      <c r="E37" s="86" t="e">
        <f t="shared" si="1"/>
        <v>#N/A</v>
      </c>
      <c r="F37" s="86" t="e">
        <f>IF($C37&gt;0,-PMT(Inputs!$B$14/12,Inputs!$B$15,Inputs!$B$11-Inputs!$B$13),0)</f>
        <v>#N/A</v>
      </c>
      <c r="H37" s="86">
        <f t="shared" si="6"/>
        <v>0</v>
      </c>
      <c r="I37" s="86">
        <f>IF($H37&lt;&gt;0,Inputs!$B$28/12*H37,0)</f>
        <v>0</v>
      </c>
      <c r="J37" s="86">
        <f t="shared" si="2"/>
        <v>0</v>
      </c>
      <c r="K37" s="86">
        <f t="shared" si="3"/>
        <v>0</v>
      </c>
    </row>
    <row r="38" spans="1:11" x14ac:dyDescent="0.3">
      <c r="A38" s="97">
        <f t="shared" si="0"/>
        <v>2027</v>
      </c>
      <c r="B38" s="79">
        <f t="shared" si="4"/>
        <v>46722</v>
      </c>
      <c r="C38" s="86" t="e">
        <f t="shared" si="5"/>
        <v>#N/A</v>
      </c>
      <c r="D38" s="86" t="e">
        <f>IF($C38&lt;&gt;0,Inputs!$B$14/12*C38,0)</f>
        <v>#N/A</v>
      </c>
      <c r="E38" s="86" t="e">
        <f t="shared" si="1"/>
        <v>#N/A</v>
      </c>
      <c r="F38" s="86" t="e">
        <f>IF($C38&gt;0,-PMT(Inputs!$B$14/12,Inputs!$B$15,Inputs!$B$11-Inputs!$B$13),0)</f>
        <v>#N/A</v>
      </c>
      <c r="H38" s="86">
        <f t="shared" si="6"/>
        <v>0</v>
      </c>
      <c r="I38" s="86">
        <f>IF($H38&lt;&gt;0,Inputs!$B$28/12*H38,0)</f>
        <v>0</v>
      </c>
      <c r="J38" s="86">
        <f t="shared" si="2"/>
        <v>0</v>
      </c>
      <c r="K38" s="86">
        <f t="shared" si="3"/>
        <v>0</v>
      </c>
    </row>
    <row r="39" spans="1:11" x14ac:dyDescent="0.3">
      <c r="A39" s="97">
        <f t="shared" si="0"/>
        <v>2028</v>
      </c>
      <c r="B39" s="79">
        <f t="shared" si="4"/>
        <v>46753</v>
      </c>
      <c r="C39" s="86" t="e">
        <f t="shared" si="5"/>
        <v>#N/A</v>
      </c>
      <c r="D39" s="86" t="e">
        <f>IF($C39&lt;&gt;0,Inputs!$B$14/12*C39,0)</f>
        <v>#N/A</v>
      </c>
      <c r="E39" s="86" t="e">
        <f t="shared" si="1"/>
        <v>#N/A</v>
      </c>
      <c r="F39" s="86" t="e">
        <f>IF($C39&gt;0,-PMT(Inputs!$B$14/12,Inputs!$B$15,Inputs!$B$11-Inputs!$B$13),0)</f>
        <v>#N/A</v>
      </c>
      <c r="H39" s="86">
        <f t="shared" si="6"/>
        <v>0</v>
      </c>
      <c r="I39" s="86">
        <f>IF($H39&lt;&gt;0,Inputs!$B$28/12*H39,0)</f>
        <v>0</v>
      </c>
      <c r="J39" s="86">
        <f t="shared" si="2"/>
        <v>0</v>
      </c>
      <c r="K39" s="86">
        <f t="shared" si="3"/>
        <v>0</v>
      </c>
    </row>
    <row r="40" spans="1:11" x14ac:dyDescent="0.3">
      <c r="A40" s="97">
        <f t="shared" si="0"/>
        <v>2028</v>
      </c>
      <c r="B40" s="79">
        <f t="shared" si="4"/>
        <v>46784</v>
      </c>
      <c r="C40" s="86" t="e">
        <f t="shared" si="5"/>
        <v>#N/A</v>
      </c>
      <c r="D40" s="86" t="e">
        <f>IF($C40&lt;&gt;0,Inputs!$B$14/12*C40,0)</f>
        <v>#N/A</v>
      </c>
      <c r="E40" s="86" t="e">
        <f t="shared" si="1"/>
        <v>#N/A</v>
      </c>
      <c r="F40" s="86" t="e">
        <f>IF($C40&gt;0,-PMT(Inputs!$B$14/12,Inputs!$B$15,Inputs!$B$11-Inputs!$B$13),0)</f>
        <v>#N/A</v>
      </c>
      <c r="H40" s="86">
        <f t="shared" si="6"/>
        <v>0</v>
      </c>
      <c r="I40" s="86">
        <f>IF($H40&lt;&gt;0,Inputs!$B$28/12*H40,0)</f>
        <v>0</v>
      </c>
      <c r="J40" s="86">
        <f t="shared" si="2"/>
        <v>0</v>
      </c>
      <c r="K40" s="86">
        <f t="shared" si="3"/>
        <v>0</v>
      </c>
    </row>
    <row r="41" spans="1:11" x14ac:dyDescent="0.3">
      <c r="A41" s="97">
        <f t="shared" si="0"/>
        <v>2028</v>
      </c>
      <c r="B41" s="79">
        <f t="shared" si="4"/>
        <v>46813</v>
      </c>
      <c r="C41" s="86" t="e">
        <f t="shared" si="5"/>
        <v>#N/A</v>
      </c>
      <c r="D41" s="86" t="e">
        <f>IF($C41&lt;&gt;0,Inputs!$B$14/12*C41,0)</f>
        <v>#N/A</v>
      </c>
      <c r="E41" s="86" t="e">
        <f t="shared" si="1"/>
        <v>#N/A</v>
      </c>
      <c r="F41" s="86" t="e">
        <f>IF($C41&gt;0,-PMT(Inputs!$B$14/12,Inputs!$B$15,Inputs!$B$11-Inputs!$B$13),0)</f>
        <v>#N/A</v>
      </c>
      <c r="H41" s="86">
        <f t="shared" si="6"/>
        <v>0</v>
      </c>
      <c r="I41" s="86">
        <f>IF($H41&lt;&gt;0,Inputs!$B$28/12*H41,0)</f>
        <v>0</v>
      </c>
      <c r="J41" s="86">
        <f t="shared" si="2"/>
        <v>0</v>
      </c>
      <c r="K41" s="86">
        <f t="shared" si="3"/>
        <v>0</v>
      </c>
    </row>
    <row r="42" spans="1:11" x14ac:dyDescent="0.3">
      <c r="A42" s="97">
        <f t="shared" si="0"/>
        <v>2028</v>
      </c>
      <c r="B42" s="79">
        <f t="shared" si="4"/>
        <v>46844</v>
      </c>
      <c r="C42" s="86" t="e">
        <f t="shared" si="5"/>
        <v>#N/A</v>
      </c>
      <c r="D42" s="86" t="e">
        <f>IF($C42&lt;&gt;0,Inputs!$B$14/12*C42,0)</f>
        <v>#N/A</v>
      </c>
      <c r="E42" s="86" t="e">
        <f t="shared" si="1"/>
        <v>#N/A</v>
      </c>
      <c r="F42" s="86" t="e">
        <f>IF($C42&gt;0,-PMT(Inputs!$B$14/12,Inputs!$B$15,Inputs!$B$11-Inputs!$B$13),0)</f>
        <v>#N/A</v>
      </c>
      <c r="H42" s="86">
        <f t="shared" si="6"/>
        <v>0</v>
      </c>
      <c r="I42" s="86">
        <f>IF($H42&lt;&gt;0,Inputs!$B$28/12*H42,0)</f>
        <v>0</v>
      </c>
      <c r="J42" s="86">
        <f t="shared" si="2"/>
        <v>0</v>
      </c>
      <c r="K42" s="86">
        <f t="shared" si="3"/>
        <v>0</v>
      </c>
    </row>
    <row r="43" spans="1:11" x14ac:dyDescent="0.3">
      <c r="A43" s="97">
        <f t="shared" si="0"/>
        <v>2028</v>
      </c>
      <c r="B43" s="79">
        <f t="shared" si="4"/>
        <v>46874</v>
      </c>
      <c r="C43" s="86" t="e">
        <f t="shared" si="5"/>
        <v>#N/A</v>
      </c>
      <c r="D43" s="86" t="e">
        <f>IF($C43&lt;&gt;0,Inputs!$B$14/12*C43,0)</f>
        <v>#N/A</v>
      </c>
      <c r="E43" s="86" t="e">
        <f t="shared" si="1"/>
        <v>#N/A</v>
      </c>
      <c r="F43" s="86" t="e">
        <f>IF($C43&gt;0,-PMT(Inputs!$B$14/12,Inputs!$B$15,Inputs!$B$11-Inputs!$B$13),0)</f>
        <v>#N/A</v>
      </c>
      <c r="H43" s="86">
        <f t="shared" si="6"/>
        <v>0</v>
      </c>
      <c r="I43" s="86">
        <f>IF($H43&lt;&gt;0,Inputs!$B$28/12*H43,0)</f>
        <v>0</v>
      </c>
      <c r="J43" s="86">
        <f t="shared" si="2"/>
        <v>0</v>
      </c>
      <c r="K43" s="86">
        <f t="shared" si="3"/>
        <v>0</v>
      </c>
    </row>
    <row r="44" spans="1:11" x14ac:dyDescent="0.3">
      <c r="A44" s="97">
        <f t="shared" si="0"/>
        <v>2028</v>
      </c>
      <c r="B44" s="79">
        <f t="shared" si="4"/>
        <v>46905</v>
      </c>
      <c r="C44" s="86" t="e">
        <f t="shared" si="5"/>
        <v>#N/A</v>
      </c>
      <c r="D44" s="86" t="e">
        <f>IF($C44&lt;&gt;0,Inputs!$B$14/12*C44,0)</f>
        <v>#N/A</v>
      </c>
      <c r="E44" s="86" t="e">
        <f t="shared" si="1"/>
        <v>#N/A</v>
      </c>
      <c r="F44" s="86" t="e">
        <f>IF($C44&gt;0,-PMT(Inputs!$B$14/12,Inputs!$B$15,Inputs!$B$11-Inputs!$B$13),0)</f>
        <v>#N/A</v>
      </c>
      <c r="H44" s="86">
        <f t="shared" si="6"/>
        <v>0</v>
      </c>
      <c r="I44" s="86">
        <f>IF($H44&lt;&gt;0,Inputs!$B$28/12*H44,0)</f>
        <v>0</v>
      </c>
      <c r="J44" s="86">
        <f t="shared" si="2"/>
        <v>0</v>
      </c>
      <c r="K44" s="86">
        <f t="shared" si="3"/>
        <v>0</v>
      </c>
    </row>
    <row r="45" spans="1:11" x14ac:dyDescent="0.3">
      <c r="A45" s="97">
        <f t="shared" si="0"/>
        <v>2028</v>
      </c>
      <c r="B45" s="79">
        <f t="shared" si="4"/>
        <v>46935</v>
      </c>
      <c r="C45" s="86" t="e">
        <f t="shared" si="5"/>
        <v>#N/A</v>
      </c>
      <c r="D45" s="86" t="e">
        <f>IF($C45&lt;&gt;0,Inputs!$B$14/12*C45,0)</f>
        <v>#N/A</v>
      </c>
      <c r="E45" s="86" t="e">
        <f t="shared" si="1"/>
        <v>#N/A</v>
      </c>
      <c r="F45" s="86" t="e">
        <f>IF($C45&gt;0,-PMT(Inputs!$B$14/12,Inputs!$B$15,Inputs!$B$11-Inputs!$B$13),0)</f>
        <v>#N/A</v>
      </c>
      <c r="H45" s="86">
        <f t="shared" si="6"/>
        <v>0</v>
      </c>
      <c r="I45" s="86">
        <f>IF($H45&lt;&gt;0,Inputs!$B$28/12*H45,0)</f>
        <v>0</v>
      </c>
      <c r="J45" s="86">
        <f t="shared" si="2"/>
        <v>0</v>
      </c>
      <c r="K45" s="86">
        <f t="shared" si="3"/>
        <v>0</v>
      </c>
    </row>
    <row r="46" spans="1:11" x14ac:dyDescent="0.3">
      <c r="A46" s="97">
        <f t="shared" si="0"/>
        <v>2028</v>
      </c>
      <c r="B46" s="79">
        <f t="shared" si="4"/>
        <v>46966</v>
      </c>
      <c r="C46" s="86" t="e">
        <f t="shared" si="5"/>
        <v>#N/A</v>
      </c>
      <c r="D46" s="86" t="e">
        <f>IF($C46&lt;&gt;0,Inputs!$B$14/12*C46,0)</f>
        <v>#N/A</v>
      </c>
      <c r="E46" s="86" t="e">
        <f t="shared" si="1"/>
        <v>#N/A</v>
      </c>
      <c r="F46" s="86" t="e">
        <f>IF($C46&gt;0,-PMT(Inputs!$B$14/12,Inputs!$B$15,Inputs!$B$11-Inputs!$B$13),0)</f>
        <v>#N/A</v>
      </c>
      <c r="H46" s="86">
        <f t="shared" si="6"/>
        <v>0</v>
      </c>
      <c r="I46" s="86">
        <f>IF($H46&lt;&gt;0,Inputs!$B$28/12*H46,0)</f>
        <v>0</v>
      </c>
      <c r="J46" s="86">
        <f t="shared" si="2"/>
        <v>0</v>
      </c>
      <c r="K46" s="86">
        <f t="shared" si="3"/>
        <v>0</v>
      </c>
    </row>
    <row r="47" spans="1:11" x14ac:dyDescent="0.3">
      <c r="A47" s="97">
        <f t="shared" si="0"/>
        <v>2028</v>
      </c>
      <c r="B47" s="79">
        <f t="shared" si="4"/>
        <v>46997</v>
      </c>
      <c r="C47" s="86" t="e">
        <f t="shared" si="5"/>
        <v>#N/A</v>
      </c>
      <c r="D47" s="86" t="e">
        <f>IF($C47&lt;&gt;0,Inputs!$B$14/12*C47,0)</f>
        <v>#N/A</v>
      </c>
      <c r="E47" s="86" t="e">
        <f t="shared" si="1"/>
        <v>#N/A</v>
      </c>
      <c r="F47" s="86" t="e">
        <f>IF($C47&gt;0,-PMT(Inputs!$B$14/12,Inputs!$B$15,Inputs!$B$11-Inputs!$B$13),0)</f>
        <v>#N/A</v>
      </c>
      <c r="H47" s="86">
        <f t="shared" si="6"/>
        <v>0</v>
      </c>
      <c r="I47" s="86">
        <f>IF($H47&lt;&gt;0,Inputs!$B$28/12*H47,0)</f>
        <v>0</v>
      </c>
      <c r="J47" s="86">
        <f t="shared" si="2"/>
        <v>0</v>
      </c>
      <c r="K47" s="86">
        <f t="shared" si="3"/>
        <v>0</v>
      </c>
    </row>
    <row r="48" spans="1:11" x14ac:dyDescent="0.3">
      <c r="A48" s="97">
        <f t="shared" si="0"/>
        <v>2028</v>
      </c>
      <c r="B48" s="79">
        <f t="shared" si="4"/>
        <v>47027</v>
      </c>
      <c r="C48" s="86" t="e">
        <f t="shared" si="5"/>
        <v>#N/A</v>
      </c>
      <c r="D48" s="86" t="e">
        <f>IF($C48&lt;&gt;0,Inputs!$B$14/12*C48,0)</f>
        <v>#N/A</v>
      </c>
      <c r="E48" s="86" t="e">
        <f t="shared" si="1"/>
        <v>#N/A</v>
      </c>
      <c r="F48" s="86" t="e">
        <f>IF($C48&gt;0,-PMT(Inputs!$B$14/12,Inputs!$B$15,Inputs!$B$11-Inputs!$B$13),0)</f>
        <v>#N/A</v>
      </c>
      <c r="H48" s="86">
        <f t="shared" si="6"/>
        <v>0</v>
      </c>
      <c r="I48" s="86">
        <f>IF($H48&lt;&gt;0,Inputs!$B$28/12*H48,0)</f>
        <v>0</v>
      </c>
      <c r="J48" s="86">
        <f t="shared" si="2"/>
        <v>0</v>
      </c>
      <c r="K48" s="86">
        <f t="shared" si="3"/>
        <v>0</v>
      </c>
    </row>
    <row r="49" spans="1:11" x14ac:dyDescent="0.3">
      <c r="A49" s="97">
        <f t="shared" si="0"/>
        <v>2028</v>
      </c>
      <c r="B49" s="79">
        <f t="shared" si="4"/>
        <v>47058</v>
      </c>
      <c r="C49" s="86" t="e">
        <f t="shared" si="5"/>
        <v>#N/A</v>
      </c>
      <c r="D49" s="86" t="e">
        <f>IF($C49&lt;&gt;0,Inputs!$B$14/12*C49,0)</f>
        <v>#N/A</v>
      </c>
      <c r="E49" s="86" t="e">
        <f t="shared" si="1"/>
        <v>#N/A</v>
      </c>
      <c r="F49" s="86" t="e">
        <f>IF($C49&gt;0,-PMT(Inputs!$B$14/12,Inputs!$B$15,Inputs!$B$11-Inputs!$B$13),0)</f>
        <v>#N/A</v>
      </c>
      <c r="H49" s="86">
        <f t="shared" si="6"/>
        <v>0</v>
      </c>
      <c r="I49" s="86">
        <f>IF($H49&lt;&gt;0,Inputs!$B$28/12*H49,0)</f>
        <v>0</v>
      </c>
      <c r="J49" s="86">
        <f t="shared" si="2"/>
        <v>0</v>
      </c>
      <c r="K49" s="86">
        <f t="shared" si="3"/>
        <v>0</v>
      </c>
    </row>
    <row r="50" spans="1:11" x14ac:dyDescent="0.3">
      <c r="A50" s="97">
        <f t="shared" si="0"/>
        <v>2028</v>
      </c>
      <c r="B50" s="79">
        <f t="shared" si="4"/>
        <v>47088</v>
      </c>
      <c r="C50" s="86" t="e">
        <f t="shared" si="5"/>
        <v>#N/A</v>
      </c>
      <c r="D50" s="86" t="e">
        <f>IF($C50&lt;&gt;0,Inputs!$B$14/12*C50,0)</f>
        <v>#N/A</v>
      </c>
      <c r="E50" s="86" t="e">
        <f t="shared" si="1"/>
        <v>#N/A</v>
      </c>
      <c r="F50" s="86" t="e">
        <f>IF($C50&gt;0,-PMT(Inputs!$B$14/12,Inputs!$B$15,Inputs!$B$11-Inputs!$B$13),0)</f>
        <v>#N/A</v>
      </c>
      <c r="H50" s="86">
        <f t="shared" si="6"/>
        <v>0</v>
      </c>
      <c r="I50" s="86">
        <f>IF($H50&lt;&gt;0,Inputs!$B$28/12*H50,0)</f>
        <v>0</v>
      </c>
      <c r="J50" s="86">
        <f t="shared" si="2"/>
        <v>0</v>
      </c>
      <c r="K50" s="86">
        <f t="shared" si="3"/>
        <v>0</v>
      </c>
    </row>
    <row r="51" spans="1:11" x14ac:dyDescent="0.3">
      <c r="A51" s="97">
        <f t="shared" si="0"/>
        <v>2029</v>
      </c>
      <c r="B51" s="79">
        <f t="shared" si="4"/>
        <v>47119</v>
      </c>
      <c r="C51" s="86" t="e">
        <f t="shared" si="5"/>
        <v>#N/A</v>
      </c>
      <c r="D51" s="86" t="e">
        <f>IF($C51&lt;&gt;0,Inputs!$B$14/12*C51,0)</f>
        <v>#N/A</v>
      </c>
      <c r="E51" s="86" t="e">
        <f t="shared" si="1"/>
        <v>#N/A</v>
      </c>
      <c r="F51" s="86" t="e">
        <f>IF($C51&gt;0,-PMT(Inputs!$B$14/12,Inputs!$B$15,Inputs!$B$11-Inputs!$B$13),0)</f>
        <v>#N/A</v>
      </c>
      <c r="H51" s="86">
        <f t="shared" si="6"/>
        <v>0</v>
      </c>
      <c r="I51" s="86">
        <f>IF($H51&lt;&gt;0,Inputs!$B$28/12*H51,0)</f>
        <v>0</v>
      </c>
      <c r="J51" s="86">
        <f t="shared" si="2"/>
        <v>0</v>
      </c>
      <c r="K51" s="86">
        <f t="shared" si="3"/>
        <v>0</v>
      </c>
    </row>
    <row r="52" spans="1:11" x14ac:dyDescent="0.3">
      <c r="A52" s="97">
        <f t="shared" si="0"/>
        <v>2029</v>
      </c>
      <c r="B52" s="79">
        <f t="shared" si="4"/>
        <v>47150</v>
      </c>
      <c r="C52" s="86" t="e">
        <f t="shared" si="5"/>
        <v>#N/A</v>
      </c>
      <c r="D52" s="86" t="e">
        <f>IF($C52&lt;&gt;0,Inputs!$B$14/12*C52,0)</f>
        <v>#N/A</v>
      </c>
      <c r="E52" s="86" t="e">
        <f t="shared" si="1"/>
        <v>#N/A</v>
      </c>
      <c r="F52" s="86" t="e">
        <f>IF($C52&gt;0,-PMT(Inputs!$B$14/12,Inputs!$B$15,Inputs!$B$11-Inputs!$B$13),0)</f>
        <v>#N/A</v>
      </c>
      <c r="H52" s="86">
        <f t="shared" si="6"/>
        <v>0</v>
      </c>
      <c r="I52" s="86">
        <f>IF($H52&lt;&gt;0,Inputs!$B$28/12*H52,0)</f>
        <v>0</v>
      </c>
      <c r="J52" s="86">
        <f t="shared" si="2"/>
        <v>0</v>
      </c>
      <c r="K52" s="86">
        <f t="shared" si="3"/>
        <v>0</v>
      </c>
    </row>
    <row r="53" spans="1:11" x14ac:dyDescent="0.3">
      <c r="A53" s="97">
        <f t="shared" si="0"/>
        <v>2029</v>
      </c>
      <c r="B53" s="79">
        <f t="shared" si="4"/>
        <v>47178</v>
      </c>
      <c r="C53" s="86" t="e">
        <f t="shared" si="5"/>
        <v>#N/A</v>
      </c>
      <c r="D53" s="86" t="e">
        <f>IF($C53&lt;&gt;0,Inputs!$B$14/12*C53,0)</f>
        <v>#N/A</v>
      </c>
      <c r="E53" s="86" t="e">
        <f t="shared" si="1"/>
        <v>#N/A</v>
      </c>
      <c r="F53" s="86" t="e">
        <f>IF($C53&gt;0,-PMT(Inputs!$B$14/12,Inputs!$B$15,Inputs!$B$11-Inputs!$B$13),0)</f>
        <v>#N/A</v>
      </c>
      <c r="H53" s="86">
        <f t="shared" si="6"/>
        <v>0</v>
      </c>
      <c r="I53" s="86">
        <f>IF($H53&lt;&gt;0,Inputs!$B$28/12*H53,0)</f>
        <v>0</v>
      </c>
      <c r="J53" s="86">
        <f t="shared" si="2"/>
        <v>0</v>
      </c>
      <c r="K53" s="86">
        <f t="shared" si="3"/>
        <v>0</v>
      </c>
    </row>
    <row r="54" spans="1:11" x14ac:dyDescent="0.3">
      <c r="A54" s="97">
        <f t="shared" si="0"/>
        <v>2029</v>
      </c>
      <c r="B54" s="79">
        <f t="shared" si="4"/>
        <v>47209</v>
      </c>
      <c r="C54" s="86" t="e">
        <f t="shared" si="5"/>
        <v>#N/A</v>
      </c>
      <c r="D54" s="86" t="e">
        <f>IF($C54&lt;&gt;0,Inputs!$B$14/12*C54,0)</f>
        <v>#N/A</v>
      </c>
      <c r="E54" s="86" t="e">
        <f t="shared" si="1"/>
        <v>#N/A</v>
      </c>
      <c r="F54" s="86" t="e">
        <f>IF($C54&gt;0,-PMT(Inputs!$B$14/12,Inputs!$B$15,Inputs!$B$11-Inputs!$B$13),0)</f>
        <v>#N/A</v>
      </c>
      <c r="H54" s="86">
        <f t="shared" si="6"/>
        <v>0</v>
      </c>
      <c r="I54" s="86">
        <f>IF($H54&lt;&gt;0,Inputs!$B$28/12*H54,0)</f>
        <v>0</v>
      </c>
      <c r="J54" s="86">
        <f t="shared" si="2"/>
        <v>0</v>
      </c>
      <c r="K54" s="86">
        <f t="shared" si="3"/>
        <v>0</v>
      </c>
    </row>
    <row r="55" spans="1:11" x14ac:dyDescent="0.3">
      <c r="A55" s="97">
        <f t="shared" si="0"/>
        <v>2029</v>
      </c>
      <c r="B55" s="79">
        <f t="shared" si="4"/>
        <v>47239</v>
      </c>
      <c r="C55" s="86" t="e">
        <f t="shared" si="5"/>
        <v>#N/A</v>
      </c>
      <c r="D55" s="86" t="e">
        <f>IF($C55&lt;&gt;0,Inputs!$B$14/12*C55,0)</f>
        <v>#N/A</v>
      </c>
      <c r="E55" s="86" t="e">
        <f t="shared" si="1"/>
        <v>#N/A</v>
      </c>
      <c r="F55" s="86" t="e">
        <f>IF($C55&gt;0,-PMT(Inputs!$B$14/12,Inputs!$B$15,Inputs!$B$11-Inputs!$B$13),0)</f>
        <v>#N/A</v>
      </c>
      <c r="H55" s="86">
        <f t="shared" si="6"/>
        <v>0</v>
      </c>
      <c r="I55" s="86">
        <f>IF($H55&lt;&gt;0,Inputs!$B$28/12*H55,0)</f>
        <v>0</v>
      </c>
      <c r="J55" s="86">
        <f t="shared" si="2"/>
        <v>0</v>
      </c>
      <c r="K55" s="86">
        <f t="shared" si="3"/>
        <v>0</v>
      </c>
    </row>
    <row r="56" spans="1:11" x14ac:dyDescent="0.3">
      <c r="A56" s="97">
        <f t="shared" si="0"/>
        <v>2029</v>
      </c>
      <c r="B56" s="79">
        <f t="shared" si="4"/>
        <v>47270</v>
      </c>
      <c r="C56" s="86" t="e">
        <f t="shared" si="5"/>
        <v>#N/A</v>
      </c>
      <c r="D56" s="86" t="e">
        <f>IF($C56&lt;&gt;0,Inputs!$B$14/12*C56,0)</f>
        <v>#N/A</v>
      </c>
      <c r="E56" s="86" t="e">
        <f t="shared" si="1"/>
        <v>#N/A</v>
      </c>
      <c r="F56" s="86" t="e">
        <f>IF($C56&gt;0,-PMT(Inputs!$B$14/12,Inputs!$B$15,Inputs!$B$11-Inputs!$B$13),0)</f>
        <v>#N/A</v>
      </c>
      <c r="H56" s="86">
        <f t="shared" si="6"/>
        <v>0</v>
      </c>
      <c r="I56" s="86">
        <f>IF($H56&lt;&gt;0,Inputs!$B$28/12*H56,0)</f>
        <v>0</v>
      </c>
      <c r="J56" s="86">
        <f t="shared" si="2"/>
        <v>0</v>
      </c>
      <c r="K56" s="86">
        <f t="shared" si="3"/>
        <v>0</v>
      </c>
    </row>
    <row r="57" spans="1:11" x14ac:dyDescent="0.3">
      <c r="A57" s="97">
        <f t="shared" si="0"/>
        <v>2029</v>
      </c>
      <c r="B57" s="79">
        <f t="shared" si="4"/>
        <v>47300</v>
      </c>
      <c r="C57" s="86" t="e">
        <f t="shared" si="5"/>
        <v>#N/A</v>
      </c>
      <c r="D57" s="86" t="e">
        <f>IF($C57&lt;&gt;0,Inputs!$B$14/12*C57,0)</f>
        <v>#N/A</v>
      </c>
      <c r="E57" s="86" t="e">
        <f t="shared" si="1"/>
        <v>#N/A</v>
      </c>
      <c r="F57" s="86" t="e">
        <f>IF($C57&gt;0,-PMT(Inputs!$B$14/12,Inputs!$B$15,Inputs!$B$11-Inputs!$B$13),0)</f>
        <v>#N/A</v>
      </c>
      <c r="H57" s="86">
        <f t="shared" si="6"/>
        <v>0</v>
      </c>
      <c r="I57" s="86">
        <f>IF($H57&lt;&gt;0,Inputs!$B$28/12*H57,0)</f>
        <v>0</v>
      </c>
      <c r="J57" s="86">
        <f t="shared" si="2"/>
        <v>0</v>
      </c>
      <c r="K57" s="86">
        <f t="shared" si="3"/>
        <v>0</v>
      </c>
    </row>
    <row r="58" spans="1:11" x14ac:dyDescent="0.3">
      <c r="A58" s="97">
        <f t="shared" si="0"/>
        <v>2029</v>
      </c>
      <c r="B58" s="79">
        <f t="shared" si="4"/>
        <v>47331</v>
      </c>
      <c r="C58" s="86" t="e">
        <f t="shared" si="5"/>
        <v>#N/A</v>
      </c>
      <c r="D58" s="86" t="e">
        <f>IF($C58&lt;&gt;0,Inputs!$B$14/12*C58,0)</f>
        <v>#N/A</v>
      </c>
      <c r="E58" s="86" t="e">
        <f t="shared" si="1"/>
        <v>#N/A</v>
      </c>
      <c r="F58" s="86" t="e">
        <f>IF($C58&gt;0,-PMT(Inputs!$B$14/12,Inputs!$B$15,Inputs!$B$11-Inputs!$B$13),0)</f>
        <v>#N/A</v>
      </c>
      <c r="H58" s="86">
        <f t="shared" si="6"/>
        <v>0</v>
      </c>
      <c r="I58" s="86">
        <f>IF($H58&lt;&gt;0,Inputs!$B$28/12*H58,0)</f>
        <v>0</v>
      </c>
      <c r="J58" s="86">
        <f t="shared" si="2"/>
        <v>0</v>
      </c>
      <c r="K58" s="86">
        <f t="shared" si="3"/>
        <v>0</v>
      </c>
    </row>
    <row r="59" spans="1:11" x14ac:dyDescent="0.3">
      <c r="A59" s="97">
        <f t="shared" si="0"/>
        <v>2029</v>
      </c>
      <c r="B59" s="79">
        <f t="shared" si="4"/>
        <v>47362</v>
      </c>
      <c r="C59" s="86" t="e">
        <f t="shared" si="5"/>
        <v>#N/A</v>
      </c>
      <c r="D59" s="86" t="e">
        <f>IF($C59&lt;&gt;0,Inputs!$B$14/12*C59,0)</f>
        <v>#N/A</v>
      </c>
      <c r="E59" s="86" t="e">
        <f t="shared" si="1"/>
        <v>#N/A</v>
      </c>
      <c r="F59" s="86" t="e">
        <f>IF($C59&gt;0,-PMT(Inputs!$B$14/12,Inputs!$B$15,Inputs!$B$11-Inputs!$B$13),0)</f>
        <v>#N/A</v>
      </c>
      <c r="H59" s="86">
        <f t="shared" si="6"/>
        <v>0</v>
      </c>
      <c r="I59" s="86">
        <f>IF($H59&lt;&gt;0,Inputs!$B$28/12*H59,0)</f>
        <v>0</v>
      </c>
      <c r="J59" s="86">
        <f t="shared" si="2"/>
        <v>0</v>
      </c>
      <c r="K59" s="86">
        <f t="shared" si="3"/>
        <v>0</v>
      </c>
    </row>
    <row r="60" spans="1:11" x14ac:dyDescent="0.3">
      <c r="A60" s="97">
        <f t="shared" si="0"/>
        <v>2029</v>
      </c>
      <c r="B60" s="79">
        <f t="shared" si="4"/>
        <v>47392</v>
      </c>
      <c r="C60" s="86" t="e">
        <f t="shared" si="5"/>
        <v>#N/A</v>
      </c>
      <c r="D60" s="86" t="e">
        <f>IF($C60&lt;&gt;0,Inputs!$B$14/12*C60,0)</f>
        <v>#N/A</v>
      </c>
      <c r="E60" s="86" t="e">
        <f t="shared" si="1"/>
        <v>#N/A</v>
      </c>
      <c r="F60" s="86" t="e">
        <f>IF($C60&gt;0,-PMT(Inputs!$B$14/12,Inputs!$B$15,Inputs!$B$11-Inputs!$B$13),0)</f>
        <v>#N/A</v>
      </c>
      <c r="H60" s="86">
        <f t="shared" si="6"/>
        <v>0</v>
      </c>
      <c r="I60" s="86">
        <f>IF($H60&lt;&gt;0,Inputs!$B$28/12*H60,0)</f>
        <v>0</v>
      </c>
      <c r="J60" s="86">
        <f t="shared" si="2"/>
        <v>0</v>
      </c>
      <c r="K60" s="86">
        <f t="shared" si="3"/>
        <v>0</v>
      </c>
    </row>
    <row r="61" spans="1:11" x14ac:dyDescent="0.3">
      <c r="A61" s="97">
        <f t="shared" si="0"/>
        <v>2029</v>
      </c>
      <c r="B61" s="79">
        <f t="shared" si="4"/>
        <v>47423</v>
      </c>
      <c r="C61" s="86" t="e">
        <f t="shared" si="5"/>
        <v>#N/A</v>
      </c>
      <c r="D61" s="86" t="e">
        <f>IF($C61&lt;&gt;0,Inputs!$B$14/12*C61,0)</f>
        <v>#N/A</v>
      </c>
      <c r="E61" s="86" t="e">
        <f t="shared" si="1"/>
        <v>#N/A</v>
      </c>
      <c r="F61" s="86" t="e">
        <f>IF($C61&gt;0,-PMT(Inputs!$B$14/12,Inputs!$B$15,Inputs!$B$11-Inputs!$B$13),0)</f>
        <v>#N/A</v>
      </c>
      <c r="H61" s="86">
        <f t="shared" si="6"/>
        <v>0</v>
      </c>
      <c r="I61" s="86">
        <f>IF($H61&lt;&gt;0,Inputs!$B$28/12*H61,0)</f>
        <v>0</v>
      </c>
      <c r="J61" s="86">
        <f t="shared" si="2"/>
        <v>0</v>
      </c>
      <c r="K61" s="86">
        <f t="shared" si="3"/>
        <v>0</v>
      </c>
    </row>
    <row r="62" spans="1:11" x14ac:dyDescent="0.3">
      <c r="A62" s="97">
        <f t="shared" si="0"/>
        <v>2029</v>
      </c>
      <c r="B62" s="79">
        <f t="shared" si="4"/>
        <v>47453</v>
      </c>
      <c r="C62" s="86" t="e">
        <f t="shared" si="5"/>
        <v>#N/A</v>
      </c>
      <c r="D62" s="86" t="e">
        <f>IF($C62&lt;&gt;0,Inputs!$B$14/12*C62,0)</f>
        <v>#N/A</v>
      </c>
      <c r="E62" s="86" t="e">
        <f t="shared" si="1"/>
        <v>#N/A</v>
      </c>
      <c r="F62" s="86" t="e">
        <f>IF($C62&gt;0,-PMT(Inputs!$B$14/12,Inputs!$B$15,Inputs!$B$11-Inputs!$B$13),0)</f>
        <v>#N/A</v>
      </c>
      <c r="H62" s="86">
        <f t="shared" si="6"/>
        <v>0</v>
      </c>
      <c r="I62" s="86">
        <f>IF($H62&lt;&gt;0,Inputs!$B$28/12*H62,0)</f>
        <v>0</v>
      </c>
      <c r="J62" s="86">
        <f t="shared" si="2"/>
        <v>0</v>
      </c>
      <c r="K62" s="86">
        <f t="shared" si="3"/>
        <v>0</v>
      </c>
    </row>
    <row r="63" spans="1:11" x14ac:dyDescent="0.3">
      <c r="A63" s="97">
        <f t="shared" si="0"/>
        <v>2030</v>
      </c>
      <c r="B63" s="79">
        <f t="shared" si="4"/>
        <v>47484</v>
      </c>
      <c r="C63" s="86" t="e">
        <f t="shared" si="5"/>
        <v>#N/A</v>
      </c>
      <c r="D63" s="86" t="e">
        <f>IF($C63&lt;&gt;0,Inputs!$B$14/12*C63,0)</f>
        <v>#N/A</v>
      </c>
      <c r="E63" s="86" t="e">
        <f t="shared" si="1"/>
        <v>#N/A</v>
      </c>
      <c r="F63" s="86" t="e">
        <f>IF($C63&gt;0,-PMT(Inputs!$B$14/12,Inputs!$B$15,Inputs!$B$11-Inputs!$B$13),0)</f>
        <v>#N/A</v>
      </c>
      <c r="H63" s="86">
        <f t="shared" si="6"/>
        <v>0</v>
      </c>
      <c r="I63" s="86">
        <f>IF($H63&lt;&gt;0,Inputs!$B$28/12*H63,0)</f>
        <v>0</v>
      </c>
      <c r="J63" s="86">
        <f t="shared" si="2"/>
        <v>0</v>
      </c>
      <c r="K63" s="86">
        <f t="shared" si="3"/>
        <v>0</v>
      </c>
    </row>
    <row r="64" spans="1:11" x14ac:dyDescent="0.3">
      <c r="A64" s="97">
        <f t="shared" si="0"/>
        <v>2030</v>
      </c>
      <c r="B64" s="79">
        <f t="shared" si="4"/>
        <v>47515</v>
      </c>
      <c r="C64" s="86" t="e">
        <f t="shared" si="5"/>
        <v>#N/A</v>
      </c>
      <c r="D64" s="86" t="e">
        <f>IF($C64&lt;&gt;0,Inputs!$B$14/12*C64,0)</f>
        <v>#N/A</v>
      </c>
      <c r="E64" s="86" t="e">
        <f t="shared" si="1"/>
        <v>#N/A</v>
      </c>
      <c r="F64" s="86" t="e">
        <f>IF($C64&gt;0,-PMT(Inputs!$B$14/12,Inputs!$B$15,Inputs!$B$11-Inputs!$B$13),0)</f>
        <v>#N/A</v>
      </c>
      <c r="H64" s="86">
        <f t="shared" si="6"/>
        <v>0</v>
      </c>
      <c r="I64" s="86">
        <f>IF($H64&lt;&gt;0,Inputs!$B$28/12*H64,0)</f>
        <v>0</v>
      </c>
      <c r="J64" s="86">
        <f t="shared" si="2"/>
        <v>0</v>
      </c>
      <c r="K64" s="86">
        <f t="shared" si="3"/>
        <v>0</v>
      </c>
    </row>
    <row r="65" spans="1:11" x14ac:dyDescent="0.3">
      <c r="A65" s="97">
        <f t="shared" si="0"/>
        <v>2030</v>
      </c>
      <c r="B65" s="79">
        <f t="shared" si="4"/>
        <v>47543</v>
      </c>
      <c r="C65" s="86" t="e">
        <f t="shared" si="5"/>
        <v>#N/A</v>
      </c>
      <c r="D65" s="86" t="e">
        <f>IF($C65&lt;&gt;0,Inputs!$B$14/12*C65,0)</f>
        <v>#N/A</v>
      </c>
      <c r="E65" s="86" t="e">
        <f t="shared" si="1"/>
        <v>#N/A</v>
      </c>
      <c r="F65" s="86" t="e">
        <f>IF($C65&gt;0,-PMT(Inputs!$B$14/12,Inputs!$B$15,Inputs!$B$11-Inputs!$B$13),0)</f>
        <v>#N/A</v>
      </c>
      <c r="H65" s="86">
        <f t="shared" si="6"/>
        <v>0</v>
      </c>
      <c r="I65" s="86">
        <f>IF($H65&lt;&gt;0,Inputs!$B$28/12*H65,0)</f>
        <v>0</v>
      </c>
      <c r="J65" s="86">
        <f t="shared" si="2"/>
        <v>0</v>
      </c>
      <c r="K65" s="86">
        <f t="shared" si="3"/>
        <v>0</v>
      </c>
    </row>
    <row r="66" spans="1:11" x14ac:dyDescent="0.3">
      <c r="A66" s="97">
        <f t="shared" si="0"/>
        <v>2030</v>
      </c>
      <c r="B66" s="79">
        <f t="shared" si="4"/>
        <v>47574</v>
      </c>
      <c r="C66" s="86" t="e">
        <f t="shared" si="5"/>
        <v>#N/A</v>
      </c>
      <c r="D66" s="86" t="e">
        <f>IF($C66&lt;&gt;0,Inputs!$B$14/12*C66,0)</f>
        <v>#N/A</v>
      </c>
      <c r="E66" s="86" t="e">
        <f t="shared" si="1"/>
        <v>#N/A</v>
      </c>
      <c r="F66" s="86" t="e">
        <f>IF($C66&gt;0,-PMT(Inputs!$B$14/12,Inputs!$B$15,Inputs!$B$11-Inputs!$B$13),0)</f>
        <v>#N/A</v>
      </c>
      <c r="H66" s="86">
        <f t="shared" si="6"/>
        <v>0</v>
      </c>
      <c r="I66" s="86">
        <f>IF($H66&lt;&gt;0,Inputs!$B$28/12*H66,0)</f>
        <v>0</v>
      </c>
      <c r="J66" s="86">
        <f t="shared" si="2"/>
        <v>0</v>
      </c>
      <c r="K66" s="86">
        <f t="shared" si="3"/>
        <v>0</v>
      </c>
    </row>
    <row r="67" spans="1:11" x14ac:dyDescent="0.3">
      <c r="A67" s="97">
        <f t="shared" si="0"/>
        <v>2030</v>
      </c>
      <c r="B67" s="79">
        <f t="shared" si="4"/>
        <v>47604</v>
      </c>
      <c r="C67" s="86" t="e">
        <f t="shared" si="5"/>
        <v>#N/A</v>
      </c>
      <c r="D67" s="86" t="e">
        <f>IF($C67&lt;&gt;0,Inputs!$B$14/12*C67,0)</f>
        <v>#N/A</v>
      </c>
      <c r="E67" s="86" t="e">
        <f t="shared" si="1"/>
        <v>#N/A</v>
      </c>
      <c r="F67" s="86" t="e">
        <f>IF($C67&gt;0,-PMT(Inputs!$B$14/12,Inputs!$B$15,Inputs!$B$11-Inputs!$B$13),0)</f>
        <v>#N/A</v>
      </c>
      <c r="H67" s="86">
        <f t="shared" si="6"/>
        <v>0</v>
      </c>
      <c r="I67" s="86">
        <f>IF($H67&lt;&gt;0,Inputs!$B$28/12*H67,0)</f>
        <v>0</v>
      </c>
      <c r="J67" s="86">
        <f t="shared" si="2"/>
        <v>0</v>
      </c>
      <c r="K67" s="86">
        <f t="shared" si="3"/>
        <v>0</v>
      </c>
    </row>
    <row r="68" spans="1:11" x14ac:dyDescent="0.3">
      <c r="A68" s="97">
        <f t="shared" ref="A68:A131" si="7">YEAR(B68)</f>
        <v>2030</v>
      </c>
      <c r="B68" s="79">
        <f t="shared" si="4"/>
        <v>47635</v>
      </c>
      <c r="C68" s="86" t="e">
        <f t="shared" si="5"/>
        <v>#N/A</v>
      </c>
      <c r="D68" s="86" t="e">
        <f>IF($C68&lt;&gt;0,Inputs!$B$14/12*C68,0)</f>
        <v>#N/A</v>
      </c>
      <c r="E68" s="86" t="e">
        <f t="shared" ref="E68:E131" si="8">F68-D68</f>
        <v>#N/A</v>
      </c>
      <c r="F68" s="86" t="e">
        <f>IF($C68&gt;0,-PMT(Inputs!$B$14/12,Inputs!$B$15,Inputs!$B$11-Inputs!$B$13),0)</f>
        <v>#N/A</v>
      </c>
      <c r="H68" s="86">
        <f t="shared" si="6"/>
        <v>0</v>
      </c>
      <c r="I68" s="86">
        <f>IF($H68&lt;&gt;0,Inputs!$B$28/12*H68,0)</f>
        <v>0</v>
      </c>
      <c r="J68" s="86">
        <f t="shared" ref="J68:J131" si="9">K68-I68</f>
        <v>0</v>
      </c>
      <c r="K68" s="86">
        <f t="shared" ref="K68:K131" si="10">IF(H68&gt;0,IF(H68+I68&gt;K67,K67,H68+I68),0)</f>
        <v>0</v>
      </c>
    </row>
    <row r="69" spans="1:11" x14ac:dyDescent="0.3">
      <c r="A69" s="97">
        <f t="shared" si="7"/>
        <v>2030</v>
      </c>
      <c r="B69" s="79">
        <f t="shared" ref="B69:B132" si="11">EDATE(B68,1)</f>
        <v>47665</v>
      </c>
      <c r="C69" s="86" t="e">
        <f t="shared" ref="C69:C132" si="12">IF(C68&gt;0,C68-E68,0)</f>
        <v>#N/A</v>
      </c>
      <c r="D69" s="86" t="e">
        <f>IF($C69&lt;&gt;0,Inputs!$B$14/12*C69,0)</f>
        <v>#N/A</v>
      </c>
      <c r="E69" s="86" t="e">
        <f t="shared" si="8"/>
        <v>#N/A</v>
      </c>
      <c r="F69" s="86" t="e">
        <f>IF($C69&gt;0,-PMT(Inputs!$B$14/12,Inputs!$B$15,Inputs!$B$11-Inputs!$B$13),0)</f>
        <v>#N/A</v>
      </c>
      <c r="H69" s="86">
        <f t="shared" ref="H69:H132" si="13">IF(H68&gt;0,H68-J68,0)</f>
        <v>0</v>
      </c>
      <c r="I69" s="86">
        <f>IF($H69&lt;&gt;0,Inputs!$B$28/12*H69,0)</f>
        <v>0</v>
      </c>
      <c r="J69" s="86">
        <f t="shared" si="9"/>
        <v>0</v>
      </c>
      <c r="K69" s="86">
        <f t="shared" si="10"/>
        <v>0</v>
      </c>
    </row>
    <row r="70" spans="1:11" x14ac:dyDescent="0.3">
      <c r="A70" s="97">
        <f t="shared" si="7"/>
        <v>2030</v>
      </c>
      <c r="B70" s="79">
        <f t="shared" si="11"/>
        <v>47696</v>
      </c>
      <c r="C70" s="86" t="e">
        <f t="shared" si="12"/>
        <v>#N/A</v>
      </c>
      <c r="D70" s="86" t="e">
        <f>IF($C70&lt;&gt;0,Inputs!$B$14/12*C70,0)</f>
        <v>#N/A</v>
      </c>
      <c r="E70" s="86" t="e">
        <f t="shared" si="8"/>
        <v>#N/A</v>
      </c>
      <c r="F70" s="86" t="e">
        <f>IF($C70&gt;0,-PMT(Inputs!$B$14/12,Inputs!$B$15,Inputs!$B$11-Inputs!$B$13),0)</f>
        <v>#N/A</v>
      </c>
      <c r="H70" s="86">
        <f t="shared" si="13"/>
        <v>0</v>
      </c>
      <c r="I70" s="86">
        <f>IF($H70&lt;&gt;0,Inputs!$B$28/12*H70,0)</f>
        <v>0</v>
      </c>
      <c r="J70" s="86">
        <f t="shared" si="9"/>
        <v>0</v>
      </c>
      <c r="K70" s="86">
        <f t="shared" si="10"/>
        <v>0</v>
      </c>
    </row>
    <row r="71" spans="1:11" x14ac:dyDescent="0.3">
      <c r="A71" s="97">
        <f t="shared" si="7"/>
        <v>2030</v>
      </c>
      <c r="B71" s="79">
        <f t="shared" si="11"/>
        <v>47727</v>
      </c>
      <c r="C71" s="86" t="e">
        <f t="shared" si="12"/>
        <v>#N/A</v>
      </c>
      <c r="D71" s="86" t="e">
        <f>IF($C71&lt;&gt;0,Inputs!$B$14/12*C71,0)</f>
        <v>#N/A</v>
      </c>
      <c r="E71" s="86" t="e">
        <f t="shared" si="8"/>
        <v>#N/A</v>
      </c>
      <c r="F71" s="86" t="e">
        <f>IF($C71&gt;0,-PMT(Inputs!$B$14/12,Inputs!$B$15,Inputs!$B$11-Inputs!$B$13),0)</f>
        <v>#N/A</v>
      </c>
      <c r="H71" s="86">
        <f t="shared" si="13"/>
        <v>0</v>
      </c>
      <c r="I71" s="86">
        <f>IF($H71&lt;&gt;0,Inputs!$B$28/12*H71,0)</f>
        <v>0</v>
      </c>
      <c r="J71" s="86">
        <f t="shared" si="9"/>
        <v>0</v>
      </c>
      <c r="K71" s="86">
        <f t="shared" si="10"/>
        <v>0</v>
      </c>
    </row>
    <row r="72" spans="1:11" x14ac:dyDescent="0.3">
      <c r="A72" s="97">
        <f t="shared" si="7"/>
        <v>2030</v>
      </c>
      <c r="B72" s="79">
        <f t="shared" si="11"/>
        <v>47757</v>
      </c>
      <c r="C72" s="86" t="e">
        <f t="shared" si="12"/>
        <v>#N/A</v>
      </c>
      <c r="D72" s="86" t="e">
        <f>IF($C72&lt;&gt;0,Inputs!$B$14/12*C72,0)</f>
        <v>#N/A</v>
      </c>
      <c r="E72" s="86" t="e">
        <f t="shared" si="8"/>
        <v>#N/A</v>
      </c>
      <c r="F72" s="86" t="e">
        <f>IF($C72&gt;0,-PMT(Inputs!$B$14/12,Inputs!$B$15,Inputs!$B$11-Inputs!$B$13),0)</f>
        <v>#N/A</v>
      </c>
      <c r="H72" s="86">
        <f t="shared" si="13"/>
        <v>0</v>
      </c>
      <c r="I72" s="86">
        <f>IF($H72&lt;&gt;0,Inputs!$B$28/12*H72,0)</f>
        <v>0</v>
      </c>
      <c r="J72" s="86">
        <f t="shared" si="9"/>
        <v>0</v>
      </c>
      <c r="K72" s="86">
        <f t="shared" si="10"/>
        <v>0</v>
      </c>
    </row>
    <row r="73" spans="1:11" x14ac:dyDescent="0.3">
      <c r="A73" s="97">
        <f t="shared" si="7"/>
        <v>2030</v>
      </c>
      <c r="B73" s="79">
        <f t="shared" si="11"/>
        <v>47788</v>
      </c>
      <c r="C73" s="86" t="e">
        <f t="shared" si="12"/>
        <v>#N/A</v>
      </c>
      <c r="D73" s="86" t="e">
        <f>IF($C73&lt;&gt;0,Inputs!$B$14/12*C73,0)</f>
        <v>#N/A</v>
      </c>
      <c r="E73" s="86" t="e">
        <f t="shared" si="8"/>
        <v>#N/A</v>
      </c>
      <c r="F73" s="86" t="e">
        <f>IF($C73&gt;0,-PMT(Inputs!$B$14/12,Inputs!$B$15,Inputs!$B$11-Inputs!$B$13),0)</f>
        <v>#N/A</v>
      </c>
      <c r="H73" s="86">
        <f t="shared" si="13"/>
        <v>0</v>
      </c>
      <c r="I73" s="86">
        <f>IF($H73&lt;&gt;0,Inputs!$B$28/12*H73,0)</f>
        <v>0</v>
      </c>
      <c r="J73" s="86">
        <f t="shared" si="9"/>
        <v>0</v>
      </c>
      <c r="K73" s="86">
        <f t="shared" si="10"/>
        <v>0</v>
      </c>
    </row>
    <row r="74" spans="1:11" x14ac:dyDescent="0.3">
      <c r="A74" s="97">
        <f t="shared" si="7"/>
        <v>2030</v>
      </c>
      <c r="B74" s="79">
        <f t="shared" si="11"/>
        <v>47818</v>
      </c>
      <c r="C74" s="86" t="e">
        <f t="shared" si="12"/>
        <v>#N/A</v>
      </c>
      <c r="D74" s="86" t="e">
        <f>IF($C74&lt;&gt;0,Inputs!$B$14/12*C74,0)</f>
        <v>#N/A</v>
      </c>
      <c r="E74" s="86" t="e">
        <f t="shared" si="8"/>
        <v>#N/A</v>
      </c>
      <c r="F74" s="86" t="e">
        <f>IF($C74&gt;0,-PMT(Inputs!$B$14/12,Inputs!$B$15,Inputs!$B$11-Inputs!$B$13),0)</f>
        <v>#N/A</v>
      </c>
      <c r="H74" s="86">
        <f t="shared" si="13"/>
        <v>0</v>
      </c>
      <c r="I74" s="86">
        <f>IF($H74&lt;&gt;0,Inputs!$B$28/12*H74,0)</f>
        <v>0</v>
      </c>
      <c r="J74" s="86">
        <f t="shared" si="9"/>
        <v>0</v>
      </c>
      <c r="K74" s="86">
        <f t="shared" si="10"/>
        <v>0</v>
      </c>
    </row>
    <row r="75" spans="1:11" x14ac:dyDescent="0.3">
      <c r="A75" s="97">
        <f t="shared" si="7"/>
        <v>2031</v>
      </c>
      <c r="B75" s="79">
        <f t="shared" si="11"/>
        <v>47849</v>
      </c>
      <c r="C75" s="86" t="e">
        <f t="shared" si="12"/>
        <v>#N/A</v>
      </c>
      <c r="D75" s="86" t="e">
        <f>IF($C75&lt;&gt;0,Inputs!$B$14/12*C75,0)</f>
        <v>#N/A</v>
      </c>
      <c r="E75" s="86" t="e">
        <f t="shared" si="8"/>
        <v>#N/A</v>
      </c>
      <c r="F75" s="86" t="e">
        <f>IF($C75&gt;0,-PMT(Inputs!$B$14/12,Inputs!$B$15,Inputs!$B$11-Inputs!$B$13),0)</f>
        <v>#N/A</v>
      </c>
      <c r="H75" s="86">
        <f t="shared" si="13"/>
        <v>0</v>
      </c>
      <c r="I75" s="86">
        <f>IF($H75&lt;&gt;0,Inputs!$B$28/12*H75,0)</f>
        <v>0</v>
      </c>
      <c r="J75" s="86">
        <f t="shared" si="9"/>
        <v>0</v>
      </c>
      <c r="K75" s="86">
        <f t="shared" si="10"/>
        <v>0</v>
      </c>
    </row>
    <row r="76" spans="1:11" x14ac:dyDescent="0.3">
      <c r="A76" s="97">
        <f t="shared" si="7"/>
        <v>2031</v>
      </c>
      <c r="B76" s="79">
        <f t="shared" si="11"/>
        <v>47880</v>
      </c>
      <c r="C76" s="86" t="e">
        <f t="shared" si="12"/>
        <v>#N/A</v>
      </c>
      <c r="D76" s="86" t="e">
        <f>IF($C76&lt;&gt;0,Inputs!$B$14/12*C76,0)</f>
        <v>#N/A</v>
      </c>
      <c r="E76" s="86" t="e">
        <f t="shared" si="8"/>
        <v>#N/A</v>
      </c>
      <c r="F76" s="86" t="e">
        <f>IF($C76&gt;0,-PMT(Inputs!$B$14/12,Inputs!$B$15,Inputs!$B$11-Inputs!$B$13),0)</f>
        <v>#N/A</v>
      </c>
      <c r="H76" s="86">
        <f t="shared" si="13"/>
        <v>0</v>
      </c>
      <c r="I76" s="86">
        <f>IF($H76&lt;&gt;0,Inputs!$B$28/12*H76,0)</f>
        <v>0</v>
      </c>
      <c r="J76" s="86">
        <f t="shared" si="9"/>
        <v>0</v>
      </c>
      <c r="K76" s="86">
        <f t="shared" si="10"/>
        <v>0</v>
      </c>
    </row>
    <row r="77" spans="1:11" x14ac:dyDescent="0.3">
      <c r="A77" s="97">
        <f t="shared" si="7"/>
        <v>2031</v>
      </c>
      <c r="B77" s="79">
        <f t="shared" si="11"/>
        <v>47908</v>
      </c>
      <c r="C77" s="86" t="e">
        <f t="shared" si="12"/>
        <v>#N/A</v>
      </c>
      <c r="D77" s="86" t="e">
        <f>IF($C77&lt;&gt;0,Inputs!$B$14/12*C77,0)</f>
        <v>#N/A</v>
      </c>
      <c r="E77" s="86" t="e">
        <f t="shared" si="8"/>
        <v>#N/A</v>
      </c>
      <c r="F77" s="86" t="e">
        <f>IF($C77&gt;0,-PMT(Inputs!$B$14/12,Inputs!$B$15,Inputs!$B$11-Inputs!$B$13),0)</f>
        <v>#N/A</v>
      </c>
      <c r="H77" s="86">
        <f t="shared" si="13"/>
        <v>0</v>
      </c>
      <c r="I77" s="86">
        <f>IF($H77&lt;&gt;0,Inputs!$B$28/12*H77,0)</f>
        <v>0</v>
      </c>
      <c r="J77" s="86">
        <f t="shared" si="9"/>
        <v>0</v>
      </c>
      <c r="K77" s="86">
        <f t="shared" si="10"/>
        <v>0</v>
      </c>
    </row>
    <row r="78" spans="1:11" x14ac:dyDescent="0.3">
      <c r="A78" s="97">
        <f t="shared" si="7"/>
        <v>2031</v>
      </c>
      <c r="B78" s="79">
        <f t="shared" si="11"/>
        <v>47939</v>
      </c>
      <c r="C78" s="86" t="e">
        <f t="shared" si="12"/>
        <v>#N/A</v>
      </c>
      <c r="D78" s="86" t="e">
        <f>IF($C78&lt;&gt;0,Inputs!$B$14/12*C78,0)</f>
        <v>#N/A</v>
      </c>
      <c r="E78" s="86" t="e">
        <f t="shared" si="8"/>
        <v>#N/A</v>
      </c>
      <c r="F78" s="86" t="e">
        <f>IF($C78&gt;0,-PMT(Inputs!$B$14/12,Inputs!$B$15,Inputs!$B$11-Inputs!$B$13),0)</f>
        <v>#N/A</v>
      </c>
      <c r="H78" s="86">
        <f t="shared" si="13"/>
        <v>0</v>
      </c>
      <c r="I78" s="86">
        <f>IF($H78&lt;&gt;0,Inputs!$B$28/12*H78,0)</f>
        <v>0</v>
      </c>
      <c r="J78" s="86">
        <f t="shared" si="9"/>
        <v>0</v>
      </c>
      <c r="K78" s="86">
        <f t="shared" si="10"/>
        <v>0</v>
      </c>
    </row>
    <row r="79" spans="1:11" x14ac:dyDescent="0.3">
      <c r="A79" s="97">
        <f t="shared" si="7"/>
        <v>2031</v>
      </c>
      <c r="B79" s="79">
        <f t="shared" si="11"/>
        <v>47969</v>
      </c>
      <c r="C79" s="86" t="e">
        <f t="shared" si="12"/>
        <v>#N/A</v>
      </c>
      <c r="D79" s="86" t="e">
        <f>IF($C79&lt;&gt;0,Inputs!$B$14/12*C79,0)</f>
        <v>#N/A</v>
      </c>
      <c r="E79" s="86" t="e">
        <f t="shared" si="8"/>
        <v>#N/A</v>
      </c>
      <c r="F79" s="86" t="e">
        <f>IF($C79&gt;0,-PMT(Inputs!$B$14/12,Inputs!$B$15,Inputs!$B$11-Inputs!$B$13),0)</f>
        <v>#N/A</v>
      </c>
      <c r="H79" s="86">
        <f t="shared" si="13"/>
        <v>0</v>
      </c>
      <c r="I79" s="86">
        <f>IF($H79&lt;&gt;0,Inputs!$B$28/12*H79,0)</f>
        <v>0</v>
      </c>
      <c r="J79" s="86">
        <f t="shared" si="9"/>
        <v>0</v>
      </c>
      <c r="K79" s="86">
        <f t="shared" si="10"/>
        <v>0</v>
      </c>
    </row>
    <row r="80" spans="1:11" x14ac:dyDescent="0.3">
      <c r="A80" s="97">
        <f t="shared" si="7"/>
        <v>2031</v>
      </c>
      <c r="B80" s="79">
        <f t="shared" si="11"/>
        <v>48000</v>
      </c>
      <c r="C80" s="86" t="e">
        <f t="shared" si="12"/>
        <v>#N/A</v>
      </c>
      <c r="D80" s="86" t="e">
        <f>IF($C80&lt;&gt;0,Inputs!$B$14/12*C80,0)</f>
        <v>#N/A</v>
      </c>
      <c r="E80" s="86" t="e">
        <f t="shared" si="8"/>
        <v>#N/A</v>
      </c>
      <c r="F80" s="86" t="e">
        <f>IF($C80&gt;0,-PMT(Inputs!$B$14/12,Inputs!$B$15,Inputs!$B$11-Inputs!$B$13),0)</f>
        <v>#N/A</v>
      </c>
      <c r="H80" s="86">
        <f t="shared" si="13"/>
        <v>0</v>
      </c>
      <c r="I80" s="86">
        <f>IF($H80&lt;&gt;0,Inputs!$B$28/12*H80,0)</f>
        <v>0</v>
      </c>
      <c r="J80" s="86">
        <f t="shared" si="9"/>
        <v>0</v>
      </c>
      <c r="K80" s="86">
        <f t="shared" si="10"/>
        <v>0</v>
      </c>
    </row>
    <row r="81" spans="1:11" x14ac:dyDescent="0.3">
      <c r="A81" s="97">
        <f t="shared" si="7"/>
        <v>2031</v>
      </c>
      <c r="B81" s="79">
        <f t="shared" si="11"/>
        <v>48030</v>
      </c>
      <c r="C81" s="86" t="e">
        <f t="shared" si="12"/>
        <v>#N/A</v>
      </c>
      <c r="D81" s="86" t="e">
        <f>IF($C81&lt;&gt;0,Inputs!$B$14/12*C81,0)</f>
        <v>#N/A</v>
      </c>
      <c r="E81" s="86" t="e">
        <f t="shared" si="8"/>
        <v>#N/A</v>
      </c>
      <c r="F81" s="86" t="e">
        <f>IF($C81&gt;0,-PMT(Inputs!$B$14/12,Inputs!$B$15,Inputs!$B$11-Inputs!$B$13),0)</f>
        <v>#N/A</v>
      </c>
      <c r="H81" s="86">
        <f t="shared" si="13"/>
        <v>0</v>
      </c>
      <c r="I81" s="86">
        <f>IF($H81&lt;&gt;0,Inputs!$B$28/12*H81,0)</f>
        <v>0</v>
      </c>
      <c r="J81" s="86">
        <f t="shared" si="9"/>
        <v>0</v>
      </c>
      <c r="K81" s="86">
        <f t="shared" si="10"/>
        <v>0</v>
      </c>
    </row>
    <row r="82" spans="1:11" x14ac:dyDescent="0.3">
      <c r="A82" s="97">
        <f t="shared" si="7"/>
        <v>2031</v>
      </c>
      <c r="B82" s="79">
        <f t="shared" si="11"/>
        <v>48061</v>
      </c>
      <c r="C82" s="86" t="e">
        <f t="shared" si="12"/>
        <v>#N/A</v>
      </c>
      <c r="D82" s="86" t="e">
        <f>IF($C82&lt;&gt;0,Inputs!$B$14/12*C82,0)</f>
        <v>#N/A</v>
      </c>
      <c r="E82" s="86" t="e">
        <f t="shared" si="8"/>
        <v>#N/A</v>
      </c>
      <c r="F82" s="86" t="e">
        <f>IF($C82&gt;0,-PMT(Inputs!$B$14/12,Inputs!$B$15,Inputs!$B$11-Inputs!$B$13),0)</f>
        <v>#N/A</v>
      </c>
      <c r="H82" s="86">
        <f t="shared" si="13"/>
        <v>0</v>
      </c>
      <c r="I82" s="86">
        <f>IF($H82&lt;&gt;0,Inputs!$B$28/12*H82,0)</f>
        <v>0</v>
      </c>
      <c r="J82" s="86">
        <f t="shared" si="9"/>
        <v>0</v>
      </c>
      <c r="K82" s="86">
        <f t="shared" si="10"/>
        <v>0</v>
      </c>
    </row>
    <row r="83" spans="1:11" x14ac:dyDescent="0.3">
      <c r="A83" s="97">
        <f t="shared" si="7"/>
        <v>2031</v>
      </c>
      <c r="B83" s="79">
        <f t="shared" si="11"/>
        <v>48092</v>
      </c>
      <c r="C83" s="86" t="e">
        <f t="shared" si="12"/>
        <v>#N/A</v>
      </c>
      <c r="D83" s="86" t="e">
        <f>IF($C83&lt;&gt;0,Inputs!$B$14/12*C83,0)</f>
        <v>#N/A</v>
      </c>
      <c r="E83" s="86" t="e">
        <f t="shared" si="8"/>
        <v>#N/A</v>
      </c>
      <c r="F83" s="86" t="e">
        <f>IF($C83&gt;0,-PMT(Inputs!$B$14/12,Inputs!$B$15,Inputs!$B$11-Inputs!$B$13),0)</f>
        <v>#N/A</v>
      </c>
      <c r="H83" s="86">
        <f t="shared" si="13"/>
        <v>0</v>
      </c>
      <c r="I83" s="86">
        <f>IF($H83&lt;&gt;0,Inputs!$B$28/12*H83,0)</f>
        <v>0</v>
      </c>
      <c r="J83" s="86">
        <f t="shared" si="9"/>
        <v>0</v>
      </c>
      <c r="K83" s="86">
        <f t="shared" si="10"/>
        <v>0</v>
      </c>
    </row>
    <row r="84" spans="1:11" x14ac:dyDescent="0.3">
      <c r="A84" s="97">
        <f t="shared" si="7"/>
        <v>2031</v>
      </c>
      <c r="B84" s="79">
        <f t="shared" si="11"/>
        <v>48122</v>
      </c>
      <c r="C84" s="86" t="e">
        <f t="shared" si="12"/>
        <v>#N/A</v>
      </c>
      <c r="D84" s="86" t="e">
        <f>IF($C84&lt;&gt;0,Inputs!$B$14/12*C84,0)</f>
        <v>#N/A</v>
      </c>
      <c r="E84" s="86" t="e">
        <f t="shared" si="8"/>
        <v>#N/A</v>
      </c>
      <c r="F84" s="86" t="e">
        <f>IF($C84&gt;0,-PMT(Inputs!$B$14/12,Inputs!$B$15,Inputs!$B$11-Inputs!$B$13),0)</f>
        <v>#N/A</v>
      </c>
      <c r="H84" s="86">
        <f t="shared" si="13"/>
        <v>0</v>
      </c>
      <c r="I84" s="86">
        <f>IF($H84&lt;&gt;0,Inputs!$B$28/12*H84,0)</f>
        <v>0</v>
      </c>
      <c r="J84" s="86">
        <f t="shared" si="9"/>
        <v>0</v>
      </c>
      <c r="K84" s="86">
        <f t="shared" si="10"/>
        <v>0</v>
      </c>
    </row>
    <row r="85" spans="1:11" x14ac:dyDescent="0.3">
      <c r="A85" s="97">
        <f t="shared" si="7"/>
        <v>2031</v>
      </c>
      <c r="B85" s="79">
        <f t="shared" si="11"/>
        <v>48153</v>
      </c>
      <c r="C85" s="86" t="e">
        <f t="shared" si="12"/>
        <v>#N/A</v>
      </c>
      <c r="D85" s="86" t="e">
        <f>IF($C85&lt;&gt;0,Inputs!$B$14/12*C85,0)</f>
        <v>#N/A</v>
      </c>
      <c r="E85" s="86" t="e">
        <f t="shared" si="8"/>
        <v>#N/A</v>
      </c>
      <c r="F85" s="86" t="e">
        <f>IF($C85&gt;0,-PMT(Inputs!$B$14/12,Inputs!$B$15,Inputs!$B$11-Inputs!$B$13),0)</f>
        <v>#N/A</v>
      </c>
      <c r="H85" s="86">
        <f t="shared" si="13"/>
        <v>0</v>
      </c>
      <c r="I85" s="86">
        <f>IF($H85&lt;&gt;0,Inputs!$B$28/12*H85,0)</f>
        <v>0</v>
      </c>
      <c r="J85" s="86">
        <f t="shared" si="9"/>
        <v>0</v>
      </c>
      <c r="K85" s="86">
        <f t="shared" si="10"/>
        <v>0</v>
      </c>
    </row>
    <row r="86" spans="1:11" x14ac:dyDescent="0.3">
      <c r="A86" s="97">
        <f t="shared" si="7"/>
        <v>2031</v>
      </c>
      <c r="B86" s="79">
        <f t="shared" si="11"/>
        <v>48183</v>
      </c>
      <c r="C86" s="86" t="e">
        <f t="shared" si="12"/>
        <v>#N/A</v>
      </c>
      <c r="D86" s="86" t="e">
        <f>IF($C86&lt;&gt;0,Inputs!$B$14/12*C86,0)</f>
        <v>#N/A</v>
      </c>
      <c r="E86" s="86" t="e">
        <f t="shared" si="8"/>
        <v>#N/A</v>
      </c>
      <c r="F86" s="86" t="e">
        <f>IF($C86&gt;0,-PMT(Inputs!$B$14/12,Inputs!$B$15,Inputs!$B$11-Inputs!$B$13),0)</f>
        <v>#N/A</v>
      </c>
      <c r="H86" s="86">
        <f t="shared" si="13"/>
        <v>0</v>
      </c>
      <c r="I86" s="86">
        <f>IF($H86&lt;&gt;0,Inputs!$B$28/12*H86,0)</f>
        <v>0</v>
      </c>
      <c r="J86" s="86">
        <f t="shared" si="9"/>
        <v>0</v>
      </c>
      <c r="K86" s="86">
        <f t="shared" si="10"/>
        <v>0</v>
      </c>
    </row>
    <row r="87" spans="1:11" x14ac:dyDescent="0.3">
      <c r="A87" s="97">
        <f t="shared" si="7"/>
        <v>2032</v>
      </c>
      <c r="B87" s="79">
        <f t="shared" si="11"/>
        <v>48214</v>
      </c>
      <c r="C87" s="86" t="e">
        <f t="shared" si="12"/>
        <v>#N/A</v>
      </c>
      <c r="D87" s="86" t="e">
        <f>IF($C87&lt;&gt;0,Inputs!$B$14/12*C87,0)</f>
        <v>#N/A</v>
      </c>
      <c r="E87" s="86" t="e">
        <f t="shared" si="8"/>
        <v>#N/A</v>
      </c>
      <c r="F87" s="86" t="e">
        <f>IF($C87&gt;0,-PMT(Inputs!$B$14/12,Inputs!$B$15,Inputs!$B$11-Inputs!$B$13),0)</f>
        <v>#N/A</v>
      </c>
      <c r="H87" s="86">
        <f t="shared" si="13"/>
        <v>0</v>
      </c>
      <c r="I87" s="86">
        <f>IF($H87&lt;&gt;0,Inputs!$B$28/12*H87,0)</f>
        <v>0</v>
      </c>
      <c r="J87" s="86">
        <f t="shared" si="9"/>
        <v>0</v>
      </c>
      <c r="K87" s="86">
        <f t="shared" si="10"/>
        <v>0</v>
      </c>
    </row>
    <row r="88" spans="1:11" x14ac:dyDescent="0.3">
      <c r="A88" s="97">
        <f t="shared" si="7"/>
        <v>2032</v>
      </c>
      <c r="B88" s="79">
        <f t="shared" si="11"/>
        <v>48245</v>
      </c>
      <c r="C88" s="86" t="e">
        <f t="shared" si="12"/>
        <v>#N/A</v>
      </c>
      <c r="D88" s="86" t="e">
        <f>IF($C88&lt;&gt;0,Inputs!$B$14/12*C88,0)</f>
        <v>#N/A</v>
      </c>
      <c r="E88" s="86" t="e">
        <f t="shared" si="8"/>
        <v>#N/A</v>
      </c>
      <c r="F88" s="86" t="e">
        <f>IF($C88&gt;0,-PMT(Inputs!$B$14/12,Inputs!$B$15,Inputs!$B$11-Inputs!$B$13),0)</f>
        <v>#N/A</v>
      </c>
      <c r="H88" s="86">
        <f t="shared" si="13"/>
        <v>0</v>
      </c>
      <c r="I88" s="86">
        <f>IF($H88&lt;&gt;0,Inputs!$B$28/12*H88,0)</f>
        <v>0</v>
      </c>
      <c r="J88" s="86">
        <f t="shared" si="9"/>
        <v>0</v>
      </c>
      <c r="K88" s="86">
        <f t="shared" si="10"/>
        <v>0</v>
      </c>
    </row>
    <row r="89" spans="1:11" x14ac:dyDescent="0.3">
      <c r="A89" s="97">
        <f t="shared" si="7"/>
        <v>2032</v>
      </c>
      <c r="B89" s="79">
        <f t="shared" si="11"/>
        <v>48274</v>
      </c>
      <c r="C89" s="86" t="e">
        <f t="shared" si="12"/>
        <v>#N/A</v>
      </c>
      <c r="D89" s="86" t="e">
        <f>IF($C89&lt;&gt;0,Inputs!$B$14/12*C89,0)</f>
        <v>#N/A</v>
      </c>
      <c r="E89" s="86" t="e">
        <f t="shared" si="8"/>
        <v>#N/A</v>
      </c>
      <c r="F89" s="86" t="e">
        <f>IF($C89&gt;0,-PMT(Inputs!$B$14/12,Inputs!$B$15,Inputs!$B$11-Inputs!$B$13),0)</f>
        <v>#N/A</v>
      </c>
      <c r="H89" s="86">
        <f t="shared" si="13"/>
        <v>0</v>
      </c>
      <c r="I89" s="86">
        <f>IF($H89&lt;&gt;0,Inputs!$B$28/12*H89,0)</f>
        <v>0</v>
      </c>
      <c r="J89" s="86">
        <f t="shared" si="9"/>
        <v>0</v>
      </c>
      <c r="K89" s="86">
        <f t="shared" si="10"/>
        <v>0</v>
      </c>
    </row>
    <row r="90" spans="1:11" x14ac:dyDescent="0.3">
      <c r="A90" s="97">
        <f t="shared" si="7"/>
        <v>2032</v>
      </c>
      <c r="B90" s="79">
        <f t="shared" si="11"/>
        <v>48305</v>
      </c>
      <c r="C90" s="86" t="e">
        <f t="shared" si="12"/>
        <v>#N/A</v>
      </c>
      <c r="D90" s="86" t="e">
        <f>IF($C90&lt;&gt;0,Inputs!$B$14/12*C90,0)</f>
        <v>#N/A</v>
      </c>
      <c r="E90" s="86" t="e">
        <f t="shared" si="8"/>
        <v>#N/A</v>
      </c>
      <c r="F90" s="86" t="e">
        <f>IF($C90&gt;0,-PMT(Inputs!$B$14/12,Inputs!$B$15,Inputs!$B$11-Inputs!$B$13),0)</f>
        <v>#N/A</v>
      </c>
      <c r="H90" s="86">
        <f t="shared" si="13"/>
        <v>0</v>
      </c>
      <c r="I90" s="86">
        <f>IF($H90&lt;&gt;0,Inputs!$B$28/12*H90,0)</f>
        <v>0</v>
      </c>
      <c r="J90" s="86">
        <f t="shared" si="9"/>
        <v>0</v>
      </c>
      <c r="K90" s="86">
        <f t="shared" si="10"/>
        <v>0</v>
      </c>
    </row>
    <row r="91" spans="1:11" x14ac:dyDescent="0.3">
      <c r="A91" s="97">
        <f t="shared" si="7"/>
        <v>2032</v>
      </c>
      <c r="B91" s="79">
        <f t="shared" si="11"/>
        <v>48335</v>
      </c>
      <c r="C91" s="86" t="e">
        <f t="shared" si="12"/>
        <v>#N/A</v>
      </c>
      <c r="D91" s="86" t="e">
        <f>IF($C91&lt;&gt;0,Inputs!$B$14/12*C91,0)</f>
        <v>#N/A</v>
      </c>
      <c r="E91" s="86" t="e">
        <f t="shared" si="8"/>
        <v>#N/A</v>
      </c>
      <c r="F91" s="86" t="e">
        <f>IF($C91&gt;0,-PMT(Inputs!$B$14/12,Inputs!$B$15,Inputs!$B$11-Inputs!$B$13),0)</f>
        <v>#N/A</v>
      </c>
      <c r="H91" s="86">
        <f t="shared" si="13"/>
        <v>0</v>
      </c>
      <c r="I91" s="86">
        <f>IF($H91&lt;&gt;0,Inputs!$B$28/12*H91,0)</f>
        <v>0</v>
      </c>
      <c r="J91" s="86">
        <f t="shared" si="9"/>
        <v>0</v>
      </c>
      <c r="K91" s="86">
        <f t="shared" si="10"/>
        <v>0</v>
      </c>
    </row>
    <row r="92" spans="1:11" x14ac:dyDescent="0.3">
      <c r="A92" s="97">
        <f t="shared" si="7"/>
        <v>2032</v>
      </c>
      <c r="B92" s="79">
        <f t="shared" si="11"/>
        <v>48366</v>
      </c>
      <c r="C92" s="86" t="e">
        <f t="shared" si="12"/>
        <v>#N/A</v>
      </c>
      <c r="D92" s="86" t="e">
        <f>IF($C92&lt;&gt;0,Inputs!$B$14/12*C92,0)</f>
        <v>#N/A</v>
      </c>
      <c r="E92" s="86" t="e">
        <f t="shared" si="8"/>
        <v>#N/A</v>
      </c>
      <c r="F92" s="86" t="e">
        <f>IF($C92&gt;0,-PMT(Inputs!$B$14/12,Inputs!$B$15,Inputs!$B$11-Inputs!$B$13),0)</f>
        <v>#N/A</v>
      </c>
      <c r="H92" s="86">
        <f t="shared" si="13"/>
        <v>0</v>
      </c>
      <c r="I92" s="86">
        <f>IF($H92&lt;&gt;0,Inputs!$B$28/12*H92,0)</f>
        <v>0</v>
      </c>
      <c r="J92" s="86">
        <f t="shared" si="9"/>
        <v>0</v>
      </c>
      <c r="K92" s="86">
        <f t="shared" si="10"/>
        <v>0</v>
      </c>
    </row>
    <row r="93" spans="1:11" x14ac:dyDescent="0.3">
      <c r="A93" s="97">
        <f t="shared" si="7"/>
        <v>2032</v>
      </c>
      <c r="B93" s="79">
        <f t="shared" si="11"/>
        <v>48396</v>
      </c>
      <c r="C93" s="86" t="e">
        <f t="shared" si="12"/>
        <v>#N/A</v>
      </c>
      <c r="D93" s="86" t="e">
        <f>IF($C93&lt;&gt;0,Inputs!$B$14/12*C93,0)</f>
        <v>#N/A</v>
      </c>
      <c r="E93" s="86" t="e">
        <f t="shared" si="8"/>
        <v>#N/A</v>
      </c>
      <c r="F93" s="86" t="e">
        <f>IF($C93&gt;0,-PMT(Inputs!$B$14/12,Inputs!$B$15,Inputs!$B$11-Inputs!$B$13),0)</f>
        <v>#N/A</v>
      </c>
      <c r="H93" s="86">
        <f t="shared" si="13"/>
        <v>0</v>
      </c>
      <c r="I93" s="86">
        <f>IF($H93&lt;&gt;0,Inputs!$B$28/12*H93,0)</f>
        <v>0</v>
      </c>
      <c r="J93" s="86">
        <f t="shared" si="9"/>
        <v>0</v>
      </c>
      <c r="K93" s="86">
        <f t="shared" si="10"/>
        <v>0</v>
      </c>
    </row>
    <row r="94" spans="1:11" x14ac:dyDescent="0.3">
      <c r="A94" s="97">
        <f t="shared" si="7"/>
        <v>2032</v>
      </c>
      <c r="B94" s="79">
        <f t="shared" si="11"/>
        <v>48427</v>
      </c>
      <c r="C94" s="86" t="e">
        <f t="shared" si="12"/>
        <v>#N/A</v>
      </c>
      <c r="D94" s="86" t="e">
        <f>IF($C94&lt;&gt;0,Inputs!$B$14/12*C94,0)</f>
        <v>#N/A</v>
      </c>
      <c r="E94" s="86" t="e">
        <f t="shared" si="8"/>
        <v>#N/A</v>
      </c>
      <c r="F94" s="86" t="e">
        <f>IF($C94&gt;0,-PMT(Inputs!$B$14/12,Inputs!$B$15,Inputs!$B$11-Inputs!$B$13),0)</f>
        <v>#N/A</v>
      </c>
      <c r="H94" s="86">
        <f t="shared" si="13"/>
        <v>0</v>
      </c>
      <c r="I94" s="86">
        <f>IF($H94&lt;&gt;0,Inputs!$B$28/12*H94,0)</f>
        <v>0</v>
      </c>
      <c r="J94" s="86">
        <f t="shared" si="9"/>
        <v>0</v>
      </c>
      <c r="K94" s="86">
        <f t="shared" si="10"/>
        <v>0</v>
      </c>
    </row>
    <row r="95" spans="1:11" x14ac:dyDescent="0.3">
      <c r="A95" s="97">
        <f t="shared" si="7"/>
        <v>2032</v>
      </c>
      <c r="B95" s="79">
        <f t="shared" si="11"/>
        <v>48458</v>
      </c>
      <c r="C95" s="86" t="e">
        <f t="shared" si="12"/>
        <v>#N/A</v>
      </c>
      <c r="D95" s="86" t="e">
        <f>IF($C95&lt;&gt;0,Inputs!$B$14/12*C95,0)</f>
        <v>#N/A</v>
      </c>
      <c r="E95" s="86" t="e">
        <f t="shared" si="8"/>
        <v>#N/A</v>
      </c>
      <c r="F95" s="86" t="e">
        <f>IF($C95&gt;0,-PMT(Inputs!$B$14/12,Inputs!$B$15,Inputs!$B$11-Inputs!$B$13),0)</f>
        <v>#N/A</v>
      </c>
      <c r="H95" s="86">
        <f t="shared" si="13"/>
        <v>0</v>
      </c>
      <c r="I95" s="86">
        <f>IF($H95&lt;&gt;0,Inputs!$B$28/12*H95,0)</f>
        <v>0</v>
      </c>
      <c r="J95" s="86">
        <f t="shared" si="9"/>
        <v>0</v>
      </c>
      <c r="K95" s="86">
        <f t="shared" si="10"/>
        <v>0</v>
      </c>
    </row>
    <row r="96" spans="1:11" x14ac:dyDescent="0.3">
      <c r="A96" s="97">
        <f t="shared" si="7"/>
        <v>2032</v>
      </c>
      <c r="B96" s="79">
        <f t="shared" si="11"/>
        <v>48488</v>
      </c>
      <c r="C96" s="86" t="e">
        <f t="shared" si="12"/>
        <v>#N/A</v>
      </c>
      <c r="D96" s="86" t="e">
        <f>IF($C96&lt;&gt;0,Inputs!$B$14/12*C96,0)</f>
        <v>#N/A</v>
      </c>
      <c r="E96" s="86" t="e">
        <f t="shared" si="8"/>
        <v>#N/A</v>
      </c>
      <c r="F96" s="86" t="e">
        <f>IF($C96&gt;0,-PMT(Inputs!$B$14/12,Inputs!$B$15,Inputs!$B$11-Inputs!$B$13),0)</f>
        <v>#N/A</v>
      </c>
      <c r="H96" s="86">
        <f t="shared" si="13"/>
        <v>0</v>
      </c>
      <c r="I96" s="86">
        <f>IF($H96&lt;&gt;0,Inputs!$B$28/12*H96,0)</f>
        <v>0</v>
      </c>
      <c r="J96" s="86">
        <f t="shared" si="9"/>
        <v>0</v>
      </c>
      <c r="K96" s="86">
        <f t="shared" si="10"/>
        <v>0</v>
      </c>
    </row>
    <row r="97" spans="1:11" x14ac:dyDescent="0.3">
      <c r="A97" s="97">
        <f t="shared" si="7"/>
        <v>2032</v>
      </c>
      <c r="B97" s="79">
        <f t="shared" si="11"/>
        <v>48519</v>
      </c>
      <c r="C97" s="86" t="e">
        <f t="shared" si="12"/>
        <v>#N/A</v>
      </c>
      <c r="D97" s="86" t="e">
        <f>IF($C97&lt;&gt;0,Inputs!$B$14/12*C97,0)</f>
        <v>#N/A</v>
      </c>
      <c r="E97" s="86" t="e">
        <f t="shared" si="8"/>
        <v>#N/A</v>
      </c>
      <c r="F97" s="86" t="e">
        <f>IF($C97&gt;0,-PMT(Inputs!$B$14/12,Inputs!$B$15,Inputs!$B$11-Inputs!$B$13),0)</f>
        <v>#N/A</v>
      </c>
      <c r="H97" s="86">
        <f t="shared" si="13"/>
        <v>0</v>
      </c>
      <c r="I97" s="86">
        <f>IF($H97&lt;&gt;0,Inputs!$B$28/12*H97,0)</f>
        <v>0</v>
      </c>
      <c r="J97" s="86">
        <f t="shared" si="9"/>
        <v>0</v>
      </c>
      <c r="K97" s="86">
        <f t="shared" si="10"/>
        <v>0</v>
      </c>
    </row>
    <row r="98" spans="1:11" x14ac:dyDescent="0.3">
      <c r="A98" s="97">
        <f t="shared" si="7"/>
        <v>2032</v>
      </c>
      <c r="B98" s="79">
        <f t="shared" si="11"/>
        <v>48549</v>
      </c>
      <c r="C98" s="86" t="e">
        <f t="shared" si="12"/>
        <v>#N/A</v>
      </c>
      <c r="D98" s="86" t="e">
        <f>IF($C98&lt;&gt;0,Inputs!$B$14/12*C98,0)</f>
        <v>#N/A</v>
      </c>
      <c r="E98" s="86" t="e">
        <f t="shared" si="8"/>
        <v>#N/A</v>
      </c>
      <c r="F98" s="86" t="e">
        <f>IF($C98&gt;0,-PMT(Inputs!$B$14/12,Inputs!$B$15,Inputs!$B$11-Inputs!$B$13),0)</f>
        <v>#N/A</v>
      </c>
      <c r="H98" s="86">
        <f t="shared" si="13"/>
        <v>0</v>
      </c>
      <c r="I98" s="86">
        <f>IF($H98&lt;&gt;0,Inputs!$B$28/12*H98,0)</f>
        <v>0</v>
      </c>
      <c r="J98" s="86">
        <f t="shared" si="9"/>
        <v>0</v>
      </c>
      <c r="K98" s="86">
        <f t="shared" si="10"/>
        <v>0</v>
      </c>
    </row>
    <row r="99" spans="1:11" x14ac:dyDescent="0.3">
      <c r="A99" s="97">
        <f t="shared" si="7"/>
        <v>2033</v>
      </c>
      <c r="B99" s="79">
        <f t="shared" si="11"/>
        <v>48580</v>
      </c>
      <c r="C99" s="86" t="e">
        <f t="shared" si="12"/>
        <v>#N/A</v>
      </c>
      <c r="D99" s="86" t="e">
        <f>IF($C99&lt;&gt;0,Inputs!$B$14/12*C99,0)</f>
        <v>#N/A</v>
      </c>
      <c r="E99" s="86" t="e">
        <f t="shared" si="8"/>
        <v>#N/A</v>
      </c>
      <c r="F99" s="86" t="e">
        <f>IF($C99&gt;0,-PMT(Inputs!$B$14/12,Inputs!$B$15,Inputs!$B$11-Inputs!$B$13),0)</f>
        <v>#N/A</v>
      </c>
      <c r="H99" s="86">
        <f t="shared" si="13"/>
        <v>0</v>
      </c>
      <c r="I99" s="86">
        <f>IF($H99&lt;&gt;0,Inputs!$B$28/12*H99,0)</f>
        <v>0</v>
      </c>
      <c r="J99" s="86">
        <f t="shared" si="9"/>
        <v>0</v>
      </c>
      <c r="K99" s="86">
        <f t="shared" si="10"/>
        <v>0</v>
      </c>
    </row>
    <row r="100" spans="1:11" x14ac:dyDescent="0.3">
      <c r="A100" s="97">
        <f t="shared" si="7"/>
        <v>2033</v>
      </c>
      <c r="B100" s="79">
        <f t="shared" si="11"/>
        <v>48611</v>
      </c>
      <c r="C100" s="86" t="e">
        <f t="shared" si="12"/>
        <v>#N/A</v>
      </c>
      <c r="D100" s="86" t="e">
        <f>IF($C100&lt;&gt;0,Inputs!$B$14/12*C100,0)</f>
        <v>#N/A</v>
      </c>
      <c r="E100" s="86" t="e">
        <f t="shared" si="8"/>
        <v>#N/A</v>
      </c>
      <c r="F100" s="86" t="e">
        <f>IF($C100&gt;0,-PMT(Inputs!$B$14/12,Inputs!$B$15,Inputs!$B$11-Inputs!$B$13),0)</f>
        <v>#N/A</v>
      </c>
      <c r="H100" s="86">
        <f t="shared" si="13"/>
        <v>0</v>
      </c>
      <c r="I100" s="86">
        <f>IF($H100&lt;&gt;0,Inputs!$B$28/12*H100,0)</f>
        <v>0</v>
      </c>
      <c r="J100" s="86">
        <f t="shared" si="9"/>
        <v>0</v>
      </c>
      <c r="K100" s="86">
        <f t="shared" si="10"/>
        <v>0</v>
      </c>
    </row>
    <row r="101" spans="1:11" x14ac:dyDescent="0.3">
      <c r="A101" s="97">
        <f t="shared" si="7"/>
        <v>2033</v>
      </c>
      <c r="B101" s="79">
        <f t="shared" si="11"/>
        <v>48639</v>
      </c>
      <c r="C101" s="86" t="e">
        <f t="shared" si="12"/>
        <v>#N/A</v>
      </c>
      <c r="D101" s="86" t="e">
        <f>IF($C101&lt;&gt;0,Inputs!$B$14/12*C101,0)</f>
        <v>#N/A</v>
      </c>
      <c r="E101" s="86" t="e">
        <f t="shared" si="8"/>
        <v>#N/A</v>
      </c>
      <c r="F101" s="86" t="e">
        <f>IF($C101&gt;0,-PMT(Inputs!$B$14/12,Inputs!$B$15,Inputs!$B$11-Inputs!$B$13),0)</f>
        <v>#N/A</v>
      </c>
      <c r="H101" s="86">
        <f t="shared" si="13"/>
        <v>0</v>
      </c>
      <c r="I101" s="86">
        <f>IF($H101&lt;&gt;0,Inputs!$B$28/12*H101,0)</f>
        <v>0</v>
      </c>
      <c r="J101" s="86">
        <f t="shared" si="9"/>
        <v>0</v>
      </c>
      <c r="K101" s="86">
        <f t="shared" si="10"/>
        <v>0</v>
      </c>
    </row>
    <row r="102" spans="1:11" x14ac:dyDescent="0.3">
      <c r="A102" s="97">
        <f t="shared" si="7"/>
        <v>2033</v>
      </c>
      <c r="B102" s="79">
        <f t="shared" si="11"/>
        <v>48670</v>
      </c>
      <c r="C102" s="86" t="e">
        <f t="shared" si="12"/>
        <v>#N/A</v>
      </c>
      <c r="D102" s="86" t="e">
        <f>IF($C102&lt;&gt;0,Inputs!$B$14/12*C102,0)</f>
        <v>#N/A</v>
      </c>
      <c r="E102" s="86" t="e">
        <f t="shared" si="8"/>
        <v>#N/A</v>
      </c>
      <c r="F102" s="86" t="e">
        <f>IF($C102&gt;0,-PMT(Inputs!$B$14/12,Inputs!$B$15,Inputs!$B$11-Inputs!$B$13),0)</f>
        <v>#N/A</v>
      </c>
      <c r="H102" s="86">
        <f t="shared" si="13"/>
        <v>0</v>
      </c>
      <c r="I102" s="86">
        <f>IF($H102&lt;&gt;0,Inputs!$B$28/12*H102,0)</f>
        <v>0</v>
      </c>
      <c r="J102" s="86">
        <f t="shared" si="9"/>
        <v>0</v>
      </c>
      <c r="K102" s="86">
        <f t="shared" si="10"/>
        <v>0</v>
      </c>
    </row>
    <row r="103" spans="1:11" x14ac:dyDescent="0.3">
      <c r="A103" s="97">
        <f t="shared" si="7"/>
        <v>2033</v>
      </c>
      <c r="B103" s="79">
        <f t="shared" si="11"/>
        <v>48700</v>
      </c>
      <c r="C103" s="86" t="e">
        <f t="shared" si="12"/>
        <v>#N/A</v>
      </c>
      <c r="D103" s="86" t="e">
        <f>IF($C103&lt;&gt;0,Inputs!$B$14/12*C103,0)</f>
        <v>#N/A</v>
      </c>
      <c r="E103" s="86" t="e">
        <f t="shared" si="8"/>
        <v>#N/A</v>
      </c>
      <c r="F103" s="86" t="e">
        <f>IF($C103&gt;0,-PMT(Inputs!$B$14/12,Inputs!$B$15,Inputs!$B$11-Inputs!$B$13),0)</f>
        <v>#N/A</v>
      </c>
      <c r="H103" s="86">
        <f t="shared" si="13"/>
        <v>0</v>
      </c>
      <c r="I103" s="86">
        <f>IF($H103&lt;&gt;0,Inputs!$B$28/12*H103,0)</f>
        <v>0</v>
      </c>
      <c r="J103" s="86">
        <f t="shared" si="9"/>
        <v>0</v>
      </c>
      <c r="K103" s="86">
        <f t="shared" si="10"/>
        <v>0</v>
      </c>
    </row>
    <row r="104" spans="1:11" x14ac:dyDescent="0.3">
      <c r="A104" s="97">
        <f t="shared" si="7"/>
        <v>2033</v>
      </c>
      <c r="B104" s="79">
        <f t="shared" si="11"/>
        <v>48731</v>
      </c>
      <c r="C104" s="86" t="e">
        <f t="shared" si="12"/>
        <v>#N/A</v>
      </c>
      <c r="D104" s="86" t="e">
        <f>IF($C104&lt;&gt;0,Inputs!$B$14/12*C104,0)</f>
        <v>#N/A</v>
      </c>
      <c r="E104" s="86" t="e">
        <f t="shared" si="8"/>
        <v>#N/A</v>
      </c>
      <c r="F104" s="86" t="e">
        <f>IF($C104&gt;0,-PMT(Inputs!$B$14/12,Inputs!$B$15,Inputs!$B$11-Inputs!$B$13),0)</f>
        <v>#N/A</v>
      </c>
      <c r="H104" s="86">
        <f t="shared" si="13"/>
        <v>0</v>
      </c>
      <c r="I104" s="86">
        <f>IF($H104&lt;&gt;0,Inputs!$B$28/12*H104,0)</f>
        <v>0</v>
      </c>
      <c r="J104" s="86">
        <f t="shared" si="9"/>
        <v>0</v>
      </c>
      <c r="K104" s="86">
        <f t="shared" si="10"/>
        <v>0</v>
      </c>
    </row>
    <row r="105" spans="1:11" x14ac:dyDescent="0.3">
      <c r="A105" s="97">
        <f t="shared" si="7"/>
        <v>2033</v>
      </c>
      <c r="B105" s="79">
        <f t="shared" si="11"/>
        <v>48761</v>
      </c>
      <c r="C105" s="86" t="e">
        <f t="shared" si="12"/>
        <v>#N/A</v>
      </c>
      <c r="D105" s="86" t="e">
        <f>IF($C105&lt;&gt;0,Inputs!$B$14/12*C105,0)</f>
        <v>#N/A</v>
      </c>
      <c r="E105" s="86" t="e">
        <f t="shared" si="8"/>
        <v>#N/A</v>
      </c>
      <c r="F105" s="86" t="e">
        <f>IF($C105&gt;0,-PMT(Inputs!$B$14/12,Inputs!$B$15,Inputs!$B$11-Inputs!$B$13),0)</f>
        <v>#N/A</v>
      </c>
      <c r="H105" s="86">
        <f t="shared" si="13"/>
        <v>0</v>
      </c>
      <c r="I105" s="86">
        <f>IF($H105&lt;&gt;0,Inputs!$B$28/12*H105,0)</f>
        <v>0</v>
      </c>
      <c r="J105" s="86">
        <f t="shared" si="9"/>
        <v>0</v>
      </c>
      <c r="K105" s="86">
        <f t="shared" si="10"/>
        <v>0</v>
      </c>
    </row>
    <row r="106" spans="1:11" x14ac:dyDescent="0.3">
      <c r="A106" s="97">
        <f t="shared" si="7"/>
        <v>2033</v>
      </c>
      <c r="B106" s="79">
        <f t="shared" si="11"/>
        <v>48792</v>
      </c>
      <c r="C106" s="86" t="e">
        <f t="shared" si="12"/>
        <v>#N/A</v>
      </c>
      <c r="D106" s="86" t="e">
        <f>IF($C106&lt;&gt;0,Inputs!$B$14/12*C106,0)</f>
        <v>#N/A</v>
      </c>
      <c r="E106" s="86" t="e">
        <f t="shared" si="8"/>
        <v>#N/A</v>
      </c>
      <c r="F106" s="86" t="e">
        <f>IF($C106&gt;0,-PMT(Inputs!$B$14/12,Inputs!$B$15,Inputs!$B$11-Inputs!$B$13),0)</f>
        <v>#N/A</v>
      </c>
      <c r="H106" s="86">
        <f t="shared" si="13"/>
        <v>0</v>
      </c>
      <c r="I106" s="86">
        <f>IF($H106&lt;&gt;0,Inputs!$B$28/12*H106,0)</f>
        <v>0</v>
      </c>
      <c r="J106" s="86">
        <f t="shared" si="9"/>
        <v>0</v>
      </c>
      <c r="K106" s="86">
        <f t="shared" si="10"/>
        <v>0</v>
      </c>
    </row>
    <row r="107" spans="1:11" x14ac:dyDescent="0.3">
      <c r="A107" s="97">
        <f t="shared" si="7"/>
        <v>2033</v>
      </c>
      <c r="B107" s="79">
        <f t="shared" si="11"/>
        <v>48823</v>
      </c>
      <c r="C107" s="86" t="e">
        <f t="shared" si="12"/>
        <v>#N/A</v>
      </c>
      <c r="D107" s="86" t="e">
        <f>IF($C107&lt;&gt;0,Inputs!$B$14/12*C107,0)</f>
        <v>#N/A</v>
      </c>
      <c r="E107" s="86" t="e">
        <f t="shared" si="8"/>
        <v>#N/A</v>
      </c>
      <c r="F107" s="86" t="e">
        <f>IF($C107&gt;0,-PMT(Inputs!$B$14/12,Inputs!$B$15,Inputs!$B$11-Inputs!$B$13),0)</f>
        <v>#N/A</v>
      </c>
      <c r="H107" s="86">
        <f t="shared" si="13"/>
        <v>0</v>
      </c>
      <c r="I107" s="86">
        <f>IF($H107&lt;&gt;0,Inputs!$B$28/12*H107,0)</f>
        <v>0</v>
      </c>
      <c r="J107" s="86">
        <f t="shared" si="9"/>
        <v>0</v>
      </c>
      <c r="K107" s="86">
        <f t="shared" si="10"/>
        <v>0</v>
      </c>
    </row>
    <row r="108" spans="1:11" x14ac:dyDescent="0.3">
      <c r="A108" s="97">
        <f t="shared" si="7"/>
        <v>2033</v>
      </c>
      <c r="B108" s="79">
        <f t="shared" si="11"/>
        <v>48853</v>
      </c>
      <c r="C108" s="86" t="e">
        <f t="shared" si="12"/>
        <v>#N/A</v>
      </c>
      <c r="D108" s="86" t="e">
        <f>IF($C108&lt;&gt;0,Inputs!$B$14/12*C108,0)</f>
        <v>#N/A</v>
      </c>
      <c r="E108" s="86" t="e">
        <f t="shared" si="8"/>
        <v>#N/A</v>
      </c>
      <c r="F108" s="86" t="e">
        <f>IF($C108&gt;0,-PMT(Inputs!$B$14/12,Inputs!$B$15,Inputs!$B$11-Inputs!$B$13),0)</f>
        <v>#N/A</v>
      </c>
      <c r="H108" s="86">
        <f t="shared" si="13"/>
        <v>0</v>
      </c>
      <c r="I108" s="86">
        <f>IF($H108&lt;&gt;0,Inputs!$B$28/12*H108,0)</f>
        <v>0</v>
      </c>
      <c r="J108" s="86">
        <f t="shared" si="9"/>
        <v>0</v>
      </c>
      <c r="K108" s="86">
        <f t="shared" si="10"/>
        <v>0</v>
      </c>
    </row>
    <row r="109" spans="1:11" x14ac:dyDescent="0.3">
      <c r="A109" s="97">
        <f t="shared" si="7"/>
        <v>2033</v>
      </c>
      <c r="B109" s="79">
        <f t="shared" si="11"/>
        <v>48884</v>
      </c>
      <c r="C109" s="86" t="e">
        <f t="shared" si="12"/>
        <v>#N/A</v>
      </c>
      <c r="D109" s="86" t="e">
        <f>IF($C109&lt;&gt;0,Inputs!$B$14/12*C109,0)</f>
        <v>#N/A</v>
      </c>
      <c r="E109" s="86" t="e">
        <f t="shared" si="8"/>
        <v>#N/A</v>
      </c>
      <c r="F109" s="86" t="e">
        <f>IF($C109&gt;0,-PMT(Inputs!$B$14/12,Inputs!$B$15,Inputs!$B$11-Inputs!$B$13),0)</f>
        <v>#N/A</v>
      </c>
      <c r="H109" s="86">
        <f t="shared" si="13"/>
        <v>0</v>
      </c>
      <c r="I109" s="86">
        <f>IF($H109&lt;&gt;0,Inputs!$B$28/12*H109,0)</f>
        <v>0</v>
      </c>
      <c r="J109" s="86">
        <f t="shared" si="9"/>
        <v>0</v>
      </c>
      <c r="K109" s="86">
        <f t="shared" si="10"/>
        <v>0</v>
      </c>
    </row>
    <row r="110" spans="1:11" x14ac:dyDescent="0.3">
      <c r="A110" s="97">
        <f t="shared" si="7"/>
        <v>2033</v>
      </c>
      <c r="B110" s="79">
        <f t="shared" si="11"/>
        <v>48914</v>
      </c>
      <c r="C110" s="86" t="e">
        <f t="shared" si="12"/>
        <v>#N/A</v>
      </c>
      <c r="D110" s="86" t="e">
        <f>IF($C110&lt;&gt;0,Inputs!$B$14/12*C110,0)</f>
        <v>#N/A</v>
      </c>
      <c r="E110" s="86" t="e">
        <f t="shared" si="8"/>
        <v>#N/A</v>
      </c>
      <c r="F110" s="86" t="e">
        <f>IF($C110&gt;0,-PMT(Inputs!$B$14/12,Inputs!$B$15,Inputs!$B$11-Inputs!$B$13),0)</f>
        <v>#N/A</v>
      </c>
      <c r="H110" s="86">
        <f t="shared" si="13"/>
        <v>0</v>
      </c>
      <c r="I110" s="86">
        <f>IF($H110&lt;&gt;0,Inputs!$B$28/12*H110,0)</f>
        <v>0</v>
      </c>
      <c r="J110" s="86">
        <f t="shared" si="9"/>
        <v>0</v>
      </c>
      <c r="K110" s="86">
        <f t="shared" si="10"/>
        <v>0</v>
      </c>
    </row>
    <row r="111" spans="1:11" x14ac:dyDescent="0.3">
      <c r="A111" s="97">
        <f t="shared" si="7"/>
        <v>2034</v>
      </c>
      <c r="B111" s="79">
        <f t="shared" si="11"/>
        <v>48945</v>
      </c>
      <c r="C111" s="86" t="e">
        <f t="shared" si="12"/>
        <v>#N/A</v>
      </c>
      <c r="D111" s="86" t="e">
        <f>IF($C111&lt;&gt;0,Inputs!$B$14/12*C111,0)</f>
        <v>#N/A</v>
      </c>
      <c r="E111" s="86" t="e">
        <f t="shared" si="8"/>
        <v>#N/A</v>
      </c>
      <c r="F111" s="86" t="e">
        <f>IF($C111&gt;0,-PMT(Inputs!$B$14/12,Inputs!$B$15,Inputs!$B$11-Inputs!$B$13),0)</f>
        <v>#N/A</v>
      </c>
      <c r="H111" s="86">
        <f t="shared" si="13"/>
        <v>0</v>
      </c>
      <c r="I111" s="86">
        <f>IF($H111&lt;&gt;0,Inputs!$B$28/12*H111,0)</f>
        <v>0</v>
      </c>
      <c r="J111" s="86">
        <f t="shared" si="9"/>
        <v>0</v>
      </c>
      <c r="K111" s="86">
        <f t="shared" si="10"/>
        <v>0</v>
      </c>
    </row>
    <row r="112" spans="1:11" x14ac:dyDescent="0.3">
      <c r="A112" s="97">
        <f t="shared" si="7"/>
        <v>2034</v>
      </c>
      <c r="B112" s="79">
        <f t="shared" si="11"/>
        <v>48976</v>
      </c>
      <c r="C112" s="86" t="e">
        <f t="shared" si="12"/>
        <v>#N/A</v>
      </c>
      <c r="D112" s="86" t="e">
        <f>IF($C112&lt;&gt;0,Inputs!$B$14/12*C112,0)</f>
        <v>#N/A</v>
      </c>
      <c r="E112" s="86" t="e">
        <f t="shared" si="8"/>
        <v>#N/A</v>
      </c>
      <c r="F112" s="86" t="e">
        <f>IF($C112&gt;0,-PMT(Inputs!$B$14/12,Inputs!$B$15,Inputs!$B$11-Inputs!$B$13),0)</f>
        <v>#N/A</v>
      </c>
      <c r="H112" s="86">
        <f t="shared" si="13"/>
        <v>0</v>
      </c>
      <c r="I112" s="86">
        <f>IF($H112&lt;&gt;0,Inputs!$B$28/12*H112,0)</f>
        <v>0</v>
      </c>
      <c r="J112" s="86">
        <f t="shared" si="9"/>
        <v>0</v>
      </c>
      <c r="K112" s="86">
        <f t="shared" si="10"/>
        <v>0</v>
      </c>
    </row>
    <row r="113" spans="1:11" x14ac:dyDescent="0.3">
      <c r="A113" s="97">
        <f t="shared" si="7"/>
        <v>2034</v>
      </c>
      <c r="B113" s="79">
        <f t="shared" si="11"/>
        <v>49004</v>
      </c>
      <c r="C113" s="86" t="e">
        <f t="shared" si="12"/>
        <v>#N/A</v>
      </c>
      <c r="D113" s="86" t="e">
        <f>IF($C113&lt;&gt;0,Inputs!$B$14/12*C113,0)</f>
        <v>#N/A</v>
      </c>
      <c r="E113" s="86" t="e">
        <f t="shared" si="8"/>
        <v>#N/A</v>
      </c>
      <c r="F113" s="86" t="e">
        <f>IF($C113&gt;0,-PMT(Inputs!$B$14/12,Inputs!$B$15,Inputs!$B$11-Inputs!$B$13),0)</f>
        <v>#N/A</v>
      </c>
      <c r="H113" s="86">
        <f t="shared" si="13"/>
        <v>0</v>
      </c>
      <c r="I113" s="86">
        <f>IF($H113&lt;&gt;0,Inputs!$B$28/12*H113,0)</f>
        <v>0</v>
      </c>
      <c r="J113" s="86">
        <f t="shared" si="9"/>
        <v>0</v>
      </c>
      <c r="K113" s="86">
        <f t="shared" si="10"/>
        <v>0</v>
      </c>
    </row>
    <row r="114" spans="1:11" x14ac:dyDescent="0.3">
      <c r="A114" s="97">
        <f t="shared" si="7"/>
        <v>2034</v>
      </c>
      <c r="B114" s="79">
        <f t="shared" si="11"/>
        <v>49035</v>
      </c>
      <c r="C114" s="86" t="e">
        <f t="shared" si="12"/>
        <v>#N/A</v>
      </c>
      <c r="D114" s="86" t="e">
        <f>IF($C114&lt;&gt;0,Inputs!$B$14/12*C114,0)</f>
        <v>#N/A</v>
      </c>
      <c r="E114" s="86" t="e">
        <f t="shared" si="8"/>
        <v>#N/A</v>
      </c>
      <c r="F114" s="86" t="e">
        <f>IF($C114&gt;0,-PMT(Inputs!$B$14/12,Inputs!$B$15,Inputs!$B$11-Inputs!$B$13),0)</f>
        <v>#N/A</v>
      </c>
      <c r="H114" s="86">
        <f t="shared" si="13"/>
        <v>0</v>
      </c>
      <c r="I114" s="86">
        <f>IF($H114&lt;&gt;0,Inputs!$B$28/12*H114,0)</f>
        <v>0</v>
      </c>
      <c r="J114" s="86">
        <f t="shared" si="9"/>
        <v>0</v>
      </c>
      <c r="K114" s="86">
        <f t="shared" si="10"/>
        <v>0</v>
      </c>
    </row>
    <row r="115" spans="1:11" x14ac:dyDescent="0.3">
      <c r="A115" s="97">
        <f t="shared" si="7"/>
        <v>2034</v>
      </c>
      <c r="B115" s="79">
        <f t="shared" si="11"/>
        <v>49065</v>
      </c>
      <c r="C115" s="86" t="e">
        <f t="shared" si="12"/>
        <v>#N/A</v>
      </c>
      <c r="D115" s="86" t="e">
        <f>IF($C115&lt;&gt;0,Inputs!$B$14/12*C115,0)</f>
        <v>#N/A</v>
      </c>
      <c r="E115" s="86" t="e">
        <f t="shared" si="8"/>
        <v>#N/A</v>
      </c>
      <c r="F115" s="86" t="e">
        <f>IF($C115&gt;0,-PMT(Inputs!$B$14/12,Inputs!$B$15,Inputs!$B$11-Inputs!$B$13),0)</f>
        <v>#N/A</v>
      </c>
      <c r="H115" s="86">
        <f t="shared" si="13"/>
        <v>0</v>
      </c>
      <c r="I115" s="86">
        <f>IF($H115&lt;&gt;0,Inputs!$B$28/12*H115,0)</f>
        <v>0</v>
      </c>
      <c r="J115" s="86">
        <f t="shared" si="9"/>
        <v>0</v>
      </c>
      <c r="K115" s="86">
        <f t="shared" si="10"/>
        <v>0</v>
      </c>
    </row>
    <row r="116" spans="1:11" x14ac:dyDescent="0.3">
      <c r="A116" s="97">
        <f t="shared" si="7"/>
        <v>2034</v>
      </c>
      <c r="B116" s="79">
        <f t="shared" si="11"/>
        <v>49096</v>
      </c>
      <c r="C116" s="86" t="e">
        <f t="shared" si="12"/>
        <v>#N/A</v>
      </c>
      <c r="D116" s="86" t="e">
        <f>IF($C116&lt;&gt;0,Inputs!$B$14/12*C116,0)</f>
        <v>#N/A</v>
      </c>
      <c r="E116" s="86" t="e">
        <f t="shared" si="8"/>
        <v>#N/A</v>
      </c>
      <c r="F116" s="86" t="e">
        <f>IF($C116&gt;0,-PMT(Inputs!$B$14/12,Inputs!$B$15,Inputs!$B$11-Inputs!$B$13),0)</f>
        <v>#N/A</v>
      </c>
      <c r="H116" s="86">
        <f t="shared" si="13"/>
        <v>0</v>
      </c>
      <c r="I116" s="86">
        <f>IF($H116&lt;&gt;0,Inputs!$B$28/12*H116,0)</f>
        <v>0</v>
      </c>
      <c r="J116" s="86">
        <f t="shared" si="9"/>
        <v>0</v>
      </c>
      <c r="K116" s="86">
        <f t="shared" si="10"/>
        <v>0</v>
      </c>
    </row>
    <row r="117" spans="1:11" x14ac:dyDescent="0.3">
      <c r="A117" s="97">
        <f t="shared" si="7"/>
        <v>2034</v>
      </c>
      <c r="B117" s="79">
        <f t="shared" si="11"/>
        <v>49126</v>
      </c>
      <c r="C117" s="86" t="e">
        <f t="shared" si="12"/>
        <v>#N/A</v>
      </c>
      <c r="D117" s="86" t="e">
        <f>IF($C117&lt;&gt;0,Inputs!$B$14/12*C117,0)</f>
        <v>#N/A</v>
      </c>
      <c r="E117" s="86" t="e">
        <f t="shared" si="8"/>
        <v>#N/A</v>
      </c>
      <c r="F117" s="86" t="e">
        <f>IF($C117&gt;0,-PMT(Inputs!$B$14/12,Inputs!$B$15,Inputs!$B$11-Inputs!$B$13),0)</f>
        <v>#N/A</v>
      </c>
      <c r="H117" s="86">
        <f t="shared" si="13"/>
        <v>0</v>
      </c>
      <c r="I117" s="86">
        <f>IF($H117&lt;&gt;0,Inputs!$B$28/12*H117,0)</f>
        <v>0</v>
      </c>
      <c r="J117" s="86">
        <f t="shared" si="9"/>
        <v>0</v>
      </c>
      <c r="K117" s="86">
        <f t="shared" si="10"/>
        <v>0</v>
      </c>
    </row>
    <row r="118" spans="1:11" x14ac:dyDescent="0.3">
      <c r="A118" s="97">
        <f t="shared" si="7"/>
        <v>2034</v>
      </c>
      <c r="B118" s="79">
        <f t="shared" si="11"/>
        <v>49157</v>
      </c>
      <c r="C118" s="86" t="e">
        <f t="shared" si="12"/>
        <v>#N/A</v>
      </c>
      <c r="D118" s="86" t="e">
        <f>IF($C118&lt;&gt;0,Inputs!$B$14/12*C118,0)</f>
        <v>#N/A</v>
      </c>
      <c r="E118" s="86" t="e">
        <f t="shared" si="8"/>
        <v>#N/A</v>
      </c>
      <c r="F118" s="86" t="e">
        <f>IF($C118&gt;0,-PMT(Inputs!$B$14/12,Inputs!$B$15,Inputs!$B$11-Inputs!$B$13),0)</f>
        <v>#N/A</v>
      </c>
      <c r="H118" s="86">
        <f t="shared" si="13"/>
        <v>0</v>
      </c>
      <c r="I118" s="86">
        <f>IF($H118&lt;&gt;0,Inputs!$B$28/12*H118,0)</f>
        <v>0</v>
      </c>
      <c r="J118" s="86">
        <f t="shared" si="9"/>
        <v>0</v>
      </c>
      <c r="K118" s="86">
        <f t="shared" si="10"/>
        <v>0</v>
      </c>
    </row>
    <row r="119" spans="1:11" x14ac:dyDescent="0.3">
      <c r="A119" s="97">
        <f t="shared" si="7"/>
        <v>2034</v>
      </c>
      <c r="B119" s="79">
        <f t="shared" si="11"/>
        <v>49188</v>
      </c>
      <c r="C119" s="86" t="e">
        <f t="shared" si="12"/>
        <v>#N/A</v>
      </c>
      <c r="D119" s="86" t="e">
        <f>IF($C119&lt;&gt;0,Inputs!$B$14/12*C119,0)</f>
        <v>#N/A</v>
      </c>
      <c r="E119" s="86" t="e">
        <f t="shared" si="8"/>
        <v>#N/A</v>
      </c>
      <c r="F119" s="86" t="e">
        <f>IF($C119&gt;0,-PMT(Inputs!$B$14/12,Inputs!$B$15,Inputs!$B$11-Inputs!$B$13),0)</f>
        <v>#N/A</v>
      </c>
      <c r="H119" s="86">
        <f t="shared" si="13"/>
        <v>0</v>
      </c>
      <c r="I119" s="86">
        <f>IF($H119&lt;&gt;0,Inputs!$B$28/12*H119,0)</f>
        <v>0</v>
      </c>
      <c r="J119" s="86">
        <f t="shared" si="9"/>
        <v>0</v>
      </c>
      <c r="K119" s="86">
        <f t="shared" si="10"/>
        <v>0</v>
      </c>
    </row>
    <row r="120" spans="1:11" x14ac:dyDescent="0.3">
      <c r="A120" s="97">
        <f t="shared" si="7"/>
        <v>2034</v>
      </c>
      <c r="B120" s="79">
        <f t="shared" si="11"/>
        <v>49218</v>
      </c>
      <c r="C120" s="86" t="e">
        <f t="shared" si="12"/>
        <v>#N/A</v>
      </c>
      <c r="D120" s="86" t="e">
        <f>IF($C120&lt;&gt;0,Inputs!$B$14/12*C120,0)</f>
        <v>#N/A</v>
      </c>
      <c r="E120" s="86" t="e">
        <f t="shared" si="8"/>
        <v>#N/A</v>
      </c>
      <c r="F120" s="86" t="e">
        <f>IF($C120&gt;0,-PMT(Inputs!$B$14/12,Inputs!$B$15,Inputs!$B$11-Inputs!$B$13),0)</f>
        <v>#N/A</v>
      </c>
      <c r="H120" s="86">
        <f t="shared" si="13"/>
        <v>0</v>
      </c>
      <c r="I120" s="86">
        <f>IF($H120&lt;&gt;0,Inputs!$B$28/12*H120,0)</f>
        <v>0</v>
      </c>
      <c r="J120" s="86">
        <f t="shared" si="9"/>
        <v>0</v>
      </c>
      <c r="K120" s="86">
        <f t="shared" si="10"/>
        <v>0</v>
      </c>
    </row>
    <row r="121" spans="1:11" x14ac:dyDescent="0.3">
      <c r="A121" s="97">
        <f t="shared" si="7"/>
        <v>2034</v>
      </c>
      <c r="B121" s="79">
        <f t="shared" si="11"/>
        <v>49249</v>
      </c>
      <c r="C121" s="86" t="e">
        <f t="shared" si="12"/>
        <v>#N/A</v>
      </c>
      <c r="D121" s="86" t="e">
        <f>IF($C121&lt;&gt;0,Inputs!$B$14/12*C121,0)</f>
        <v>#N/A</v>
      </c>
      <c r="E121" s="86" t="e">
        <f t="shared" si="8"/>
        <v>#N/A</v>
      </c>
      <c r="F121" s="86" t="e">
        <f>IF($C121&gt;0,-PMT(Inputs!$B$14/12,Inputs!$B$15,Inputs!$B$11-Inputs!$B$13),0)</f>
        <v>#N/A</v>
      </c>
      <c r="H121" s="86">
        <f t="shared" si="13"/>
        <v>0</v>
      </c>
      <c r="I121" s="86">
        <f>IF($H121&lt;&gt;0,Inputs!$B$28/12*H121,0)</f>
        <v>0</v>
      </c>
      <c r="J121" s="86">
        <f t="shared" si="9"/>
        <v>0</v>
      </c>
      <c r="K121" s="86">
        <f t="shared" si="10"/>
        <v>0</v>
      </c>
    </row>
    <row r="122" spans="1:11" x14ac:dyDescent="0.3">
      <c r="A122" s="97">
        <f t="shared" si="7"/>
        <v>2034</v>
      </c>
      <c r="B122" s="79">
        <f t="shared" si="11"/>
        <v>49279</v>
      </c>
      <c r="C122" s="86" t="e">
        <f t="shared" si="12"/>
        <v>#N/A</v>
      </c>
      <c r="D122" s="86" t="e">
        <f>IF($C122&lt;&gt;0,Inputs!$B$14/12*C122,0)</f>
        <v>#N/A</v>
      </c>
      <c r="E122" s="86" t="e">
        <f t="shared" si="8"/>
        <v>#N/A</v>
      </c>
      <c r="F122" s="86" t="e">
        <f>IF($C122&gt;0,-PMT(Inputs!$B$14/12,Inputs!$B$15,Inputs!$B$11-Inputs!$B$13),0)</f>
        <v>#N/A</v>
      </c>
      <c r="H122" s="86">
        <f t="shared" si="13"/>
        <v>0</v>
      </c>
      <c r="I122" s="86">
        <f>IF($H122&lt;&gt;0,Inputs!$B$28/12*H122,0)</f>
        <v>0</v>
      </c>
      <c r="J122" s="86">
        <f t="shared" si="9"/>
        <v>0</v>
      </c>
      <c r="K122" s="86">
        <f t="shared" si="10"/>
        <v>0</v>
      </c>
    </row>
    <row r="123" spans="1:11" x14ac:dyDescent="0.3">
      <c r="A123" s="97">
        <f t="shared" si="7"/>
        <v>2035</v>
      </c>
      <c r="B123" s="79">
        <f t="shared" si="11"/>
        <v>49310</v>
      </c>
      <c r="C123" s="86" t="e">
        <f t="shared" si="12"/>
        <v>#N/A</v>
      </c>
      <c r="D123" s="86" t="e">
        <f>IF($C123&lt;&gt;0,Inputs!$B$14/12*C123,0)</f>
        <v>#N/A</v>
      </c>
      <c r="E123" s="86" t="e">
        <f t="shared" si="8"/>
        <v>#N/A</v>
      </c>
      <c r="F123" s="86" t="e">
        <f>IF($C123&gt;0,-PMT(Inputs!$B$14/12,Inputs!$B$15,Inputs!$B$11-Inputs!$B$13),0)</f>
        <v>#N/A</v>
      </c>
      <c r="H123" s="86">
        <f t="shared" si="13"/>
        <v>0</v>
      </c>
      <c r="I123" s="86">
        <f>IF($H123&lt;&gt;0,Inputs!$B$28/12*H123,0)</f>
        <v>0</v>
      </c>
      <c r="J123" s="86">
        <f t="shared" si="9"/>
        <v>0</v>
      </c>
      <c r="K123" s="86">
        <f t="shared" si="10"/>
        <v>0</v>
      </c>
    </row>
    <row r="124" spans="1:11" x14ac:dyDescent="0.3">
      <c r="A124" s="97">
        <f t="shared" si="7"/>
        <v>2035</v>
      </c>
      <c r="B124" s="79">
        <f t="shared" si="11"/>
        <v>49341</v>
      </c>
      <c r="C124" s="86" t="e">
        <f t="shared" si="12"/>
        <v>#N/A</v>
      </c>
      <c r="D124" s="86" t="e">
        <f>IF($C124&lt;&gt;0,Inputs!$B$14/12*C124,0)</f>
        <v>#N/A</v>
      </c>
      <c r="E124" s="86" t="e">
        <f t="shared" si="8"/>
        <v>#N/A</v>
      </c>
      <c r="F124" s="86" t="e">
        <f>IF($C124&gt;0,-PMT(Inputs!$B$14/12,Inputs!$B$15,Inputs!$B$11-Inputs!$B$13),0)</f>
        <v>#N/A</v>
      </c>
      <c r="H124" s="86">
        <f t="shared" si="13"/>
        <v>0</v>
      </c>
      <c r="I124" s="86">
        <f>IF($H124&lt;&gt;0,Inputs!$B$28/12*H124,0)</f>
        <v>0</v>
      </c>
      <c r="J124" s="86">
        <f t="shared" si="9"/>
        <v>0</v>
      </c>
      <c r="K124" s="86">
        <f t="shared" si="10"/>
        <v>0</v>
      </c>
    </row>
    <row r="125" spans="1:11" x14ac:dyDescent="0.3">
      <c r="A125" s="97">
        <f t="shared" si="7"/>
        <v>2035</v>
      </c>
      <c r="B125" s="79">
        <f t="shared" si="11"/>
        <v>49369</v>
      </c>
      <c r="C125" s="86" t="e">
        <f t="shared" si="12"/>
        <v>#N/A</v>
      </c>
      <c r="D125" s="86" t="e">
        <f>IF($C125&lt;&gt;0,Inputs!$B$14/12*C125,0)</f>
        <v>#N/A</v>
      </c>
      <c r="E125" s="86" t="e">
        <f t="shared" si="8"/>
        <v>#N/A</v>
      </c>
      <c r="F125" s="86" t="e">
        <f>IF($C125&gt;0,-PMT(Inputs!$B$14/12,Inputs!$B$15,Inputs!$B$11-Inputs!$B$13),0)</f>
        <v>#N/A</v>
      </c>
      <c r="H125" s="86">
        <f t="shared" si="13"/>
        <v>0</v>
      </c>
      <c r="I125" s="86">
        <f>IF($H125&lt;&gt;0,Inputs!$B$28/12*H125,0)</f>
        <v>0</v>
      </c>
      <c r="J125" s="86">
        <f t="shared" si="9"/>
        <v>0</v>
      </c>
      <c r="K125" s="86">
        <f t="shared" si="10"/>
        <v>0</v>
      </c>
    </row>
    <row r="126" spans="1:11" x14ac:dyDescent="0.3">
      <c r="A126" s="97">
        <f t="shared" si="7"/>
        <v>2035</v>
      </c>
      <c r="B126" s="79">
        <f t="shared" si="11"/>
        <v>49400</v>
      </c>
      <c r="C126" s="86" t="e">
        <f t="shared" si="12"/>
        <v>#N/A</v>
      </c>
      <c r="D126" s="86" t="e">
        <f>IF($C126&lt;&gt;0,Inputs!$B$14/12*C126,0)</f>
        <v>#N/A</v>
      </c>
      <c r="E126" s="86" t="e">
        <f t="shared" si="8"/>
        <v>#N/A</v>
      </c>
      <c r="F126" s="86" t="e">
        <f>IF($C126&gt;0,-PMT(Inputs!$B$14/12,Inputs!$B$15,Inputs!$B$11-Inputs!$B$13),0)</f>
        <v>#N/A</v>
      </c>
      <c r="H126" s="86">
        <f t="shared" si="13"/>
        <v>0</v>
      </c>
      <c r="I126" s="86">
        <f>IF($H126&lt;&gt;0,Inputs!$B$28/12*H126,0)</f>
        <v>0</v>
      </c>
      <c r="J126" s="86">
        <f t="shared" si="9"/>
        <v>0</v>
      </c>
      <c r="K126" s="86">
        <f t="shared" si="10"/>
        <v>0</v>
      </c>
    </row>
    <row r="127" spans="1:11" x14ac:dyDescent="0.3">
      <c r="A127" s="97">
        <f t="shared" si="7"/>
        <v>2035</v>
      </c>
      <c r="B127" s="79">
        <f t="shared" si="11"/>
        <v>49430</v>
      </c>
      <c r="C127" s="86" t="e">
        <f t="shared" si="12"/>
        <v>#N/A</v>
      </c>
      <c r="D127" s="86" t="e">
        <f>IF($C127&lt;&gt;0,Inputs!$B$14/12*C127,0)</f>
        <v>#N/A</v>
      </c>
      <c r="E127" s="86" t="e">
        <f t="shared" si="8"/>
        <v>#N/A</v>
      </c>
      <c r="F127" s="86" t="e">
        <f>IF($C127&gt;0,-PMT(Inputs!$B$14/12,Inputs!$B$15,Inputs!$B$11-Inputs!$B$13),0)</f>
        <v>#N/A</v>
      </c>
      <c r="H127" s="86">
        <f t="shared" si="13"/>
        <v>0</v>
      </c>
      <c r="I127" s="86">
        <f>IF($H127&lt;&gt;0,Inputs!$B$28/12*H127,0)</f>
        <v>0</v>
      </c>
      <c r="J127" s="86">
        <f t="shared" si="9"/>
        <v>0</v>
      </c>
      <c r="K127" s="86">
        <f t="shared" si="10"/>
        <v>0</v>
      </c>
    </row>
    <row r="128" spans="1:11" x14ac:dyDescent="0.3">
      <c r="A128" s="97">
        <f t="shared" si="7"/>
        <v>2035</v>
      </c>
      <c r="B128" s="79">
        <f t="shared" si="11"/>
        <v>49461</v>
      </c>
      <c r="C128" s="86" t="e">
        <f t="shared" si="12"/>
        <v>#N/A</v>
      </c>
      <c r="D128" s="86" t="e">
        <f>IF($C128&lt;&gt;0,Inputs!$B$14/12*C128,0)</f>
        <v>#N/A</v>
      </c>
      <c r="E128" s="86" t="e">
        <f t="shared" si="8"/>
        <v>#N/A</v>
      </c>
      <c r="F128" s="86" t="e">
        <f>IF($C128&gt;0,-PMT(Inputs!$B$14/12,Inputs!$B$15,Inputs!$B$11-Inputs!$B$13),0)</f>
        <v>#N/A</v>
      </c>
      <c r="H128" s="86">
        <f t="shared" si="13"/>
        <v>0</v>
      </c>
      <c r="I128" s="86">
        <f>IF($H128&lt;&gt;0,Inputs!$B$28/12*H128,0)</f>
        <v>0</v>
      </c>
      <c r="J128" s="86">
        <f t="shared" si="9"/>
        <v>0</v>
      </c>
      <c r="K128" s="86">
        <f t="shared" si="10"/>
        <v>0</v>
      </c>
    </row>
    <row r="129" spans="1:11" x14ac:dyDescent="0.3">
      <c r="A129" s="97">
        <f t="shared" si="7"/>
        <v>2035</v>
      </c>
      <c r="B129" s="79">
        <f t="shared" si="11"/>
        <v>49491</v>
      </c>
      <c r="C129" s="86" t="e">
        <f t="shared" si="12"/>
        <v>#N/A</v>
      </c>
      <c r="D129" s="86" t="e">
        <f>IF($C129&lt;&gt;0,Inputs!$B$14/12*C129,0)</f>
        <v>#N/A</v>
      </c>
      <c r="E129" s="86" t="e">
        <f t="shared" si="8"/>
        <v>#N/A</v>
      </c>
      <c r="F129" s="86" t="e">
        <f>IF($C129&gt;0,-PMT(Inputs!$B$14/12,Inputs!$B$15,Inputs!$B$11-Inputs!$B$13),0)</f>
        <v>#N/A</v>
      </c>
      <c r="H129" s="86">
        <f t="shared" si="13"/>
        <v>0</v>
      </c>
      <c r="I129" s="86">
        <f>IF($H129&lt;&gt;0,Inputs!$B$28/12*H129,0)</f>
        <v>0</v>
      </c>
      <c r="J129" s="86">
        <f t="shared" si="9"/>
        <v>0</v>
      </c>
      <c r="K129" s="86">
        <f t="shared" si="10"/>
        <v>0</v>
      </c>
    </row>
    <row r="130" spans="1:11" x14ac:dyDescent="0.3">
      <c r="A130" s="97">
        <f t="shared" si="7"/>
        <v>2035</v>
      </c>
      <c r="B130" s="79">
        <f t="shared" si="11"/>
        <v>49522</v>
      </c>
      <c r="C130" s="86" t="e">
        <f t="shared" si="12"/>
        <v>#N/A</v>
      </c>
      <c r="D130" s="86" t="e">
        <f>IF($C130&lt;&gt;0,Inputs!$B$14/12*C130,0)</f>
        <v>#N/A</v>
      </c>
      <c r="E130" s="86" t="e">
        <f t="shared" si="8"/>
        <v>#N/A</v>
      </c>
      <c r="F130" s="86" t="e">
        <f>IF($C130&gt;0,-PMT(Inputs!$B$14/12,Inputs!$B$15,Inputs!$B$11-Inputs!$B$13),0)</f>
        <v>#N/A</v>
      </c>
      <c r="H130" s="86">
        <f t="shared" si="13"/>
        <v>0</v>
      </c>
      <c r="I130" s="86">
        <f>IF($H130&lt;&gt;0,Inputs!$B$28/12*H130,0)</f>
        <v>0</v>
      </c>
      <c r="J130" s="86">
        <f t="shared" si="9"/>
        <v>0</v>
      </c>
      <c r="K130" s="86">
        <f t="shared" si="10"/>
        <v>0</v>
      </c>
    </row>
    <row r="131" spans="1:11" x14ac:dyDescent="0.3">
      <c r="A131" s="97">
        <f t="shared" si="7"/>
        <v>2035</v>
      </c>
      <c r="B131" s="79">
        <f t="shared" si="11"/>
        <v>49553</v>
      </c>
      <c r="C131" s="86" t="e">
        <f t="shared" si="12"/>
        <v>#N/A</v>
      </c>
      <c r="D131" s="86" t="e">
        <f>IF($C131&lt;&gt;0,Inputs!$B$14/12*C131,0)</f>
        <v>#N/A</v>
      </c>
      <c r="E131" s="86" t="e">
        <f t="shared" si="8"/>
        <v>#N/A</v>
      </c>
      <c r="F131" s="86" t="e">
        <f>IF($C131&gt;0,-PMT(Inputs!$B$14/12,Inputs!$B$15,Inputs!$B$11-Inputs!$B$13),0)</f>
        <v>#N/A</v>
      </c>
      <c r="H131" s="86">
        <f t="shared" si="13"/>
        <v>0</v>
      </c>
      <c r="I131" s="86">
        <f>IF($H131&lt;&gt;0,Inputs!$B$28/12*H131,0)</f>
        <v>0</v>
      </c>
      <c r="J131" s="86">
        <f t="shared" si="9"/>
        <v>0</v>
      </c>
      <c r="K131" s="86">
        <f t="shared" si="10"/>
        <v>0</v>
      </c>
    </row>
    <row r="132" spans="1:11" x14ac:dyDescent="0.3">
      <c r="A132" s="97">
        <f t="shared" ref="A132:A195" si="14">YEAR(B132)</f>
        <v>2035</v>
      </c>
      <c r="B132" s="79">
        <f t="shared" si="11"/>
        <v>49583</v>
      </c>
      <c r="C132" s="86" t="e">
        <f t="shared" si="12"/>
        <v>#N/A</v>
      </c>
      <c r="D132" s="86" t="e">
        <f>IF($C132&lt;&gt;0,Inputs!$B$14/12*C132,0)</f>
        <v>#N/A</v>
      </c>
      <c r="E132" s="86" t="e">
        <f t="shared" ref="E132:E195" si="15">F132-D132</f>
        <v>#N/A</v>
      </c>
      <c r="F132" s="86" t="e">
        <f>IF($C132&gt;0,-PMT(Inputs!$B$14/12,Inputs!$B$15,Inputs!$B$11-Inputs!$B$13),0)</f>
        <v>#N/A</v>
      </c>
      <c r="H132" s="86">
        <f t="shared" si="13"/>
        <v>0</v>
      </c>
      <c r="I132" s="86">
        <f>IF($H132&lt;&gt;0,Inputs!$B$28/12*H132,0)</f>
        <v>0</v>
      </c>
      <c r="J132" s="86">
        <f t="shared" ref="J132:J195" si="16">K132-I132</f>
        <v>0</v>
      </c>
      <c r="K132" s="86">
        <f t="shared" ref="K132:K195" si="17">IF(H132&gt;0,IF(H132+I132&gt;K131,K131,H132+I132),0)</f>
        <v>0</v>
      </c>
    </row>
    <row r="133" spans="1:11" x14ac:dyDescent="0.3">
      <c r="A133" s="97">
        <f t="shared" si="14"/>
        <v>2035</v>
      </c>
      <c r="B133" s="79">
        <f t="shared" ref="B133:B196" si="18">EDATE(B132,1)</f>
        <v>49614</v>
      </c>
      <c r="C133" s="86" t="e">
        <f t="shared" ref="C133:C196" si="19">IF(C132&gt;0,C132-E132,0)</f>
        <v>#N/A</v>
      </c>
      <c r="D133" s="86" t="e">
        <f>IF($C133&lt;&gt;0,Inputs!$B$14/12*C133,0)</f>
        <v>#N/A</v>
      </c>
      <c r="E133" s="86" t="e">
        <f t="shared" si="15"/>
        <v>#N/A</v>
      </c>
      <c r="F133" s="86" t="e">
        <f>IF($C133&gt;0,-PMT(Inputs!$B$14/12,Inputs!$B$15,Inputs!$B$11-Inputs!$B$13),0)</f>
        <v>#N/A</v>
      </c>
      <c r="H133" s="86">
        <f t="shared" ref="H133:H196" si="20">IF(H132&gt;0,H132-J132,0)</f>
        <v>0</v>
      </c>
      <c r="I133" s="86">
        <f>IF($H133&lt;&gt;0,Inputs!$B$28/12*H133,0)</f>
        <v>0</v>
      </c>
      <c r="J133" s="86">
        <f t="shared" si="16"/>
        <v>0</v>
      </c>
      <c r="K133" s="86">
        <f t="shared" si="17"/>
        <v>0</v>
      </c>
    </row>
    <row r="134" spans="1:11" x14ac:dyDescent="0.3">
      <c r="A134" s="97">
        <f t="shared" si="14"/>
        <v>2035</v>
      </c>
      <c r="B134" s="79">
        <f t="shared" si="18"/>
        <v>49644</v>
      </c>
      <c r="C134" s="86" t="e">
        <f t="shared" si="19"/>
        <v>#N/A</v>
      </c>
      <c r="D134" s="86" t="e">
        <f>IF($C134&lt;&gt;0,Inputs!$B$14/12*C134,0)</f>
        <v>#N/A</v>
      </c>
      <c r="E134" s="86" t="e">
        <f t="shared" si="15"/>
        <v>#N/A</v>
      </c>
      <c r="F134" s="86" t="e">
        <f>IF($C134&gt;0,-PMT(Inputs!$B$14/12,Inputs!$B$15,Inputs!$B$11-Inputs!$B$13),0)</f>
        <v>#N/A</v>
      </c>
      <c r="H134" s="86">
        <f t="shared" si="20"/>
        <v>0</v>
      </c>
      <c r="I134" s="86">
        <f>IF($H134&lt;&gt;0,Inputs!$B$28/12*H134,0)</f>
        <v>0</v>
      </c>
      <c r="J134" s="86">
        <f t="shared" si="16"/>
        <v>0</v>
      </c>
      <c r="K134" s="86">
        <f t="shared" si="17"/>
        <v>0</v>
      </c>
    </row>
    <row r="135" spans="1:11" x14ac:dyDescent="0.3">
      <c r="A135" s="97">
        <f t="shared" si="14"/>
        <v>2036</v>
      </c>
      <c r="B135" s="79">
        <f t="shared" si="18"/>
        <v>49675</v>
      </c>
      <c r="C135" s="86" t="e">
        <f t="shared" si="19"/>
        <v>#N/A</v>
      </c>
      <c r="D135" s="86" t="e">
        <f>IF($C135&lt;&gt;0,Inputs!$B$14/12*C135,0)</f>
        <v>#N/A</v>
      </c>
      <c r="E135" s="86" t="e">
        <f t="shared" si="15"/>
        <v>#N/A</v>
      </c>
      <c r="F135" s="86" t="e">
        <f>IF($C135&gt;0,-PMT(Inputs!$B$14/12,Inputs!$B$15,Inputs!$B$11-Inputs!$B$13),0)</f>
        <v>#N/A</v>
      </c>
      <c r="H135" s="86">
        <f t="shared" si="20"/>
        <v>0</v>
      </c>
      <c r="I135" s="86">
        <f>IF($H135&lt;&gt;0,Inputs!$B$28/12*H135,0)</f>
        <v>0</v>
      </c>
      <c r="J135" s="86">
        <f t="shared" si="16"/>
        <v>0</v>
      </c>
      <c r="K135" s="86">
        <f t="shared" si="17"/>
        <v>0</v>
      </c>
    </row>
    <row r="136" spans="1:11" x14ac:dyDescent="0.3">
      <c r="A136" s="97">
        <f t="shared" si="14"/>
        <v>2036</v>
      </c>
      <c r="B136" s="79">
        <f t="shared" si="18"/>
        <v>49706</v>
      </c>
      <c r="C136" s="86" t="e">
        <f t="shared" si="19"/>
        <v>#N/A</v>
      </c>
      <c r="D136" s="86" t="e">
        <f>IF($C136&lt;&gt;0,Inputs!$B$14/12*C136,0)</f>
        <v>#N/A</v>
      </c>
      <c r="E136" s="86" t="e">
        <f t="shared" si="15"/>
        <v>#N/A</v>
      </c>
      <c r="F136" s="86" t="e">
        <f>IF($C136&gt;0,-PMT(Inputs!$B$14/12,Inputs!$B$15,Inputs!$B$11-Inputs!$B$13),0)</f>
        <v>#N/A</v>
      </c>
      <c r="H136" s="86">
        <f t="shared" si="20"/>
        <v>0</v>
      </c>
      <c r="I136" s="86">
        <f>IF($H136&lt;&gt;0,Inputs!$B$28/12*H136,0)</f>
        <v>0</v>
      </c>
      <c r="J136" s="86">
        <f t="shared" si="16"/>
        <v>0</v>
      </c>
      <c r="K136" s="86">
        <f t="shared" si="17"/>
        <v>0</v>
      </c>
    </row>
    <row r="137" spans="1:11" x14ac:dyDescent="0.3">
      <c r="A137" s="97">
        <f t="shared" si="14"/>
        <v>2036</v>
      </c>
      <c r="B137" s="79">
        <f t="shared" si="18"/>
        <v>49735</v>
      </c>
      <c r="C137" s="86" t="e">
        <f t="shared" si="19"/>
        <v>#N/A</v>
      </c>
      <c r="D137" s="86" t="e">
        <f>IF($C137&lt;&gt;0,Inputs!$B$14/12*C137,0)</f>
        <v>#N/A</v>
      </c>
      <c r="E137" s="86" t="e">
        <f t="shared" si="15"/>
        <v>#N/A</v>
      </c>
      <c r="F137" s="86" t="e">
        <f>IF($C137&gt;0,-PMT(Inputs!$B$14/12,Inputs!$B$15,Inputs!$B$11-Inputs!$B$13),0)</f>
        <v>#N/A</v>
      </c>
      <c r="H137" s="86">
        <f t="shared" si="20"/>
        <v>0</v>
      </c>
      <c r="I137" s="86">
        <f>IF($H137&lt;&gt;0,Inputs!$B$28/12*H137,0)</f>
        <v>0</v>
      </c>
      <c r="J137" s="86">
        <f t="shared" si="16"/>
        <v>0</v>
      </c>
      <c r="K137" s="86">
        <f t="shared" si="17"/>
        <v>0</v>
      </c>
    </row>
    <row r="138" spans="1:11" x14ac:dyDescent="0.3">
      <c r="A138" s="97">
        <f t="shared" si="14"/>
        <v>2036</v>
      </c>
      <c r="B138" s="79">
        <f t="shared" si="18"/>
        <v>49766</v>
      </c>
      <c r="C138" s="86" t="e">
        <f t="shared" si="19"/>
        <v>#N/A</v>
      </c>
      <c r="D138" s="86" t="e">
        <f>IF($C138&lt;&gt;0,Inputs!$B$14/12*C138,0)</f>
        <v>#N/A</v>
      </c>
      <c r="E138" s="86" t="e">
        <f t="shared" si="15"/>
        <v>#N/A</v>
      </c>
      <c r="F138" s="86" t="e">
        <f>IF($C138&gt;0,-PMT(Inputs!$B$14/12,Inputs!$B$15,Inputs!$B$11-Inputs!$B$13),0)</f>
        <v>#N/A</v>
      </c>
      <c r="H138" s="86">
        <f t="shared" si="20"/>
        <v>0</v>
      </c>
      <c r="I138" s="86">
        <f>IF($H138&lt;&gt;0,Inputs!$B$28/12*H138,0)</f>
        <v>0</v>
      </c>
      <c r="J138" s="86">
        <f t="shared" si="16"/>
        <v>0</v>
      </c>
      <c r="K138" s="86">
        <f t="shared" si="17"/>
        <v>0</v>
      </c>
    </row>
    <row r="139" spans="1:11" x14ac:dyDescent="0.3">
      <c r="A139" s="97">
        <f t="shared" si="14"/>
        <v>2036</v>
      </c>
      <c r="B139" s="79">
        <f t="shared" si="18"/>
        <v>49796</v>
      </c>
      <c r="C139" s="86" t="e">
        <f t="shared" si="19"/>
        <v>#N/A</v>
      </c>
      <c r="D139" s="86" t="e">
        <f>IF($C139&lt;&gt;0,Inputs!$B$14/12*C139,0)</f>
        <v>#N/A</v>
      </c>
      <c r="E139" s="86" t="e">
        <f t="shared" si="15"/>
        <v>#N/A</v>
      </c>
      <c r="F139" s="86" t="e">
        <f>IF($C139&gt;0,-PMT(Inputs!$B$14/12,Inputs!$B$15,Inputs!$B$11-Inputs!$B$13),0)</f>
        <v>#N/A</v>
      </c>
      <c r="H139" s="86">
        <f t="shared" si="20"/>
        <v>0</v>
      </c>
      <c r="I139" s="86">
        <f>IF($H139&lt;&gt;0,Inputs!$B$28/12*H139,0)</f>
        <v>0</v>
      </c>
      <c r="J139" s="86">
        <f t="shared" si="16"/>
        <v>0</v>
      </c>
      <c r="K139" s="86">
        <f t="shared" si="17"/>
        <v>0</v>
      </c>
    </row>
    <row r="140" spans="1:11" x14ac:dyDescent="0.3">
      <c r="A140" s="97">
        <f t="shared" si="14"/>
        <v>2036</v>
      </c>
      <c r="B140" s="79">
        <f t="shared" si="18"/>
        <v>49827</v>
      </c>
      <c r="C140" s="86" t="e">
        <f t="shared" si="19"/>
        <v>#N/A</v>
      </c>
      <c r="D140" s="86" t="e">
        <f>IF($C140&lt;&gt;0,Inputs!$B$14/12*C140,0)</f>
        <v>#N/A</v>
      </c>
      <c r="E140" s="86" t="e">
        <f t="shared" si="15"/>
        <v>#N/A</v>
      </c>
      <c r="F140" s="86" t="e">
        <f>IF($C140&gt;0,-PMT(Inputs!$B$14/12,Inputs!$B$15,Inputs!$B$11-Inputs!$B$13),0)</f>
        <v>#N/A</v>
      </c>
      <c r="H140" s="86">
        <f t="shared" si="20"/>
        <v>0</v>
      </c>
      <c r="I140" s="86">
        <f>IF($H140&lt;&gt;0,Inputs!$B$28/12*H140,0)</f>
        <v>0</v>
      </c>
      <c r="J140" s="86">
        <f t="shared" si="16"/>
        <v>0</v>
      </c>
      <c r="K140" s="86">
        <f t="shared" si="17"/>
        <v>0</v>
      </c>
    </row>
    <row r="141" spans="1:11" x14ac:dyDescent="0.3">
      <c r="A141" s="97">
        <f t="shared" si="14"/>
        <v>2036</v>
      </c>
      <c r="B141" s="79">
        <f t="shared" si="18"/>
        <v>49857</v>
      </c>
      <c r="C141" s="86" t="e">
        <f t="shared" si="19"/>
        <v>#N/A</v>
      </c>
      <c r="D141" s="86" t="e">
        <f>IF($C141&lt;&gt;0,Inputs!$B$14/12*C141,0)</f>
        <v>#N/A</v>
      </c>
      <c r="E141" s="86" t="e">
        <f t="shared" si="15"/>
        <v>#N/A</v>
      </c>
      <c r="F141" s="86" t="e">
        <f>IF($C141&gt;0,-PMT(Inputs!$B$14/12,Inputs!$B$15,Inputs!$B$11-Inputs!$B$13),0)</f>
        <v>#N/A</v>
      </c>
      <c r="H141" s="86">
        <f t="shared" si="20"/>
        <v>0</v>
      </c>
      <c r="I141" s="86">
        <f>IF($H141&lt;&gt;0,Inputs!$B$28/12*H141,0)</f>
        <v>0</v>
      </c>
      <c r="J141" s="86">
        <f t="shared" si="16"/>
        <v>0</v>
      </c>
      <c r="K141" s="86">
        <f t="shared" si="17"/>
        <v>0</v>
      </c>
    </row>
    <row r="142" spans="1:11" x14ac:dyDescent="0.3">
      <c r="A142" s="97">
        <f t="shared" si="14"/>
        <v>2036</v>
      </c>
      <c r="B142" s="79">
        <f t="shared" si="18"/>
        <v>49888</v>
      </c>
      <c r="C142" s="86" t="e">
        <f t="shared" si="19"/>
        <v>#N/A</v>
      </c>
      <c r="D142" s="86" t="e">
        <f>IF($C142&lt;&gt;0,Inputs!$B$14/12*C142,0)</f>
        <v>#N/A</v>
      </c>
      <c r="E142" s="86" t="e">
        <f t="shared" si="15"/>
        <v>#N/A</v>
      </c>
      <c r="F142" s="86" t="e">
        <f>IF($C142&gt;0,-PMT(Inputs!$B$14/12,Inputs!$B$15,Inputs!$B$11-Inputs!$B$13),0)</f>
        <v>#N/A</v>
      </c>
      <c r="H142" s="86">
        <f t="shared" si="20"/>
        <v>0</v>
      </c>
      <c r="I142" s="86">
        <f>IF($H142&lt;&gt;0,Inputs!$B$28/12*H142,0)</f>
        <v>0</v>
      </c>
      <c r="J142" s="86">
        <f t="shared" si="16"/>
        <v>0</v>
      </c>
      <c r="K142" s="86">
        <f t="shared" si="17"/>
        <v>0</v>
      </c>
    </row>
    <row r="143" spans="1:11" x14ac:dyDescent="0.3">
      <c r="A143" s="97">
        <f t="shared" si="14"/>
        <v>2036</v>
      </c>
      <c r="B143" s="79">
        <f t="shared" si="18"/>
        <v>49919</v>
      </c>
      <c r="C143" s="86" t="e">
        <f t="shared" si="19"/>
        <v>#N/A</v>
      </c>
      <c r="D143" s="86" t="e">
        <f>IF($C143&lt;&gt;0,Inputs!$B$14/12*C143,0)</f>
        <v>#N/A</v>
      </c>
      <c r="E143" s="86" t="e">
        <f t="shared" si="15"/>
        <v>#N/A</v>
      </c>
      <c r="F143" s="86" t="e">
        <f>IF($C143&gt;0,-PMT(Inputs!$B$14/12,Inputs!$B$15,Inputs!$B$11-Inputs!$B$13),0)</f>
        <v>#N/A</v>
      </c>
      <c r="H143" s="86">
        <f t="shared" si="20"/>
        <v>0</v>
      </c>
      <c r="I143" s="86">
        <f>IF($H143&lt;&gt;0,Inputs!$B$28/12*H143,0)</f>
        <v>0</v>
      </c>
      <c r="J143" s="86">
        <f t="shared" si="16"/>
        <v>0</v>
      </c>
      <c r="K143" s="86">
        <f t="shared" si="17"/>
        <v>0</v>
      </c>
    </row>
    <row r="144" spans="1:11" x14ac:dyDescent="0.3">
      <c r="A144" s="97">
        <f t="shared" si="14"/>
        <v>2036</v>
      </c>
      <c r="B144" s="79">
        <f t="shared" si="18"/>
        <v>49949</v>
      </c>
      <c r="C144" s="86" t="e">
        <f t="shared" si="19"/>
        <v>#N/A</v>
      </c>
      <c r="D144" s="86" t="e">
        <f>IF($C144&lt;&gt;0,Inputs!$B$14/12*C144,0)</f>
        <v>#N/A</v>
      </c>
      <c r="E144" s="86" t="e">
        <f t="shared" si="15"/>
        <v>#N/A</v>
      </c>
      <c r="F144" s="86" t="e">
        <f>IF($C144&gt;0,-PMT(Inputs!$B$14/12,Inputs!$B$15,Inputs!$B$11-Inputs!$B$13),0)</f>
        <v>#N/A</v>
      </c>
      <c r="H144" s="86">
        <f t="shared" si="20"/>
        <v>0</v>
      </c>
      <c r="I144" s="86">
        <f>IF($H144&lt;&gt;0,Inputs!$B$28/12*H144,0)</f>
        <v>0</v>
      </c>
      <c r="J144" s="86">
        <f t="shared" si="16"/>
        <v>0</v>
      </c>
      <c r="K144" s="86">
        <f t="shared" si="17"/>
        <v>0</v>
      </c>
    </row>
    <row r="145" spans="1:11" x14ac:dyDescent="0.3">
      <c r="A145" s="97">
        <f t="shared" si="14"/>
        <v>2036</v>
      </c>
      <c r="B145" s="79">
        <f t="shared" si="18"/>
        <v>49980</v>
      </c>
      <c r="C145" s="86" t="e">
        <f t="shared" si="19"/>
        <v>#N/A</v>
      </c>
      <c r="D145" s="86" t="e">
        <f>IF($C145&lt;&gt;0,Inputs!$B$14/12*C145,0)</f>
        <v>#N/A</v>
      </c>
      <c r="E145" s="86" t="e">
        <f t="shared" si="15"/>
        <v>#N/A</v>
      </c>
      <c r="F145" s="86" t="e">
        <f>IF($C145&gt;0,-PMT(Inputs!$B$14/12,Inputs!$B$15,Inputs!$B$11-Inputs!$B$13),0)</f>
        <v>#N/A</v>
      </c>
      <c r="H145" s="86">
        <f t="shared" si="20"/>
        <v>0</v>
      </c>
      <c r="I145" s="86">
        <f>IF($H145&lt;&gt;0,Inputs!$B$28/12*H145,0)</f>
        <v>0</v>
      </c>
      <c r="J145" s="86">
        <f t="shared" si="16"/>
        <v>0</v>
      </c>
      <c r="K145" s="86">
        <f t="shared" si="17"/>
        <v>0</v>
      </c>
    </row>
    <row r="146" spans="1:11" x14ac:dyDescent="0.3">
      <c r="A146" s="97">
        <f t="shared" si="14"/>
        <v>2036</v>
      </c>
      <c r="B146" s="79">
        <f t="shared" si="18"/>
        <v>50010</v>
      </c>
      <c r="C146" s="86" t="e">
        <f t="shared" si="19"/>
        <v>#N/A</v>
      </c>
      <c r="D146" s="86" t="e">
        <f>IF($C146&lt;&gt;0,Inputs!$B$14/12*C146,0)</f>
        <v>#N/A</v>
      </c>
      <c r="E146" s="86" t="e">
        <f t="shared" si="15"/>
        <v>#N/A</v>
      </c>
      <c r="F146" s="86" t="e">
        <f>IF($C146&gt;0,-PMT(Inputs!$B$14/12,Inputs!$B$15,Inputs!$B$11-Inputs!$B$13),0)</f>
        <v>#N/A</v>
      </c>
      <c r="H146" s="86">
        <f t="shared" si="20"/>
        <v>0</v>
      </c>
      <c r="I146" s="86">
        <f>IF($H146&lt;&gt;0,Inputs!$B$28/12*H146,0)</f>
        <v>0</v>
      </c>
      <c r="J146" s="86">
        <f t="shared" si="16"/>
        <v>0</v>
      </c>
      <c r="K146" s="86">
        <f t="shared" si="17"/>
        <v>0</v>
      </c>
    </row>
    <row r="147" spans="1:11" x14ac:dyDescent="0.3">
      <c r="A147" s="97">
        <f t="shared" si="14"/>
        <v>2037</v>
      </c>
      <c r="B147" s="79">
        <f t="shared" si="18"/>
        <v>50041</v>
      </c>
      <c r="C147" s="86" t="e">
        <f t="shared" si="19"/>
        <v>#N/A</v>
      </c>
      <c r="D147" s="86" t="e">
        <f>IF($C147&lt;&gt;0,Inputs!$B$14/12*C147,0)</f>
        <v>#N/A</v>
      </c>
      <c r="E147" s="86" t="e">
        <f t="shared" si="15"/>
        <v>#N/A</v>
      </c>
      <c r="F147" s="86" t="e">
        <f>IF($C147&gt;0,-PMT(Inputs!$B$14/12,Inputs!$B$15,Inputs!$B$11-Inputs!$B$13),0)</f>
        <v>#N/A</v>
      </c>
      <c r="H147" s="86">
        <f t="shared" si="20"/>
        <v>0</v>
      </c>
      <c r="I147" s="86">
        <f>IF($H147&lt;&gt;0,Inputs!$B$28/12*H147,0)</f>
        <v>0</v>
      </c>
      <c r="J147" s="86">
        <f t="shared" si="16"/>
        <v>0</v>
      </c>
      <c r="K147" s="86">
        <f t="shared" si="17"/>
        <v>0</v>
      </c>
    </row>
    <row r="148" spans="1:11" x14ac:dyDescent="0.3">
      <c r="A148" s="97">
        <f t="shared" si="14"/>
        <v>2037</v>
      </c>
      <c r="B148" s="79">
        <f t="shared" si="18"/>
        <v>50072</v>
      </c>
      <c r="C148" s="86" t="e">
        <f t="shared" si="19"/>
        <v>#N/A</v>
      </c>
      <c r="D148" s="86" t="e">
        <f>IF($C148&lt;&gt;0,Inputs!$B$14/12*C148,0)</f>
        <v>#N/A</v>
      </c>
      <c r="E148" s="86" t="e">
        <f t="shared" si="15"/>
        <v>#N/A</v>
      </c>
      <c r="F148" s="86" t="e">
        <f>IF($C148&gt;0,-PMT(Inputs!$B$14/12,Inputs!$B$15,Inputs!$B$11-Inputs!$B$13),0)</f>
        <v>#N/A</v>
      </c>
      <c r="H148" s="86">
        <f t="shared" si="20"/>
        <v>0</v>
      </c>
      <c r="I148" s="86">
        <f>IF($H148&lt;&gt;0,Inputs!$B$28/12*H148,0)</f>
        <v>0</v>
      </c>
      <c r="J148" s="86">
        <f t="shared" si="16"/>
        <v>0</v>
      </c>
      <c r="K148" s="86">
        <f t="shared" si="17"/>
        <v>0</v>
      </c>
    </row>
    <row r="149" spans="1:11" x14ac:dyDescent="0.3">
      <c r="A149" s="97">
        <f t="shared" si="14"/>
        <v>2037</v>
      </c>
      <c r="B149" s="79">
        <f t="shared" si="18"/>
        <v>50100</v>
      </c>
      <c r="C149" s="86" t="e">
        <f t="shared" si="19"/>
        <v>#N/A</v>
      </c>
      <c r="D149" s="86" t="e">
        <f>IF($C149&lt;&gt;0,Inputs!$B$14/12*C149,0)</f>
        <v>#N/A</v>
      </c>
      <c r="E149" s="86" t="e">
        <f t="shared" si="15"/>
        <v>#N/A</v>
      </c>
      <c r="F149" s="86" t="e">
        <f>IF($C149&gt;0,-PMT(Inputs!$B$14/12,Inputs!$B$15,Inputs!$B$11-Inputs!$B$13),0)</f>
        <v>#N/A</v>
      </c>
      <c r="H149" s="86">
        <f t="shared" si="20"/>
        <v>0</v>
      </c>
      <c r="I149" s="86">
        <f>IF($H149&lt;&gt;0,Inputs!$B$28/12*H149,0)</f>
        <v>0</v>
      </c>
      <c r="J149" s="86">
        <f t="shared" si="16"/>
        <v>0</v>
      </c>
      <c r="K149" s="86">
        <f t="shared" si="17"/>
        <v>0</v>
      </c>
    </row>
    <row r="150" spans="1:11" x14ac:dyDescent="0.3">
      <c r="A150" s="97">
        <f t="shared" si="14"/>
        <v>2037</v>
      </c>
      <c r="B150" s="79">
        <f t="shared" si="18"/>
        <v>50131</v>
      </c>
      <c r="C150" s="86" t="e">
        <f t="shared" si="19"/>
        <v>#N/A</v>
      </c>
      <c r="D150" s="86" t="e">
        <f>IF($C150&lt;&gt;0,Inputs!$B$14/12*C150,0)</f>
        <v>#N/A</v>
      </c>
      <c r="E150" s="86" t="e">
        <f t="shared" si="15"/>
        <v>#N/A</v>
      </c>
      <c r="F150" s="86" t="e">
        <f>IF($C150&gt;0,-PMT(Inputs!$B$14/12,Inputs!$B$15,Inputs!$B$11-Inputs!$B$13),0)</f>
        <v>#N/A</v>
      </c>
      <c r="H150" s="86">
        <f t="shared" si="20"/>
        <v>0</v>
      </c>
      <c r="I150" s="86">
        <f>IF($H150&lt;&gt;0,Inputs!$B$28/12*H150,0)</f>
        <v>0</v>
      </c>
      <c r="J150" s="86">
        <f t="shared" si="16"/>
        <v>0</v>
      </c>
      <c r="K150" s="86">
        <f t="shared" si="17"/>
        <v>0</v>
      </c>
    </row>
    <row r="151" spans="1:11" x14ac:dyDescent="0.3">
      <c r="A151" s="97">
        <f t="shared" si="14"/>
        <v>2037</v>
      </c>
      <c r="B151" s="79">
        <f t="shared" si="18"/>
        <v>50161</v>
      </c>
      <c r="C151" s="86" t="e">
        <f t="shared" si="19"/>
        <v>#N/A</v>
      </c>
      <c r="D151" s="86" t="e">
        <f>IF($C151&lt;&gt;0,Inputs!$B$14/12*C151,0)</f>
        <v>#N/A</v>
      </c>
      <c r="E151" s="86" t="e">
        <f t="shared" si="15"/>
        <v>#N/A</v>
      </c>
      <c r="F151" s="86" t="e">
        <f>IF($C151&gt;0,-PMT(Inputs!$B$14/12,Inputs!$B$15,Inputs!$B$11-Inputs!$B$13),0)</f>
        <v>#N/A</v>
      </c>
      <c r="H151" s="86">
        <f t="shared" si="20"/>
        <v>0</v>
      </c>
      <c r="I151" s="86">
        <f>IF($H151&lt;&gt;0,Inputs!$B$28/12*H151,0)</f>
        <v>0</v>
      </c>
      <c r="J151" s="86">
        <f t="shared" si="16"/>
        <v>0</v>
      </c>
      <c r="K151" s="86">
        <f t="shared" si="17"/>
        <v>0</v>
      </c>
    </row>
    <row r="152" spans="1:11" x14ac:dyDescent="0.3">
      <c r="A152" s="97">
        <f t="shared" si="14"/>
        <v>2037</v>
      </c>
      <c r="B152" s="79">
        <f t="shared" si="18"/>
        <v>50192</v>
      </c>
      <c r="C152" s="86" t="e">
        <f t="shared" si="19"/>
        <v>#N/A</v>
      </c>
      <c r="D152" s="86" t="e">
        <f>IF($C152&lt;&gt;0,Inputs!$B$14/12*C152,0)</f>
        <v>#N/A</v>
      </c>
      <c r="E152" s="86" t="e">
        <f t="shared" si="15"/>
        <v>#N/A</v>
      </c>
      <c r="F152" s="86" t="e">
        <f>IF($C152&gt;0,-PMT(Inputs!$B$14/12,Inputs!$B$15,Inputs!$B$11-Inputs!$B$13),0)</f>
        <v>#N/A</v>
      </c>
      <c r="H152" s="86">
        <f t="shared" si="20"/>
        <v>0</v>
      </c>
      <c r="I152" s="86">
        <f>IF($H152&lt;&gt;0,Inputs!$B$28/12*H152,0)</f>
        <v>0</v>
      </c>
      <c r="J152" s="86">
        <f t="shared" si="16"/>
        <v>0</v>
      </c>
      <c r="K152" s="86">
        <f t="shared" si="17"/>
        <v>0</v>
      </c>
    </row>
    <row r="153" spans="1:11" x14ac:dyDescent="0.3">
      <c r="A153" s="97">
        <f t="shared" si="14"/>
        <v>2037</v>
      </c>
      <c r="B153" s="79">
        <f t="shared" si="18"/>
        <v>50222</v>
      </c>
      <c r="C153" s="86" t="e">
        <f t="shared" si="19"/>
        <v>#N/A</v>
      </c>
      <c r="D153" s="86" t="e">
        <f>IF($C153&lt;&gt;0,Inputs!$B$14/12*C153,0)</f>
        <v>#N/A</v>
      </c>
      <c r="E153" s="86" t="e">
        <f t="shared" si="15"/>
        <v>#N/A</v>
      </c>
      <c r="F153" s="86" t="e">
        <f>IF($C153&gt;0,-PMT(Inputs!$B$14/12,Inputs!$B$15,Inputs!$B$11-Inputs!$B$13),0)</f>
        <v>#N/A</v>
      </c>
      <c r="H153" s="86">
        <f t="shared" si="20"/>
        <v>0</v>
      </c>
      <c r="I153" s="86">
        <f>IF($H153&lt;&gt;0,Inputs!$B$28/12*H153,0)</f>
        <v>0</v>
      </c>
      <c r="J153" s="86">
        <f t="shared" si="16"/>
        <v>0</v>
      </c>
      <c r="K153" s="86">
        <f t="shared" si="17"/>
        <v>0</v>
      </c>
    </row>
    <row r="154" spans="1:11" x14ac:dyDescent="0.3">
      <c r="A154" s="97">
        <f t="shared" si="14"/>
        <v>2037</v>
      </c>
      <c r="B154" s="79">
        <f t="shared" si="18"/>
        <v>50253</v>
      </c>
      <c r="C154" s="86" t="e">
        <f t="shared" si="19"/>
        <v>#N/A</v>
      </c>
      <c r="D154" s="86" t="e">
        <f>IF($C154&lt;&gt;0,Inputs!$B$14/12*C154,0)</f>
        <v>#N/A</v>
      </c>
      <c r="E154" s="86" t="e">
        <f t="shared" si="15"/>
        <v>#N/A</v>
      </c>
      <c r="F154" s="86" t="e">
        <f>IF($C154&gt;0,-PMT(Inputs!$B$14/12,Inputs!$B$15,Inputs!$B$11-Inputs!$B$13),0)</f>
        <v>#N/A</v>
      </c>
      <c r="H154" s="86">
        <f t="shared" si="20"/>
        <v>0</v>
      </c>
      <c r="I154" s="86">
        <f>IF($H154&lt;&gt;0,Inputs!$B$28/12*H154,0)</f>
        <v>0</v>
      </c>
      <c r="J154" s="86">
        <f t="shared" si="16"/>
        <v>0</v>
      </c>
      <c r="K154" s="86">
        <f t="shared" si="17"/>
        <v>0</v>
      </c>
    </row>
    <row r="155" spans="1:11" x14ac:dyDescent="0.3">
      <c r="A155" s="97">
        <f t="shared" si="14"/>
        <v>2037</v>
      </c>
      <c r="B155" s="79">
        <f t="shared" si="18"/>
        <v>50284</v>
      </c>
      <c r="C155" s="86" t="e">
        <f t="shared" si="19"/>
        <v>#N/A</v>
      </c>
      <c r="D155" s="86" t="e">
        <f>IF($C155&lt;&gt;0,Inputs!$B$14/12*C155,0)</f>
        <v>#N/A</v>
      </c>
      <c r="E155" s="86" t="e">
        <f t="shared" si="15"/>
        <v>#N/A</v>
      </c>
      <c r="F155" s="86" t="e">
        <f>IF($C155&gt;0,-PMT(Inputs!$B$14/12,Inputs!$B$15,Inputs!$B$11-Inputs!$B$13),0)</f>
        <v>#N/A</v>
      </c>
      <c r="H155" s="86">
        <f t="shared" si="20"/>
        <v>0</v>
      </c>
      <c r="I155" s="86">
        <f>IF($H155&lt;&gt;0,Inputs!$B$28/12*H155,0)</f>
        <v>0</v>
      </c>
      <c r="J155" s="86">
        <f t="shared" si="16"/>
        <v>0</v>
      </c>
      <c r="K155" s="86">
        <f t="shared" si="17"/>
        <v>0</v>
      </c>
    </row>
    <row r="156" spans="1:11" x14ac:dyDescent="0.3">
      <c r="A156" s="97">
        <f t="shared" si="14"/>
        <v>2037</v>
      </c>
      <c r="B156" s="79">
        <f t="shared" si="18"/>
        <v>50314</v>
      </c>
      <c r="C156" s="86" t="e">
        <f t="shared" si="19"/>
        <v>#N/A</v>
      </c>
      <c r="D156" s="86" t="e">
        <f>IF($C156&lt;&gt;0,Inputs!$B$14/12*C156,0)</f>
        <v>#N/A</v>
      </c>
      <c r="E156" s="86" t="e">
        <f t="shared" si="15"/>
        <v>#N/A</v>
      </c>
      <c r="F156" s="86" t="e">
        <f>IF($C156&gt;0,-PMT(Inputs!$B$14/12,Inputs!$B$15,Inputs!$B$11-Inputs!$B$13),0)</f>
        <v>#N/A</v>
      </c>
      <c r="H156" s="86">
        <f t="shared" si="20"/>
        <v>0</v>
      </c>
      <c r="I156" s="86">
        <f>IF($H156&lt;&gt;0,Inputs!$B$28/12*H156,0)</f>
        <v>0</v>
      </c>
      <c r="J156" s="86">
        <f t="shared" si="16"/>
        <v>0</v>
      </c>
      <c r="K156" s="86">
        <f t="shared" si="17"/>
        <v>0</v>
      </c>
    </row>
    <row r="157" spans="1:11" x14ac:dyDescent="0.3">
      <c r="A157" s="97">
        <f t="shared" si="14"/>
        <v>2037</v>
      </c>
      <c r="B157" s="79">
        <f t="shared" si="18"/>
        <v>50345</v>
      </c>
      <c r="C157" s="86" t="e">
        <f t="shared" si="19"/>
        <v>#N/A</v>
      </c>
      <c r="D157" s="86" t="e">
        <f>IF($C157&lt;&gt;0,Inputs!$B$14/12*C157,0)</f>
        <v>#N/A</v>
      </c>
      <c r="E157" s="86" t="e">
        <f t="shared" si="15"/>
        <v>#N/A</v>
      </c>
      <c r="F157" s="86" t="e">
        <f>IF($C157&gt;0,-PMT(Inputs!$B$14/12,Inputs!$B$15,Inputs!$B$11-Inputs!$B$13),0)</f>
        <v>#N/A</v>
      </c>
      <c r="H157" s="86">
        <f t="shared" si="20"/>
        <v>0</v>
      </c>
      <c r="I157" s="86">
        <f>IF($H157&lt;&gt;0,Inputs!$B$28/12*H157,0)</f>
        <v>0</v>
      </c>
      <c r="J157" s="86">
        <f t="shared" si="16"/>
        <v>0</v>
      </c>
      <c r="K157" s="86">
        <f t="shared" si="17"/>
        <v>0</v>
      </c>
    </row>
    <row r="158" spans="1:11" x14ac:dyDescent="0.3">
      <c r="A158" s="97">
        <f t="shared" si="14"/>
        <v>2037</v>
      </c>
      <c r="B158" s="79">
        <f t="shared" si="18"/>
        <v>50375</v>
      </c>
      <c r="C158" s="86" t="e">
        <f t="shared" si="19"/>
        <v>#N/A</v>
      </c>
      <c r="D158" s="86" t="e">
        <f>IF($C158&lt;&gt;0,Inputs!$B$14/12*C158,0)</f>
        <v>#N/A</v>
      </c>
      <c r="E158" s="86" t="e">
        <f t="shared" si="15"/>
        <v>#N/A</v>
      </c>
      <c r="F158" s="86" t="e">
        <f>IF($C158&gt;0,-PMT(Inputs!$B$14/12,Inputs!$B$15,Inputs!$B$11-Inputs!$B$13),0)</f>
        <v>#N/A</v>
      </c>
      <c r="H158" s="86">
        <f t="shared" si="20"/>
        <v>0</v>
      </c>
      <c r="I158" s="86">
        <f>IF($H158&lt;&gt;0,Inputs!$B$28/12*H158,0)</f>
        <v>0</v>
      </c>
      <c r="J158" s="86">
        <f t="shared" si="16"/>
        <v>0</v>
      </c>
      <c r="K158" s="86">
        <f t="shared" si="17"/>
        <v>0</v>
      </c>
    </row>
    <row r="159" spans="1:11" x14ac:dyDescent="0.3">
      <c r="A159" s="97">
        <f t="shared" si="14"/>
        <v>2038</v>
      </c>
      <c r="B159" s="79">
        <f t="shared" si="18"/>
        <v>50406</v>
      </c>
      <c r="C159" s="86" t="e">
        <f t="shared" si="19"/>
        <v>#N/A</v>
      </c>
      <c r="D159" s="86" t="e">
        <f>IF($C159&lt;&gt;0,Inputs!$B$14/12*C159,0)</f>
        <v>#N/A</v>
      </c>
      <c r="E159" s="86" t="e">
        <f t="shared" si="15"/>
        <v>#N/A</v>
      </c>
      <c r="F159" s="86" t="e">
        <f>IF($C159&gt;0,-PMT(Inputs!$B$14/12,Inputs!$B$15,Inputs!$B$11-Inputs!$B$13),0)</f>
        <v>#N/A</v>
      </c>
      <c r="H159" s="86">
        <f t="shared" si="20"/>
        <v>0</v>
      </c>
      <c r="I159" s="86">
        <f>IF($H159&lt;&gt;0,Inputs!$B$28/12*H159,0)</f>
        <v>0</v>
      </c>
      <c r="J159" s="86">
        <f t="shared" si="16"/>
        <v>0</v>
      </c>
      <c r="K159" s="86">
        <f t="shared" si="17"/>
        <v>0</v>
      </c>
    </row>
    <row r="160" spans="1:11" x14ac:dyDescent="0.3">
      <c r="A160" s="97">
        <f t="shared" si="14"/>
        <v>2038</v>
      </c>
      <c r="B160" s="79">
        <f t="shared" si="18"/>
        <v>50437</v>
      </c>
      <c r="C160" s="86" t="e">
        <f t="shared" si="19"/>
        <v>#N/A</v>
      </c>
      <c r="D160" s="86" t="e">
        <f>IF($C160&lt;&gt;0,Inputs!$B$14/12*C160,0)</f>
        <v>#N/A</v>
      </c>
      <c r="E160" s="86" t="e">
        <f t="shared" si="15"/>
        <v>#N/A</v>
      </c>
      <c r="F160" s="86" t="e">
        <f>IF($C160&gt;0,-PMT(Inputs!$B$14/12,Inputs!$B$15,Inputs!$B$11-Inputs!$B$13),0)</f>
        <v>#N/A</v>
      </c>
      <c r="H160" s="86">
        <f t="shared" si="20"/>
        <v>0</v>
      </c>
      <c r="I160" s="86">
        <f>IF($H160&lt;&gt;0,Inputs!$B$28/12*H160,0)</f>
        <v>0</v>
      </c>
      <c r="J160" s="86">
        <f t="shared" si="16"/>
        <v>0</v>
      </c>
      <c r="K160" s="86">
        <f t="shared" si="17"/>
        <v>0</v>
      </c>
    </row>
    <row r="161" spans="1:11" x14ac:dyDescent="0.3">
      <c r="A161" s="97">
        <f t="shared" si="14"/>
        <v>2038</v>
      </c>
      <c r="B161" s="79">
        <f t="shared" si="18"/>
        <v>50465</v>
      </c>
      <c r="C161" s="86" t="e">
        <f t="shared" si="19"/>
        <v>#N/A</v>
      </c>
      <c r="D161" s="86" t="e">
        <f>IF($C161&lt;&gt;0,Inputs!$B$14/12*C161,0)</f>
        <v>#N/A</v>
      </c>
      <c r="E161" s="86" t="e">
        <f t="shared" si="15"/>
        <v>#N/A</v>
      </c>
      <c r="F161" s="86" t="e">
        <f>IF($C161&gt;0,-PMT(Inputs!$B$14/12,Inputs!$B$15,Inputs!$B$11-Inputs!$B$13),0)</f>
        <v>#N/A</v>
      </c>
      <c r="H161" s="86">
        <f t="shared" si="20"/>
        <v>0</v>
      </c>
      <c r="I161" s="86">
        <f>IF($H161&lt;&gt;0,Inputs!$B$28/12*H161,0)</f>
        <v>0</v>
      </c>
      <c r="J161" s="86">
        <f t="shared" si="16"/>
        <v>0</v>
      </c>
      <c r="K161" s="86">
        <f t="shared" si="17"/>
        <v>0</v>
      </c>
    </row>
    <row r="162" spans="1:11" x14ac:dyDescent="0.3">
      <c r="A162" s="97">
        <f t="shared" si="14"/>
        <v>2038</v>
      </c>
      <c r="B162" s="79">
        <f t="shared" si="18"/>
        <v>50496</v>
      </c>
      <c r="C162" s="86" t="e">
        <f t="shared" si="19"/>
        <v>#N/A</v>
      </c>
      <c r="D162" s="86" t="e">
        <f>IF($C162&lt;&gt;0,Inputs!$B$14/12*C162,0)</f>
        <v>#N/A</v>
      </c>
      <c r="E162" s="86" t="e">
        <f t="shared" si="15"/>
        <v>#N/A</v>
      </c>
      <c r="F162" s="86" t="e">
        <f>IF($C162&gt;0,-PMT(Inputs!$B$14/12,Inputs!$B$15,Inputs!$B$11-Inputs!$B$13),0)</f>
        <v>#N/A</v>
      </c>
      <c r="H162" s="86">
        <f t="shared" si="20"/>
        <v>0</v>
      </c>
      <c r="I162" s="86">
        <f>IF($H162&lt;&gt;0,Inputs!$B$28/12*H162,0)</f>
        <v>0</v>
      </c>
      <c r="J162" s="86">
        <f t="shared" si="16"/>
        <v>0</v>
      </c>
      <c r="K162" s="86">
        <f t="shared" si="17"/>
        <v>0</v>
      </c>
    </row>
    <row r="163" spans="1:11" x14ac:dyDescent="0.3">
      <c r="A163" s="97">
        <f t="shared" si="14"/>
        <v>2038</v>
      </c>
      <c r="B163" s="79">
        <f t="shared" si="18"/>
        <v>50526</v>
      </c>
      <c r="C163" s="86" t="e">
        <f t="shared" si="19"/>
        <v>#N/A</v>
      </c>
      <c r="D163" s="86" t="e">
        <f>IF($C163&lt;&gt;0,Inputs!$B$14/12*C163,0)</f>
        <v>#N/A</v>
      </c>
      <c r="E163" s="86" t="e">
        <f t="shared" si="15"/>
        <v>#N/A</v>
      </c>
      <c r="F163" s="86" t="e">
        <f>IF($C163&gt;0,-PMT(Inputs!$B$14/12,Inputs!$B$15,Inputs!$B$11-Inputs!$B$13),0)</f>
        <v>#N/A</v>
      </c>
      <c r="H163" s="86">
        <f t="shared" si="20"/>
        <v>0</v>
      </c>
      <c r="I163" s="86">
        <f>IF($H163&lt;&gt;0,Inputs!$B$28/12*H163,0)</f>
        <v>0</v>
      </c>
      <c r="J163" s="86">
        <f t="shared" si="16"/>
        <v>0</v>
      </c>
      <c r="K163" s="86">
        <f t="shared" si="17"/>
        <v>0</v>
      </c>
    </row>
    <row r="164" spans="1:11" x14ac:dyDescent="0.3">
      <c r="A164" s="97">
        <f t="shared" si="14"/>
        <v>2038</v>
      </c>
      <c r="B164" s="79">
        <f t="shared" si="18"/>
        <v>50557</v>
      </c>
      <c r="C164" s="86" t="e">
        <f t="shared" si="19"/>
        <v>#N/A</v>
      </c>
      <c r="D164" s="86" t="e">
        <f>IF($C164&lt;&gt;0,Inputs!$B$14/12*C164,0)</f>
        <v>#N/A</v>
      </c>
      <c r="E164" s="86" t="e">
        <f t="shared" si="15"/>
        <v>#N/A</v>
      </c>
      <c r="F164" s="86" t="e">
        <f>IF($C164&gt;0,-PMT(Inputs!$B$14/12,Inputs!$B$15,Inputs!$B$11-Inputs!$B$13),0)</f>
        <v>#N/A</v>
      </c>
      <c r="H164" s="86">
        <f t="shared" si="20"/>
        <v>0</v>
      </c>
      <c r="I164" s="86">
        <f>IF($H164&lt;&gt;0,Inputs!$B$28/12*H164,0)</f>
        <v>0</v>
      </c>
      <c r="J164" s="86">
        <f t="shared" si="16"/>
        <v>0</v>
      </c>
      <c r="K164" s="86">
        <f t="shared" si="17"/>
        <v>0</v>
      </c>
    </row>
    <row r="165" spans="1:11" x14ac:dyDescent="0.3">
      <c r="A165" s="97">
        <f t="shared" si="14"/>
        <v>2038</v>
      </c>
      <c r="B165" s="79">
        <f t="shared" si="18"/>
        <v>50587</v>
      </c>
      <c r="C165" s="86" t="e">
        <f t="shared" si="19"/>
        <v>#N/A</v>
      </c>
      <c r="D165" s="86" t="e">
        <f>IF($C165&lt;&gt;0,Inputs!$B$14/12*C165,0)</f>
        <v>#N/A</v>
      </c>
      <c r="E165" s="86" t="e">
        <f t="shared" si="15"/>
        <v>#N/A</v>
      </c>
      <c r="F165" s="86" t="e">
        <f>IF($C165&gt;0,-PMT(Inputs!$B$14/12,Inputs!$B$15,Inputs!$B$11-Inputs!$B$13),0)</f>
        <v>#N/A</v>
      </c>
      <c r="H165" s="86">
        <f t="shared" si="20"/>
        <v>0</v>
      </c>
      <c r="I165" s="86">
        <f>IF($H165&lt;&gt;0,Inputs!$B$28/12*H165,0)</f>
        <v>0</v>
      </c>
      <c r="J165" s="86">
        <f t="shared" si="16"/>
        <v>0</v>
      </c>
      <c r="K165" s="86">
        <f t="shared" si="17"/>
        <v>0</v>
      </c>
    </row>
    <row r="166" spans="1:11" x14ac:dyDescent="0.3">
      <c r="A166" s="97">
        <f t="shared" si="14"/>
        <v>2038</v>
      </c>
      <c r="B166" s="79">
        <f t="shared" si="18"/>
        <v>50618</v>
      </c>
      <c r="C166" s="86" t="e">
        <f t="shared" si="19"/>
        <v>#N/A</v>
      </c>
      <c r="D166" s="86" t="e">
        <f>IF($C166&lt;&gt;0,Inputs!$B$14/12*C166,0)</f>
        <v>#N/A</v>
      </c>
      <c r="E166" s="86" t="e">
        <f t="shared" si="15"/>
        <v>#N/A</v>
      </c>
      <c r="F166" s="86" t="e">
        <f>IF($C166&gt;0,-PMT(Inputs!$B$14/12,Inputs!$B$15,Inputs!$B$11-Inputs!$B$13),0)</f>
        <v>#N/A</v>
      </c>
      <c r="H166" s="86">
        <f t="shared" si="20"/>
        <v>0</v>
      </c>
      <c r="I166" s="86">
        <f>IF($H166&lt;&gt;0,Inputs!$B$28/12*H166,0)</f>
        <v>0</v>
      </c>
      <c r="J166" s="86">
        <f t="shared" si="16"/>
        <v>0</v>
      </c>
      <c r="K166" s="86">
        <f t="shared" si="17"/>
        <v>0</v>
      </c>
    </row>
    <row r="167" spans="1:11" x14ac:dyDescent="0.3">
      <c r="A167" s="97">
        <f t="shared" si="14"/>
        <v>2038</v>
      </c>
      <c r="B167" s="79">
        <f t="shared" si="18"/>
        <v>50649</v>
      </c>
      <c r="C167" s="86" t="e">
        <f t="shared" si="19"/>
        <v>#N/A</v>
      </c>
      <c r="D167" s="86" t="e">
        <f>IF($C167&lt;&gt;0,Inputs!$B$14/12*C167,0)</f>
        <v>#N/A</v>
      </c>
      <c r="E167" s="86" t="e">
        <f t="shared" si="15"/>
        <v>#N/A</v>
      </c>
      <c r="F167" s="86" t="e">
        <f>IF($C167&gt;0,-PMT(Inputs!$B$14/12,Inputs!$B$15,Inputs!$B$11-Inputs!$B$13),0)</f>
        <v>#N/A</v>
      </c>
      <c r="H167" s="86">
        <f t="shared" si="20"/>
        <v>0</v>
      </c>
      <c r="I167" s="86">
        <f>IF($H167&lt;&gt;0,Inputs!$B$28/12*H167,0)</f>
        <v>0</v>
      </c>
      <c r="J167" s="86">
        <f t="shared" si="16"/>
        <v>0</v>
      </c>
      <c r="K167" s="86">
        <f t="shared" si="17"/>
        <v>0</v>
      </c>
    </row>
    <row r="168" spans="1:11" x14ac:dyDescent="0.3">
      <c r="A168" s="97">
        <f t="shared" si="14"/>
        <v>2038</v>
      </c>
      <c r="B168" s="79">
        <f t="shared" si="18"/>
        <v>50679</v>
      </c>
      <c r="C168" s="86" t="e">
        <f t="shared" si="19"/>
        <v>#N/A</v>
      </c>
      <c r="D168" s="86" t="e">
        <f>IF($C168&lt;&gt;0,Inputs!$B$14/12*C168,0)</f>
        <v>#N/A</v>
      </c>
      <c r="E168" s="86" t="e">
        <f t="shared" si="15"/>
        <v>#N/A</v>
      </c>
      <c r="F168" s="86" t="e">
        <f>IF($C168&gt;0,-PMT(Inputs!$B$14/12,Inputs!$B$15,Inputs!$B$11-Inputs!$B$13),0)</f>
        <v>#N/A</v>
      </c>
      <c r="H168" s="86">
        <f t="shared" si="20"/>
        <v>0</v>
      </c>
      <c r="I168" s="86">
        <f>IF($H168&lt;&gt;0,Inputs!$B$28/12*H168,0)</f>
        <v>0</v>
      </c>
      <c r="J168" s="86">
        <f t="shared" si="16"/>
        <v>0</v>
      </c>
      <c r="K168" s="86">
        <f t="shared" si="17"/>
        <v>0</v>
      </c>
    </row>
    <row r="169" spans="1:11" x14ac:dyDescent="0.3">
      <c r="A169" s="97">
        <f t="shared" si="14"/>
        <v>2038</v>
      </c>
      <c r="B169" s="79">
        <f t="shared" si="18"/>
        <v>50710</v>
      </c>
      <c r="C169" s="86" t="e">
        <f t="shared" si="19"/>
        <v>#N/A</v>
      </c>
      <c r="D169" s="86" t="e">
        <f>IF($C169&lt;&gt;0,Inputs!$B$14/12*C169,0)</f>
        <v>#N/A</v>
      </c>
      <c r="E169" s="86" t="e">
        <f t="shared" si="15"/>
        <v>#N/A</v>
      </c>
      <c r="F169" s="86" t="e">
        <f>IF($C169&gt;0,-PMT(Inputs!$B$14/12,Inputs!$B$15,Inputs!$B$11-Inputs!$B$13),0)</f>
        <v>#N/A</v>
      </c>
      <c r="H169" s="86">
        <f t="shared" si="20"/>
        <v>0</v>
      </c>
      <c r="I169" s="86">
        <f>IF($H169&lt;&gt;0,Inputs!$B$28/12*H169,0)</f>
        <v>0</v>
      </c>
      <c r="J169" s="86">
        <f t="shared" si="16"/>
        <v>0</v>
      </c>
      <c r="K169" s="86">
        <f t="shared" si="17"/>
        <v>0</v>
      </c>
    </row>
    <row r="170" spans="1:11" x14ac:dyDescent="0.3">
      <c r="A170" s="97">
        <f t="shared" si="14"/>
        <v>2038</v>
      </c>
      <c r="B170" s="79">
        <f t="shared" si="18"/>
        <v>50740</v>
      </c>
      <c r="C170" s="86" t="e">
        <f t="shared" si="19"/>
        <v>#N/A</v>
      </c>
      <c r="D170" s="86" t="e">
        <f>IF($C170&lt;&gt;0,Inputs!$B$14/12*C170,0)</f>
        <v>#N/A</v>
      </c>
      <c r="E170" s="86" t="e">
        <f t="shared" si="15"/>
        <v>#N/A</v>
      </c>
      <c r="F170" s="86" t="e">
        <f>IF($C170&gt;0,-PMT(Inputs!$B$14/12,Inputs!$B$15,Inputs!$B$11-Inputs!$B$13),0)</f>
        <v>#N/A</v>
      </c>
      <c r="H170" s="86">
        <f t="shared" si="20"/>
        <v>0</v>
      </c>
      <c r="I170" s="86">
        <f>IF($H170&lt;&gt;0,Inputs!$B$28/12*H170,0)</f>
        <v>0</v>
      </c>
      <c r="J170" s="86">
        <f t="shared" si="16"/>
        <v>0</v>
      </c>
      <c r="K170" s="86">
        <f t="shared" si="17"/>
        <v>0</v>
      </c>
    </row>
    <row r="171" spans="1:11" x14ac:dyDescent="0.3">
      <c r="A171" s="97">
        <f t="shared" si="14"/>
        <v>2039</v>
      </c>
      <c r="B171" s="79">
        <f t="shared" si="18"/>
        <v>50771</v>
      </c>
      <c r="C171" s="86" t="e">
        <f t="shared" si="19"/>
        <v>#N/A</v>
      </c>
      <c r="D171" s="86" t="e">
        <f>IF($C171&lt;&gt;0,Inputs!$B$14/12*C171,0)</f>
        <v>#N/A</v>
      </c>
      <c r="E171" s="86" t="e">
        <f t="shared" si="15"/>
        <v>#N/A</v>
      </c>
      <c r="F171" s="86" t="e">
        <f>IF($C171&gt;0,-PMT(Inputs!$B$14/12,Inputs!$B$15,Inputs!$B$11-Inputs!$B$13),0)</f>
        <v>#N/A</v>
      </c>
      <c r="H171" s="86">
        <f t="shared" si="20"/>
        <v>0</v>
      </c>
      <c r="I171" s="86">
        <f>IF($H171&lt;&gt;0,Inputs!$B$28/12*H171,0)</f>
        <v>0</v>
      </c>
      <c r="J171" s="86">
        <f t="shared" si="16"/>
        <v>0</v>
      </c>
      <c r="K171" s="86">
        <f t="shared" si="17"/>
        <v>0</v>
      </c>
    </row>
    <row r="172" spans="1:11" x14ac:dyDescent="0.3">
      <c r="A172" s="97">
        <f t="shared" si="14"/>
        <v>2039</v>
      </c>
      <c r="B172" s="79">
        <f t="shared" si="18"/>
        <v>50802</v>
      </c>
      <c r="C172" s="86" t="e">
        <f t="shared" si="19"/>
        <v>#N/A</v>
      </c>
      <c r="D172" s="86" t="e">
        <f>IF($C172&lt;&gt;0,Inputs!$B$14/12*C172,0)</f>
        <v>#N/A</v>
      </c>
      <c r="E172" s="86" t="e">
        <f t="shared" si="15"/>
        <v>#N/A</v>
      </c>
      <c r="F172" s="86" t="e">
        <f>IF($C172&gt;0,-PMT(Inputs!$B$14/12,Inputs!$B$15,Inputs!$B$11-Inputs!$B$13),0)</f>
        <v>#N/A</v>
      </c>
      <c r="H172" s="86">
        <f t="shared" si="20"/>
        <v>0</v>
      </c>
      <c r="I172" s="86">
        <f>IF($H172&lt;&gt;0,Inputs!$B$28/12*H172,0)</f>
        <v>0</v>
      </c>
      <c r="J172" s="86">
        <f t="shared" si="16"/>
        <v>0</v>
      </c>
      <c r="K172" s="86">
        <f t="shared" si="17"/>
        <v>0</v>
      </c>
    </row>
    <row r="173" spans="1:11" x14ac:dyDescent="0.3">
      <c r="A173" s="97">
        <f t="shared" si="14"/>
        <v>2039</v>
      </c>
      <c r="B173" s="79">
        <f t="shared" si="18"/>
        <v>50830</v>
      </c>
      <c r="C173" s="86" t="e">
        <f t="shared" si="19"/>
        <v>#N/A</v>
      </c>
      <c r="D173" s="86" t="e">
        <f>IF($C173&lt;&gt;0,Inputs!$B$14/12*C173,0)</f>
        <v>#N/A</v>
      </c>
      <c r="E173" s="86" t="e">
        <f t="shared" si="15"/>
        <v>#N/A</v>
      </c>
      <c r="F173" s="86" t="e">
        <f>IF($C173&gt;0,-PMT(Inputs!$B$14/12,Inputs!$B$15,Inputs!$B$11-Inputs!$B$13),0)</f>
        <v>#N/A</v>
      </c>
      <c r="H173" s="86">
        <f t="shared" si="20"/>
        <v>0</v>
      </c>
      <c r="I173" s="86">
        <f>IF($H173&lt;&gt;0,Inputs!$B$28/12*H173,0)</f>
        <v>0</v>
      </c>
      <c r="J173" s="86">
        <f t="shared" si="16"/>
        <v>0</v>
      </c>
      <c r="K173" s="86">
        <f t="shared" si="17"/>
        <v>0</v>
      </c>
    </row>
    <row r="174" spans="1:11" x14ac:dyDescent="0.3">
      <c r="A174" s="97">
        <f t="shared" si="14"/>
        <v>2039</v>
      </c>
      <c r="B174" s="79">
        <f t="shared" si="18"/>
        <v>50861</v>
      </c>
      <c r="C174" s="86" t="e">
        <f t="shared" si="19"/>
        <v>#N/A</v>
      </c>
      <c r="D174" s="86" t="e">
        <f>IF($C174&lt;&gt;0,Inputs!$B$14/12*C174,0)</f>
        <v>#N/A</v>
      </c>
      <c r="E174" s="86" t="e">
        <f t="shared" si="15"/>
        <v>#N/A</v>
      </c>
      <c r="F174" s="86" t="e">
        <f>IF($C174&gt;0,-PMT(Inputs!$B$14/12,Inputs!$B$15,Inputs!$B$11-Inputs!$B$13),0)</f>
        <v>#N/A</v>
      </c>
      <c r="H174" s="86">
        <f t="shared" si="20"/>
        <v>0</v>
      </c>
      <c r="I174" s="86">
        <f>IF($H174&lt;&gt;0,Inputs!$B$28/12*H174,0)</f>
        <v>0</v>
      </c>
      <c r="J174" s="86">
        <f t="shared" si="16"/>
        <v>0</v>
      </c>
      <c r="K174" s="86">
        <f t="shared" si="17"/>
        <v>0</v>
      </c>
    </row>
    <row r="175" spans="1:11" x14ac:dyDescent="0.3">
      <c r="A175" s="97">
        <f t="shared" si="14"/>
        <v>2039</v>
      </c>
      <c r="B175" s="79">
        <f t="shared" si="18"/>
        <v>50891</v>
      </c>
      <c r="C175" s="86" t="e">
        <f t="shared" si="19"/>
        <v>#N/A</v>
      </c>
      <c r="D175" s="86" t="e">
        <f>IF($C175&lt;&gt;0,Inputs!$B$14/12*C175,0)</f>
        <v>#N/A</v>
      </c>
      <c r="E175" s="86" t="e">
        <f t="shared" si="15"/>
        <v>#N/A</v>
      </c>
      <c r="F175" s="86" t="e">
        <f>IF($C175&gt;0,-PMT(Inputs!$B$14/12,Inputs!$B$15,Inputs!$B$11-Inputs!$B$13),0)</f>
        <v>#N/A</v>
      </c>
      <c r="H175" s="86">
        <f t="shared" si="20"/>
        <v>0</v>
      </c>
      <c r="I175" s="86">
        <f>IF($H175&lt;&gt;0,Inputs!$B$28/12*H175,0)</f>
        <v>0</v>
      </c>
      <c r="J175" s="86">
        <f t="shared" si="16"/>
        <v>0</v>
      </c>
      <c r="K175" s="86">
        <f t="shared" si="17"/>
        <v>0</v>
      </c>
    </row>
    <row r="176" spans="1:11" x14ac:dyDescent="0.3">
      <c r="A176" s="97">
        <f t="shared" si="14"/>
        <v>2039</v>
      </c>
      <c r="B176" s="79">
        <f t="shared" si="18"/>
        <v>50922</v>
      </c>
      <c r="C176" s="86" t="e">
        <f t="shared" si="19"/>
        <v>#N/A</v>
      </c>
      <c r="D176" s="86" t="e">
        <f>IF($C176&lt;&gt;0,Inputs!$B$14/12*C176,0)</f>
        <v>#N/A</v>
      </c>
      <c r="E176" s="86" t="e">
        <f t="shared" si="15"/>
        <v>#N/A</v>
      </c>
      <c r="F176" s="86" t="e">
        <f>IF($C176&gt;0,-PMT(Inputs!$B$14/12,Inputs!$B$15,Inputs!$B$11-Inputs!$B$13),0)</f>
        <v>#N/A</v>
      </c>
      <c r="H176" s="86">
        <f t="shared" si="20"/>
        <v>0</v>
      </c>
      <c r="I176" s="86">
        <f>IF($H176&lt;&gt;0,Inputs!$B$28/12*H176,0)</f>
        <v>0</v>
      </c>
      <c r="J176" s="86">
        <f t="shared" si="16"/>
        <v>0</v>
      </c>
      <c r="K176" s="86">
        <f t="shared" si="17"/>
        <v>0</v>
      </c>
    </row>
    <row r="177" spans="1:11" x14ac:dyDescent="0.3">
      <c r="A177" s="97">
        <f t="shared" si="14"/>
        <v>2039</v>
      </c>
      <c r="B177" s="79">
        <f t="shared" si="18"/>
        <v>50952</v>
      </c>
      <c r="C177" s="86" t="e">
        <f t="shared" si="19"/>
        <v>#N/A</v>
      </c>
      <c r="D177" s="86" t="e">
        <f>IF($C177&lt;&gt;0,Inputs!$B$14/12*C177,0)</f>
        <v>#N/A</v>
      </c>
      <c r="E177" s="86" t="e">
        <f t="shared" si="15"/>
        <v>#N/A</v>
      </c>
      <c r="F177" s="86" t="e">
        <f>IF($C177&gt;0,-PMT(Inputs!$B$14/12,Inputs!$B$15,Inputs!$B$11-Inputs!$B$13),0)</f>
        <v>#N/A</v>
      </c>
      <c r="H177" s="86">
        <f t="shared" si="20"/>
        <v>0</v>
      </c>
      <c r="I177" s="86">
        <f>IF($H177&lt;&gt;0,Inputs!$B$28/12*H177,0)</f>
        <v>0</v>
      </c>
      <c r="J177" s="86">
        <f t="shared" si="16"/>
        <v>0</v>
      </c>
      <c r="K177" s="86">
        <f t="shared" si="17"/>
        <v>0</v>
      </c>
    </row>
    <row r="178" spans="1:11" x14ac:dyDescent="0.3">
      <c r="A178" s="97">
        <f t="shared" si="14"/>
        <v>2039</v>
      </c>
      <c r="B178" s="79">
        <f t="shared" si="18"/>
        <v>50983</v>
      </c>
      <c r="C178" s="86" t="e">
        <f t="shared" si="19"/>
        <v>#N/A</v>
      </c>
      <c r="D178" s="86" t="e">
        <f>IF($C178&lt;&gt;0,Inputs!$B$14/12*C178,0)</f>
        <v>#N/A</v>
      </c>
      <c r="E178" s="86" t="e">
        <f t="shared" si="15"/>
        <v>#N/A</v>
      </c>
      <c r="F178" s="86" t="e">
        <f>IF($C178&gt;0,-PMT(Inputs!$B$14/12,Inputs!$B$15,Inputs!$B$11-Inputs!$B$13),0)</f>
        <v>#N/A</v>
      </c>
      <c r="H178" s="86">
        <f t="shared" si="20"/>
        <v>0</v>
      </c>
      <c r="I178" s="86">
        <f>IF($H178&lt;&gt;0,Inputs!$B$28/12*H178,0)</f>
        <v>0</v>
      </c>
      <c r="J178" s="86">
        <f t="shared" si="16"/>
        <v>0</v>
      </c>
      <c r="K178" s="86">
        <f t="shared" si="17"/>
        <v>0</v>
      </c>
    </row>
    <row r="179" spans="1:11" x14ac:dyDescent="0.3">
      <c r="A179" s="97">
        <f t="shared" si="14"/>
        <v>2039</v>
      </c>
      <c r="B179" s="79">
        <f t="shared" si="18"/>
        <v>51014</v>
      </c>
      <c r="C179" s="86" t="e">
        <f t="shared" si="19"/>
        <v>#N/A</v>
      </c>
      <c r="D179" s="86" t="e">
        <f>IF($C179&lt;&gt;0,Inputs!$B$14/12*C179,0)</f>
        <v>#N/A</v>
      </c>
      <c r="E179" s="86" t="e">
        <f t="shared" si="15"/>
        <v>#N/A</v>
      </c>
      <c r="F179" s="86" t="e">
        <f>IF($C179&gt;0,-PMT(Inputs!$B$14/12,Inputs!$B$15,Inputs!$B$11-Inputs!$B$13),0)</f>
        <v>#N/A</v>
      </c>
      <c r="H179" s="86">
        <f t="shared" si="20"/>
        <v>0</v>
      </c>
      <c r="I179" s="86">
        <f>IF($H179&lt;&gt;0,Inputs!$B$28/12*H179,0)</f>
        <v>0</v>
      </c>
      <c r="J179" s="86">
        <f t="shared" si="16"/>
        <v>0</v>
      </c>
      <c r="K179" s="86">
        <f t="shared" si="17"/>
        <v>0</v>
      </c>
    </row>
    <row r="180" spans="1:11" x14ac:dyDescent="0.3">
      <c r="A180" s="97">
        <f t="shared" si="14"/>
        <v>2039</v>
      </c>
      <c r="B180" s="79">
        <f t="shared" si="18"/>
        <v>51044</v>
      </c>
      <c r="C180" s="86" t="e">
        <f t="shared" si="19"/>
        <v>#N/A</v>
      </c>
      <c r="D180" s="86" t="e">
        <f>IF($C180&lt;&gt;0,Inputs!$B$14/12*C180,0)</f>
        <v>#N/A</v>
      </c>
      <c r="E180" s="86" t="e">
        <f t="shared" si="15"/>
        <v>#N/A</v>
      </c>
      <c r="F180" s="86" t="e">
        <f>IF($C180&gt;0,-PMT(Inputs!$B$14/12,Inputs!$B$15,Inputs!$B$11-Inputs!$B$13),0)</f>
        <v>#N/A</v>
      </c>
      <c r="H180" s="86">
        <f t="shared" si="20"/>
        <v>0</v>
      </c>
      <c r="I180" s="86">
        <f>IF($H180&lt;&gt;0,Inputs!$B$28/12*H180,0)</f>
        <v>0</v>
      </c>
      <c r="J180" s="86">
        <f t="shared" si="16"/>
        <v>0</v>
      </c>
      <c r="K180" s="86">
        <f t="shared" si="17"/>
        <v>0</v>
      </c>
    </row>
    <row r="181" spans="1:11" x14ac:dyDescent="0.3">
      <c r="A181" s="97">
        <f t="shared" si="14"/>
        <v>2039</v>
      </c>
      <c r="B181" s="79">
        <f t="shared" si="18"/>
        <v>51075</v>
      </c>
      <c r="C181" s="86" t="e">
        <f t="shared" si="19"/>
        <v>#N/A</v>
      </c>
      <c r="D181" s="86" t="e">
        <f>IF($C181&lt;&gt;0,Inputs!$B$14/12*C181,0)</f>
        <v>#N/A</v>
      </c>
      <c r="E181" s="86" t="e">
        <f t="shared" si="15"/>
        <v>#N/A</v>
      </c>
      <c r="F181" s="86" t="e">
        <f>IF($C181&gt;0,-PMT(Inputs!$B$14/12,Inputs!$B$15,Inputs!$B$11-Inputs!$B$13),0)</f>
        <v>#N/A</v>
      </c>
      <c r="H181" s="86">
        <f t="shared" si="20"/>
        <v>0</v>
      </c>
      <c r="I181" s="86">
        <f>IF($H181&lt;&gt;0,Inputs!$B$28/12*H181,0)</f>
        <v>0</v>
      </c>
      <c r="J181" s="86">
        <f t="shared" si="16"/>
        <v>0</v>
      </c>
      <c r="K181" s="86">
        <f t="shared" si="17"/>
        <v>0</v>
      </c>
    </row>
    <row r="182" spans="1:11" x14ac:dyDescent="0.3">
      <c r="A182" s="97">
        <f t="shared" si="14"/>
        <v>2039</v>
      </c>
      <c r="B182" s="79">
        <f t="shared" si="18"/>
        <v>51105</v>
      </c>
      <c r="C182" s="86" t="e">
        <f t="shared" si="19"/>
        <v>#N/A</v>
      </c>
      <c r="D182" s="86" t="e">
        <f>IF($C182&lt;&gt;0,Inputs!$B$14/12*C182,0)</f>
        <v>#N/A</v>
      </c>
      <c r="E182" s="86" t="e">
        <f t="shared" si="15"/>
        <v>#N/A</v>
      </c>
      <c r="F182" s="86" t="e">
        <f>IF($C182&gt;0,-PMT(Inputs!$B$14/12,Inputs!$B$15,Inputs!$B$11-Inputs!$B$13),0)</f>
        <v>#N/A</v>
      </c>
      <c r="H182" s="86">
        <f t="shared" si="20"/>
        <v>0</v>
      </c>
      <c r="I182" s="86">
        <f>IF($H182&lt;&gt;0,Inputs!$B$28/12*H182,0)</f>
        <v>0</v>
      </c>
      <c r="J182" s="86">
        <f t="shared" si="16"/>
        <v>0</v>
      </c>
      <c r="K182" s="86">
        <f t="shared" si="17"/>
        <v>0</v>
      </c>
    </row>
    <row r="183" spans="1:11" x14ac:dyDescent="0.3">
      <c r="A183" s="97">
        <f t="shared" si="14"/>
        <v>2040</v>
      </c>
      <c r="B183" s="79">
        <f t="shared" si="18"/>
        <v>51136</v>
      </c>
      <c r="C183" s="86" t="e">
        <f t="shared" si="19"/>
        <v>#N/A</v>
      </c>
      <c r="D183" s="86" t="e">
        <f>IF($C183&lt;&gt;0,Inputs!$B$14/12*C183,0)</f>
        <v>#N/A</v>
      </c>
      <c r="E183" s="86" t="e">
        <f t="shared" si="15"/>
        <v>#N/A</v>
      </c>
      <c r="F183" s="86" t="e">
        <f>IF($C183&gt;0,-PMT(Inputs!$B$14/12,Inputs!$B$15,Inputs!$B$11-Inputs!$B$13),0)</f>
        <v>#N/A</v>
      </c>
      <c r="H183" s="86">
        <f t="shared" si="20"/>
        <v>0</v>
      </c>
      <c r="I183" s="86">
        <f>IF($H183&lt;&gt;0,Inputs!$B$28/12*H183,0)</f>
        <v>0</v>
      </c>
      <c r="J183" s="86">
        <f t="shared" si="16"/>
        <v>0</v>
      </c>
      <c r="K183" s="86">
        <f t="shared" si="17"/>
        <v>0</v>
      </c>
    </row>
    <row r="184" spans="1:11" x14ac:dyDescent="0.3">
      <c r="A184" s="97">
        <f t="shared" si="14"/>
        <v>2040</v>
      </c>
      <c r="B184" s="79">
        <f t="shared" si="18"/>
        <v>51167</v>
      </c>
      <c r="C184" s="86" t="e">
        <f t="shared" si="19"/>
        <v>#N/A</v>
      </c>
      <c r="D184" s="86" t="e">
        <f>IF($C184&lt;&gt;0,Inputs!$B$14/12*C184,0)</f>
        <v>#N/A</v>
      </c>
      <c r="E184" s="86" t="e">
        <f t="shared" si="15"/>
        <v>#N/A</v>
      </c>
      <c r="F184" s="86" t="e">
        <f>IF($C184&gt;0,-PMT(Inputs!$B$14/12,Inputs!$B$15,Inputs!$B$11-Inputs!$B$13),0)</f>
        <v>#N/A</v>
      </c>
      <c r="H184" s="86">
        <f t="shared" si="20"/>
        <v>0</v>
      </c>
      <c r="I184" s="86">
        <f>IF($H184&lt;&gt;0,Inputs!$B$28/12*H184,0)</f>
        <v>0</v>
      </c>
      <c r="J184" s="86">
        <f t="shared" si="16"/>
        <v>0</v>
      </c>
      <c r="K184" s="86">
        <f t="shared" si="17"/>
        <v>0</v>
      </c>
    </row>
    <row r="185" spans="1:11" x14ac:dyDescent="0.3">
      <c r="A185" s="97">
        <f t="shared" si="14"/>
        <v>2040</v>
      </c>
      <c r="B185" s="79">
        <f t="shared" si="18"/>
        <v>51196</v>
      </c>
      <c r="C185" s="86" t="e">
        <f t="shared" si="19"/>
        <v>#N/A</v>
      </c>
      <c r="D185" s="86" t="e">
        <f>IF($C185&lt;&gt;0,Inputs!$B$14/12*C185,0)</f>
        <v>#N/A</v>
      </c>
      <c r="E185" s="86" t="e">
        <f t="shared" si="15"/>
        <v>#N/A</v>
      </c>
      <c r="F185" s="86" t="e">
        <f>IF($C185&gt;0,-PMT(Inputs!$B$14/12,Inputs!$B$15,Inputs!$B$11-Inputs!$B$13),0)</f>
        <v>#N/A</v>
      </c>
      <c r="H185" s="86">
        <f t="shared" si="20"/>
        <v>0</v>
      </c>
      <c r="I185" s="86">
        <f>IF($H185&lt;&gt;0,Inputs!$B$28/12*H185,0)</f>
        <v>0</v>
      </c>
      <c r="J185" s="86">
        <f t="shared" si="16"/>
        <v>0</v>
      </c>
      <c r="K185" s="86">
        <f t="shared" si="17"/>
        <v>0</v>
      </c>
    </row>
    <row r="186" spans="1:11" x14ac:dyDescent="0.3">
      <c r="A186" s="97">
        <f t="shared" si="14"/>
        <v>2040</v>
      </c>
      <c r="B186" s="79">
        <f t="shared" si="18"/>
        <v>51227</v>
      </c>
      <c r="C186" s="86" t="e">
        <f t="shared" si="19"/>
        <v>#N/A</v>
      </c>
      <c r="D186" s="86" t="e">
        <f>IF($C186&lt;&gt;0,Inputs!$B$14/12*C186,0)</f>
        <v>#N/A</v>
      </c>
      <c r="E186" s="86" t="e">
        <f t="shared" si="15"/>
        <v>#N/A</v>
      </c>
      <c r="F186" s="86" t="e">
        <f>IF($C186&gt;0,-PMT(Inputs!$B$14/12,Inputs!$B$15,Inputs!$B$11-Inputs!$B$13),0)</f>
        <v>#N/A</v>
      </c>
      <c r="H186" s="86">
        <f t="shared" si="20"/>
        <v>0</v>
      </c>
      <c r="I186" s="86">
        <f>IF($H186&lt;&gt;0,Inputs!$B$28/12*H186,0)</f>
        <v>0</v>
      </c>
      <c r="J186" s="86">
        <f t="shared" si="16"/>
        <v>0</v>
      </c>
      <c r="K186" s="86">
        <f t="shared" si="17"/>
        <v>0</v>
      </c>
    </row>
    <row r="187" spans="1:11" x14ac:dyDescent="0.3">
      <c r="A187" s="97">
        <f t="shared" si="14"/>
        <v>2040</v>
      </c>
      <c r="B187" s="79">
        <f t="shared" si="18"/>
        <v>51257</v>
      </c>
      <c r="C187" s="86" t="e">
        <f t="shared" si="19"/>
        <v>#N/A</v>
      </c>
      <c r="D187" s="86" t="e">
        <f>IF($C187&lt;&gt;0,Inputs!$B$14/12*C187,0)</f>
        <v>#N/A</v>
      </c>
      <c r="E187" s="86" t="e">
        <f t="shared" si="15"/>
        <v>#N/A</v>
      </c>
      <c r="F187" s="86" t="e">
        <f>IF($C187&gt;0,-PMT(Inputs!$B$14/12,Inputs!$B$15,Inputs!$B$11-Inputs!$B$13),0)</f>
        <v>#N/A</v>
      </c>
      <c r="H187" s="86">
        <f t="shared" si="20"/>
        <v>0</v>
      </c>
      <c r="I187" s="86">
        <f>IF($H187&lt;&gt;0,Inputs!$B$28/12*H187,0)</f>
        <v>0</v>
      </c>
      <c r="J187" s="86">
        <f t="shared" si="16"/>
        <v>0</v>
      </c>
      <c r="K187" s="86">
        <f t="shared" si="17"/>
        <v>0</v>
      </c>
    </row>
    <row r="188" spans="1:11" x14ac:dyDescent="0.3">
      <c r="A188" s="97">
        <f t="shared" si="14"/>
        <v>2040</v>
      </c>
      <c r="B188" s="79">
        <f t="shared" si="18"/>
        <v>51288</v>
      </c>
      <c r="C188" s="86" t="e">
        <f t="shared" si="19"/>
        <v>#N/A</v>
      </c>
      <c r="D188" s="86" t="e">
        <f>IF($C188&lt;&gt;0,Inputs!$B$14/12*C188,0)</f>
        <v>#N/A</v>
      </c>
      <c r="E188" s="86" t="e">
        <f t="shared" si="15"/>
        <v>#N/A</v>
      </c>
      <c r="F188" s="86" t="e">
        <f>IF($C188&gt;0,-PMT(Inputs!$B$14/12,Inputs!$B$15,Inputs!$B$11-Inputs!$B$13),0)</f>
        <v>#N/A</v>
      </c>
      <c r="H188" s="86">
        <f t="shared" si="20"/>
        <v>0</v>
      </c>
      <c r="I188" s="86">
        <f>IF($H188&lt;&gt;0,Inputs!$B$28/12*H188,0)</f>
        <v>0</v>
      </c>
      <c r="J188" s="86">
        <f t="shared" si="16"/>
        <v>0</v>
      </c>
      <c r="K188" s="86">
        <f t="shared" si="17"/>
        <v>0</v>
      </c>
    </row>
    <row r="189" spans="1:11" x14ac:dyDescent="0.3">
      <c r="A189" s="97">
        <f t="shared" si="14"/>
        <v>2040</v>
      </c>
      <c r="B189" s="79">
        <f t="shared" si="18"/>
        <v>51318</v>
      </c>
      <c r="C189" s="86" t="e">
        <f t="shared" si="19"/>
        <v>#N/A</v>
      </c>
      <c r="D189" s="86" t="e">
        <f>IF($C189&lt;&gt;0,Inputs!$B$14/12*C189,0)</f>
        <v>#N/A</v>
      </c>
      <c r="E189" s="86" t="e">
        <f t="shared" si="15"/>
        <v>#N/A</v>
      </c>
      <c r="F189" s="86" t="e">
        <f>IF($C189&gt;0,-PMT(Inputs!$B$14/12,Inputs!$B$15,Inputs!$B$11-Inputs!$B$13),0)</f>
        <v>#N/A</v>
      </c>
      <c r="H189" s="86">
        <f t="shared" si="20"/>
        <v>0</v>
      </c>
      <c r="I189" s="86">
        <f>IF($H189&lt;&gt;0,Inputs!$B$28/12*H189,0)</f>
        <v>0</v>
      </c>
      <c r="J189" s="86">
        <f t="shared" si="16"/>
        <v>0</v>
      </c>
      <c r="K189" s="86">
        <f t="shared" si="17"/>
        <v>0</v>
      </c>
    </row>
    <row r="190" spans="1:11" x14ac:dyDescent="0.3">
      <c r="A190" s="97">
        <f t="shared" si="14"/>
        <v>2040</v>
      </c>
      <c r="B190" s="79">
        <f t="shared" si="18"/>
        <v>51349</v>
      </c>
      <c r="C190" s="86" t="e">
        <f t="shared" si="19"/>
        <v>#N/A</v>
      </c>
      <c r="D190" s="86" t="e">
        <f>IF($C190&lt;&gt;0,Inputs!$B$14/12*C190,0)</f>
        <v>#N/A</v>
      </c>
      <c r="E190" s="86" t="e">
        <f t="shared" si="15"/>
        <v>#N/A</v>
      </c>
      <c r="F190" s="86" t="e">
        <f>IF($C190&gt;0,-PMT(Inputs!$B$14/12,Inputs!$B$15,Inputs!$B$11-Inputs!$B$13),0)</f>
        <v>#N/A</v>
      </c>
      <c r="H190" s="86">
        <f t="shared" si="20"/>
        <v>0</v>
      </c>
      <c r="I190" s="86">
        <f>IF($H190&lt;&gt;0,Inputs!$B$28/12*H190,0)</f>
        <v>0</v>
      </c>
      <c r="J190" s="86">
        <f t="shared" si="16"/>
        <v>0</v>
      </c>
      <c r="K190" s="86">
        <f t="shared" si="17"/>
        <v>0</v>
      </c>
    </row>
    <row r="191" spans="1:11" x14ac:dyDescent="0.3">
      <c r="A191" s="97">
        <f t="shared" si="14"/>
        <v>2040</v>
      </c>
      <c r="B191" s="79">
        <f t="shared" si="18"/>
        <v>51380</v>
      </c>
      <c r="C191" s="86" t="e">
        <f t="shared" si="19"/>
        <v>#N/A</v>
      </c>
      <c r="D191" s="86" t="e">
        <f>IF($C191&lt;&gt;0,Inputs!$B$14/12*C191,0)</f>
        <v>#N/A</v>
      </c>
      <c r="E191" s="86" t="e">
        <f t="shared" si="15"/>
        <v>#N/A</v>
      </c>
      <c r="F191" s="86" t="e">
        <f>IF($C191&gt;0,-PMT(Inputs!$B$14/12,Inputs!$B$15,Inputs!$B$11-Inputs!$B$13),0)</f>
        <v>#N/A</v>
      </c>
      <c r="H191" s="86">
        <f t="shared" si="20"/>
        <v>0</v>
      </c>
      <c r="I191" s="86">
        <f>IF($H191&lt;&gt;0,Inputs!$B$28/12*H191,0)</f>
        <v>0</v>
      </c>
      <c r="J191" s="86">
        <f t="shared" si="16"/>
        <v>0</v>
      </c>
      <c r="K191" s="86">
        <f t="shared" si="17"/>
        <v>0</v>
      </c>
    </row>
    <row r="192" spans="1:11" x14ac:dyDescent="0.3">
      <c r="A192" s="97">
        <f t="shared" si="14"/>
        <v>2040</v>
      </c>
      <c r="B192" s="79">
        <f t="shared" si="18"/>
        <v>51410</v>
      </c>
      <c r="C192" s="86" t="e">
        <f t="shared" si="19"/>
        <v>#N/A</v>
      </c>
      <c r="D192" s="86" t="e">
        <f>IF($C192&lt;&gt;0,Inputs!$B$14/12*C192,0)</f>
        <v>#N/A</v>
      </c>
      <c r="E192" s="86" t="e">
        <f t="shared" si="15"/>
        <v>#N/A</v>
      </c>
      <c r="F192" s="86" t="e">
        <f>IF($C192&gt;0,-PMT(Inputs!$B$14/12,Inputs!$B$15,Inputs!$B$11-Inputs!$B$13),0)</f>
        <v>#N/A</v>
      </c>
      <c r="H192" s="86">
        <f t="shared" si="20"/>
        <v>0</v>
      </c>
      <c r="I192" s="86">
        <f>IF($H192&lt;&gt;0,Inputs!$B$28/12*H192,0)</f>
        <v>0</v>
      </c>
      <c r="J192" s="86">
        <f t="shared" si="16"/>
        <v>0</v>
      </c>
      <c r="K192" s="86">
        <f t="shared" si="17"/>
        <v>0</v>
      </c>
    </row>
    <row r="193" spans="1:11" x14ac:dyDescent="0.3">
      <c r="A193" s="97">
        <f t="shared" si="14"/>
        <v>2040</v>
      </c>
      <c r="B193" s="79">
        <f t="shared" si="18"/>
        <v>51441</v>
      </c>
      <c r="C193" s="86" t="e">
        <f t="shared" si="19"/>
        <v>#N/A</v>
      </c>
      <c r="D193" s="86" t="e">
        <f>IF($C193&lt;&gt;0,Inputs!$B$14/12*C193,0)</f>
        <v>#N/A</v>
      </c>
      <c r="E193" s="86" t="e">
        <f t="shared" si="15"/>
        <v>#N/A</v>
      </c>
      <c r="F193" s="86" t="e">
        <f>IF($C193&gt;0,-PMT(Inputs!$B$14/12,Inputs!$B$15,Inputs!$B$11-Inputs!$B$13),0)</f>
        <v>#N/A</v>
      </c>
      <c r="H193" s="86">
        <f t="shared" si="20"/>
        <v>0</v>
      </c>
      <c r="I193" s="86">
        <f>IF($H193&lt;&gt;0,Inputs!$B$28/12*H193,0)</f>
        <v>0</v>
      </c>
      <c r="J193" s="86">
        <f t="shared" si="16"/>
        <v>0</v>
      </c>
      <c r="K193" s="86">
        <f t="shared" si="17"/>
        <v>0</v>
      </c>
    </row>
    <row r="194" spans="1:11" x14ac:dyDescent="0.3">
      <c r="A194" s="97">
        <f t="shared" si="14"/>
        <v>2040</v>
      </c>
      <c r="B194" s="79">
        <f t="shared" si="18"/>
        <v>51471</v>
      </c>
      <c r="C194" s="86" t="e">
        <f t="shared" si="19"/>
        <v>#N/A</v>
      </c>
      <c r="D194" s="86" t="e">
        <f>IF($C194&lt;&gt;0,Inputs!$B$14/12*C194,0)</f>
        <v>#N/A</v>
      </c>
      <c r="E194" s="86" t="e">
        <f t="shared" si="15"/>
        <v>#N/A</v>
      </c>
      <c r="F194" s="86" t="e">
        <f>IF($C194&gt;0,-PMT(Inputs!$B$14/12,Inputs!$B$15,Inputs!$B$11-Inputs!$B$13),0)</f>
        <v>#N/A</v>
      </c>
      <c r="H194" s="86">
        <f t="shared" si="20"/>
        <v>0</v>
      </c>
      <c r="I194" s="86">
        <f>IF($H194&lt;&gt;0,Inputs!$B$28/12*H194,0)</f>
        <v>0</v>
      </c>
      <c r="J194" s="86">
        <f t="shared" si="16"/>
        <v>0</v>
      </c>
      <c r="K194" s="86">
        <f t="shared" si="17"/>
        <v>0</v>
      </c>
    </row>
    <row r="195" spans="1:11" x14ac:dyDescent="0.3">
      <c r="A195" s="97">
        <f t="shared" si="14"/>
        <v>2041</v>
      </c>
      <c r="B195" s="79">
        <f t="shared" si="18"/>
        <v>51502</v>
      </c>
      <c r="C195" s="86" t="e">
        <f t="shared" si="19"/>
        <v>#N/A</v>
      </c>
      <c r="D195" s="86" t="e">
        <f>IF($C195&lt;&gt;0,Inputs!$B$14/12*C195,0)</f>
        <v>#N/A</v>
      </c>
      <c r="E195" s="86" t="e">
        <f t="shared" si="15"/>
        <v>#N/A</v>
      </c>
      <c r="F195" s="86" t="e">
        <f>IF($C195&gt;0,-PMT(Inputs!$B$14/12,Inputs!$B$15,Inputs!$B$11-Inputs!$B$13),0)</f>
        <v>#N/A</v>
      </c>
      <c r="H195" s="86">
        <f t="shared" si="20"/>
        <v>0</v>
      </c>
      <c r="I195" s="86">
        <f>IF($H195&lt;&gt;0,Inputs!$B$28/12*H195,0)</f>
        <v>0</v>
      </c>
      <c r="J195" s="86">
        <f t="shared" si="16"/>
        <v>0</v>
      </c>
      <c r="K195" s="86">
        <f t="shared" si="17"/>
        <v>0</v>
      </c>
    </row>
    <row r="196" spans="1:11" x14ac:dyDescent="0.3">
      <c r="A196" s="97">
        <f t="shared" ref="A196:A259" si="21">YEAR(B196)</f>
        <v>2041</v>
      </c>
      <c r="B196" s="79">
        <f t="shared" si="18"/>
        <v>51533</v>
      </c>
      <c r="C196" s="86" t="e">
        <f t="shared" si="19"/>
        <v>#N/A</v>
      </c>
      <c r="D196" s="86" t="e">
        <f>IF($C196&lt;&gt;0,Inputs!$B$14/12*C196,0)</f>
        <v>#N/A</v>
      </c>
      <c r="E196" s="86" t="e">
        <f t="shared" ref="E196:E259" si="22">F196-D196</f>
        <v>#N/A</v>
      </c>
      <c r="F196" s="86" t="e">
        <f>IF($C196&gt;0,-PMT(Inputs!$B$14/12,Inputs!$B$15,Inputs!$B$11-Inputs!$B$13),0)</f>
        <v>#N/A</v>
      </c>
      <c r="H196" s="86">
        <f t="shared" si="20"/>
        <v>0</v>
      </c>
      <c r="I196" s="86">
        <f>IF($H196&lt;&gt;0,Inputs!$B$28/12*H196,0)</f>
        <v>0</v>
      </c>
      <c r="J196" s="86">
        <f t="shared" ref="J196:J259" si="23">K196-I196</f>
        <v>0</v>
      </c>
      <c r="K196" s="86">
        <f t="shared" ref="K196:K259" si="24">IF(H196&gt;0,IF(H196+I196&gt;K195,K195,H196+I196),0)</f>
        <v>0</v>
      </c>
    </row>
    <row r="197" spans="1:11" x14ac:dyDescent="0.3">
      <c r="A197" s="97">
        <f t="shared" si="21"/>
        <v>2041</v>
      </c>
      <c r="B197" s="79">
        <f t="shared" ref="B197:B260" si="25">EDATE(B196,1)</f>
        <v>51561</v>
      </c>
      <c r="C197" s="86" t="e">
        <f t="shared" ref="C197:C260" si="26">IF(C196&gt;0,C196-E196,0)</f>
        <v>#N/A</v>
      </c>
      <c r="D197" s="86" t="e">
        <f>IF($C197&lt;&gt;0,Inputs!$B$14/12*C197,0)</f>
        <v>#N/A</v>
      </c>
      <c r="E197" s="86" t="e">
        <f t="shared" si="22"/>
        <v>#N/A</v>
      </c>
      <c r="F197" s="86" t="e">
        <f>IF($C197&gt;0,-PMT(Inputs!$B$14/12,Inputs!$B$15,Inputs!$B$11-Inputs!$B$13),0)</f>
        <v>#N/A</v>
      </c>
      <c r="H197" s="86">
        <f t="shared" ref="H197:H260" si="27">IF(H196&gt;0,H196-J196,0)</f>
        <v>0</v>
      </c>
      <c r="I197" s="86">
        <f>IF($H197&lt;&gt;0,Inputs!$B$28/12*H197,0)</f>
        <v>0</v>
      </c>
      <c r="J197" s="86">
        <f t="shared" si="23"/>
        <v>0</v>
      </c>
      <c r="K197" s="86">
        <f t="shared" si="24"/>
        <v>0</v>
      </c>
    </row>
    <row r="198" spans="1:11" x14ac:dyDescent="0.3">
      <c r="A198" s="97">
        <f t="shared" si="21"/>
        <v>2041</v>
      </c>
      <c r="B198" s="79">
        <f t="shared" si="25"/>
        <v>51592</v>
      </c>
      <c r="C198" s="86" t="e">
        <f t="shared" si="26"/>
        <v>#N/A</v>
      </c>
      <c r="D198" s="86" t="e">
        <f>IF($C198&lt;&gt;0,Inputs!$B$14/12*C198,0)</f>
        <v>#N/A</v>
      </c>
      <c r="E198" s="86" t="e">
        <f t="shared" si="22"/>
        <v>#N/A</v>
      </c>
      <c r="F198" s="86" t="e">
        <f>IF($C198&gt;0,-PMT(Inputs!$B$14/12,Inputs!$B$15,Inputs!$B$11-Inputs!$B$13),0)</f>
        <v>#N/A</v>
      </c>
      <c r="H198" s="86">
        <f t="shared" si="27"/>
        <v>0</v>
      </c>
      <c r="I198" s="86">
        <f>IF($H198&lt;&gt;0,Inputs!$B$28/12*H198,0)</f>
        <v>0</v>
      </c>
      <c r="J198" s="86">
        <f t="shared" si="23"/>
        <v>0</v>
      </c>
      <c r="K198" s="86">
        <f t="shared" si="24"/>
        <v>0</v>
      </c>
    </row>
    <row r="199" spans="1:11" x14ac:dyDescent="0.3">
      <c r="A199" s="97">
        <f t="shared" si="21"/>
        <v>2041</v>
      </c>
      <c r="B199" s="79">
        <f t="shared" si="25"/>
        <v>51622</v>
      </c>
      <c r="C199" s="86" t="e">
        <f t="shared" si="26"/>
        <v>#N/A</v>
      </c>
      <c r="D199" s="86" t="e">
        <f>IF($C199&lt;&gt;0,Inputs!$B$14/12*C199,0)</f>
        <v>#N/A</v>
      </c>
      <c r="E199" s="86" t="e">
        <f t="shared" si="22"/>
        <v>#N/A</v>
      </c>
      <c r="F199" s="86" t="e">
        <f>IF($C199&gt;0,-PMT(Inputs!$B$14/12,Inputs!$B$15,Inputs!$B$11-Inputs!$B$13),0)</f>
        <v>#N/A</v>
      </c>
      <c r="H199" s="86">
        <f t="shared" si="27"/>
        <v>0</v>
      </c>
      <c r="I199" s="86">
        <f>IF($H199&lt;&gt;0,Inputs!$B$28/12*H199,0)</f>
        <v>0</v>
      </c>
      <c r="J199" s="86">
        <f t="shared" si="23"/>
        <v>0</v>
      </c>
      <c r="K199" s="86">
        <f t="shared" si="24"/>
        <v>0</v>
      </c>
    </row>
    <row r="200" spans="1:11" x14ac:dyDescent="0.3">
      <c r="A200" s="97">
        <f t="shared" si="21"/>
        <v>2041</v>
      </c>
      <c r="B200" s="79">
        <f t="shared" si="25"/>
        <v>51653</v>
      </c>
      <c r="C200" s="86" t="e">
        <f t="shared" si="26"/>
        <v>#N/A</v>
      </c>
      <c r="D200" s="86" t="e">
        <f>IF($C200&lt;&gt;0,Inputs!$B$14/12*C200,0)</f>
        <v>#N/A</v>
      </c>
      <c r="E200" s="86" t="e">
        <f t="shared" si="22"/>
        <v>#N/A</v>
      </c>
      <c r="F200" s="86" t="e">
        <f>IF($C200&gt;0,-PMT(Inputs!$B$14/12,Inputs!$B$15,Inputs!$B$11-Inputs!$B$13),0)</f>
        <v>#N/A</v>
      </c>
      <c r="H200" s="86">
        <f t="shared" si="27"/>
        <v>0</v>
      </c>
      <c r="I200" s="86">
        <f>IF($H200&lt;&gt;0,Inputs!$B$28/12*H200,0)</f>
        <v>0</v>
      </c>
      <c r="J200" s="86">
        <f t="shared" si="23"/>
        <v>0</v>
      </c>
      <c r="K200" s="86">
        <f t="shared" si="24"/>
        <v>0</v>
      </c>
    </row>
    <row r="201" spans="1:11" x14ac:dyDescent="0.3">
      <c r="A201" s="97">
        <f t="shared" si="21"/>
        <v>2041</v>
      </c>
      <c r="B201" s="79">
        <f t="shared" si="25"/>
        <v>51683</v>
      </c>
      <c r="C201" s="86" t="e">
        <f t="shared" si="26"/>
        <v>#N/A</v>
      </c>
      <c r="D201" s="86" t="e">
        <f>IF($C201&lt;&gt;0,Inputs!$B$14/12*C201,0)</f>
        <v>#N/A</v>
      </c>
      <c r="E201" s="86" t="e">
        <f t="shared" si="22"/>
        <v>#N/A</v>
      </c>
      <c r="F201" s="86" t="e">
        <f>IF($C201&gt;0,-PMT(Inputs!$B$14/12,Inputs!$B$15,Inputs!$B$11-Inputs!$B$13),0)</f>
        <v>#N/A</v>
      </c>
      <c r="H201" s="86">
        <f t="shared" si="27"/>
        <v>0</v>
      </c>
      <c r="I201" s="86">
        <f>IF($H201&lt;&gt;0,Inputs!$B$28/12*H201,0)</f>
        <v>0</v>
      </c>
      <c r="J201" s="86">
        <f t="shared" si="23"/>
        <v>0</v>
      </c>
      <c r="K201" s="86">
        <f t="shared" si="24"/>
        <v>0</v>
      </c>
    </row>
    <row r="202" spans="1:11" x14ac:dyDescent="0.3">
      <c r="A202" s="97">
        <f t="shared" si="21"/>
        <v>2041</v>
      </c>
      <c r="B202" s="79">
        <f t="shared" si="25"/>
        <v>51714</v>
      </c>
      <c r="C202" s="86" t="e">
        <f t="shared" si="26"/>
        <v>#N/A</v>
      </c>
      <c r="D202" s="86" t="e">
        <f>IF($C202&lt;&gt;0,Inputs!$B$14/12*C202,0)</f>
        <v>#N/A</v>
      </c>
      <c r="E202" s="86" t="e">
        <f t="shared" si="22"/>
        <v>#N/A</v>
      </c>
      <c r="F202" s="86" t="e">
        <f>IF($C202&gt;0,-PMT(Inputs!$B$14/12,Inputs!$B$15,Inputs!$B$11-Inputs!$B$13),0)</f>
        <v>#N/A</v>
      </c>
      <c r="H202" s="86">
        <f t="shared" si="27"/>
        <v>0</v>
      </c>
      <c r="I202" s="86">
        <f>IF($H202&lt;&gt;0,Inputs!$B$28/12*H202,0)</f>
        <v>0</v>
      </c>
      <c r="J202" s="86">
        <f t="shared" si="23"/>
        <v>0</v>
      </c>
      <c r="K202" s="86">
        <f t="shared" si="24"/>
        <v>0</v>
      </c>
    </row>
    <row r="203" spans="1:11" x14ac:dyDescent="0.3">
      <c r="A203" s="97">
        <f t="shared" si="21"/>
        <v>2041</v>
      </c>
      <c r="B203" s="79">
        <f t="shared" si="25"/>
        <v>51745</v>
      </c>
      <c r="C203" s="86" t="e">
        <f t="shared" si="26"/>
        <v>#N/A</v>
      </c>
      <c r="D203" s="86" t="e">
        <f>IF($C203&lt;&gt;0,Inputs!$B$14/12*C203,0)</f>
        <v>#N/A</v>
      </c>
      <c r="E203" s="86" t="e">
        <f t="shared" si="22"/>
        <v>#N/A</v>
      </c>
      <c r="F203" s="86" t="e">
        <f>IF($C203&gt;0,-PMT(Inputs!$B$14/12,Inputs!$B$15,Inputs!$B$11-Inputs!$B$13),0)</f>
        <v>#N/A</v>
      </c>
      <c r="H203" s="86">
        <f t="shared" si="27"/>
        <v>0</v>
      </c>
      <c r="I203" s="86">
        <f>IF($H203&lt;&gt;0,Inputs!$B$28/12*H203,0)</f>
        <v>0</v>
      </c>
      <c r="J203" s="86">
        <f t="shared" si="23"/>
        <v>0</v>
      </c>
      <c r="K203" s="86">
        <f t="shared" si="24"/>
        <v>0</v>
      </c>
    </row>
    <row r="204" spans="1:11" x14ac:dyDescent="0.3">
      <c r="A204" s="97">
        <f t="shared" si="21"/>
        <v>2041</v>
      </c>
      <c r="B204" s="79">
        <f t="shared" si="25"/>
        <v>51775</v>
      </c>
      <c r="C204" s="86" t="e">
        <f t="shared" si="26"/>
        <v>#N/A</v>
      </c>
      <c r="D204" s="86" t="e">
        <f>IF($C204&lt;&gt;0,Inputs!$B$14/12*C204,0)</f>
        <v>#N/A</v>
      </c>
      <c r="E204" s="86" t="e">
        <f t="shared" si="22"/>
        <v>#N/A</v>
      </c>
      <c r="F204" s="86" t="e">
        <f>IF($C204&gt;0,-PMT(Inputs!$B$14/12,Inputs!$B$15,Inputs!$B$11-Inputs!$B$13),0)</f>
        <v>#N/A</v>
      </c>
      <c r="H204" s="86">
        <f t="shared" si="27"/>
        <v>0</v>
      </c>
      <c r="I204" s="86">
        <f>IF($H204&lt;&gt;0,Inputs!$B$28/12*H204,0)</f>
        <v>0</v>
      </c>
      <c r="J204" s="86">
        <f t="shared" si="23"/>
        <v>0</v>
      </c>
      <c r="K204" s="86">
        <f t="shared" si="24"/>
        <v>0</v>
      </c>
    </row>
    <row r="205" spans="1:11" x14ac:dyDescent="0.3">
      <c r="A205" s="97">
        <f t="shared" si="21"/>
        <v>2041</v>
      </c>
      <c r="B205" s="79">
        <f t="shared" si="25"/>
        <v>51806</v>
      </c>
      <c r="C205" s="86" t="e">
        <f t="shared" si="26"/>
        <v>#N/A</v>
      </c>
      <c r="D205" s="86" t="e">
        <f>IF($C205&lt;&gt;0,Inputs!$B$14/12*C205,0)</f>
        <v>#N/A</v>
      </c>
      <c r="E205" s="86" t="e">
        <f t="shared" si="22"/>
        <v>#N/A</v>
      </c>
      <c r="F205" s="86" t="e">
        <f>IF($C205&gt;0,-PMT(Inputs!$B$14/12,Inputs!$B$15,Inputs!$B$11-Inputs!$B$13),0)</f>
        <v>#N/A</v>
      </c>
      <c r="H205" s="86">
        <f t="shared" si="27"/>
        <v>0</v>
      </c>
      <c r="I205" s="86">
        <f>IF($H205&lt;&gt;0,Inputs!$B$28/12*H205,0)</f>
        <v>0</v>
      </c>
      <c r="J205" s="86">
        <f t="shared" si="23"/>
        <v>0</v>
      </c>
      <c r="K205" s="86">
        <f t="shared" si="24"/>
        <v>0</v>
      </c>
    </row>
    <row r="206" spans="1:11" x14ac:dyDescent="0.3">
      <c r="A206" s="97">
        <f t="shared" si="21"/>
        <v>2041</v>
      </c>
      <c r="B206" s="79">
        <f t="shared" si="25"/>
        <v>51836</v>
      </c>
      <c r="C206" s="86" t="e">
        <f t="shared" si="26"/>
        <v>#N/A</v>
      </c>
      <c r="D206" s="86" t="e">
        <f>IF($C206&lt;&gt;0,Inputs!$B$14/12*C206,0)</f>
        <v>#N/A</v>
      </c>
      <c r="E206" s="86" t="e">
        <f t="shared" si="22"/>
        <v>#N/A</v>
      </c>
      <c r="F206" s="86" t="e">
        <f>IF($C206&gt;0,-PMT(Inputs!$B$14/12,Inputs!$B$15,Inputs!$B$11-Inputs!$B$13),0)</f>
        <v>#N/A</v>
      </c>
      <c r="H206" s="86">
        <f t="shared" si="27"/>
        <v>0</v>
      </c>
      <c r="I206" s="86">
        <f>IF($H206&lt;&gt;0,Inputs!$B$28/12*H206,0)</f>
        <v>0</v>
      </c>
      <c r="J206" s="86">
        <f t="shared" si="23"/>
        <v>0</v>
      </c>
      <c r="K206" s="86">
        <f t="shared" si="24"/>
        <v>0</v>
      </c>
    </row>
    <row r="207" spans="1:11" x14ac:dyDescent="0.3">
      <c r="A207" s="97">
        <f t="shared" si="21"/>
        <v>2042</v>
      </c>
      <c r="B207" s="79">
        <f t="shared" si="25"/>
        <v>51867</v>
      </c>
      <c r="C207" s="86" t="e">
        <f t="shared" si="26"/>
        <v>#N/A</v>
      </c>
      <c r="D207" s="86" t="e">
        <f>IF($C207&lt;&gt;0,Inputs!$B$14/12*C207,0)</f>
        <v>#N/A</v>
      </c>
      <c r="E207" s="86" t="e">
        <f t="shared" si="22"/>
        <v>#N/A</v>
      </c>
      <c r="F207" s="86" t="e">
        <f>IF($C207&gt;0,-PMT(Inputs!$B$14/12,Inputs!$B$15,Inputs!$B$11-Inputs!$B$13),0)</f>
        <v>#N/A</v>
      </c>
      <c r="H207" s="86">
        <f t="shared" si="27"/>
        <v>0</v>
      </c>
      <c r="I207" s="86">
        <f>IF($H207&lt;&gt;0,Inputs!$B$28/12*H207,0)</f>
        <v>0</v>
      </c>
      <c r="J207" s="86">
        <f t="shared" si="23"/>
        <v>0</v>
      </c>
      <c r="K207" s="86">
        <f t="shared" si="24"/>
        <v>0</v>
      </c>
    </row>
    <row r="208" spans="1:11" x14ac:dyDescent="0.3">
      <c r="A208" s="97">
        <f t="shared" si="21"/>
        <v>2042</v>
      </c>
      <c r="B208" s="79">
        <f t="shared" si="25"/>
        <v>51898</v>
      </c>
      <c r="C208" s="86" t="e">
        <f t="shared" si="26"/>
        <v>#N/A</v>
      </c>
      <c r="D208" s="86" t="e">
        <f>IF($C208&lt;&gt;0,Inputs!$B$14/12*C208,0)</f>
        <v>#N/A</v>
      </c>
      <c r="E208" s="86" t="e">
        <f t="shared" si="22"/>
        <v>#N/A</v>
      </c>
      <c r="F208" s="86" t="e">
        <f>IF($C208&gt;0,-PMT(Inputs!$B$14/12,Inputs!$B$15,Inputs!$B$11-Inputs!$B$13),0)</f>
        <v>#N/A</v>
      </c>
      <c r="H208" s="86">
        <f t="shared" si="27"/>
        <v>0</v>
      </c>
      <c r="I208" s="86">
        <f>IF($H208&lt;&gt;0,Inputs!$B$28/12*H208,0)</f>
        <v>0</v>
      </c>
      <c r="J208" s="86">
        <f t="shared" si="23"/>
        <v>0</v>
      </c>
      <c r="K208" s="86">
        <f t="shared" si="24"/>
        <v>0</v>
      </c>
    </row>
    <row r="209" spans="1:11" x14ac:dyDescent="0.3">
      <c r="A209" s="97">
        <f t="shared" si="21"/>
        <v>2042</v>
      </c>
      <c r="B209" s="79">
        <f t="shared" si="25"/>
        <v>51926</v>
      </c>
      <c r="C209" s="86" t="e">
        <f t="shared" si="26"/>
        <v>#N/A</v>
      </c>
      <c r="D209" s="86" t="e">
        <f>IF($C209&lt;&gt;0,Inputs!$B$14/12*C209,0)</f>
        <v>#N/A</v>
      </c>
      <c r="E209" s="86" t="e">
        <f t="shared" si="22"/>
        <v>#N/A</v>
      </c>
      <c r="F209" s="86" t="e">
        <f>IF($C209&gt;0,-PMT(Inputs!$B$14/12,Inputs!$B$15,Inputs!$B$11-Inputs!$B$13),0)</f>
        <v>#N/A</v>
      </c>
      <c r="H209" s="86">
        <f t="shared" si="27"/>
        <v>0</v>
      </c>
      <c r="I209" s="86">
        <f>IF($H209&lt;&gt;0,Inputs!$B$28/12*H209,0)</f>
        <v>0</v>
      </c>
      <c r="J209" s="86">
        <f t="shared" si="23"/>
        <v>0</v>
      </c>
      <c r="K209" s="86">
        <f t="shared" si="24"/>
        <v>0</v>
      </c>
    </row>
    <row r="210" spans="1:11" x14ac:dyDescent="0.3">
      <c r="A210" s="97">
        <f t="shared" si="21"/>
        <v>2042</v>
      </c>
      <c r="B210" s="79">
        <f t="shared" si="25"/>
        <v>51957</v>
      </c>
      <c r="C210" s="86" t="e">
        <f t="shared" si="26"/>
        <v>#N/A</v>
      </c>
      <c r="D210" s="86" t="e">
        <f>IF($C210&lt;&gt;0,Inputs!$B$14/12*C210,0)</f>
        <v>#N/A</v>
      </c>
      <c r="E210" s="86" t="e">
        <f t="shared" si="22"/>
        <v>#N/A</v>
      </c>
      <c r="F210" s="86" t="e">
        <f>IF($C210&gt;0,-PMT(Inputs!$B$14/12,Inputs!$B$15,Inputs!$B$11-Inputs!$B$13),0)</f>
        <v>#N/A</v>
      </c>
      <c r="H210" s="86">
        <f t="shared" si="27"/>
        <v>0</v>
      </c>
      <c r="I210" s="86">
        <f>IF($H210&lt;&gt;0,Inputs!$B$28/12*H210,0)</f>
        <v>0</v>
      </c>
      <c r="J210" s="86">
        <f t="shared" si="23"/>
        <v>0</v>
      </c>
      <c r="K210" s="86">
        <f t="shared" si="24"/>
        <v>0</v>
      </c>
    </row>
    <row r="211" spans="1:11" x14ac:dyDescent="0.3">
      <c r="A211" s="97">
        <f t="shared" si="21"/>
        <v>2042</v>
      </c>
      <c r="B211" s="79">
        <f t="shared" si="25"/>
        <v>51987</v>
      </c>
      <c r="C211" s="86" t="e">
        <f t="shared" si="26"/>
        <v>#N/A</v>
      </c>
      <c r="D211" s="86" t="e">
        <f>IF($C211&lt;&gt;0,Inputs!$B$14/12*C211,0)</f>
        <v>#N/A</v>
      </c>
      <c r="E211" s="86" t="e">
        <f t="shared" si="22"/>
        <v>#N/A</v>
      </c>
      <c r="F211" s="86" t="e">
        <f>IF($C211&gt;0,-PMT(Inputs!$B$14/12,Inputs!$B$15,Inputs!$B$11-Inputs!$B$13),0)</f>
        <v>#N/A</v>
      </c>
      <c r="H211" s="86">
        <f t="shared" si="27"/>
        <v>0</v>
      </c>
      <c r="I211" s="86">
        <f>IF($H211&lt;&gt;0,Inputs!$B$28/12*H211,0)</f>
        <v>0</v>
      </c>
      <c r="J211" s="86">
        <f t="shared" si="23"/>
        <v>0</v>
      </c>
      <c r="K211" s="86">
        <f t="shared" si="24"/>
        <v>0</v>
      </c>
    </row>
    <row r="212" spans="1:11" x14ac:dyDescent="0.3">
      <c r="A212" s="97">
        <f t="shared" si="21"/>
        <v>2042</v>
      </c>
      <c r="B212" s="79">
        <f t="shared" si="25"/>
        <v>52018</v>
      </c>
      <c r="C212" s="86" t="e">
        <f t="shared" si="26"/>
        <v>#N/A</v>
      </c>
      <c r="D212" s="86" t="e">
        <f>IF($C212&lt;&gt;0,Inputs!$B$14/12*C212,0)</f>
        <v>#N/A</v>
      </c>
      <c r="E212" s="86" t="e">
        <f t="shared" si="22"/>
        <v>#N/A</v>
      </c>
      <c r="F212" s="86" t="e">
        <f>IF($C212&gt;0,-PMT(Inputs!$B$14/12,Inputs!$B$15,Inputs!$B$11-Inputs!$B$13),0)</f>
        <v>#N/A</v>
      </c>
      <c r="H212" s="86">
        <f t="shared" si="27"/>
        <v>0</v>
      </c>
      <c r="I212" s="86">
        <f>IF($H212&lt;&gt;0,Inputs!$B$28/12*H212,0)</f>
        <v>0</v>
      </c>
      <c r="J212" s="86">
        <f t="shared" si="23"/>
        <v>0</v>
      </c>
      <c r="K212" s="86">
        <f t="shared" si="24"/>
        <v>0</v>
      </c>
    </row>
    <row r="213" spans="1:11" x14ac:dyDescent="0.3">
      <c r="A213" s="97">
        <f t="shared" si="21"/>
        <v>2042</v>
      </c>
      <c r="B213" s="79">
        <f t="shared" si="25"/>
        <v>52048</v>
      </c>
      <c r="C213" s="86" t="e">
        <f t="shared" si="26"/>
        <v>#N/A</v>
      </c>
      <c r="D213" s="86" t="e">
        <f>IF($C213&lt;&gt;0,Inputs!$B$14/12*C213,0)</f>
        <v>#N/A</v>
      </c>
      <c r="E213" s="86" t="e">
        <f t="shared" si="22"/>
        <v>#N/A</v>
      </c>
      <c r="F213" s="86" t="e">
        <f>IF($C213&gt;0,-PMT(Inputs!$B$14/12,Inputs!$B$15,Inputs!$B$11-Inputs!$B$13),0)</f>
        <v>#N/A</v>
      </c>
      <c r="H213" s="86">
        <f t="shared" si="27"/>
        <v>0</v>
      </c>
      <c r="I213" s="86">
        <f>IF($H213&lt;&gt;0,Inputs!$B$28/12*H213,0)</f>
        <v>0</v>
      </c>
      <c r="J213" s="86">
        <f t="shared" si="23"/>
        <v>0</v>
      </c>
      <c r="K213" s="86">
        <f t="shared" si="24"/>
        <v>0</v>
      </c>
    </row>
    <row r="214" spans="1:11" x14ac:dyDescent="0.3">
      <c r="A214" s="97">
        <f t="shared" si="21"/>
        <v>2042</v>
      </c>
      <c r="B214" s="79">
        <f t="shared" si="25"/>
        <v>52079</v>
      </c>
      <c r="C214" s="86" t="e">
        <f t="shared" si="26"/>
        <v>#N/A</v>
      </c>
      <c r="D214" s="86" t="e">
        <f>IF($C214&lt;&gt;0,Inputs!$B$14/12*C214,0)</f>
        <v>#N/A</v>
      </c>
      <c r="E214" s="86" t="e">
        <f t="shared" si="22"/>
        <v>#N/A</v>
      </c>
      <c r="F214" s="86" t="e">
        <f>IF($C214&gt;0,-PMT(Inputs!$B$14/12,Inputs!$B$15,Inputs!$B$11-Inputs!$B$13),0)</f>
        <v>#N/A</v>
      </c>
      <c r="H214" s="86">
        <f t="shared" si="27"/>
        <v>0</v>
      </c>
      <c r="I214" s="86">
        <f>IF($H214&lt;&gt;0,Inputs!$B$28/12*H214,0)</f>
        <v>0</v>
      </c>
      <c r="J214" s="86">
        <f t="shared" si="23"/>
        <v>0</v>
      </c>
      <c r="K214" s="86">
        <f t="shared" si="24"/>
        <v>0</v>
      </c>
    </row>
    <row r="215" spans="1:11" x14ac:dyDescent="0.3">
      <c r="A215" s="97">
        <f t="shared" si="21"/>
        <v>2042</v>
      </c>
      <c r="B215" s="79">
        <f t="shared" si="25"/>
        <v>52110</v>
      </c>
      <c r="C215" s="86" t="e">
        <f t="shared" si="26"/>
        <v>#N/A</v>
      </c>
      <c r="D215" s="86" t="e">
        <f>IF($C215&lt;&gt;0,Inputs!$B$14/12*C215,0)</f>
        <v>#N/A</v>
      </c>
      <c r="E215" s="86" t="e">
        <f t="shared" si="22"/>
        <v>#N/A</v>
      </c>
      <c r="F215" s="86" t="e">
        <f>IF($C215&gt;0,-PMT(Inputs!$B$14/12,Inputs!$B$15,Inputs!$B$11-Inputs!$B$13),0)</f>
        <v>#N/A</v>
      </c>
      <c r="H215" s="86">
        <f t="shared" si="27"/>
        <v>0</v>
      </c>
      <c r="I215" s="86">
        <f>IF($H215&lt;&gt;0,Inputs!$B$28/12*H215,0)</f>
        <v>0</v>
      </c>
      <c r="J215" s="86">
        <f t="shared" si="23"/>
        <v>0</v>
      </c>
      <c r="K215" s="86">
        <f t="shared" si="24"/>
        <v>0</v>
      </c>
    </row>
    <row r="216" spans="1:11" x14ac:dyDescent="0.3">
      <c r="A216" s="97">
        <f t="shared" si="21"/>
        <v>2042</v>
      </c>
      <c r="B216" s="79">
        <f t="shared" si="25"/>
        <v>52140</v>
      </c>
      <c r="C216" s="86" t="e">
        <f t="shared" si="26"/>
        <v>#N/A</v>
      </c>
      <c r="D216" s="86" t="e">
        <f>IF($C216&lt;&gt;0,Inputs!$B$14/12*C216,0)</f>
        <v>#N/A</v>
      </c>
      <c r="E216" s="86" t="e">
        <f t="shared" si="22"/>
        <v>#N/A</v>
      </c>
      <c r="F216" s="86" t="e">
        <f>IF($C216&gt;0,-PMT(Inputs!$B$14/12,Inputs!$B$15,Inputs!$B$11-Inputs!$B$13),0)</f>
        <v>#N/A</v>
      </c>
      <c r="H216" s="86">
        <f t="shared" si="27"/>
        <v>0</v>
      </c>
      <c r="I216" s="86">
        <f>IF($H216&lt;&gt;0,Inputs!$B$28/12*H216,0)</f>
        <v>0</v>
      </c>
      <c r="J216" s="86">
        <f t="shared" si="23"/>
        <v>0</v>
      </c>
      <c r="K216" s="86">
        <f t="shared" si="24"/>
        <v>0</v>
      </c>
    </row>
    <row r="217" spans="1:11" x14ac:dyDescent="0.3">
      <c r="A217" s="97">
        <f t="shared" si="21"/>
        <v>2042</v>
      </c>
      <c r="B217" s="79">
        <f t="shared" si="25"/>
        <v>52171</v>
      </c>
      <c r="C217" s="86" t="e">
        <f t="shared" si="26"/>
        <v>#N/A</v>
      </c>
      <c r="D217" s="86" t="e">
        <f>IF($C217&lt;&gt;0,Inputs!$B$14/12*C217,0)</f>
        <v>#N/A</v>
      </c>
      <c r="E217" s="86" t="e">
        <f t="shared" si="22"/>
        <v>#N/A</v>
      </c>
      <c r="F217" s="86" t="e">
        <f>IF($C217&gt;0,-PMT(Inputs!$B$14/12,Inputs!$B$15,Inputs!$B$11-Inputs!$B$13),0)</f>
        <v>#N/A</v>
      </c>
      <c r="H217" s="86">
        <f t="shared" si="27"/>
        <v>0</v>
      </c>
      <c r="I217" s="86">
        <f>IF($H217&lt;&gt;0,Inputs!$B$28/12*H217,0)</f>
        <v>0</v>
      </c>
      <c r="J217" s="86">
        <f t="shared" si="23"/>
        <v>0</v>
      </c>
      <c r="K217" s="86">
        <f t="shared" si="24"/>
        <v>0</v>
      </c>
    </row>
    <row r="218" spans="1:11" x14ac:dyDescent="0.3">
      <c r="A218" s="97">
        <f t="shared" si="21"/>
        <v>2042</v>
      </c>
      <c r="B218" s="79">
        <f t="shared" si="25"/>
        <v>52201</v>
      </c>
      <c r="C218" s="86" t="e">
        <f t="shared" si="26"/>
        <v>#N/A</v>
      </c>
      <c r="D218" s="86" t="e">
        <f>IF($C218&lt;&gt;0,Inputs!$B$14/12*C218,0)</f>
        <v>#N/A</v>
      </c>
      <c r="E218" s="86" t="e">
        <f t="shared" si="22"/>
        <v>#N/A</v>
      </c>
      <c r="F218" s="86" t="e">
        <f>IF($C218&gt;0,-PMT(Inputs!$B$14/12,Inputs!$B$15,Inputs!$B$11-Inputs!$B$13),0)</f>
        <v>#N/A</v>
      </c>
      <c r="H218" s="86">
        <f t="shared" si="27"/>
        <v>0</v>
      </c>
      <c r="I218" s="86">
        <f>IF($H218&lt;&gt;0,Inputs!$B$28/12*H218,0)</f>
        <v>0</v>
      </c>
      <c r="J218" s="86">
        <f t="shared" si="23"/>
        <v>0</v>
      </c>
      <c r="K218" s="86">
        <f t="shared" si="24"/>
        <v>0</v>
      </c>
    </row>
    <row r="219" spans="1:11" x14ac:dyDescent="0.3">
      <c r="A219" s="97">
        <f t="shared" si="21"/>
        <v>2043</v>
      </c>
      <c r="B219" s="79">
        <f t="shared" si="25"/>
        <v>52232</v>
      </c>
      <c r="C219" s="86" t="e">
        <f t="shared" si="26"/>
        <v>#N/A</v>
      </c>
      <c r="D219" s="86" t="e">
        <f>IF($C219&lt;&gt;0,Inputs!$B$14/12*C219,0)</f>
        <v>#N/A</v>
      </c>
      <c r="E219" s="86" t="e">
        <f t="shared" si="22"/>
        <v>#N/A</v>
      </c>
      <c r="F219" s="86" t="e">
        <f>IF($C219&gt;0,-PMT(Inputs!$B$14/12,Inputs!$B$15,Inputs!$B$11-Inputs!$B$13),0)</f>
        <v>#N/A</v>
      </c>
      <c r="H219" s="86">
        <f t="shared" si="27"/>
        <v>0</v>
      </c>
      <c r="I219" s="86">
        <f>IF($H219&lt;&gt;0,Inputs!$B$28/12*H219,0)</f>
        <v>0</v>
      </c>
      <c r="J219" s="86">
        <f t="shared" si="23"/>
        <v>0</v>
      </c>
      <c r="K219" s="86">
        <f t="shared" si="24"/>
        <v>0</v>
      </c>
    </row>
    <row r="220" spans="1:11" x14ac:dyDescent="0.3">
      <c r="A220" s="97">
        <f t="shared" si="21"/>
        <v>2043</v>
      </c>
      <c r="B220" s="79">
        <f t="shared" si="25"/>
        <v>52263</v>
      </c>
      <c r="C220" s="86" t="e">
        <f t="shared" si="26"/>
        <v>#N/A</v>
      </c>
      <c r="D220" s="86" t="e">
        <f>IF($C220&lt;&gt;0,Inputs!$B$14/12*C220,0)</f>
        <v>#N/A</v>
      </c>
      <c r="E220" s="86" t="e">
        <f t="shared" si="22"/>
        <v>#N/A</v>
      </c>
      <c r="F220" s="86" t="e">
        <f>IF($C220&gt;0,-PMT(Inputs!$B$14/12,Inputs!$B$15,Inputs!$B$11-Inputs!$B$13),0)</f>
        <v>#N/A</v>
      </c>
      <c r="H220" s="86">
        <f t="shared" si="27"/>
        <v>0</v>
      </c>
      <c r="I220" s="86">
        <f>IF($H220&lt;&gt;0,Inputs!$B$28/12*H220,0)</f>
        <v>0</v>
      </c>
      <c r="J220" s="86">
        <f t="shared" si="23"/>
        <v>0</v>
      </c>
      <c r="K220" s="86">
        <f t="shared" si="24"/>
        <v>0</v>
      </c>
    </row>
    <row r="221" spans="1:11" x14ac:dyDescent="0.3">
      <c r="A221" s="97">
        <f t="shared" si="21"/>
        <v>2043</v>
      </c>
      <c r="B221" s="79">
        <f t="shared" si="25"/>
        <v>52291</v>
      </c>
      <c r="C221" s="86" t="e">
        <f t="shared" si="26"/>
        <v>#N/A</v>
      </c>
      <c r="D221" s="86" t="e">
        <f>IF($C221&lt;&gt;0,Inputs!$B$14/12*C221,0)</f>
        <v>#N/A</v>
      </c>
      <c r="E221" s="86" t="e">
        <f t="shared" si="22"/>
        <v>#N/A</v>
      </c>
      <c r="F221" s="86" t="e">
        <f>IF($C221&gt;0,-PMT(Inputs!$B$14/12,Inputs!$B$15,Inputs!$B$11-Inputs!$B$13),0)</f>
        <v>#N/A</v>
      </c>
      <c r="H221" s="86">
        <f t="shared" si="27"/>
        <v>0</v>
      </c>
      <c r="I221" s="86">
        <f>IF($H221&lt;&gt;0,Inputs!$B$28/12*H221,0)</f>
        <v>0</v>
      </c>
      <c r="J221" s="86">
        <f t="shared" si="23"/>
        <v>0</v>
      </c>
      <c r="K221" s="86">
        <f t="shared" si="24"/>
        <v>0</v>
      </c>
    </row>
    <row r="222" spans="1:11" x14ac:dyDescent="0.3">
      <c r="A222" s="97">
        <f t="shared" si="21"/>
        <v>2043</v>
      </c>
      <c r="B222" s="79">
        <f t="shared" si="25"/>
        <v>52322</v>
      </c>
      <c r="C222" s="86" t="e">
        <f t="shared" si="26"/>
        <v>#N/A</v>
      </c>
      <c r="D222" s="86" t="e">
        <f>IF($C222&lt;&gt;0,Inputs!$B$14/12*C222,0)</f>
        <v>#N/A</v>
      </c>
      <c r="E222" s="86" t="e">
        <f t="shared" si="22"/>
        <v>#N/A</v>
      </c>
      <c r="F222" s="86" t="e">
        <f>IF($C222&gt;0,-PMT(Inputs!$B$14/12,Inputs!$B$15,Inputs!$B$11-Inputs!$B$13),0)</f>
        <v>#N/A</v>
      </c>
      <c r="H222" s="86">
        <f t="shared" si="27"/>
        <v>0</v>
      </c>
      <c r="I222" s="86">
        <f>IF($H222&lt;&gt;0,Inputs!$B$28/12*H222,0)</f>
        <v>0</v>
      </c>
      <c r="J222" s="86">
        <f t="shared" si="23"/>
        <v>0</v>
      </c>
      <c r="K222" s="86">
        <f t="shared" si="24"/>
        <v>0</v>
      </c>
    </row>
    <row r="223" spans="1:11" x14ac:dyDescent="0.3">
      <c r="A223" s="97">
        <f t="shared" si="21"/>
        <v>2043</v>
      </c>
      <c r="B223" s="79">
        <f t="shared" si="25"/>
        <v>52352</v>
      </c>
      <c r="C223" s="86" t="e">
        <f t="shared" si="26"/>
        <v>#N/A</v>
      </c>
      <c r="D223" s="86" t="e">
        <f>IF($C223&lt;&gt;0,Inputs!$B$14/12*C223,0)</f>
        <v>#N/A</v>
      </c>
      <c r="E223" s="86" t="e">
        <f t="shared" si="22"/>
        <v>#N/A</v>
      </c>
      <c r="F223" s="86" t="e">
        <f>IF($C223&gt;0,-PMT(Inputs!$B$14/12,Inputs!$B$15,Inputs!$B$11-Inputs!$B$13),0)</f>
        <v>#N/A</v>
      </c>
      <c r="H223" s="86">
        <f t="shared" si="27"/>
        <v>0</v>
      </c>
      <c r="I223" s="86">
        <f>IF($H223&lt;&gt;0,Inputs!$B$28/12*H223,0)</f>
        <v>0</v>
      </c>
      <c r="J223" s="86">
        <f t="shared" si="23"/>
        <v>0</v>
      </c>
      <c r="K223" s="86">
        <f t="shared" si="24"/>
        <v>0</v>
      </c>
    </row>
    <row r="224" spans="1:11" x14ac:dyDescent="0.3">
      <c r="A224" s="97">
        <f t="shared" si="21"/>
        <v>2043</v>
      </c>
      <c r="B224" s="79">
        <f t="shared" si="25"/>
        <v>52383</v>
      </c>
      <c r="C224" s="86" t="e">
        <f t="shared" si="26"/>
        <v>#N/A</v>
      </c>
      <c r="D224" s="86" t="e">
        <f>IF($C224&lt;&gt;0,Inputs!$B$14/12*C224,0)</f>
        <v>#N/A</v>
      </c>
      <c r="E224" s="86" t="e">
        <f t="shared" si="22"/>
        <v>#N/A</v>
      </c>
      <c r="F224" s="86" t="e">
        <f>IF($C224&gt;0,-PMT(Inputs!$B$14/12,Inputs!$B$15,Inputs!$B$11-Inputs!$B$13),0)</f>
        <v>#N/A</v>
      </c>
      <c r="H224" s="86">
        <f t="shared" si="27"/>
        <v>0</v>
      </c>
      <c r="I224" s="86">
        <f>IF($H224&lt;&gt;0,Inputs!$B$28/12*H224,0)</f>
        <v>0</v>
      </c>
      <c r="J224" s="86">
        <f t="shared" si="23"/>
        <v>0</v>
      </c>
      <c r="K224" s="86">
        <f t="shared" si="24"/>
        <v>0</v>
      </c>
    </row>
    <row r="225" spans="1:11" x14ac:dyDescent="0.3">
      <c r="A225" s="97">
        <f t="shared" si="21"/>
        <v>2043</v>
      </c>
      <c r="B225" s="79">
        <f t="shared" si="25"/>
        <v>52413</v>
      </c>
      <c r="C225" s="86" t="e">
        <f t="shared" si="26"/>
        <v>#N/A</v>
      </c>
      <c r="D225" s="86" t="e">
        <f>IF($C225&lt;&gt;0,Inputs!$B$14/12*C225,0)</f>
        <v>#N/A</v>
      </c>
      <c r="E225" s="86" t="e">
        <f t="shared" si="22"/>
        <v>#N/A</v>
      </c>
      <c r="F225" s="86" t="e">
        <f>IF($C225&gt;0,-PMT(Inputs!$B$14/12,Inputs!$B$15,Inputs!$B$11-Inputs!$B$13),0)</f>
        <v>#N/A</v>
      </c>
      <c r="H225" s="86">
        <f t="shared" si="27"/>
        <v>0</v>
      </c>
      <c r="I225" s="86">
        <f>IF($H225&lt;&gt;0,Inputs!$B$28/12*H225,0)</f>
        <v>0</v>
      </c>
      <c r="J225" s="86">
        <f t="shared" si="23"/>
        <v>0</v>
      </c>
      <c r="K225" s="86">
        <f t="shared" si="24"/>
        <v>0</v>
      </c>
    </row>
    <row r="226" spans="1:11" x14ac:dyDescent="0.3">
      <c r="A226" s="97">
        <f t="shared" si="21"/>
        <v>2043</v>
      </c>
      <c r="B226" s="79">
        <f t="shared" si="25"/>
        <v>52444</v>
      </c>
      <c r="C226" s="86" t="e">
        <f t="shared" si="26"/>
        <v>#N/A</v>
      </c>
      <c r="D226" s="86" t="e">
        <f>IF($C226&lt;&gt;0,Inputs!$B$14/12*C226,0)</f>
        <v>#N/A</v>
      </c>
      <c r="E226" s="86" t="e">
        <f t="shared" si="22"/>
        <v>#N/A</v>
      </c>
      <c r="F226" s="86" t="e">
        <f>IF($C226&gt;0,-PMT(Inputs!$B$14/12,Inputs!$B$15,Inputs!$B$11-Inputs!$B$13),0)</f>
        <v>#N/A</v>
      </c>
      <c r="H226" s="86">
        <f t="shared" si="27"/>
        <v>0</v>
      </c>
      <c r="I226" s="86">
        <f>IF($H226&lt;&gt;0,Inputs!$B$28/12*H226,0)</f>
        <v>0</v>
      </c>
      <c r="J226" s="86">
        <f t="shared" si="23"/>
        <v>0</v>
      </c>
      <c r="K226" s="86">
        <f t="shared" si="24"/>
        <v>0</v>
      </c>
    </row>
    <row r="227" spans="1:11" x14ac:dyDescent="0.3">
      <c r="A227" s="97">
        <f t="shared" si="21"/>
        <v>2043</v>
      </c>
      <c r="B227" s="79">
        <f t="shared" si="25"/>
        <v>52475</v>
      </c>
      <c r="C227" s="86" t="e">
        <f t="shared" si="26"/>
        <v>#N/A</v>
      </c>
      <c r="D227" s="86" t="e">
        <f>IF($C227&lt;&gt;0,Inputs!$B$14/12*C227,0)</f>
        <v>#N/A</v>
      </c>
      <c r="E227" s="86" t="e">
        <f t="shared" si="22"/>
        <v>#N/A</v>
      </c>
      <c r="F227" s="86" t="e">
        <f>IF($C227&gt;0,-PMT(Inputs!$B$14/12,Inputs!$B$15,Inputs!$B$11-Inputs!$B$13),0)</f>
        <v>#N/A</v>
      </c>
      <c r="H227" s="86">
        <f t="shared" si="27"/>
        <v>0</v>
      </c>
      <c r="I227" s="86">
        <f>IF($H227&lt;&gt;0,Inputs!$B$28/12*H227,0)</f>
        <v>0</v>
      </c>
      <c r="J227" s="86">
        <f t="shared" si="23"/>
        <v>0</v>
      </c>
      <c r="K227" s="86">
        <f t="shared" si="24"/>
        <v>0</v>
      </c>
    </row>
    <row r="228" spans="1:11" x14ac:dyDescent="0.3">
      <c r="A228" s="97">
        <f t="shared" si="21"/>
        <v>2043</v>
      </c>
      <c r="B228" s="79">
        <f t="shared" si="25"/>
        <v>52505</v>
      </c>
      <c r="C228" s="86" t="e">
        <f t="shared" si="26"/>
        <v>#N/A</v>
      </c>
      <c r="D228" s="86" t="e">
        <f>IF($C228&lt;&gt;0,Inputs!$B$14/12*C228,0)</f>
        <v>#N/A</v>
      </c>
      <c r="E228" s="86" t="e">
        <f t="shared" si="22"/>
        <v>#N/A</v>
      </c>
      <c r="F228" s="86" t="e">
        <f>IF($C228&gt;0,-PMT(Inputs!$B$14/12,Inputs!$B$15,Inputs!$B$11-Inputs!$B$13),0)</f>
        <v>#N/A</v>
      </c>
      <c r="H228" s="86">
        <f t="shared" si="27"/>
        <v>0</v>
      </c>
      <c r="I228" s="86">
        <f>IF($H228&lt;&gt;0,Inputs!$B$28/12*H228,0)</f>
        <v>0</v>
      </c>
      <c r="J228" s="86">
        <f t="shared" si="23"/>
        <v>0</v>
      </c>
      <c r="K228" s="86">
        <f t="shared" si="24"/>
        <v>0</v>
      </c>
    </row>
    <row r="229" spans="1:11" x14ac:dyDescent="0.3">
      <c r="A229" s="97">
        <f t="shared" si="21"/>
        <v>2043</v>
      </c>
      <c r="B229" s="79">
        <f t="shared" si="25"/>
        <v>52536</v>
      </c>
      <c r="C229" s="86" t="e">
        <f t="shared" si="26"/>
        <v>#N/A</v>
      </c>
      <c r="D229" s="86" t="e">
        <f>IF($C229&lt;&gt;0,Inputs!$B$14/12*C229,0)</f>
        <v>#N/A</v>
      </c>
      <c r="E229" s="86" t="e">
        <f t="shared" si="22"/>
        <v>#N/A</v>
      </c>
      <c r="F229" s="86" t="e">
        <f>IF($C229&gt;0,-PMT(Inputs!$B$14/12,Inputs!$B$15,Inputs!$B$11-Inputs!$B$13),0)</f>
        <v>#N/A</v>
      </c>
      <c r="H229" s="86">
        <f t="shared" si="27"/>
        <v>0</v>
      </c>
      <c r="I229" s="86">
        <f>IF($H229&lt;&gt;0,Inputs!$B$28/12*H229,0)</f>
        <v>0</v>
      </c>
      <c r="J229" s="86">
        <f t="shared" si="23"/>
        <v>0</v>
      </c>
      <c r="K229" s="86">
        <f t="shared" si="24"/>
        <v>0</v>
      </c>
    </row>
    <row r="230" spans="1:11" x14ac:dyDescent="0.3">
      <c r="A230" s="97">
        <f t="shared" si="21"/>
        <v>2043</v>
      </c>
      <c r="B230" s="79">
        <f t="shared" si="25"/>
        <v>52566</v>
      </c>
      <c r="C230" s="86" t="e">
        <f t="shared" si="26"/>
        <v>#N/A</v>
      </c>
      <c r="D230" s="86" t="e">
        <f>IF($C230&lt;&gt;0,Inputs!$B$14/12*C230,0)</f>
        <v>#N/A</v>
      </c>
      <c r="E230" s="86" t="e">
        <f t="shared" si="22"/>
        <v>#N/A</v>
      </c>
      <c r="F230" s="86" t="e">
        <f>IF($C230&gt;0,-PMT(Inputs!$B$14/12,Inputs!$B$15,Inputs!$B$11-Inputs!$B$13),0)</f>
        <v>#N/A</v>
      </c>
      <c r="H230" s="86">
        <f t="shared" si="27"/>
        <v>0</v>
      </c>
      <c r="I230" s="86">
        <f>IF($H230&lt;&gt;0,Inputs!$B$28/12*H230,0)</f>
        <v>0</v>
      </c>
      <c r="J230" s="86">
        <f t="shared" si="23"/>
        <v>0</v>
      </c>
      <c r="K230" s="86">
        <f t="shared" si="24"/>
        <v>0</v>
      </c>
    </row>
    <row r="231" spans="1:11" x14ac:dyDescent="0.3">
      <c r="A231" s="97">
        <f t="shared" si="21"/>
        <v>2044</v>
      </c>
      <c r="B231" s="79">
        <f t="shared" si="25"/>
        <v>52597</v>
      </c>
      <c r="C231" s="86" t="e">
        <f t="shared" si="26"/>
        <v>#N/A</v>
      </c>
      <c r="D231" s="86" t="e">
        <f>IF($C231&lt;&gt;0,Inputs!$B$14/12*C231,0)</f>
        <v>#N/A</v>
      </c>
      <c r="E231" s="86" t="e">
        <f t="shared" si="22"/>
        <v>#N/A</v>
      </c>
      <c r="F231" s="86" t="e">
        <f>IF($C231&gt;0,-PMT(Inputs!$B$14/12,Inputs!$B$15,Inputs!$B$11-Inputs!$B$13),0)</f>
        <v>#N/A</v>
      </c>
      <c r="H231" s="86">
        <f t="shared" si="27"/>
        <v>0</v>
      </c>
      <c r="I231" s="86">
        <f>IF($H231&lt;&gt;0,Inputs!$B$28/12*H231,0)</f>
        <v>0</v>
      </c>
      <c r="J231" s="86">
        <f t="shared" si="23"/>
        <v>0</v>
      </c>
      <c r="K231" s="86">
        <f t="shared" si="24"/>
        <v>0</v>
      </c>
    </row>
    <row r="232" spans="1:11" x14ac:dyDescent="0.3">
      <c r="A232" s="97">
        <f t="shared" si="21"/>
        <v>2044</v>
      </c>
      <c r="B232" s="79">
        <f t="shared" si="25"/>
        <v>52628</v>
      </c>
      <c r="C232" s="86" t="e">
        <f t="shared" si="26"/>
        <v>#N/A</v>
      </c>
      <c r="D232" s="86" t="e">
        <f>IF($C232&lt;&gt;0,Inputs!$B$14/12*C232,0)</f>
        <v>#N/A</v>
      </c>
      <c r="E232" s="86" t="e">
        <f t="shared" si="22"/>
        <v>#N/A</v>
      </c>
      <c r="F232" s="86" t="e">
        <f>IF($C232&gt;0,-PMT(Inputs!$B$14/12,Inputs!$B$15,Inputs!$B$11-Inputs!$B$13),0)</f>
        <v>#N/A</v>
      </c>
      <c r="H232" s="86">
        <f t="shared" si="27"/>
        <v>0</v>
      </c>
      <c r="I232" s="86">
        <f>IF($H232&lt;&gt;0,Inputs!$B$28/12*H232,0)</f>
        <v>0</v>
      </c>
      <c r="J232" s="86">
        <f t="shared" si="23"/>
        <v>0</v>
      </c>
      <c r="K232" s="86">
        <f t="shared" si="24"/>
        <v>0</v>
      </c>
    </row>
    <row r="233" spans="1:11" x14ac:dyDescent="0.3">
      <c r="A233" s="97">
        <f t="shared" si="21"/>
        <v>2044</v>
      </c>
      <c r="B233" s="79">
        <f t="shared" si="25"/>
        <v>52657</v>
      </c>
      <c r="C233" s="86" t="e">
        <f t="shared" si="26"/>
        <v>#N/A</v>
      </c>
      <c r="D233" s="86" t="e">
        <f>IF($C233&lt;&gt;0,Inputs!$B$14/12*C233,0)</f>
        <v>#N/A</v>
      </c>
      <c r="E233" s="86" t="e">
        <f t="shared" si="22"/>
        <v>#N/A</v>
      </c>
      <c r="F233" s="86" t="e">
        <f>IF($C233&gt;0,-PMT(Inputs!$B$14/12,Inputs!$B$15,Inputs!$B$11-Inputs!$B$13),0)</f>
        <v>#N/A</v>
      </c>
      <c r="H233" s="86">
        <f t="shared" si="27"/>
        <v>0</v>
      </c>
      <c r="I233" s="86">
        <f>IF($H233&lt;&gt;0,Inputs!$B$28/12*H233,0)</f>
        <v>0</v>
      </c>
      <c r="J233" s="86">
        <f t="shared" si="23"/>
        <v>0</v>
      </c>
      <c r="K233" s="86">
        <f t="shared" si="24"/>
        <v>0</v>
      </c>
    </row>
    <row r="234" spans="1:11" x14ac:dyDescent="0.3">
      <c r="A234" s="97">
        <f t="shared" si="21"/>
        <v>2044</v>
      </c>
      <c r="B234" s="79">
        <f t="shared" si="25"/>
        <v>52688</v>
      </c>
      <c r="C234" s="86" t="e">
        <f t="shared" si="26"/>
        <v>#N/A</v>
      </c>
      <c r="D234" s="86" t="e">
        <f>IF($C234&lt;&gt;0,Inputs!$B$14/12*C234,0)</f>
        <v>#N/A</v>
      </c>
      <c r="E234" s="86" t="e">
        <f t="shared" si="22"/>
        <v>#N/A</v>
      </c>
      <c r="F234" s="86" t="e">
        <f>IF($C234&gt;0,-PMT(Inputs!$B$14/12,Inputs!$B$15,Inputs!$B$11-Inputs!$B$13),0)</f>
        <v>#N/A</v>
      </c>
      <c r="H234" s="86">
        <f t="shared" si="27"/>
        <v>0</v>
      </c>
      <c r="I234" s="86">
        <f>IF($H234&lt;&gt;0,Inputs!$B$28/12*H234,0)</f>
        <v>0</v>
      </c>
      <c r="J234" s="86">
        <f t="shared" si="23"/>
        <v>0</v>
      </c>
      <c r="K234" s="86">
        <f t="shared" si="24"/>
        <v>0</v>
      </c>
    </row>
    <row r="235" spans="1:11" x14ac:dyDescent="0.3">
      <c r="A235" s="97">
        <f t="shared" si="21"/>
        <v>2044</v>
      </c>
      <c r="B235" s="79">
        <f t="shared" si="25"/>
        <v>52718</v>
      </c>
      <c r="C235" s="86" t="e">
        <f t="shared" si="26"/>
        <v>#N/A</v>
      </c>
      <c r="D235" s="86" t="e">
        <f>IF($C235&lt;&gt;0,Inputs!$B$14/12*C235,0)</f>
        <v>#N/A</v>
      </c>
      <c r="E235" s="86" t="e">
        <f t="shared" si="22"/>
        <v>#N/A</v>
      </c>
      <c r="F235" s="86" t="e">
        <f>IF($C235&gt;0,-PMT(Inputs!$B$14/12,Inputs!$B$15,Inputs!$B$11-Inputs!$B$13),0)</f>
        <v>#N/A</v>
      </c>
      <c r="H235" s="86">
        <f t="shared" si="27"/>
        <v>0</v>
      </c>
      <c r="I235" s="86">
        <f>IF($H235&lt;&gt;0,Inputs!$B$28/12*H235,0)</f>
        <v>0</v>
      </c>
      <c r="J235" s="86">
        <f t="shared" si="23"/>
        <v>0</v>
      </c>
      <c r="K235" s="86">
        <f t="shared" si="24"/>
        <v>0</v>
      </c>
    </row>
    <row r="236" spans="1:11" x14ac:dyDescent="0.3">
      <c r="A236" s="97">
        <f t="shared" si="21"/>
        <v>2044</v>
      </c>
      <c r="B236" s="79">
        <f t="shared" si="25"/>
        <v>52749</v>
      </c>
      <c r="C236" s="86" t="e">
        <f t="shared" si="26"/>
        <v>#N/A</v>
      </c>
      <c r="D236" s="86" t="e">
        <f>IF($C236&lt;&gt;0,Inputs!$B$14/12*C236,0)</f>
        <v>#N/A</v>
      </c>
      <c r="E236" s="86" t="e">
        <f t="shared" si="22"/>
        <v>#N/A</v>
      </c>
      <c r="F236" s="86" t="e">
        <f>IF($C236&gt;0,-PMT(Inputs!$B$14/12,Inputs!$B$15,Inputs!$B$11-Inputs!$B$13),0)</f>
        <v>#N/A</v>
      </c>
      <c r="H236" s="86">
        <f t="shared" si="27"/>
        <v>0</v>
      </c>
      <c r="I236" s="86">
        <f>IF($H236&lt;&gt;0,Inputs!$B$28/12*H236,0)</f>
        <v>0</v>
      </c>
      <c r="J236" s="86">
        <f t="shared" si="23"/>
        <v>0</v>
      </c>
      <c r="K236" s="86">
        <f t="shared" si="24"/>
        <v>0</v>
      </c>
    </row>
    <row r="237" spans="1:11" x14ac:dyDescent="0.3">
      <c r="A237" s="97">
        <f t="shared" si="21"/>
        <v>2044</v>
      </c>
      <c r="B237" s="79">
        <f t="shared" si="25"/>
        <v>52779</v>
      </c>
      <c r="C237" s="86" t="e">
        <f t="shared" si="26"/>
        <v>#N/A</v>
      </c>
      <c r="D237" s="86" t="e">
        <f>IF($C237&lt;&gt;0,Inputs!$B$14/12*C237,0)</f>
        <v>#N/A</v>
      </c>
      <c r="E237" s="86" t="e">
        <f t="shared" si="22"/>
        <v>#N/A</v>
      </c>
      <c r="F237" s="86" t="e">
        <f>IF($C237&gt;0,-PMT(Inputs!$B$14/12,Inputs!$B$15,Inputs!$B$11-Inputs!$B$13),0)</f>
        <v>#N/A</v>
      </c>
      <c r="H237" s="86">
        <f t="shared" si="27"/>
        <v>0</v>
      </c>
      <c r="I237" s="86">
        <f>IF($H237&lt;&gt;0,Inputs!$B$28/12*H237,0)</f>
        <v>0</v>
      </c>
      <c r="J237" s="86">
        <f t="shared" si="23"/>
        <v>0</v>
      </c>
      <c r="K237" s="86">
        <f t="shared" si="24"/>
        <v>0</v>
      </c>
    </row>
    <row r="238" spans="1:11" x14ac:dyDescent="0.3">
      <c r="A238" s="97">
        <f t="shared" si="21"/>
        <v>2044</v>
      </c>
      <c r="B238" s="79">
        <f t="shared" si="25"/>
        <v>52810</v>
      </c>
      <c r="C238" s="86" t="e">
        <f t="shared" si="26"/>
        <v>#N/A</v>
      </c>
      <c r="D238" s="86" t="e">
        <f>IF($C238&lt;&gt;0,Inputs!$B$14/12*C238,0)</f>
        <v>#N/A</v>
      </c>
      <c r="E238" s="86" t="e">
        <f t="shared" si="22"/>
        <v>#N/A</v>
      </c>
      <c r="F238" s="86" t="e">
        <f>IF($C238&gt;0,-PMT(Inputs!$B$14/12,Inputs!$B$15,Inputs!$B$11-Inputs!$B$13),0)</f>
        <v>#N/A</v>
      </c>
      <c r="H238" s="86">
        <f t="shared" si="27"/>
        <v>0</v>
      </c>
      <c r="I238" s="86">
        <f>IF($H238&lt;&gt;0,Inputs!$B$28/12*H238,0)</f>
        <v>0</v>
      </c>
      <c r="J238" s="86">
        <f t="shared" si="23"/>
        <v>0</v>
      </c>
      <c r="K238" s="86">
        <f t="shared" si="24"/>
        <v>0</v>
      </c>
    </row>
    <row r="239" spans="1:11" x14ac:dyDescent="0.3">
      <c r="A239" s="97">
        <f t="shared" si="21"/>
        <v>2044</v>
      </c>
      <c r="B239" s="79">
        <f t="shared" si="25"/>
        <v>52841</v>
      </c>
      <c r="C239" s="86" t="e">
        <f t="shared" si="26"/>
        <v>#N/A</v>
      </c>
      <c r="D239" s="86" t="e">
        <f>IF($C239&lt;&gt;0,Inputs!$B$14/12*C239,0)</f>
        <v>#N/A</v>
      </c>
      <c r="E239" s="86" t="e">
        <f t="shared" si="22"/>
        <v>#N/A</v>
      </c>
      <c r="F239" s="86" t="e">
        <f>IF($C239&gt;0,-PMT(Inputs!$B$14/12,Inputs!$B$15,Inputs!$B$11-Inputs!$B$13),0)</f>
        <v>#N/A</v>
      </c>
      <c r="H239" s="86">
        <f t="shared" si="27"/>
        <v>0</v>
      </c>
      <c r="I239" s="86">
        <f>IF($H239&lt;&gt;0,Inputs!$B$28/12*H239,0)</f>
        <v>0</v>
      </c>
      <c r="J239" s="86">
        <f t="shared" si="23"/>
        <v>0</v>
      </c>
      <c r="K239" s="86">
        <f t="shared" si="24"/>
        <v>0</v>
      </c>
    </row>
    <row r="240" spans="1:11" x14ac:dyDescent="0.3">
      <c r="A240" s="97">
        <f t="shared" si="21"/>
        <v>2044</v>
      </c>
      <c r="B240" s="79">
        <f t="shared" si="25"/>
        <v>52871</v>
      </c>
      <c r="C240" s="86" t="e">
        <f t="shared" si="26"/>
        <v>#N/A</v>
      </c>
      <c r="D240" s="86" t="e">
        <f>IF($C240&lt;&gt;0,Inputs!$B$14/12*C240,0)</f>
        <v>#N/A</v>
      </c>
      <c r="E240" s="86" t="e">
        <f t="shared" si="22"/>
        <v>#N/A</v>
      </c>
      <c r="F240" s="86" t="e">
        <f>IF($C240&gt;0,-PMT(Inputs!$B$14/12,Inputs!$B$15,Inputs!$B$11-Inputs!$B$13),0)</f>
        <v>#N/A</v>
      </c>
      <c r="H240" s="86">
        <f t="shared" si="27"/>
        <v>0</v>
      </c>
      <c r="I240" s="86">
        <f>IF($H240&lt;&gt;0,Inputs!$B$28/12*H240,0)</f>
        <v>0</v>
      </c>
      <c r="J240" s="86">
        <f t="shared" si="23"/>
        <v>0</v>
      </c>
      <c r="K240" s="86">
        <f t="shared" si="24"/>
        <v>0</v>
      </c>
    </row>
    <row r="241" spans="1:11" x14ac:dyDescent="0.3">
      <c r="A241" s="97">
        <f t="shared" si="21"/>
        <v>2044</v>
      </c>
      <c r="B241" s="79">
        <f t="shared" si="25"/>
        <v>52902</v>
      </c>
      <c r="C241" s="86" t="e">
        <f t="shared" si="26"/>
        <v>#N/A</v>
      </c>
      <c r="D241" s="86" t="e">
        <f>IF($C241&lt;&gt;0,Inputs!$B$14/12*C241,0)</f>
        <v>#N/A</v>
      </c>
      <c r="E241" s="86" t="e">
        <f t="shared" si="22"/>
        <v>#N/A</v>
      </c>
      <c r="F241" s="86" t="e">
        <f>IF($C241&gt;0,-PMT(Inputs!$B$14/12,Inputs!$B$15,Inputs!$B$11-Inputs!$B$13),0)</f>
        <v>#N/A</v>
      </c>
      <c r="H241" s="86">
        <f t="shared" si="27"/>
        <v>0</v>
      </c>
      <c r="I241" s="86">
        <f>IF($H241&lt;&gt;0,Inputs!$B$28/12*H241,0)</f>
        <v>0</v>
      </c>
      <c r="J241" s="86">
        <f t="shared" si="23"/>
        <v>0</v>
      </c>
      <c r="K241" s="86">
        <f t="shared" si="24"/>
        <v>0</v>
      </c>
    </row>
    <row r="242" spans="1:11" x14ac:dyDescent="0.3">
      <c r="A242" s="97">
        <f t="shared" si="21"/>
        <v>2044</v>
      </c>
      <c r="B242" s="79">
        <f t="shared" si="25"/>
        <v>52932</v>
      </c>
      <c r="C242" s="86" t="e">
        <f t="shared" si="26"/>
        <v>#N/A</v>
      </c>
      <c r="D242" s="86" t="e">
        <f>IF($C242&lt;&gt;0,Inputs!$B$14/12*C242,0)</f>
        <v>#N/A</v>
      </c>
      <c r="E242" s="86" t="e">
        <f t="shared" si="22"/>
        <v>#N/A</v>
      </c>
      <c r="F242" s="86" t="e">
        <f>IF($C242&gt;0,-PMT(Inputs!$B$14/12,Inputs!$B$15,Inputs!$B$11-Inputs!$B$13),0)</f>
        <v>#N/A</v>
      </c>
      <c r="H242" s="86">
        <f t="shared" si="27"/>
        <v>0</v>
      </c>
      <c r="I242" s="86">
        <f>IF($H242&lt;&gt;0,Inputs!$B$28/12*H242,0)</f>
        <v>0</v>
      </c>
      <c r="J242" s="86">
        <f t="shared" si="23"/>
        <v>0</v>
      </c>
      <c r="K242" s="86">
        <f t="shared" si="24"/>
        <v>0</v>
      </c>
    </row>
    <row r="243" spans="1:11" x14ac:dyDescent="0.3">
      <c r="A243" s="97">
        <f t="shared" si="21"/>
        <v>2045</v>
      </c>
      <c r="B243" s="79">
        <f t="shared" si="25"/>
        <v>52963</v>
      </c>
      <c r="C243" s="86" t="e">
        <f t="shared" si="26"/>
        <v>#N/A</v>
      </c>
      <c r="D243" s="86" t="e">
        <f>IF($C243&lt;&gt;0,Inputs!$B$14/12*C243,0)</f>
        <v>#N/A</v>
      </c>
      <c r="E243" s="86" t="e">
        <f t="shared" si="22"/>
        <v>#N/A</v>
      </c>
      <c r="F243" s="86" t="e">
        <f>IF($C243&gt;0,-PMT(Inputs!$B$14/12,Inputs!$B$15,Inputs!$B$11-Inputs!$B$13),0)</f>
        <v>#N/A</v>
      </c>
      <c r="H243" s="86">
        <f t="shared" si="27"/>
        <v>0</v>
      </c>
      <c r="I243" s="86">
        <f>IF($H243&lt;&gt;0,Inputs!$B$28/12*H243,0)</f>
        <v>0</v>
      </c>
      <c r="J243" s="86">
        <f t="shared" si="23"/>
        <v>0</v>
      </c>
      <c r="K243" s="86">
        <f t="shared" si="24"/>
        <v>0</v>
      </c>
    </row>
    <row r="244" spans="1:11" x14ac:dyDescent="0.3">
      <c r="A244" s="97">
        <f t="shared" si="21"/>
        <v>2045</v>
      </c>
      <c r="B244" s="79">
        <f t="shared" si="25"/>
        <v>52994</v>
      </c>
      <c r="C244" s="86" t="e">
        <f t="shared" si="26"/>
        <v>#N/A</v>
      </c>
      <c r="D244" s="86" t="e">
        <f>IF($C244&lt;&gt;0,Inputs!$B$14/12*C244,0)</f>
        <v>#N/A</v>
      </c>
      <c r="E244" s="86" t="e">
        <f t="shared" si="22"/>
        <v>#N/A</v>
      </c>
      <c r="F244" s="86" t="e">
        <f>IF($C244&gt;0,-PMT(Inputs!$B$14/12,Inputs!$B$15,Inputs!$B$11-Inputs!$B$13),0)</f>
        <v>#N/A</v>
      </c>
      <c r="H244" s="86">
        <f t="shared" si="27"/>
        <v>0</v>
      </c>
      <c r="I244" s="86">
        <f>IF($H244&lt;&gt;0,Inputs!$B$28/12*H244,0)</f>
        <v>0</v>
      </c>
      <c r="J244" s="86">
        <f t="shared" si="23"/>
        <v>0</v>
      </c>
      <c r="K244" s="86">
        <f t="shared" si="24"/>
        <v>0</v>
      </c>
    </row>
    <row r="245" spans="1:11" x14ac:dyDescent="0.3">
      <c r="A245" s="97">
        <f t="shared" si="21"/>
        <v>2045</v>
      </c>
      <c r="B245" s="79">
        <f t="shared" si="25"/>
        <v>53022</v>
      </c>
      <c r="C245" s="86" t="e">
        <f t="shared" si="26"/>
        <v>#N/A</v>
      </c>
      <c r="D245" s="86" t="e">
        <f>IF($C245&lt;&gt;0,Inputs!$B$14/12*C245,0)</f>
        <v>#N/A</v>
      </c>
      <c r="E245" s="86" t="e">
        <f t="shared" si="22"/>
        <v>#N/A</v>
      </c>
      <c r="F245" s="86" t="e">
        <f>IF($C245&gt;0,-PMT(Inputs!$B$14/12,Inputs!$B$15,Inputs!$B$11-Inputs!$B$13),0)</f>
        <v>#N/A</v>
      </c>
      <c r="H245" s="86">
        <f t="shared" si="27"/>
        <v>0</v>
      </c>
      <c r="I245" s="86">
        <f>IF($H245&lt;&gt;0,Inputs!$B$28/12*H245,0)</f>
        <v>0</v>
      </c>
      <c r="J245" s="86">
        <f t="shared" si="23"/>
        <v>0</v>
      </c>
      <c r="K245" s="86">
        <f t="shared" si="24"/>
        <v>0</v>
      </c>
    </row>
    <row r="246" spans="1:11" x14ac:dyDescent="0.3">
      <c r="A246" s="97">
        <f t="shared" si="21"/>
        <v>2045</v>
      </c>
      <c r="B246" s="79">
        <f t="shared" si="25"/>
        <v>53053</v>
      </c>
      <c r="C246" s="86" t="e">
        <f t="shared" si="26"/>
        <v>#N/A</v>
      </c>
      <c r="D246" s="86" t="e">
        <f>IF($C246&lt;&gt;0,Inputs!$B$14/12*C246,0)</f>
        <v>#N/A</v>
      </c>
      <c r="E246" s="86" t="e">
        <f t="shared" si="22"/>
        <v>#N/A</v>
      </c>
      <c r="F246" s="86" t="e">
        <f>IF($C246&gt;0,-PMT(Inputs!$B$14/12,Inputs!$B$15,Inputs!$B$11-Inputs!$B$13),0)</f>
        <v>#N/A</v>
      </c>
      <c r="H246" s="86">
        <f t="shared" si="27"/>
        <v>0</v>
      </c>
      <c r="I246" s="86">
        <f>IF($H246&lt;&gt;0,Inputs!$B$28/12*H246,0)</f>
        <v>0</v>
      </c>
      <c r="J246" s="86">
        <f t="shared" si="23"/>
        <v>0</v>
      </c>
      <c r="K246" s="86">
        <f t="shared" si="24"/>
        <v>0</v>
      </c>
    </row>
    <row r="247" spans="1:11" x14ac:dyDescent="0.3">
      <c r="A247" s="97">
        <f t="shared" si="21"/>
        <v>2045</v>
      </c>
      <c r="B247" s="79">
        <f t="shared" si="25"/>
        <v>53083</v>
      </c>
      <c r="C247" s="86" t="e">
        <f t="shared" si="26"/>
        <v>#N/A</v>
      </c>
      <c r="D247" s="86" t="e">
        <f>IF($C247&lt;&gt;0,Inputs!$B$14/12*C247,0)</f>
        <v>#N/A</v>
      </c>
      <c r="E247" s="86" t="e">
        <f t="shared" si="22"/>
        <v>#N/A</v>
      </c>
      <c r="F247" s="86" t="e">
        <f>IF($C247&gt;0,-PMT(Inputs!$B$14/12,Inputs!$B$15,Inputs!$B$11-Inputs!$B$13),0)</f>
        <v>#N/A</v>
      </c>
      <c r="H247" s="86">
        <f t="shared" si="27"/>
        <v>0</v>
      </c>
      <c r="I247" s="86">
        <f>IF($H247&lt;&gt;0,Inputs!$B$28/12*H247,0)</f>
        <v>0</v>
      </c>
      <c r="J247" s="86">
        <f t="shared" si="23"/>
        <v>0</v>
      </c>
      <c r="K247" s="86">
        <f t="shared" si="24"/>
        <v>0</v>
      </c>
    </row>
    <row r="248" spans="1:11" x14ac:dyDescent="0.3">
      <c r="A248" s="97">
        <f t="shared" si="21"/>
        <v>2045</v>
      </c>
      <c r="B248" s="79">
        <f t="shared" si="25"/>
        <v>53114</v>
      </c>
      <c r="C248" s="86" t="e">
        <f t="shared" si="26"/>
        <v>#N/A</v>
      </c>
      <c r="D248" s="86" t="e">
        <f>IF($C248&lt;&gt;0,Inputs!$B$14/12*C248,0)</f>
        <v>#N/A</v>
      </c>
      <c r="E248" s="86" t="e">
        <f t="shared" si="22"/>
        <v>#N/A</v>
      </c>
      <c r="F248" s="86" t="e">
        <f>IF($C248&gt;0,-PMT(Inputs!$B$14/12,Inputs!$B$15,Inputs!$B$11-Inputs!$B$13),0)</f>
        <v>#N/A</v>
      </c>
      <c r="H248" s="86">
        <f t="shared" si="27"/>
        <v>0</v>
      </c>
      <c r="I248" s="86">
        <f>IF($H248&lt;&gt;0,Inputs!$B$28/12*H248,0)</f>
        <v>0</v>
      </c>
      <c r="J248" s="86">
        <f t="shared" si="23"/>
        <v>0</v>
      </c>
      <c r="K248" s="86">
        <f t="shared" si="24"/>
        <v>0</v>
      </c>
    </row>
    <row r="249" spans="1:11" x14ac:dyDescent="0.3">
      <c r="A249" s="97">
        <f t="shared" si="21"/>
        <v>2045</v>
      </c>
      <c r="B249" s="79">
        <f t="shared" si="25"/>
        <v>53144</v>
      </c>
      <c r="C249" s="86" t="e">
        <f t="shared" si="26"/>
        <v>#N/A</v>
      </c>
      <c r="D249" s="86" t="e">
        <f>IF($C249&lt;&gt;0,Inputs!$B$14/12*C249,0)</f>
        <v>#N/A</v>
      </c>
      <c r="E249" s="86" t="e">
        <f t="shared" si="22"/>
        <v>#N/A</v>
      </c>
      <c r="F249" s="86" t="e">
        <f>IF($C249&gt;0,-PMT(Inputs!$B$14/12,Inputs!$B$15,Inputs!$B$11-Inputs!$B$13),0)</f>
        <v>#N/A</v>
      </c>
      <c r="H249" s="86">
        <f t="shared" si="27"/>
        <v>0</v>
      </c>
      <c r="I249" s="86">
        <f>IF($H249&lt;&gt;0,Inputs!$B$28/12*H249,0)</f>
        <v>0</v>
      </c>
      <c r="J249" s="86">
        <f t="shared" si="23"/>
        <v>0</v>
      </c>
      <c r="K249" s="86">
        <f t="shared" si="24"/>
        <v>0</v>
      </c>
    </row>
    <row r="250" spans="1:11" x14ac:dyDescent="0.3">
      <c r="A250" s="97">
        <f t="shared" si="21"/>
        <v>2045</v>
      </c>
      <c r="B250" s="79">
        <f t="shared" si="25"/>
        <v>53175</v>
      </c>
      <c r="C250" s="86" t="e">
        <f t="shared" si="26"/>
        <v>#N/A</v>
      </c>
      <c r="D250" s="86" t="e">
        <f>IF($C250&lt;&gt;0,Inputs!$B$14/12*C250,0)</f>
        <v>#N/A</v>
      </c>
      <c r="E250" s="86" t="e">
        <f t="shared" si="22"/>
        <v>#N/A</v>
      </c>
      <c r="F250" s="86" t="e">
        <f>IF($C250&gt;0,-PMT(Inputs!$B$14/12,Inputs!$B$15,Inputs!$B$11-Inputs!$B$13),0)</f>
        <v>#N/A</v>
      </c>
      <c r="H250" s="86">
        <f t="shared" si="27"/>
        <v>0</v>
      </c>
      <c r="I250" s="86">
        <f>IF($H250&lt;&gt;0,Inputs!$B$28/12*H250,0)</f>
        <v>0</v>
      </c>
      <c r="J250" s="86">
        <f t="shared" si="23"/>
        <v>0</v>
      </c>
      <c r="K250" s="86">
        <f t="shared" si="24"/>
        <v>0</v>
      </c>
    </row>
    <row r="251" spans="1:11" x14ac:dyDescent="0.3">
      <c r="A251" s="97">
        <f t="shared" si="21"/>
        <v>2045</v>
      </c>
      <c r="B251" s="79">
        <f t="shared" si="25"/>
        <v>53206</v>
      </c>
      <c r="C251" s="86" t="e">
        <f t="shared" si="26"/>
        <v>#N/A</v>
      </c>
      <c r="D251" s="86" t="e">
        <f>IF($C251&lt;&gt;0,Inputs!$B$14/12*C251,0)</f>
        <v>#N/A</v>
      </c>
      <c r="E251" s="86" t="e">
        <f t="shared" si="22"/>
        <v>#N/A</v>
      </c>
      <c r="F251" s="86" t="e">
        <f>IF($C251&gt;0,-PMT(Inputs!$B$14/12,Inputs!$B$15,Inputs!$B$11-Inputs!$B$13),0)</f>
        <v>#N/A</v>
      </c>
      <c r="H251" s="86">
        <f t="shared" si="27"/>
        <v>0</v>
      </c>
      <c r="I251" s="86">
        <f>IF($H251&lt;&gt;0,Inputs!$B$28/12*H251,0)</f>
        <v>0</v>
      </c>
      <c r="J251" s="86">
        <f t="shared" si="23"/>
        <v>0</v>
      </c>
      <c r="K251" s="86">
        <f t="shared" si="24"/>
        <v>0</v>
      </c>
    </row>
    <row r="252" spans="1:11" x14ac:dyDescent="0.3">
      <c r="A252" s="97">
        <f t="shared" si="21"/>
        <v>2045</v>
      </c>
      <c r="B252" s="79">
        <f t="shared" si="25"/>
        <v>53236</v>
      </c>
      <c r="C252" s="86" t="e">
        <f t="shared" si="26"/>
        <v>#N/A</v>
      </c>
      <c r="D252" s="86" t="e">
        <f>IF($C252&lt;&gt;0,Inputs!$B$14/12*C252,0)</f>
        <v>#N/A</v>
      </c>
      <c r="E252" s="86" t="e">
        <f t="shared" si="22"/>
        <v>#N/A</v>
      </c>
      <c r="F252" s="86" t="e">
        <f>IF($C252&gt;0,-PMT(Inputs!$B$14/12,Inputs!$B$15,Inputs!$B$11-Inputs!$B$13),0)</f>
        <v>#N/A</v>
      </c>
      <c r="H252" s="86">
        <f t="shared" si="27"/>
        <v>0</v>
      </c>
      <c r="I252" s="86">
        <f>IF($H252&lt;&gt;0,Inputs!$B$28/12*H252,0)</f>
        <v>0</v>
      </c>
      <c r="J252" s="86">
        <f t="shared" si="23"/>
        <v>0</v>
      </c>
      <c r="K252" s="86">
        <f t="shared" si="24"/>
        <v>0</v>
      </c>
    </row>
    <row r="253" spans="1:11" x14ac:dyDescent="0.3">
      <c r="A253" s="97">
        <f t="shared" si="21"/>
        <v>2045</v>
      </c>
      <c r="B253" s="79">
        <f t="shared" si="25"/>
        <v>53267</v>
      </c>
      <c r="C253" s="86" t="e">
        <f t="shared" si="26"/>
        <v>#N/A</v>
      </c>
      <c r="D253" s="86" t="e">
        <f>IF($C253&lt;&gt;0,Inputs!$B$14/12*C253,0)</f>
        <v>#N/A</v>
      </c>
      <c r="E253" s="86" t="e">
        <f t="shared" si="22"/>
        <v>#N/A</v>
      </c>
      <c r="F253" s="86" t="e">
        <f>IF($C253&gt;0,-PMT(Inputs!$B$14/12,Inputs!$B$15,Inputs!$B$11-Inputs!$B$13),0)</f>
        <v>#N/A</v>
      </c>
      <c r="H253" s="86">
        <f t="shared" si="27"/>
        <v>0</v>
      </c>
      <c r="I253" s="86">
        <f>IF($H253&lt;&gt;0,Inputs!$B$28/12*H253,0)</f>
        <v>0</v>
      </c>
      <c r="J253" s="86">
        <f t="shared" si="23"/>
        <v>0</v>
      </c>
      <c r="K253" s="86">
        <f t="shared" si="24"/>
        <v>0</v>
      </c>
    </row>
    <row r="254" spans="1:11" x14ac:dyDescent="0.3">
      <c r="A254" s="97">
        <f t="shared" si="21"/>
        <v>2045</v>
      </c>
      <c r="B254" s="79">
        <f t="shared" si="25"/>
        <v>53297</v>
      </c>
      <c r="C254" s="86" t="e">
        <f t="shared" si="26"/>
        <v>#N/A</v>
      </c>
      <c r="D254" s="86" t="e">
        <f>IF($C254&lt;&gt;0,Inputs!$B$14/12*C254,0)</f>
        <v>#N/A</v>
      </c>
      <c r="E254" s="86" t="e">
        <f t="shared" si="22"/>
        <v>#N/A</v>
      </c>
      <c r="F254" s="86" t="e">
        <f>IF($C254&gt;0,-PMT(Inputs!$B$14/12,Inputs!$B$15,Inputs!$B$11-Inputs!$B$13),0)</f>
        <v>#N/A</v>
      </c>
      <c r="H254" s="86">
        <f t="shared" si="27"/>
        <v>0</v>
      </c>
      <c r="I254" s="86">
        <f>IF($H254&lt;&gt;0,Inputs!$B$28/12*H254,0)</f>
        <v>0</v>
      </c>
      <c r="J254" s="86">
        <f t="shared" si="23"/>
        <v>0</v>
      </c>
      <c r="K254" s="86">
        <f t="shared" si="24"/>
        <v>0</v>
      </c>
    </row>
    <row r="255" spans="1:11" x14ac:dyDescent="0.3">
      <c r="A255" s="97">
        <f t="shared" si="21"/>
        <v>2046</v>
      </c>
      <c r="B255" s="79">
        <f t="shared" si="25"/>
        <v>53328</v>
      </c>
      <c r="C255" s="86" t="e">
        <f t="shared" si="26"/>
        <v>#N/A</v>
      </c>
      <c r="D255" s="86" t="e">
        <f>IF($C255&lt;&gt;0,Inputs!$B$14/12*C255,0)</f>
        <v>#N/A</v>
      </c>
      <c r="E255" s="86" t="e">
        <f t="shared" si="22"/>
        <v>#N/A</v>
      </c>
      <c r="F255" s="86" t="e">
        <f>IF($C255&gt;0,-PMT(Inputs!$B$14/12,Inputs!$B$15,Inputs!$B$11-Inputs!$B$13),0)</f>
        <v>#N/A</v>
      </c>
      <c r="H255" s="86">
        <f t="shared" si="27"/>
        <v>0</v>
      </c>
      <c r="I255" s="86">
        <f>IF($H255&lt;&gt;0,Inputs!$B$28/12*H255,0)</f>
        <v>0</v>
      </c>
      <c r="J255" s="86">
        <f t="shared" si="23"/>
        <v>0</v>
      </c>
      <c r="K255" s="86">
        <f t="shared" si="24"/>
        <v>0</v>
      </c>
    </row>
    <row r="256" spans="1:11" x14ac:dyDescent="0.3">
      <c r="A256" s="97">
        <f t="shared" si="21"/>
        <v>2046</v>
      </c>
      <c r="B256" s="79">
        <f t="shared" si="25"/>
        <v>53359</v>
      </c>
      <c r="C256" s="86" t="e">
        <f t="shared" si="26"/>
        <v>#N/A</v>
      </c>
      <c r="D256" s="86" t="e">
        <f>IF($C256&lt;&gt;0,Inputs!$B$14/12*C256,0)</f>
        <v>#N/A</v>
      </c>
      <c r="E256" s="86" t="e">
        <f t="shared" si="22"/>
        <v>#N/A</v>
      </c>
      <c r="F256" s="86" t="e">
        <f>IF($C256&gt;0,-PMT(Inputs!$B$14/12,Inputs!$B$15,Inputs!$B$11-Inputs!$B$13),0)</f>
        <v>#N/A</v>
      </c>
      <c r="H256" s="86">
        <f t="shared" si="27"/>
        <v>0</v>
      </c>
      <c r="I256" s="86">
        <f>IF($H256&lt;&gt;0,Inputs!$B$28/12*H256,0)</f>
        <v>0</v>
      </c>
      <c r="J256" s="86">
        <f t="shared" si="23"/>
        <v>0</v>
      </c>
      <c r="K256" s="86">
        <f t="shared" si="24"/>
        <v>0</v>
      </c>
    </row>
    <row r="257" spans="1:11" x14ac:dyDescent="0.3">
      <c r="A257" s="97">
        <f t="shared" si="21"/>
        <v>2046</v>
      </c>
      <c r="B257" s="79">
        <f t="shared" si="25"/>
        <v>53387</v>
      </c>
      <c r="C257" s="86" t="e">
        <f t="shared" si="26"/>
        <v>#N/A</v>
      </c>
      <c r="D257" s="86" t="e">
        <f>IF($C257&lt;&gt;0,Inputs!$B$14/12*C257,0)</f>
        <v>#N/A</v>
      </c>
      <c r="E257" s="86" t="e">
        <f t="shared" si="22"/>
        <v>#N/A</v>
      </c>
      <c r="F257" s="86" t="e">
        <f>IF($C257&gt;0,-PMT(Inputs!$B$14/12,Inputs!$B$15,Inputs!$B$11-Inputs!$B$13),0)</f>
        <v>#N/A</v>
      </c>
      <c r="H257" s="86">
        <f t="shared" si="27"/>
        <v>0</v>
      </c>
      <c r="I257" s="86">
        <f>IF($H257&lt;&gt;0,Inputs!$B$28/12*H257,0)</f>
        <v>0</v>
      </c>
      <c r="J257" s="86">
        <f t="shared" si="23"/>
        <v>0</v>
      </c>
      <c r="K257" s="86">
        <f t="shared" si="24"/>
        <v>0</v>
      </c>
    </row>
    <row r="258" spans="1:11" x14ac:dyDescent="0.3">
      <c r="A258" s="97">
        <f t="shared" si="21"/>
        <v>2046</v>
      </c>
      <c r="B258" s="79">
        <f t="shared" si="25"/>
        <v>53418</v>
      </c>
      <c r="C258" s="86" t="e">
        <f t="shared" si="26"/>
        <v>#N/A</v>
      </c>
      <c r="D258" s="86" t="e">
        <f>IF($C258&lt;&gt;0,Inputs!$B$14/12*C258,0)</f>
        <v>#N/A</v>
      </c>
      <c r="E258" s="86" t="e">
        <f t="shared" si="22"/>
        <v>#N/A</v>
      </c>
      <c r="F258" s="86" t="e">
        <f>IF($C258&gt;0,-PMT(Inputs!$B$14/12,Inputs!$B$15,Inputs!$B$11-Inputs!$B$13),0)</f>
        <v>#N/A</v>
      </c>
      <c r="H258" s="86">
        <f t="shared" si="27"/>
        <v>0</v>
      </c>
      <c r="I258" s="86">
        <f>IF($H258&lt;&gt;0,Inputs!$B$28/12*H258,0)</f>
        <v>0</v>
      </c>
      <c r="J258" s="86">
        <f t="shared" si="23"/>
        <v>0</v>
      </c>
      <c r="K258" s="86">
        <f t="shared" si="24"/>
        <v>0</v>
      </c>
    </row>
    <row r="259" spans="1:11" x14ac:dyDescent="0.3">
      <c r="A259" s="97">
        <f t="shared" si="21"/>
        <v>2046</v>
      </c>
      <c r="B259" s="79">
        <f t="shared" si="25"/>
        <v>53448</v>
      </c>
      <c r="C259" s="86" t="e">
        <f t="shared" si="26"/>
        <v>#N/A</v>
      </c>
      <c r="D259" s="86" t="e">
        <f>IF($C259&lt;&gt;0,Inputs!$B$14/12*C259,0)</f>
        <v>#N/A</v>
      </c>
      <c r="E259" s="86" t="e">
        <f t="shared" si="22"/>
        <v>#N/A</v>
      </c>
      <c r="F259" s="86" t="e">
        <f>IF($C259&gt;0,-PMT(Inputs!$B$14/12,Inputs!$B$15,Inputs!$B$11-Inputs!$B$13),0)</f>
        <v>#N/A</v>
      </c>
      <c r="H259" s="86">
        <f t="shared" si="27"/>
        <v>0</v>
      </c>
      <c r="I259" s="86">
        <f>IF($H259&lt;&gt;0,Inputs!$B$28/12*H259,0)</f>
        <v>0</v>
      </c>
      <c r="J259" s="86">
        <f t="shared" si="23"/>
        <v>0</v>
      </c>
      <c r="K259" s="86">
        <f t="shared" si="24"/>
        <v>0</v>
      </c>
    </row>
    <row r="260" spans="1:11" x14ac:dyDescent="0.3">
      <c r="A260" s="97">
        <f t="shared" ref="A260:A323" si="28">YEAR(B260)</f>
        <v>2046</v>
      </c>
      <c r="B260" s="79">
        <f t="shared" si="25"/>
        <v>53479</v>
      </c>
      <c r="C260" s="86" t="e">
        <f t="shared" si="26"/>
        <v>#N/A</v>
      </c>
      <c r="D260" s="86" t="e">
        <f>IF($C260&lt;&gt;0,Inputs!$B$14/12*C260,0)</f>
        <v>#N/A</v>
      </c>
      <c r="E260" s="86" t="e">
        <f t="shared" ref="E260:E323" si="29">F260-D260</f>
        <v>#N/A</v>
      </c>
      <c r="F260" s="86" t="e">
        <f>IF($C260&gt;0,-PMT(Inputs!$B$14/12,Inputs!$B$15,Inputs!$B$11-Inputs!$B$13),0)</f>
        <v>#N/A</v>
      </c>
      <c r="H260" s="86">
        <f t="shared" si="27"/>
        <v>0</v>
      </c>
      <c r="I260" s="86">
        <f>IF($H260&lt;&gt;0,Inputs!$B$28/12*H260,0)</f>
        <v>0</v>
      </c>
      <c r="J260" s="86">
        <f t="shared" ref="J260:J323" si="30">K260-I260</f>
        <v>0</v>
      </c>
      <c r="K260" s="86">
        <f t="shared" ref="K260:K287" si="31">IF(H260&gt;0,IF(H260+I260&gt;K259,K259,H260+I260),0)</f>
        <v>0</v>
      </c>
    </row>
    <row r="261" spans="1:11" x14ac:dyDescent="0.3">
      <c r="A261" s="97">
        <f t="shared" si="28"/>
        <v>2046</v>
      </c>
      <c r="B261" s="79">
        <f t="shared" ref="B261:B324" si="32">EDATE(B260,1)</f>
        <v>53509</v>
      </c>
      <c r="C261" s="86" t="e">
        <f t="shared" ref="C261:C324" si="33">IF(C260&gt;0,C260-E260,0)</f>
        <v>#N/A</v>
      </c>
      <c r="D261" s="86" t="e">
        <f>IF($C261&lt;&gt;0,Inputs!$B$14/12*C261,0)</f>
        <v>#N/A</v>
      </c>
      <c r="E261" s="86" t="e">
        <f t="shared" si="29"/>
        <v>#N/A</v>
      </c>
      <c r="F261" s="86" t="e">
        <f>IF($C261&gt;0,-PMT(Inputs!$B$14/12,Inputs!$B$15,Inputs!$B$11-Inputs!$B$13),0)</f>
        <v>#N/A</v>
      </c>
      <c r="H261" s="86">
        <f t="shared" ref="H261:H324" si="34">IF(H260&gt;0,H260-J260,0)</f>
        <v>0</v>
      </c>
      <c r="I261" s="86">
        <f>IF($H261&lt;&gt;0,Inputs!$B$28/12*H261,0)</f>
        <v>0</v>
      </c>
      <c r="J261" s="86">
        <f t="shared" si="30"/>
        <v>0</v>
      </c>
      <c r="K261" s="86">
        <f t="shared" si="31"/>
        <v>0</v>
      </c>
    </row>
    <row r="262" spans="1:11" x14ac:dyDescent="0.3">
      <c r="A262" s="97">
        <f t="shared" si="28"/>
        <v>2046</v>
      </c>
      <c r="B262" s="79">
        <f t="shared" si="32"/>
        <v>53540</v>
      </c>
      <c r="C262" s="86" t="e">
        <f t="shared" si="33"/>
        <v>#N/A</v>
      </c>
      <c r="D262" s="86" t="e">
        <f>IF($C262&lt;&gt;0,Inputs!$B$14/12*C262,0)</f>
        <v>#N/A</v>
      </c>
      <c r="E262" s="86" t="e">
        <f t="shared" si="29"/>
        <v>#N/A</v>
      </c>
      <c r="F262" s="86" t="e">
        <f>IF($C262&gt;0,-PMT(Inputs!$B$14/12,Inputs!$B$15,Inputs!$B$11-Inputs!$B$13),0)</f>
        <v>#N/A</v>
      </c>
      <c r="H262" s="86">
        <f t="shared" si="34"/>
        <v>0</v>
      </c>
      <c r="I262" s="86">
        <f>IF($H262&lt;&gt;0,Inputs!$B$28/12*H262,0)</f>
        <v>0</v>
      </c>
      <c r="J262" s="86">
        <f t="shared" si="30"/>
        <v>0</v>
      </c>
      <c r="K262" s="86">
        <f t="shared" si="31"/>
        <v>0</v>
      </c>
    </row>
    <row r="263" spans="1:11" x14ac:dyDescent="0.3">
      <c r="A263" s="97">
        <f t="shared" si="28"/>
        <v>2046</v>
      </c>
      <c r="B263" s="79">
        <f t="shared" si="32"/>
        <v>53571</v>
      </c>
      <c r="C263" s="86" t="e">
        <f t="shared" si="33"/>
        <v>#N/A</v>
      </c>
      <c r="D263" s="86" t="e">
        <f>IF($C263&lt;&gt;0,Inputs!$B$14/12*C263,0)</f>
        <v>#N/A</v>
      </c>
      <c r="E263" s="86" t="e">
        <f t="shared" si="29"/>
        <v>#N/A</v>
      </c>
      <c r="F263" s="86" t="e">
        <f>IF($C263&gt;0,-PMT(Inputs!$B$14/12,Inputs!$B$15,Inputs!$B$11-Inputs!$B$13),0)</f>
        <v>#N/A</v>
      </c>
      <c r="H263" s="86">
        <f t="shared" si="34"/>
        <v>0</v>
      </c>
      <c r="I263" s="86">
        <f>IF($H263&lt;&gt;0,Inputs!$B$28/12*H263,0)</f>
        <v>0</v>
      </c>
      <c r="J263" s="86">
        <f t="shared" si="30"/>
        <v>0</v>
      </c>
      <c r="K263" s="86">
        <f t="shared" si="31"/>
        <v>0</v>
      </c>
    </row>
    <row r="264" spans="1:11" x14ac:dyDescent="0.3">
      <c r="A264" s="97">
        <f t="shared" si="28"/>
        <v>2046</v>
      </c>
      <c r="B264" s="79">
        <f t="shared" si="32"/>
        <v>53601</v>
      </c>
      <c r="C264" s="86" t="e">
        <f t="shared" si="33"/>
        <v>#N/A</v>
      </c>
      <c r="D264" s="86" t="e">
        <f>IF($C264&lt;&gt;0,Inputs!$B$14/12*C264,0)</f>
        <v>#N/A</v>
      </c>
      <c r="E264" s="86" t="e">
        <f t="shared" si="29"/>
        <v>#N/A</v>
      </c>
      <c r="F264" s="86" t="e">
        <f>IF($C264&gt;0,-PMT(Inputs!$B$14/12,Inputs!$B$15,Inputs!$B$11-Inputs!$B$13),0)</f>
        <v>#N/A</v>
      </c>
      <c r="H264" s="86">
        <f t="shared" si="34"/>
        <v>0</v>
      </c>
      <c r="I264" s="86">
        <f>IF($H264&lt;&gt;0,Inputs!$B$28/12*H264,0)</f>
        <v>0</v>
      </c>
      <c r="J264" s="86">
        <f t="shared" si="30"/>
        <v>0</v>
      </c>
      <c r="K264" s="86">
        <f t="shared" si="31"/>
        <v>0</v>
      </c>
    </row>
    <row r="265" spans="1:11" x14ac:dyDescent="0.3">
      <c r="A265" s="97">
        <f t="shared" si="28"/>
        <v>2046</v>
      </c>
      <c r="B265" s="79">
        <f t="shared" si="32"/>
        <v>53632</v>
      </c>
      <c r="C265" s="86" t="e">
        <f t="shared" si="33"/>
        <v>#N/A</v>
      </c>
      <c r="D265" s="86" t="e">
        <f>IF($C265&lt;&gt;0,Inputs!$B$14/12*C265,0)</f>
        <v>#N/A</v>
      </c>
      <c r="E265" s="86" t="e">
        <f t="shared" si="29"/>
        <v>#N/A</v>
      </c>
      <c r="F265" s="86" t="e">
        <f>IF($C265&gt;0,-PMT(Inputs!$B$14/12,Inputs!$B$15,Inputs!$B$11-Inputs!$B$13),0)</f>
        <v>#N/A</v>
      </c>
      <c r="H265" s="86">
        <f t="shared" si="34"/>
        <v>0</v>
      </c>
      <c r="I265" s="86">
        <f>IF($H265&lt;&gt;0,Inputs!$B$28/12*H265,0)</f>
        <v>0</v>
      </c>
      <c r="J265" s="86">
        <f t="shared" si="30"/>
        <v>0</v>
      </c>
      <c r="K265" s="86">
        <f t="shared" si="31"/>
        <v>0</v>
      </c>
    </row>
    <row r="266" spans="1:11" x14ac:dyDescent="0.3">
      <c r="A266" s="97">
        <f t="shared" si="28"/>
        <v>2046</v>
      </c>
      <c r="B266" s="79">
        <f t="shared" si="32"/>
        <v>53662</v>
      </c>
      <c r="C266" s="86" t="e">
        <f t="shared" si="33"/>
        <v>#N/A</v>
      </c>
      <c r="D266" s="86" t="e">
        <f>IF($C266&lt;&gt;0,Inputs!$B$14/12*C266,0)</f>
        <v>#N/A</v>
      </c>
      <c r="E266" s="86" t="e">
        <f t="shared" si="29"/>
        <v>#N/A</v>
      </c>
      <c r="F266" s="86" t="e">
        <f>IF($C266&gt;0,-PMT(Inputs!$B$14/12,Inputs!$B$15,Inputs!$B$11-Inputs!$B$13),0)</f>
        <v>#N/A</v>
      </c>
      <c r="H266" s="86">
        <f t="shared" si="34"/>
        <v>0</v>
      </c>
      <c r="I266" s="86">
        <f>IF($H266&lt;&gt;0,Inputs!$B$28/12*H266,0)</f>
        <v>0</v>
      </c>
      <c r="J266" s="86">
        <f t="shared" si="30"/>
        <v>0</v>
      </c>
      <c r="K266" s="86">
        <f t="shared" si="31"/>
        <v>0</v>
      </c>
    </row>
    <row r="267" spans="1:11" x14ac:dyDescent="0.3">
      <c r="A267" s="97">
        <f t="shared" si="28"/>
        <v>2047</v>
      </c>
      <c r="B267" s="79">
        <f t="shared" si="32"/>
        <v>53693</v>
      </c>
      <c r="C267" s="86" t="e">
        <f t="shared" si="33"/>
        <v>#N/A</v>
      </c>
      <c r="D267" s="86" t="e">
        <f>IF($C267&lt;&gt;0,Inputs!$B$14/12*C267,0)</f>
        <v>#N/A</v>
      </c>
      <c r="E267" s="86" t="e">
        <f t="shared" si="29"/>
        <v>#N/A</v>
      </c>
      <c r="F267" s="86" t="e">
        <f>IF($C267&gt;0,-PMT(Inputs!$B$14/12,Inputs!$B$15,Inputs!$B$11-Inputs!$B$13),0)</f>
        <v>#N/A</v>
      </c>
      <c r="H267" s="86">
        <f t="shared" si="34"/>
        <v>0</v>
      </c>
      <c r="I267" s="86">
        <f>IF($H267&lt;&gt;0,Inputs!$B$28/12*H267,0)</f>
        <v>0</v>
      </c>
      <c r="J267" s="86">
        <f t="shared" si="30"/>
        <v>0</v>
      </c>
      <c r="K267" s="86">
        <f t="shared" si="31"/>
        <v>0</v>
      </c>
    </row>
    <row r="268" spans="1:11" x14ac:dyDescent="0.3">
      <c r="A268" s="97">
        <f t="shared" si="28"/>
        <v>2047</v>
      </c>
      <c r="B268" s="79">
        <f t="shared" si="32"/>
        <v>53724</v>
      </c>
      <c r="C268" s="86" t="e">
        <f t="shared" si="33"/>
        <v>#N/A</v>
      </c>
      <c r="D268" s="86" t="e">
        <f>IF($C268&lt;&gt;0,Inputs!$B$14/12*C268,0)</f>
        <v>#N/A</v>
      </c>
      <c r="E268" s="86" t="e">
        <f t="shared" si="29"/>
        <v>#N/A</v>
      </c>
      <c r="F268" s="86" t="e">
        <f>IF($C268&gt;0,-PMT(Inputs!$B$14/12,Inputs!$B$15,Inputs!$B$11-Inputs!$B$13),0)</f>
        <v>#N/A</v>
      </c>
      <c r="H268" s="86">
        <f t="shared" si="34"/>
        <v>0</v>
      </c>
      <c r="I268" s="86">
        <f>IF($H268&lt;&gt;0,Inputs!$B$28/12*H268,0)</f>
        <v>0</v>
      </c>
      <c r="J268" s="86">
        <f t="shared" si="30"/>
        <v>0</v>
      </c>
      <c r="K268" s="86">
        <f t="shared" si="31"/>
        <v>0</v>
      </c>
    </row>
    <row r="269" spans="1:11" x14ac:dyDescent="0.3">
      <c r="A269" s="97">
        <f t="shared" si="28"/>
        <v>2047</v>
      </c>
      <c r="B269" s="79">
        <f t="shared" si="32"/>
        <v>53752</v>
      </c>
      <c r="C269" s="86" t="e">
        <f t="shared" si="33"/>
        <v>#N/A</v>
      </c>
      <c r="D269" s="86" t="e">
        <f>IF($C269&lt;&gt;0,Inputs!$B$14/12*C269,0)</f>
        <v>#N/A</v>
      </c>
      <c r="E269" s="86" t="e">
        <f t="shared" si="29"/>
        <v>#N/A</v>
      </c>
      <c r="F269" s="86" t="e">
        <f>IF($C269&gt;0,-PMT(Inputs!$B$14/12,Inputs!$B$15,Inputs!$B$11-Inputs!$B$13),0)</f>
        <v>#N/A</v>
      </c>
      <c r="H269" s="86">
        <f t="shared" si="34"/>
        <v>0</v>
      </c>
      <c r="I269" s="86">
        <f>IF($H269&lt;&gt;0,Inputs!$B$28/12*H269,0)</f>
        <v>0</v>
      </c>
      <c r="J269" s="86">
        <f t="shared" si="30"/>
        <v>0</v>
      </c>
      <c r="K269" s="86">
        <f t="shared" si="31"/>
        <v>0</v>
      </c>
    </row>
    <row r="270" spans="1:11" x14ac:dyDescent="0.3">
      <c r="A270" s="97">
        <f t="shared" si="28"/>
        <v>2047</v>
      </c>
      <c r="B270" s="79">
        <f t="shared" si="32"/>
        <v>53783</v>
      </c>
      <c r="C270" s="86" t="e">
        <f t="shared" si="33"/>
        <v>#N/A</v>
      </c>
      <c r="D270" s="86" t="e">
        <f>IF($C270&lt;&gt;0,Inputs!$B$14/12*C270,0)</f>
        <v>#N/A</v>
      </c>
      <c r="E270" s="86" t="e">
        <f t="shared" si="29"/>
        <v>#N/A</v>
      </c>
      <c r="F270" s="86" t="e">
        <f>IF($C270&gt;0,-PMT(Inputs!$B$14/12,Inputs!$B$15,Inputs!$B$11-Inputs!$B$13),0)</f>
        <v>#N/A</v>
      </c>
      <c r="H270" s="86">
        <f t="shared" si="34"/>
        <v>0</v>
      </c>
      <c r="I270" s="86">
        <f>IF($H270&lt;&gt;0,Inputs!$B$28/12*H270,0)</f>
        <v>0</v>
      </c>
      <c r="J270" s="86">
        <f t="shared" si="30"/>
        <v>0</v>
      </c>
      <c r="K270" s="86">
        <f t="shared" si="31"/>
        <v>0</v>
      </c>
    </row>
    <row r="271" spans="1:11" x14ac:dyDescent="0.3">
      <c r="A271" s="97">
        <f t="shared" si="28"/>
        <v>2047</v>
      </c>
      <c r="B271" s="79">
        <f t="shared" si="32"/>
        <v>53813</v>
      </c>
      <c r="C271" s="86" t="e">
        <f t="shared" si="33"/>
        <v>#N/A</v>
      </c>
      <c r="D271" s="86" t="e">
        <f>IF($C271&lt;&gt;0,Inputs!$B$14/12*C271,0)</f>
        <v>#N/A</v>
      </c>
      <c r="E271" s="86" t="e">
        <f t="shared" si="29"/>
        <v>#N/A</v>
      </c>
      <c r="F271" s="86" t="e">
        <f>IF($C271&gt;0,-PMT(Inputs!$B$14/12,Inputs!$B$15,Inputs!$B$11-Inputs!$B$13),0)</f>
        <v>#N/A</v>
      </c>
      <c r="H271" s="86">
        <f t="shared" si="34"/>
        <v>0</v>
      </c>
      <c r="I271" s="86">
        <f>IF($H271&lt;&gt;0,Inputs!$B$28/12*H271,0)</f>
        <v>0</v>
      </c>
      <c r="J271" s="86">
        <f t="shared" si="30"/>
        <v>0</v>
      </c>
      <c r="K271" s="86">
        <f t="shared" si="31"/>
        <v>0</v>
      </c>
    </row>
    <row r="272" spans="1:11" x14ac:dyDescent="0.3">
      <c r="A272" s="97">
        <f t="shared" si="28"/>
        <v>2047</v>
      </c>
      <c r="B272" s="79">
        <f t="shared" si="32"/>
        <v>53844</v>
      </c>
      <c r="C272" s="86" t="e">
        <f t="shared" si="33"/>
        <v>#N/A</v>
      </c>
      <c r="D272" s="86" t="e">
        <f>IF($C272&lt;&gt;0,Inputs!$B$14/12*C272,0)</f>
        <v>#N/A</v>
      </c>
      <c r="E272" s="86" t="e">
        <f t="shared" si="29"/>
        <v>#N/A</v>
      </c>
      <c r="F272" s="86" t="e">
        <f>IF($C272&gt;0,-PMT(Inputs!$B$14/12,Inputs!$B$15,Inputs!$B$11-Inputs!$B$13),0)</f>
        <v>#N/A</v>
      </c>
      <c r="H272" s="86">
        <f t="shared" si="34"/>
        <v>0</v>
      </c>
      <c r="I272" s="86">
        <f>IF($H272&lt;&gt;0,Inputs!$B$28/12*H272,0)</f>
        <v>0</v>
      </c>
      <c r="J272" s="86">
        <f t="shared" si="30"/>
        <v>0</v>
      </c>
      <c r="K272" s="86">
        <f t="shared" si="31"/>
        <v>0</v>
      </c>
    </row>
    <row r="273" spans="1:11" x14ac:dyDescent="0.3">
      <c r="A273" s="97">
        <f t="shared" si="28"/>
        <v>2047</v>
      </c>
      <c r="B273" s="79">
        <f t="shared" si="32"/>
        <v>53874</v>
      </c>
      <c r="C273" s="86" t="e">
        <f t="shared" si="33"/>
        <v>#N/A</v>
      </c>
      <c r="D273" s="86" t="e">
        <f>IF($C273&lt;&gt;0,Inputs!$B$14/12*C273,0)</f>
        <v>#N/A</v>
      </c>
      <c r="E273" s="86" t="e">
        <f t="shared" si="29"/>
        <v>#N/A</v>
      </c>
      <c r="F273" s="86" t="e">
        <f>IF($C273&gt;0,-PMT(Inputs!$B$14/12,Inputs!$B$15,Inputs!$B$11-Inputs!$B$13),0)</f>
        <v>#N/A</v>
      </c>
      <c r="H273" s="86">
        <f t="shared" si="34"/>
        <v>0</v>
      </c>
      <c r="I273" s="86">
        <f>IF($H273&lt;&gt;0,Inputs!$B$28/12*H273,0)</f>
        <v>0</v>
      </c>
      <c r="J273" s="86">
        <f t="shared" si="30"/>
        <v>0</v>
      </c>
      <c r="K273" s="86">
        <f t="shared" si="31"/>
        <v>0</v>
      </c>
    </row>
    <row r="274" spans="1:11" x14ac:dyDescent="0.3">
      <c r="A274" s="97">
        <f t="shared" si="28"/>
        <v>2047</v>
      </c>
      <c r="B274" s="79">
        <f t="shared" si="32"/>
        <v>53905</v>
      </c>
      <c r="C274" s="86" t="e">
        <f t="shared" si="33"/>
        <v>#N/A</v>
      </c>
      <c r="D274" s="86" t="e">
        <f>IF($C274&lt;&gt;0,Inputs!$B$14/12*C274,0)</f>
        <v>#N/A</v>
      </c>
      <c r="E274" s="86" t="e">
        <f t="shared" si="29"/>
        <v>#N/A</v>
      </c>
      <c r="F274" s="86" t="e">
        <f>IF($C274&gt;0,-PMT(Inputs!$B$14/12,Inputs!$B$15,Inputs!$B$11-Inputs!$B$13),0)</f>
        <v>#N/A</v>
      </c>
      <c r="H274" s="86">
        <f t="shared" si="34"/>
        <v>0</v>
      </c>
      <c r="I274" s="86">
        <f>IF($H274&lt;&gt;0,Inputs!$B$28/12*H274,0)</f>
        <v>0</v>
      </c>
      <c r="J274" s="86">
        <f t="shared" si="30"/>
        <v>0</v>
      </c>
      <c r="K274" s="86">
        <f t="shared" si="31"/>
        <v>0</v>
      </c>
    </row>
    <row r="275" spans="1:11" x14ac:dyDescent="0.3">
      <c r="A275" s="97">
        <f t="shared" si="28"/>
        <v>2047</v>
      </c>
      <c r="B275" s="79">
        <f t="shared" si="32"/>
        <v>53936</v>
      </c>
      <c r="C275" s="86" t="e">
        <f t="shared" si="33"/>
        <v>#N/A</v>
      </c>
      <c r="D275" s="86" t="e">
        <f>IF($C275&lt;&gt;0,Inputs!$B$14/12*C275,0)</f>
        <v>#N/A</v>
      </c>
      <c r="E275" s="86" t="e">
        <f t="shared" si="29"/>
        <v>#N/A</v>
      </c>
      <c r="F275" s="86" t="e">
        <f>IF($C275&gt;0,-PMT(Inputs!$B$14/12,Inputs!$B$15,Inputs!$B$11-Inputs!$B$13),0)</f>
        <v>#N/A</v>
      </c>
      <c r="H275" s="86">
        <f t="shared" si="34"/>
        <v>0</v>
      </c>
      <c r="I275" s="86">
        <f>IF($H275&lt;&gt;0,Inputs!$B$28/12*H275,0)</f>
        <v>0</v>
      </c>
      <c r="J275" s="86">
        <f t="shared" si="30"/>
        <v>0</v>
      </c>
      <c r="K275" s="86">
        <f t="shared" si="31"/>
        <v>0</v>
      </c>
    </row>
    <row r="276" spans="1:11" x14ac:dyDescent="0.3">
      <c r="A276" s="97">
        <f t="shared" si="28"/>
        <v>2047</v>
      </c>
      <c r="B276" s="79">
        <f t="shared" si="32"/>
        <v>53966</v>
      </c>
      <c r="C276" s="86" t="e">
        <f t="shared" si="33"/>
        <v>#N/A</v>
      </c>
      <c r="D276" s="86" t="e">
        <f>IF($C276&lt;&gt;0,Inputs!$B$14/12*C276,0)</f>
        <v>#N/A</v>
      </c>
      <c r="E276" s="86" t="e">
        <f t="shared" si="29"/>
        <v>#N/A</v>
      </c>
      <c r="F276" s="86" t="e">
        <f>IF($C276&gt;0,-PMT(Inputs!$B$14/12,Inputs!$B$15,Inputs!$B$11-Inputs!$B$13),0)</f>
        <v>#N/A</v>
      </c>
      <c r="H276" s="86">
        <f t="shared" si="34"/>
        <v>0</v>
      </c>
      <c r="I276" s="86">
        <f>IF($H276&lt;&gt;0,Inputs!$B$28/12*H276,0)</f>
        <v>0</v>
      </c>
      <c r="J276" s="86">
        <f t="shared" si="30"/>
        <v>0</v>
      </c>
      <c r="K276" s="86">
        <f t="shared" si="31"/>
        <v>0</v>
      </c>
    </row>
    <row r="277" spans="1:11" x14ac:dyDescent="0.3">
      <c r="A277" s="97">
        <f t="shared" si="28"/>
        <v>2047</v>
      </c>
      <c r="B277" s="79">
        <f t="shared" si="32"/>
        <v>53997</v>
      </c>
      <c r="C277" s="86" t="e">
        <f t="shared" si="33"/>
        <v>#N/A</v>
      </c>
      <c r="D277" s="86" t="e">
        <f>IF($C277&lt;&gt;0,Inputs!$B$14/12*C277,0)</f>
        <v>#N/A</v>
      </c>
      <c r="E277" s="86" t="e">
        <f t="shared" si="29"/>
        <v>#N/A</v>
      </c>
      <c r="F277" s="86" t="e">
        <f>IF($C277&gt;0,-PMT(Inputs!$B$14/12,Inputs!$B$15,Inputs!$B$11-Inputs!$B$13),0)</f>
        <v>#N/A</v>
      </c>
      <c r="H277" s="86">
        <f t="shared" si="34"/>
        <v>0</v>
      </c>
      <c r="I277" s="86">
        <f>IF($H277&lt;&gt;0,Inputs!$B$28/12*H277,0)</f>
        <v>0</v>
      </c>
      <c r="J277" s="86">
        <f t="shared" si="30"/>
        <v>0</v>
      </c>
      <c r="K277" s="86">
        <f t="shared" si="31"/>
        <v>0</v>
      </c>
    </row>
    <row r="278" spans="1:11" x14ac:dyDescent="0.3">
      <c r="A278" s="97">
        <f t="shared" si="28"/>
        <v>2047</v>
      </c>
      <c r="B278" s="79">
        <f t="shared" si="32"/>
        <v>54027</v>
      </c>
      <c r="C278" s="86" t="e">
        <f t="shared" si="33"/>
        <v>#N/A</v>
      </c>
      <c r="D278" s="86" t="e">
        <f>IF($C278&lt;&gt;0,Inputs!$B$14/12*C278,0)</f>
        <v>#N/A</v>
      </c>
      <c r="E278" s="86" t="e">
        <f t="shared" si="29"/>
        <v>#N/A</v>
      </c>
      <c r="F278" s="86" t="e">
        <f>IF($C278&gt;0,-PMT(Inputs!$B$14/12,Inputs!$B$15,Inputs!$B$11-Inputs!$B$13),0)</f>
        <v>#N/A</v>
      </c>
      <c r="H278" s="86">
        <f t="shared" si="34"/>
        <v>0</v>
      </c>
      <c r="I278" s="86">
        <f>IF($H278&lt;&gt;0,Inputs!$B$28/12*H278,0)</f>
        <v>0</v>
      </c>
      <c r="J278" s="86">
        <f t="shared" si="30"/>
        <v>0</v>
      </c>
      <c r="K278" s="86">
        <f t="shared" si="31"/>
        <v>0</v>
      </c>
    </row>
    <row r="279" spans="1:11" x14ac:dyDescent="0.3">
      <c r="A279" s="97">
        <f t="shared" si="28"/>
        <v>2048</v>
      </c>
      <c r="B279" s="79">
        <f t="shared" si="32"/>
        <v>54058</v>
      </c>
      <c r="C279" s="86" t="e">
        <f t="shared" si="33"/>
        <v>#N/A</v>
      </c>
      <c r="D279" s="86" t="e">
        <f>IF($C279&lt;&gt;0,Inputs!$B$14/12*C279,0)</f>
        <v>#N/A</v>
      </c>
      <c r="E279" s="86" t="e">
        <f t="shared" si="29"/>
        <v>#N/A</v>
      </c>
      <c r="F279" s="86" t="e">
        <f>IF($C279&gt;0,-PMT(Inputs!$B$14/12,Inputs!$B$15,Inputs!$B$11-Inputs!$B$13),0)</f>
        <v>#N/A</v>
      </c>
      <c r="H279" s="86">
        <f t="shared" si="34"/>
        <v>0</v>
      </c>
      <c r="I279" s="86">
        <f>IF($H279&lt;&gt;0,Inputs!$B$28/12*H279,0)</f>
        <v>0</v>
      </c>
      <c r="J279" s="86">
        <f t="shared" si="30"/>
        <v>0</v>
      </c>
      <c r="K279" s="86">
        <f t="shared" si="31"/>
        <v>0</v>
      </c>
    </row>
    <row r="280" spans="1:11" x14ac:dyDescent="0.3">
      <c r="A280" s="97">
        <f t="shared" si="28"/>
        <v>2048</v>
      </c>
      <c r="B280" s="79">
        <f t="shared" si="32"/>
        <v>54089</v>
      </c>
      <c r="C280" s="86" t="e">
        <f t="shared" si="33"/>
        <v>#N/A</v>
      </c>
      <c r="D280" s="86" t="e">
        <f>IF($C280&lt;&gt;0,Inputs!$B$14/12*C280,0)</f>
        <v>#N/A</v>
      </c>
      <c r="E280" s="86" t="e">
        <f t="shared" si="29"/>
        <v>#N/A</v>
      </c>
      <c r="F280" s="86" t="e">
        <f>IF($C280&gt;0,-PMT(Inputs!$B$14/12,Inputs!$B$15,Inputs!$B$11-Inputs!$B$13),0)</f>
        <v>#N/A</v>
      </c>
      <c r="H280" s="86">
        <f t="shared" si="34"/>
        <v>0</v>
      </c>
      <c r="I280" s="86">
        <f>IF($H280&lt;&gt;0,Inputs!$B$28/12*H280,0)</f>
        <v>0</v>
      </c>
      <c r="J280" s="86">
        <f t="shared" si="30"/>
        <v>0</v>
      </c>
      <c r="K280" s="86">
        <f t="shared" si="31"/>
        <v>0</v>
      </c>
    </row>
    <row r="281" spans="1:11" x14ac:dyDescent="0.3">
      <c r="A281" s="97">
        <f t="shared" si="28"/>
        <v>2048</v>
      </c>
      <c r="B281" s="79">
        <f t="shared" si="32"/>
        <v>54118</v>
      </c>
      <c r="C281" s="86" t="e">
        <f t="shared" si="33"/>
        <v>#N/A</v>
      </c>
      <c r="D281" s="86" t="e">
        <f>IF($C281&lt;&gt;0,Inputs!$B$14/12*C281,0)</f>
        <v>#N/A</v>
      </c>
      <c r="E281" s="86" t="e">
        <f t="shared" si="29"/>
        <v>#N/A</v>
      </c>
      <c r="F281" s="86" t="e">
        <f>IF($C281&gt;0,-PMT(Inputs!$B$14/12,Inputs!$B$15,Inputs!$B$11-Inputs!$B$13),0)</f>
        <v>#N/A</v>
      </c>
      <c r="H281" s="86">
        <f t="shared" si="34"/>
        <v>0</v>
      </c>
      <c r="I281" s="86">
        <f>IF($H281&lt;&gt;0,Inputs!$B$28/12*H281,0)</f>
        <v>0</v>
      </c>
      <c r="J281" s="86">
        <f t="shared" si="30"/>
        <v>0</v>
      </c>
      <c r="K281" s="86">
        <f t="shared" si="31"/>
        <v>0</v>
      </c>
    </row>
    <row r="282" spans="1:11" x14ac:dyDescent="0.3">
      <c r="A282" s="97">
        <f t="shared" si="28"/>
        <v>2048</v>
      </c>
      <c r="B282" s="79">
        <f t="shared" si="32"/>
        <v>54149</v>
      </c>
      <c r="C282" s="86" t="e">
        <f t="shared" si="33"/>
        <v>#N/A</v>
      </c>
      <c r="D282" s="86" t="e">
        <f>IF($C282&lt;&gt;0,Inputs!$B$14/12*C282,0)</f>
        <v>#N/A</v>
      </c>
      <c r="E282" s="86" t="e">
        <f t="shared" si="29"/>
        <v>#N/A</v>
      </c>
      <c r="F282" s="86" t="e">
        <f>IF($C282&gt;0,-PMT(Inputs!$B$14/12,Inputs!$B$15,Inputs!$B$11-Inputs!$B$13),0)</f>
        <v>#N/A</v>
      </c>
      <c r="H282" s="86">
        <f t="shared" si="34"/>
        <v>0</v>
      </c>
      <c r="I282" s="86">
        <f>IF($H282&lt;&gt;0,Inputs!$B$28/12*H282,0)</f>
        <v>0</v>
      </c>
      <c r="J282" s="86">
        <f t="shared" si="30"/>
        <v>0</v>
      </c>
      <c r="K282" s="86">
        <f t="shared" si="31"/>
        <v>0</v>
      </c>
    </row>
    <row r="283" spans="1:11" x14ac:dyDescent="0.3">
      <c r="A283" s="97">
        <f t="shared" si="28"/>
        <v>2048</v>
      </c>
      <c r="B283" s="79">
        <f t="shared" si="32"/>
        <v>54179</v>
      </c>
      <c r="C283" s="86" t="e">
        <f t="shared" si="33"/>
        <v>#N/A</v>
      </c>
      <c r="D283" s="86" t="e">
        <f>IF($C283&lt;&gt;0,Inputs!$B$14/12*C283,0)</f>
        <v>#N/A</v>
      </c>
      <c r="E283" s="86" t="e">
        <f t="shared" si="29"/>
        <v>#N/A</v>
      </c>
      <c r="F283" s="86" t="e">
        <f>IF($C283&gt;0,-PMT(Inputs!$B$14/12,Inputs!$B$15,Inputs!$B$11-Inputs!$B$13),0)</f>
        <v>#N/A</v>
      </c>
      <c r="H283" s="86">
        <f t="shared" si="34"/>
        <v>0</v>
      </c>
      <c r="I283" s="86">
        <f>IF($H283&lt;&gt;0,Inputs!$B$28/12*H283,0)</f>
        <v>0</v>
      </c>
      <c r="J283" s="86">
        <f t="shared" si="30"/>
        <v>0</v>
      </c>
      <c r="K283" s="86">
        <f t="shared" si="31"/>
        <v>0</v>
      </c>
    </row>
    <row r="284" spans="1:11" x14ac:dyDescent="0.3">
      <c r="A284" s="97">
        <f t="shared" si="28"/>
        <v>2048</v>
      </c>
      <c r="B284" s="79">
        <f t="shared" si="32"/>
        <v>54210</v>
      </c>
      <c r="C284" s="86" t="e">
        <f t="shared" si="33"/>
        <v>#N/A</v>
      </c>
      <c r="D284" s="86" t="e">
        <f>IF($C284&lt;&gt;0,Inputs!$B$14/12*C284,0)</f>
        <v>#N/A</v>
      </c>
      <c r="E284" s="86" t="e">
        <f t="shared" si="29"/>
        <v>#N/A</v>
      </c>
      <c r="F284" s="86" t="e">
        <f>IF($C284&gt;0,-PMT(Inputs!$B$14/12,Inputs!$B$15,Inputs!$B$11-Inputs!$B$13),0)</f>
        <v>#N/A</v>
      </c>
      <c r="H284" s="86">
        <f t="shared" si="34"/>
        <v>0</v>
      </c>
      <c r="I284" s="86">
        <f>IF($H284&lt;&gt;0,Inputs!$B$28/12*H284,0)</f>
        <v>0</v>
      </c>
      <c r="J284" s="86">
        <f t="shared" si="30"/>
        <v>0</v>
      </c>
      <c r="K284" s="86">
        <f t="shared" si="31"/>
        <v>0</v>
      </c>
    </row>
    <row r="285" spans="1:11" x14ac:dyDescent="0.3">
      <c r="A285" s="97">
        <f t="shared" si="28"/>
        <v>2048</v>
      </c>
      <c r="B285" s="79">
        <f t="shared" si="32"/>
        <v>54240</v>
      </c>
      <c r="C285" s="86" t="e">
        <f t="shared" si="33"/>
        <v>#N/A</v>
      </c>
      <c r="D285" s="86" t="e">
        <f>IF($C285&lt;&gt;0,Inputs!$B$14/12*C285,0)</f>
        <v>#N/A</v>
      </c>
      <c r="E285" s="86" t="e">
        <f t="shared" si="29"/>
        <v>#N/A</v>
      </c>
      <c r="F285" s="86" t="e">
        <f>IF($C285&gt;0,-PMT(Inputs!$B$14/12,Inputs!$B$15,Inputs!$B$11-Inputs!$B$13),0)</f>
        <v>#N/A</v>
      </c>
      <c r="H285" s="86">
        <f t="shared" si="34"/>
        <v>0</v>
      </c>
      <c r="I285" s="86">
        <f>IF($H285&lt;&gt;0,Inputs!$B$28/12*H285,0)</f>
        <v>0</v>
      </c>
      <c r="J285" s="86">
        <f t="shared" si="30"/>
        <v>0</v>
      </c>
      <c r="K285" s="86">
        <f t="shared" si="31"/>
        <v>0</v>
      </c>
    </row>
    <row r="286" spans="1:11" x14ac:dyDescent="0.3">
      <c r="A286" s="97">
        <f t="shared" si="28"/>
        <v>2048</v>
      </c>
      <c r="B286" s="79">
        <f t="shared" si="32"/>
        <v>54271</v>
      </c>
      <c r="C286" s="86" t="e">
        <f t="shared" si="33"/>
        <v>#N/A</v>
      </c>
      <c r="D286" s="86" t="e">
        <f>IF($C286&lt;&gt;0,Inputs!$B$14/12*C286,0)</f>
        <v>#N/A</v>
      </c>
      <c r="E286" s="86" t="e">
        <f t="shared" si="29"/>
        <v>#N/A</v>
      </c>
      <c r="F286" s="86" t="e">
        <f>IF($C286&gt;0,-PMT(Inputs!$B$14/12,Inputs!$B$15,Inputs!$B$11-Inputs!$B$13),0)</f>
        <v>#N/A</v>
      </c>
      <c r="H286" s="86">
        <f t="shared" si="34"/>
        <v>0</v>
      </c>
      <c r="I286" s="86">
        <f>IF($H286&lt;&gt;0,Inputs!$B$28/12*H286,0)</f>
        <v>0</v>
      </c>
      <c r="J286" s="86">
        <f t="shared" si="30"/>
        <v>0</v>
      </c>
      <c r="K286" s="86">
        <f t="shared" si="31"/>
        <v>0</v>
      </c>
    </row>
    <row r="287" spans="1:11" x14ac:dyDescent="0.3">
      <c r="A287" s="97">
        <f t="shared" si="28"/>
        <v>2048</v>
      </c>
      <c r="B287" s="79">
        <f t="shared" si="32"/>
        <v>54302</v>
      </c>
      <c r="C287" s="86" t="e">
        <f t="shared" si="33"/>
        <v>#N/A</v>
      </c>
      <c r="D287" s="86" t="e">
        <f>IF($C287&lt;&gt;0,Inputs!$B$14/12*C287,0)</f>
        <v>#N/A</v>
      </c>
      <c r="E287" s="86" t="e">
        <f t="shared" si="29"/>
        <v>#N/A</v>
      </c>
      <c r="F287" s="86" t="e">
        <f>IF($C287&gt;0,-PMT(Inputs!$B$14/12,Inputs!$B$15,Inputs!$B$11-Inputs!$B$13),0)</f>
        <v>#N/A</v>
      </c>
      <c r="H287" s="86">
        <f t="shared" si="34"/>
        <v>0</v>
      </c>
      <c r="I287" s="86">
        <f>IF($H287&lt;&gt;0,Inputs!$B$28/12*H287,0)</f>
        <v>0</v>
      </c>
      <c r="J287" s="86">
        <f t="shared" si="30"/>
        <v>0</v>
      </c>
      <c r="K287" s="86">
        <f t="shared" si="31"/>
        <v>0</v>
      </c>
    </row>
    <row r="288" spans="1:11" x14ac:dyDescent="0.3">
      <c r="A288" s="97">
        <f t="shared" si="28"/>
        <v>2048</v>
      </c>
      <c r="B288" s="79">
        <f t="shared" si="32"/>
        <v>54332</v>
      </c>
      <c r="C288" s="86" t="e">
        <f t="shared" si="33"/>
        <v>#N/A</v>
      </c>
      <c r="D288" s="86" t="e">
        <f>IF($C288&lt;&gt;0,Inputs!$B$14/12*C288,0)</f>
        <v>#N/A</v>
      </c>
      <c r="E288" s="86" t="e">
        <f t="shared" si="29"/>
        <v>#N/A</v>
      </c>
      <c r="F288" s="86" t="e">
        <f>IF($C288&gt;0,-PMT(Inputs!$B$14/12,Inputs!$B$15,Inputs!$B$11-Inputs!$B$13),0)</f>
        <v>#N/A</v>
      </c>
      <c r="H288" s="86">
        <f t="shared" si="34"/>
        <v>0</v>
      </c>
      <c r="I288" s="86">
        <f>IF($H288&lt;&gt;0,Inputs!$B$28/12*H288,0)</f>
        <v>0</v>
      </c>
      <c r="J288" s="86">
        <f t="shared" si="30"/>
        <v>0</v>
      </c>
      <c r="K288" s="86">
        <f>IF(H288&gt;0,IF(H288+I288&gt;K287,K287,H288+I288),0)</f>
        <v>0</v>
      </c>
    </row>
    <row r="289" spans="1:11" x14ac:dyDescent="0.3">
      <c r="A289" s="97">
        <f t="shared" si="28"/>
        <v>2048</v>
      </c>
      <c r="B289" s="79">
        <f t="shared" si="32"/>
        <v>54363</v>
      </c>
      <c r="C289" s="86" t="e">
        <f t="shared" si="33"/>
        <v>#N/A</v>
      </c>
      <c r="D289" s="86" t="e">
        <f>IF($C289&lt;&gt;0,Inputs!$B$14/12*C289,0)</f>
        <v>#N/A</v>
      </c>
      <c r="E289" s="86" t="e">
        <f t="shared" si="29"/>
        <v>#N/A</v>
      </c>
      <c r="F289" s="86" t="e">
        <f>IF($C289&gt;0,-PMT(Inputs!$B$14/12,Inputs!$B$15,Inputs!$B$11-Inputs!$B$13),0)</f>
        <v>#N/A</v>
      </c>
      <c r="H289" s="86">
        <f t="shared" si="34"/>
        <v>0</v>
      </c>
      <c r="I289" s="86">
        <f>IF($H289&lt;&gt;0,Inputs!$B$28/12*H289,0)</f>
        <v>0</v>
      </c>
      <c r="J289" s="86">
        <f t="shared" si="30"/>
        <v>0</v>
      </c>
      <c r="K289" s="86">
        <f t="shared" ref="K289:K352" si="35">IF(H289&gt;0,IF(H289+I289&gt;K288,K288,H289+I289),0)</f>
        <v>0</v>
      </c>
    </row>
    <row r="290" spans="1:11" x14ac:dyDescent="0.3">
      <c r="A290" s="97">
        <f t="shared" si="28"/>
        <v>2048</v>
      </c>
      <c r="B290" s="79">
        <f t="shared" si="32"/>
        <v>54393</v>
      </c>
      <c r="C290" s="86" t="e">
        <f t="shared" si="33"/>
        <v>#N/A</v>
      </c>
      <c r="D290" s="86" t="e">
        <f>IF($C290&lt;&gt;0,Inputs!$B$14/12*C290,0)</f>
        <v>#N/A</v>
      </c>
      <c r="E290" s="86" t="e">
        <f t="shared" si="29"/>
        <v>#N/A</v>
      </c>
      <c r="F290" s="86" t="e">
        <f>IF($C290&gt;0,-PMT(Inputs!$B$14/12,Inputs!$B$15,Inputs!$B$11-Inputs!$B$13),0)</f>
        <v>#N/A</v>
      </c>
      <c r="H290" s="86">
        <f t="shared" si="34"/>
        <v>0</v>
      </c>
      <c r="I290" s="86">
        <f>IF($H290&lt;&gt;0,Inputs!$B$28/12*H290,0)</f>
        <v>0</v>
      </c>
      <c r="J290" s="86">
        <f t="shared" si="30"/>
        <v>0</v>
      </c>
      <c r="K290" s="86">
        <f t="shared" si="35"/>
        <v>0</v>
      </c>
    </row>
    <row r="291" spans="1:11" x14ac:dyDescent="0.3">
      <c r="A291" s="97">
        <f t="shared" si="28"/>
        <v>2049</v>
      </c>
      <c r="B291" s="79">
        <f t="shared" si="32"/>
        <v>54424</v>
      </c>
      <c r="C291" s="86" t="e">
        <f t="shared" si="33"/>
        <v>#N/A</v>
      </c>
      <c r="D291" s="86" t="e">
        <f>IF($C291&lt;&gt;0,Inputs!$B$14/12*C291,0)</f>
        <v>#N/A</v>
      </c>
      <c r="E291" s="86" t="e">
        <f t="shared" si="29"/>
        <v>#N/A</v>
      </c>
      <c r="F291" s="86" t="e">
        <f>IF($C291&gt;0,-PMT(Inputs!$B$14/12,Inputs!$B$15,Inputs!$B$11-Inputs!$B$13),0)</f>
        <v>#N/A</v>
      </c>
      <c r="H291" s="86">
        <f t="shared" si="34"/>
        <v>0</v>
      </c>
      <c r="I291" s="86">
        <f>IF($H291&lt;&gt;0,Inputs!$B$28/12*H291,0)</f>
        <v>0</v>
      </c>
      <c r="J291" s="86">
        <f t="shared" si="30"/>
        <v>0</v>
      </c>
      <c r="K291" s="86">
        <f t="shared" si="35"/>
        <v>0</v>
      </c>
    </row>
    <row r="292" spans="1:11" x14ac:dyDescent="0.3">
      <c r="A292" s="97">
        <f t="shared" si="28"/>
        <v>2049</v>
      </c>
      <c r="B292" s="79">
        <f t="shared" si="32"/>
        <v>54455</v>
      </c>
      <c r="C292" s="86" t="e">
        <f t="shared" si="33"/>
        <v>#N/A</v>
      </c>
      <c r="D292" s="86" t="e">
        <f>IF($C292&lt;&gt;0,Inputs!$B$14/12*C292,0)</f>
        <v>#N/A</v>
      </c>
      <c r="E292" s="86" t="e">
        <f t="shared" si="29"/>
        <v>#N/A</v>
      </c>
      <c r="F292" s="86" t="e">
        <f>IF($C292&gt;0,-PMT(Inputs!$B$14/12,Inputs!$B$15,Inputs!$B$11-Inputs!$B$13),0)</f>
        <v>#N/A</v>
      </c>
      <c r="H292" s="86">
        <f t="shared" si="34"/>
        <v>0</v>
      </c>
      <c r="I292" s="86">
        <f>IF($H292&lt;&gt;0,Inputs!$B$28/12*H292,0)</f>
        <v>0</v>
      </c>
      <c r="J292" s="86">
        <f t="shared" si="30"/>
        <v>0</v>
      </c>
      <c r="K292" s="86">
        <f t="shared" si="35"/>
        <v>0</v>
      </c>
    </row>
    <row r="293" spans="1:11" x14ac:dyDescent="0.3">
      <c r="A293" s="97">
        <f t="shared" si="28"/>
        <v>2049</v>
      </c>
      <c r="B293" s="79">
        <f t="shared" si="32"/>
        <v>54483</v>
      </c>
      <c r="C293" s="86" t="e">
        <f t="shared" si="33"/>
        <v>#N/A</v>
      </c>
      <c r="D293" s="86" t="e">
        <f>IF($C293&lt;&gt;0,Inputs!$B$14/12*C293,0)</f>
        <v>#N/A</v>
      </c>
      <c r="E293" s="86" t="e">
        <f t="shared" si="29"/>
        <v>#N/A</v>
      </c>
      <c r="F293" s="86" t="e">
        <f>IF($C293&gt;0,-PMT(Inputs!$B$14/12,Inputs!$B$15,Inputs!$B$11-Inputs!$B$13),0)</f>
        <v>#N/A</v>
      </c>
      <c r="H293" s="86">
        <f t="shared" si="34"/>
        <v>0</v>
      </c>
      <c r="I293" s="86">
        <f>IF($H293&lt;&gt;0,Inputs!$B$28/12*H293,0)</f>
        <v>0</v>
      </c>
      <c r="J293" s="86">
        <f t="shared" si="30"/>
        <v>0</v>
      </c>
      <c r="K293" s="86">
        <f t="shared" si="35"/>
        <v>0</v>
      </c>
    </row>
    <row r="294" spans="1:11" x14ac:dyDescent="0.3">
      <c r="A294" s="97">
        <f t="shared" si="28"/>
        <v>2049</v>
      </c>
      <c r="B294" s="79">
        <f t="shared" si="32"/>
        <v>54514</v>
      </c>
      <c r="C294" s="86" t="e">
        <f t="shared" si="33"/>
        <v>#N/A</v>
      </c>
      <c r="D294" s="86" t="e">
        <f>IF($C294&lt;&gt;0,Inputs!$B$14/12*C294,0)</f>
        <v>#N/A</v>
      </c>
      <c r="E294" s="86" t="e">
        <f t="shared" si="29"/>
        <v>#N/A</v>
      </c>
      <c r="F294" s="86" t="e">
        <f>IF($C294&gt;0,-PMT(Inputs!$B$14/12,Inputs!$B$15,Inputs!$B$11-Inputs!$B$13),0)</f>
        <v>#N/A</v>
      </c>
      <c r="H294" s="86">
        <f t="shared" si="34"/>
        <v>0</v>
      </c>
      <c r="I294" s="86">
        <f>IF($H294&lt;&gt;0,Inputs!$B$28/12*H294,0)</f>
        <v>0</v>
      </c>
      <c r="J294" s="86">
        <f t="shared" si="30"/>
        <v>0</v>
      </c>
      <c r="K294" s="86">
        <f t="shared" si="35"/>
        <v>0</v>
      </c>
    </row>
    <row r="295" spans="1:11" x14ac:dyDescent="0.3">
      <c r="A295" s="97">
        <f t="shared" si="28"/>
        <v>2049</v>
      </c>
      <c r="B295" s="79">
        <f t="shared" si="32"/>
        <v>54544</v>
      </c>
      <c r="C295" s="86" t="e">
        <f t="shared" si="33"/>
        <v>#N/A</v>
      </c>
      <c r="D295" s="86" t="e">
        <f>IF($C295&lt;&gt;0,Inputs!$B$14/12*C295,0)</f>
        <v>#N/A</v>
      </c>
      <c r="E295" s="86" t="e">
        <f t="shared" si="29"/>
        <v>#N/A</v>
      </c>
      <c r="F295" s="86" t="e">
        <f>IF($C295&gt;0,-PMT(Inputs!$B$14/12,Inputs!$B$15,Inputs!$B$11-Inputs!$B$13),0)</f>
        <v>#N/A</v>
      </c>
      <c r="H295" s="86">
        <f t="shared" si="34"/>
        <v>0</v>
      </c>
      <c r="I295" s="86">
        <f>IF($H295&lt;&gt;0,Inputs!$B$28/12*H295,0)</f>
        <v>0</v>
      </c>
      <c r="J295" s="86">
        <f t="shared" si="30"/>
        <v>0</v>
      </c>
      <c r="K295" s="86">
        <f t="shared" si="35"/>
        <v>0</v>
      </c>
    </row>
    <row r="296" spans="1:11" x14ac:dyDescent="0.3">
      <c r="A296" s="97">
        <f t="shared" si="28"/>
        <v>2049</v>
      </c>
      <c r="B296" s="79">
        <f t="shared" si="32"/>
        <v>54575</v>
      </c>
      <c r="C296" s="86" t="e">
        <f t="shared" si="33"/>
        <v>#N/A</v>
      </c>
      <c r="D296" s="86" t="e">
        <f>IF($C296&lt;&gt;0,Inputs!$B$14/12*C296,0)</f>
        <v>#N/A</v>
      </c>
      <c r="E296" s="86" t="e">
        <f t="shared" si="29"/>
        <v>#N/A</v>
      </c>
      <c r="F296" s="86" t="e">
        <f>IF($C296&gt;0,-PMT(Inputs!$B$14/12,Inputs!$B$15,Inputs!$B$11-Inputs!$B$13),0)</f>
        <v>#N/A</v>
      </c>
      <c r="H296" s="86">
        <f t="shared" si="34"/>
        <v>0</v>
      </c>
      <c r="I296" s="86">
        <f>IF($H296&lt;&gt;0,Inputs!$B$28/12*H296,0)</f>
        <v>0</v>
      </c>
      <c r="J296" s="86">
        <f t="shared" si="30"/>
        <v>0</v>
      </c>
      <c r="K296" s="86">
        <f t="shared" si="35"/>
        <v>0</v>
      </c>
    </row>
    <row r="297" spans="1:11" x14ac:dyDescent="0.3">
      <c r="A297" s="97">
        <f t="shared" si="28"/>
        <v>2049</v>
      </c>
      <c r="B297" s="79">
        <f t="shared" si="32"/>
        <v>54605</v>
      </c>
      <c r="C297" s="86" t="e">
        <f t="shared" si="33"/>
        <v>#N/A</v>
      </c>
      <c r="D297" s="86" t="e">
        <f>IF($C297&lt;&gt;0,Inputs!$B$14/12*C297,0)</f>
        <v>#N/A</v>
      </c>
      <c r="E297" s="86" t="e">
        <f t="shared" si="29"/>
        <v>#N/A</v>
      </c>
      <c r="F297" s="86" t="e">
        <f>IF($C297&gt;0,-PMT(Inputs!$B$14/12,Inputs!$B$15,Inputs!$B$11-Inputs!$B$13),0)</f>
        <v>#N/A</v>
      </c>
      <c r="H297" s="86">
        <f t="shared" si="34"/>
        <v>0</v>
      </c>
      <c r="I297" s="86">
        <f>IF($H297&lt;&gt;0,Inputs!$B$28/12*H297,0)</f>
        <v>0</v>
      </c>
      <c r="J297" s="86">
        <f t="shared" si="30"/>
        <v>0</v>
      </c>
      <c r="K297" s="86">
        <f t="shared" si="35"/>
        <v>0</v>
      </c>
    </row>
    <row r="298" spans="1:11" x14ac:dyDescent="0.3">
      <c r="A298" s="97">
        <f t="shared" si="28"/>
        <v>2049</v>
      </c>
      <c r="B298" s="79">
        <f t="shared" si="32"/>
        <v>54636</v>
      </c>
      <c r="C298" s="86" t="e">
        <f t="shared" si="33"/>
        <v>#N/A</v>
      </c>
      <c r="D298" s="86" t="e">
        <f>IF($C298&lt;&gt;0,Inputs!$B$14/12*C298,0)</f>
        <v>#N/A</v>
      </c>
      <c r="E298" s="86" t="e">
        <f t="shared" si="29"/>
        <v>#N/A</v>
      </c>
      <c r="F298" s="86" t="e">
        <f>IF($C298&gt;0,-PMT(Inputs!$B$14/12,Inputs!$B$15,Inputs!$B$11-Inputs!$B$13),0)</f>
        <v>#N/A</v>
      </c>
      <c r="H298" s="86">
        <f t="shared" si="34"/>
        <v>0</v>
      </c>
      <c r="I298" s="86">
        <f>IF($H298&lt;&gt;0,Inputs!$B$28/12*H298,0)</f>
        <v>0</v>
      </c>
      <c r="J298" s="86">
        <f t="shared" si="30"/>
        <v>0</v>
      </c>
      <c r="K298" s="86">
        <f t="shared" si="35"/>
        <v>0</v>
      </c>
    </row>
    <row r="299" spans="1:11" x14ac:dyDescent="0.3">
      <c r="A299" s="97">
        <f t="shared" si="28"/>
        <v>2049</v>
      </c>
      <c r="B299" s="79">
        <f t="shared" si="32"/>
        <v>54667</v>
      </c>
      <c r="C299" s="86" t="e">
        <f t="shared" si="33"/>
        <v>#N/A</v>
      </c>
      <c r="D299" s="86" t="e">
        <f>IF($C299&lt;&gt;0,Inputs!$B$14/12*C299,0)</f>
        <v>#N/A</v>
      </c>
      <c r="E299" s="86" t="e">
        <f t="shared" si="29"/>
        <v>#N/A</v>
      </c>
      <c r="F299" s="86" t="e">
        <f>IF($C299&gt;0,-PMT(Inputs!$B$14/12,Inputs!$B$15,Inputs!$B$11-Inputs!$B$13),0)</f>
        <v>#N/A</v>
      </c>
      <c r="H299" s="86">
        <f t="shared" si="34"/>
        <v>0</v>
      </c>
      <c r="I299" s="86">
        <f>IF($H299&lt;&gt;0,Inputs!$B$28/12*H299,0)</f>
        <v>0</v>
      </c>
      <c r="J299" s="86">
        <f t="shared" si="30"/>
        <v>0</v>
      </c>
      <c r="K299" s="86">
        <f t="shared" si="35"/>
        <v>0</v>
      </c>
    </row>
    <row r="300" spans="1:11" x14ac:dyDescent="0.3">
      <c r="A300" s="97">
        <f t="shared" si="28"/>
        <v>2049</v>
      </c>
      <c r="B300" s="79">
        <f t="shared" si="32"/>
        <v>54697</v>
      </c>
      <c r="C300" s="86" t="e">
        <f t="shared" si="33"/>
        <v>#N/A</v>
      </c>
      <c r="D300" s="86" t="e">
        <f>IF($C300&lt;&gt;0,Inputs!$B$14/12*C300,0)</f>
        <v>#N/A</v>
      </c>
      <c r="E300" s="86" t="e">
        <f t="shared" si="29"/>
        <v>#N/A</v>
      </c>
      <c r="F300" s="86" t="e">
        <f>IF($C300&gt;0,-PMT(Inputs!$B$14/12,Inputs!$B$15,Inputs!$B$11-Inputs!$B$13),0)</f>
        <v>#N/A</v>
      </c>
      <c r="H300" s="86">
        <f t="shared" si="34"/>
        <v>0</v>
      </c>
      <c r="I300" s="86">
        <f>IF($H300&lt;&gt;0,Inputs!$B$28/12*H300,0)</f>
        <v>0</v>
      </c>
      <c r="J300" s="86">
        <f t="shared" si="30"/>
        <v>0</v>
      </c>
      <c r="K300" s="86">
        <f t="shared" si="35"/>
        <v>0</v>
      </c>
    </row>
    <row r="301" spans="1:11" x14ac:dyDescent="0.3">
      <c r="A301" s="97">
        <f t="shared" si="28"/>
        <v>2049</v>
      </c>
      <c r="B301" s="79">
        <f t="shared" si="32"/>
        <v>54728</v>
      </c>
      <c r="C301" s="86" t="e">
        <f t="shared" si="33"/>
        <v>#N/A</v>
      </c>
      <c r="D301" s="86" t="e">
        <f>IF($C301&lt;&gt;0,Inputs!$B$14/12*C301,0)</f>
        <v>#N/A</v>
      </c>
      <c r="E301" s="86" t="e">
        <f t="shared" si="29"/>
        <v>#N/A</v>
      </c>
      <c r="F301" s="86" t="e">
        <f>IF($C301&gt;0,-PMT(Inputs!$B$14/12,Inputs!$B$15,Inputs!$B$11-Inputs!$B$13),0)</f>
        <v>#N/A</v>
      </c>
      <c r="H301" s="86">
        <f t="shared" si="34"/>
        <v>0</v>
      </c>
      <c r="I301" s="86">
        <f>IF($H301&lt;&gt;0,Inputs!$B$28/12*H301,0)</f>
        <v>0</v>
      </c>
      <c r="J301" s="86">
        <f t="shared" si="30"/>
        <v>0</v>
      </c>
      <c r="K301" s="86">
        <f t="shared" si="35"/>
        <v>0</v>
      </c>
    </row>
    <row r="302" spans="1:11" x14ac:dyDescent="0.3">
      <c r="A302" s="97">
        <f t="shared" si="28"/>
        <v>2049</v>
      </c>
      <c r="B302" s="79">
        <f t="shared" si="32"/>
        <v>54758</v>
      </c>
      <c r="C302" s="86" t="e">
        <f t="shared" si="33"/>
        <v>#N/A</v>
      </c>
      <c r="D302" s="86" t="e">
        <f>IF($C302&lt;&gt;0,Inputs!$B$14/12*C302,0)</f>
        <v>#N/A</v>
      </c>
      <c r="E302" s="86" t="e">
        <f t="shared" si="29"/>
        <v>#N/A</v>
      </c>
      <c r="F302" s="86" t="e">
        <f>IF($C302&gt;0,-PMT(Inputs!$B$14/12,Inputs!$B$15,Inputs!$B$11-Inputs!$B$13),0)</f>
        <v>#N/A</v>
      </c>
      <c r="H302" s="86">
        <f t="shared" si="34"/>
        <v>0</v>
      </c>
      <c r="I302" s="86">
        <f>IF($H302&lt;&gt;0,Inputs!$B$28/12*H302,0)</f>
        <v>0</v>
      </c>
      <c r="J302" s="86">
        <f t="shared" si="30"/>
        <v>0</v>
      </c>
      <c r="K302" s="86">
        <f t="shared" si="35"/>
        <v>0</v>
      </c>
    </row>
    <row r="303" spans="1:11" x14ac:dyDescent="0.3">
      <c r="A303" s="97">
        <f t="shared" si="28"/>
        <v>2050</v>
      </c>
      <c r="B303" s="79">
        <f t="shared" si="32"/>
        <v>54789</v>
      </c>
      <c r="C303" s="86" t="e">
        <f t="shared" si="33"/>
        <v>#N/A</v>
      </c>
      <c r="D303" s="86" t="e">
        <f>IF($C303&lt;&gt;0,Inputs!$B$14/12*C303,0)</f>
        <v>#N/A</v>
      </c>
      <c r="E303" s="86" t="e">
        <f t="shared" si="29"/>
        <v>#N/A</v>
      </c>
      <c r="F303" s="86" t="e">
        <f>IF($C303&gt;0,-PMT(Inputs!$B$14/12,Inputs!$B$15,Inputs!$B$11-Inputs!$B$13),0)</f>
        <v>#N/A</v>
      </c>
      <c r="H303" s="86">
        <f t="shared" si="34"/>
        <v>0</v>
      </c>
      <c r="I303" s="86">
        <f>IF($H303&lt;&gt;0,Inputs!$B$28/12*H303,0)</f>
        <v>0</v>
      </c>
      <c r="J303" s="86">
        <f t="shared" si="30"/>
        <v>0</v>
      </c>
      <c r="K303" s="86">
        <f t="shared" si="35"/>
        <v>0</v>
      </c>
    </row>
    <row r="304" spans="1:11" x14ac:dyDescent="0.3">
      <c r="A304" s="97">
        <f t="shared" si="28"/>
        <v>2050</v>
      </c>
      <c r="B304" s="79">
        <f t="shared" si="32"/>
        <v>54820</v>
      </c>
      <c r="C304" s="86" t="e">
        <f t="shared" si="33"/>
        <v>#N/A</v>
      </c>
      <c r="D304" s="86" t="e">
        <f>IF($C304&lt;&gt;0,Inputs!$B$14/12*C304,0)</f>
        <v>#N/A</v>
      </c>
      <c r="E304" s="86" t="e">
        <f t="shared" si="29"/>
        <v>#N/A</v>
      </c>
      <c r="F304" s="86" t="e">
        <f>IF($C304&gt;0,-PMT(Inputs!$B$14/12,Inputs!$B$15,Inputs!$B$11-Inputs!$B$13),0)</f>
        <v>#N/A</v>
      </c>
      <c r="H304" s="86">
        <f t="shared" si="34"/>
        <v>0</v>
      </c>
      <c r="I304" s="86">
        <f>IF($H304&lt;&gt;0,Inputs!$B$28/12*H304,0)</f>
        <v>0</v>
      </c>
      <c r="J304" s="86">
        <f t="shared" si="30"/>
        <v>0</v>
      </c>
      <c r="K304" s="86">
        <f t="shared" si="35"/>
        <v>0</v>
      </c>
    </row>
    <row r="305" spans="1:11" x14ac:dyDescent="0.3">
      <c r="A305" s="97">
        <f t="shared" si="28"/>
        <v>2050</v>
      </c>
      <c r="B305" s="79">
        <f t="shared" si="32"/>
        <v>54848</v>
      </c>
      <c r="C305" s="86" t="e">
        <f t="shared" si="33"/>
        <v>#N/A</v>
      </c>
      <c r="D305" s="86" t="e">
        <f>IF($C305&lt;&gt;0,Inputs!$B$14/12*C305,0)</f>
        <v>#N/A</v>
      </c>
      <c r="E305" s="86" t="e">
        <f t="shared" si="29"/>
        <v>#N/A</v>
      </c>
      <c r="F305" s="86" t="e">
        <f>IF($C305&gt;0,-PMT(Inputs!$B$14/12,Inputs!$B$15,Inputs!$B$11-Inputs!$B$13),0)</f>
        <v>#N/A</v>
      </c>
      <c r="H305" s="86">
        <f t="shared" si="34"/>
        <v>0</v>
      </c>
      <c r="I305" s="86">
        <f>IF($H305&lt;&gt;0,Inputs!$B$28/12*H305,0)</f>
        <v>0</v>
      </c>
      <c r="J305" s="86">
        <f t="shared" si="30"/>
        <v>0</v>
      </c>
      <c r="K305" s="86">
        <f t="shared" si="35"/>
        <v>0</v>
      </c>
    </row>
    <row r="306" spans="1:11" x14ac:dyDescent="0.3">
      <c r="A306" s="97">
        <f t="shared" si="28"/>
        <v>2050</v>
      </c>
      <c r="B306" s="79">
        <f t="shared" si="32"/>
        <v>54879</v>
      </c>
      <c r="C306" s="86" t="e">
        <f t="shared" si="33"/>
        <v>#N/A</v>
      </c>
      <c r="D306" s="86" t="e">
        <f>IF($C306&lt;&gt;0,Inputs!$B$14/12*C306,0)</f>
        <v>#N/A</v>
      </c>
      <c r="E306" s="86" t="e">
        <f t="shared" si="29"/>
        <v>#N/A</v>
      </c>
      <c r="F306" s="86" t="e">
        <f>IF($C306&gt;0,-PMT(Inputs!$B$14/12,Inputs!$B$15,Inputs!$B$11-Inputs!$B$13),0)</f>
        <v>#N/A</v>
      </c>
      <c r="H306" s="86">
        <f t="shared" si="34"/>
        <v>0</v>
      </c>
      <c r="I306" s="86">
        <f>IF($H306&lt;&gt;0,Inputs!$B$28/12*H306,0)</f>
        <v>0</v>
      </c>
      <c r="J306" s="86">
        <f t="shared" si="30"/>
        <v>0</v>
      </c>
      <c r="K306" s="86">
        <f t="shared" si="35"/>
        <v>0</v>
      </c>
    </row>
    <row r="307" spans="1:11" x14ac:dyDescent="0.3">
      <c r="A307" s="97">
        <f t="shared" si="28"/>
        <v>2050</v>
      </c>
      <c r="B307" s="79">
        <f t="shared" si="32"/>
        <v>54909</v>
      </c>
      <c r="C307" s="86" t="e">
        <f t="shared" si="33"/>
        <v>#N/A</v>
      </c>
      <c r="D307" s="86" t="e">
        <f>IF($C307&lt;&gt;0,Inputs!$B$14/12*C307,0)</f>
        <v>#N/A</v>
      </c>
      <c r="E307" s="86" t="e">
        <f t="shared" si="29"/>
        <v>#N/A</v>
      </c>
      <c r="F307" s="86" t="e">
        <f>IF($C307&gt;0,-PMT(Inputs!$B$14/12,Inputs!$B$15,Inputs!$B$11-Inputs!$B$13),0)</f>
        <v>#N/A</v>
      </c>
      <c r="H307" s="86">
        <f t="shared" si="34"/>
        <v>0</v>
      </c>
      <c r="I307" s="86">
        <f>IF($H307&lt;&gt;0,Inputs!$B$28/12*H307,0)</f>
        <v>0</v>
      </c>
      <c r="J307" s="86">
        <f t="shared" si="30"/>
        <v>0</v>
      </c>
      <c r="K307" s="86">
        <f t="shared" si="35"/>
        <v>0</v>
      </c>
    </row>
    <row r="308" spans="1:11" x14ac:dyDescent="0.3">
      <c r="A308" s="97">
        <f t="shared" si="28"/>
        <v>2050</v>
      </c>
      <c r="B308" s="79">
        <f t="shared" si="32"/>
        <v>54940</v>
      </c>
      <c r="C308" s="86" t="e">
        <f t="shared" si="33"/>
        <v>#N/A</v>
      </c>
      <c r="D308" s="86" t="e">
        <f>IF($C308&lt;&gt;0,Inputs!$B$14/12*C308,0)</f>
        <v>#N/A</v>
      </c>
      <c r="E308" s="86" t="e">
        <f t="shared" si="29"/>
        <v>#N/A</v>
      </c>
      <c r="F308" s="86" t="e">
        <f>IF($C308&gt;0,-PMT(Inputs!$B$14/12,Inputs!$B$15,Inputs!$B$11-Inputs!$B$13),0)</f>
        <v>#N/A</v>
      </c>
      <c r="H308" s="86">
        <f t="shared" si="34"/>
        <v>0</v>
      </c>
      <c r="I308" s="86">
        <f>IF($H308&lt;&gt;0,Inputs!$B$28/12*H308,0)</f>
        <v>0</v>
      </c>
      <c r="J308" s="86">
        <f t="shared" si="30"/>
        <v>0</v>
      </c>
      <c r="K308" s="86">
        <f t="shared" si="35"/>
        <v>0</v>
      </c>
    </row>
    <row r="309" spans="1:11" x14ac:dyDescent="0.3">
      <c r="A309" s="97">
        <f t="shared" si="28"/>
        <v>2050</v>
      </c>
      <c r="B309" s="79">
        <f t="shared" si="32"/>
        <v>54970</v>
      </c>
      <c r="C309" s="86" t="e">
        <f t="shared" si="33"/>
        <v>#N/A</v>
      </c>
      <c r="D309" s="86" t="e">
        <f>IF($C309&lt;&gt;0,Inputs!$B$14/12*C309,0)</f>
        <v>#N/A</v>
      </c>
      <c r="E309" s="86" t="e">
        <f t="shared" si="29"/>
        <v>#N/A</v>
      </c>
      <c r="F309" s="86" t="e">
        <f>IF($C309&gt;0,-PMT(Inputs!$B$14/12,Inputs!$B$15,Inputs!$B$11-Inputs!$B$13),0)</f>
        <v>#N/A</v>
      </c>
      <c r="H309" s="86">
        <f t="shared" si="34"/>
        <v>0</v>
      </c>
      <c r="I309" s="86">
        <f>IF($H309&lt;&gt;0,Inputs!$B$28/12*H309,0)</f>
        <v>0</v>
      </c>
      <c r="J309" s="86">
        <f t="shared" si="30"/>
        <v>0</v>
      </c>
      <c r="K309" s="86">
        <f t="shared" si="35"/>
        <v>0</v>
      </c>
    </row>
    <row r="310" spans="1:11" x14ac:dyDescent="0.3">
      <c r="A310" s="97">
        <f t="shared" si="28"/>
        <v>2050</v>
      </c>
      <c r="B310" s="79">
        <f t="shared" si="32"/>
        <v>55001</v>
      </c>
      <c r="C310" s="86" t="e">
        <f t="shared" si="33"/>
        <v>#N/A</v>
      </c>
      <c r="D310" s="86" t="e">
        <f>IF($C310&lt;&gt;0,Inputs!$B$14/12*C310,0)</f>
        <v>#N/A</v>
      </c>
      <c r="E310" s="86" t="e">
        <f t="shared" si="29"/>
        <v>#N/A</v>
      </c>
      <c r="F310" s="86" t="e">
        <f>IF($C310&gt;0,-PMT(Inputs!$B$14/12,Inputs!$B$15,Inputs!$B$11-Inputs!$B$13),0)</f>
        <v>#N/A</v>
      </c>
      <c r="H310" s="86">
        <f t="shared" si="34"/>
        <v>0</v>
      </c>
      <c r="I310" s="86">
        <f>IF($H310&lt;&gt;0,Inputs!$B$28/12*H310,0)</f>
        <v>0</v>
      </c>
      <c r="J310" s="86">
        <f t="shared" si="30"/>
        <v>0</v>
      </c>
      <c r="K310" s="86">
        <f t="shared" si="35"/>
        <v>0</v>
      </c>
    </row>
    <row r="311" spans="1:11" x14ac:dyDescent="0.3">
      <c r="A311" s="97">
        <f t="shared" si="28"/>
        <v>2050</v>
      </c>
      <c r="B311" s="79">
        <f t="shared" si="32"/>
        <v>55032</v>
      </c>
      <c r="C311" s="86" t="e">
        <f t="shared" si="33"/>
        <v>#N/A</v>
      </c>
      <c r="D311" s="86" t="e">
        <f>IF($C311&lt;&gt;0,Inputs!$B$14/12*C311,0)</f>
        <v>#N/A</v>
      </c>
      <c r="E311" s="86" t="e">
        <f t="shared" si="29"/>
        <v>#N/A</v>
      </c>
      <c r="F311" s="86" t="e">
        <f>IF($C311&gt;0,-PMT(Inputs!$B$14/12,Inputs!$B$15,Inputs!$B$11-Inputs!$B$13),0)</f>
        <v>#N/A</v>
      </c>
      <c r="H311" s="86">
        <f t="shared" si="34"/>
        <v>0</v>
      </c>
      <c r="I311" s="86">
        <f>IF($H311&lt;&gt;0,Inputs!$B$28/12*H311,0)</f>
        <v>0</v>
      </c>
      <c r="J311" s="86">
        <f t="shared" si="30"/>
        <v>0</v>
      </c>
      <c r="K311" s="86">
        <f t="shared" si="35"/>
        <v>0</v>
      </c>
    </row>
    <row r="312" spans="1:11" x14ac:dyDescent="0.3">
      <c r="A312" s="97">
        <f t="shared" si="28"/>
        <v>2050</v>
      </c>
      <c r="B312" s="79">
        <f t="shared" si="32"/>
        <v>55062</v>
      </c>
      <c r="C312" s="86" t="e">
        <f t="shared" si="33"/>
        <v>#N/A</v>
      </c>
      <c r="D312" s="86" t="e">
        <f>IF($C312&lt;&gt;0,Inputs!$B$14/12*C312,0)</f>
        <v>#N/A</v>
      </c>
      <c r="E312" s="86" t="e">
        <f t="shared" si="29"/>
        <v>#N/A</v>
      </c>
      <c r="F312" s="86" t="e">
        <f>IF($C312&gt;0,-PMT(Inputs!$B$14/12,Inputs!$B$15,Inputs!$B$11-Inputs!$B$13),0)</f>
        <v>#N/A</v>
      </c>
      <c r="H312" s="86">
        <f t="shared" si="34"/>
        <v>0</v>
      </c>
      <c r="I312" s="86">
        <f>IF($H312&lt;&gt;0,Inputs!$B$28/12*H312,0)</f>
        <v>0</v>
      </c>
      <c r="J312" s="86">
        <f t="shared" si="30"/>
        <v>0</v>
      </c>
      <c r="K312" s="86">
        <f t="shared" si="35"/>
        <v>0</v>
      </c>
    </row>
    <row r="313" spans="1:11" x14ac:dyDescent="0.3">
      <c r="A313" s="97">
        <f t="shared" si="28"/>
        <v>2050</v>
      </c>
      <c r="B313" s="79">
        <f t="shared" si="32"/>
        <v>55093</v>
      </c>
      <c r="C313" s="86" t="e">
        <f t="shared" si="33"/>
        <v>#N/A</v>
      </c>
      <c r="D313" s="86" t="e">
        <f>IF($C313&lt;&gt;0,Inputs!$B$14/12*C313,0)</f>
        <v>#N/A</v>
      </c>
      <c r="E313" s="86" t="e">
        <f t="shared" si="29"/>
        <v>#N/A</v>
      </c>
      <c r="F313" s="86" t="e">
        <f>IF($C313&gt;0,-PMT(Inputs!$B$14/12,Inputs!$B$15,Inputs!$B$11-Inputs!$B$13),0)</f>
        <v>#N/A</v>
      </c>
      <c r="H313" s="86">
        <f t="shared" si="34"/>
        <v>0</v>
      </c>
      <c r="I313" s="86">
        <f>IF($H313&lt;&gt;0,Inputs!$B$28/12*H313,0)</f>
        <v>0</v>
      </c>
      <c r="J313" s="86">
        <f t="shared" si="30"/>
        <v>0</v>
      </c>
      <c r="K313" s="86">
        <f t="shared" si="35"/>
        <v>0</v>
      </c>
    </row>
    <row r="314" spans="1:11" x14ac:dyDescent="0.3">
      <c r="A314" s="97">
        <f t="shared" si="28"/>
        <v>2050</v>
      </c>
      <c r="B314" s="79">
        <f t="shared" si="32"/>
        <v>55123</v>
      </c>
      <c r="C314" s="86" t="e">
        <f t="shared" si="33"/>
        <v>#N/A</v>
      </c>
      <c r="D314" s="86" t="e">
        <f>IF($C314&lt;&gt;0,Inputs!$B$14/12*C314,0)</f>
        <v>#N/A</v>
      </c>
      <c r="E314" s="86" t="e">
        <f t="shared" si="29"/>
        <v>#N/A</v>
      </c>
      <c r="F314" s="86" t="e">
        <f>IF($C314&gt;0,-PMT(Inputs!$B$14/12,Inputs!$B$15,Inputs!$B$11-Inputs!$B$13),0)</f>
        <v>#N/A</v>
      </c>
      <c r="H314" s="86">
        <f t="shared" si="34"/>
        <v>0</v>
      </c>
      <c r="I314" s="86">
        <f>IF($H314&lt;&gt;0,Inputs!$B$28/12*H314,0)</f>
        <v>0</v>
      </c>
      <c r="J314" s="86">
        <f t="shared" si="30"/>
        <v>0</v>
      </c>
      <c r="K314" s="86">
        <f t="shared" si="35"/>
        <v>0</v>
      </c>
    </row>
    <row r="315" spans="1:11" x14ac:dyDescent="0.3">
      <c r="A315" s="97">
        <f t="shared" si="28"/>
        <v>2051</v>
      </c>
      <c r="B315" s="79">
        <f t="shared" si="32"/>
        <v>55154</v>
      </c>
      <c r="C315" s="86" t="e">
        <f t="shared" si="33"/>
        <v>#N/A</v>
      </c>
      <c r="D315" s="86" t="e">
        <f>IF($C315&lt;&gt;0,Inputs!$B$14/12*C315,0)</f>
        <v>#N/A</v>
      </c>
      <c r="E315" s="86" t="e">
        <f t="shared" si="29"/>
        <v>#N/A</v>
      </c>
      <c r="F315" s="86" t="e">
        <f>IF($C315&gt;0,-PMT(Inputs!$B$14/12,Inputs!$B$15,Inputs!$B$11-Inputs!$B$13),0)</f>
        <v>#N/A</v>
      </c>
      <c r="H315" s="86">
        <f t="shared" si="34"/>
        <v>0</v>
      </c>
      <c r="I315" s="86">
        <f>IF($H315&lt;&gt;0,Inputs!$B$28/12*H315,0)</f>
        <v>0</v>
      </c>
      <c r="J315" s="86">
        <f t="shared" si="30"/>
        <v>0</v>
      </c>
      <c r="K315" s="86">
        <f t="shared" si="35"/>
        <v>0</v>
      </c>
    </row>
    <row r="316" spans="1:11" x14ac:dyDescent="0.3">
      <c r="A316" s="97">
        <f t="shared" si="28"/>
        <v>2051</v>
      </c>
      <c r="B316" s="79">
        <f t="shared" si="32"/>
        <v>55185</v>
      </c>
      <c r="C316" s="86" t="e">
        <f t="shared" si="33"/>
        <v>#N/A</v>
      </c>
      <c r="D316" s="86" t="e">
        <f>IF($C316&lt;&gt;0,Inputs!$B$14/12*C316,0)</f>
        <v>#N/A</v>
      </c>
      <c r="E316" s="86" t="e">
        <f t="shared" si="29"/>
        <v>#N/A</v>
      </c>
      <c r="F316" s="86" t="e">
        <f>IF($C316&gt;0,-PMT(Inputs!$B$14/12,Inputs!$B$15,Inputs!$B$11-Inputs!$B$13),0)</f>
        <v>#N/A</v>
      </c>
      <c r="H316" s="86">
        <f t="shared" si="34"/>
        <v>0</v>
      </c>
      <c r="I316" s="86">
        <f>IF($H316&lt;&gt;0,Inputs!$B$28/12*H316,0)</f>
        <v>0</v>
      </c>
      <c r="J316" s="86">
        <f t="shared" si="30"/>
        <v>0</v>
      </c>
      <c r="K316" s="86">
        <f t="shared" si="35"/>
        <v>0</v>
      </c>
    </row>
    <row r="317" spans="1:11" x14ac:dyDescent="0.3">
      <c r="A317" s="97">
        <f t="shared" si="28"/>
        <v>2051</v>
      </c>
      <c r="B317" s="79">
        <f t="shared" si="32"/>
        <v>55213</v>
      </c>
      <c r="C317" s="86" t="e">
        <f t="shared" si="33"/>
        <v>#N/A</v>
      </c>
      <c r="D317" s="86" t="e">
        <f>IF($C317&lt;&gt;0,Inputs!$B$14/12*C317,0)</f>
        <v>#N/A</v>
      </c>
      <c r="E317" s="86" t="e">
        <f t="shared" si="29"/>
        <v>#N/A</v>
      </c>
      <c r="F317" s="86" t="e">
        <f>IF($C317&gt;0,-PMT(Inputs!$B$14/12,Inputs!$B$15,Inputs!$B$11-Inputs!$B$13),0)</f>
        <v>#N/A</v>
      </c>
      <c r="H317" s="86">
        <f t="shared" si="34"/>
        <v>0</v>
      </c>
      <c r="I317" s="86">
        <f>IF($H317&lt;&gt;0,Inputs!$B$28/12*H317,0)</f>
        <v>0</v>
      </c>
      <c r="J317" s="86">
        <f t="shared" si="30"/>
        <v>0</v>
      </c>
      <c r="K317" s="86">
        <f t="shared" si="35"/>
        <v>0</v>
      </c>
    </row>
    <row r="318" spans="1:11" x14ac:dyDescent="0.3">
      <c r="A318" s="97">
        <f t="shared" si="28"/>
        <v>2051</v>
      </c>
      <c r="B318" s="79">
        <f t="shared" si="32"/>
        <v>55244</v>
      </c>
      <c r="C318" s="86" t="e">
        <f t="shared" si="33"/>
        <v>#N/A</v>
      </c>
      <c r="D318" s="86" t="e">
        <f>IF($C318&lt;&gt;0,Inputs!$B$14/12*C318,0)</f>
        <v>#N/A</v>
      </c>
      <c r="E318" s="86" t="e">
        <f t="shared" si="29"/>
        <v>#N/A</v>
      </c>
      <c r="F318" s="86" t="e">
        <f>IF($C318&gt;0,-PMT(Inputs!$B$14/12,Inputs!$B$15,Inputs!$B$11-Inputs!$B$13),0)</f>
        <v>#N/A</v>
      </c>
      <c r="H318" s="86">
        <f t="shared" si="34"/>
        <v>0</v>
      </c>
      <c r="I318" s="86">
        <f>IF($H318&lt;&gt;0,Inputs!$B$28/12*H318,0)</f>
        <v>0</v>
      </c>
      <c r="J318" s="86">
        <f t="shared" si="30"/>
        <v>0</v>
      </c>
      <c r="K318" s="86">
        <f t="shared" si="35"/>
        <v>0</v>
      </c>
    </row>
    <row r="319" spans="1:11" x14ac:dyDescent="0.3">
      <c r="A319" s="97">
        <f t="shared" si="28"/>
        <v>2051</v>
      </c>
      <c r="B319" s="79">
        <f t="shared" si="32"/>
        <v>55274</v>
      </c>
      <c r="C319" s="86" t="e">
        <f t="shared" si="33"/>
        <v>#N/A</v>
      </c>
      <c r="D319" s="86" t="e">
        <f>IF($C319&lt;&gt;0,Inputs!$B$14/12*C319,0)</f>
        <v>#N/A</v>
      </c>
      <c r="E319" s="86" t="e">
        <f t="shared" si="29"/>
        <v>#N/A</v>
      </c>
      <c r="F319" s="86" t="e">
        <f>IF($C319&gt;0,-PMT(Inputs!$B$14/12,Inputs!$B$15,Inputs!$B$11-Inputs!$B$13),0)</f>
        <v>#N/A</v>
      </c>
      <c r="H319" s="86">
        <f t="shared" si="34"/>
        <v>0</v>
      </c>
      <c r="I319" s="86">
        <f>IF($H319&lt;&gt;0,Inputs!$B$28/12*H319,0)</f>
        <v>0</v>
      </c>
      <c r="J319" s="86">
        <f t="shared" si="30"/>
        <v>0</v>
      </c>
      <c r="K319" s="86">
        <f t="shared" si="35"/>
        <v>0</v>
      </c>
    </row>
    <row r="320" spans="1:11" x14ac:dyDescent="0.3">
      <c r="A320" s="97">
        <f t="shared" si="28"/>
        <v>2051</v>
      </c>
      <c r="B320" s="79">
        <f t="shared" si="32"/>
        <v>55305</v>
      </c>
      <c r="C320" s="86" t="e">
        <f t="shared" si="33"/>
        <v>#N/A</v>
      </c>
      <c r="D320" s="86" t="e">
        <f>IF($C320&lt;&gt;0,Inputs!$B$14/12*C320,0)</f>
        <v>#N/A</v>
      </c>
      <c r="E320" s="86" t="e">
        <f t="shared" si="29"/>
        <v>#N/A</v>
      </c>
      <c r="F320" s="86" t="e">
        <f>IF($C320&gt;0,-PMT(Inputs!$B$14/12,Inputs!$B$15,Inputs!$B$11-Inputs!$B$13),0)</f>
        <v>#N/A</v>
      </c>
      <c r="H320" s="86">
        <f t="shared" si="34"/>
        <v>0</v>
      </c>
      <c r="I320" s="86">
        <f>IF($H320&lt;&gt;0,Inputs!$B$28/12*H320,0)</f>
        <v>0</v>
      </c>
      <c r="J320" s="86">
        <f t="shared" si="30"/>
        <v>0</v>
      </c>
      <c r="K320" s="86">
        <f t="shared" si="35"/>
        <v>0</v>
      </c>
    </row>
    <row r="321" spans="1:11" x14ac:dyDescent="0.3">
      <c r="A321" s="97">
        <f t="shared" si="28"/>
        <v>2051</v>
      </c>
      <c r="B321" s="79">
        <f t="shared" si="32"/>
        <v>55335</v>
      </c>
      <c r="C321" s="86" t="e">
        <f t="shared" si="33"/>
        <v>#N/A</v>
      </c>
      <c r="D321" s="86" t="e">
        <f>IF($C321&lt;&gt;0,Inputs!$B$14/12*C321,0)</f>
        <v>#N/A</v>
      </c>
      <c r="E321" s="86" t="e">
        <f t="shared" si="29"/>
        <v>#N/A</v>
      </c>
      <c r="F321" s="86" t="e">
        <f>IF($C321&gt;0,-PMT(Inputs!$B$14/12,Inputs!$B$15,Inputs!$B$11-Inputs!$B$13),0)</f>
        <v>#N/A</v>
      </c>
      <c r="H321" s="86">
        <f t="shared" si="34"/>
        <v>0</v>
      </c>
      <c r="I321" s="86">
        <f>IF($H321&lt;&gt;0,Inputs!$B$28/12*H321,0)</f>
        <v>0</v>
      </c>
      <c r="J321" s="86">
        <f t="shared" si="30"/>
        <v>0</v>
      </c>
      <c r="K321" s="86">
        <f t="shared" si="35"/>
        <v>0</v>
      </c>
    </row>
    <row r="322" spans="1:11" x14ac:dyDescent="0.3">
      <c r="A322" s="97">
        <f t="shared" si="28"/>
        <v>2051</v>
      </c>
      <c r="B322" s="79">
        <f t="shared" si="32"/>
        <v>55366</v>
      </c>
      <c r="C322" s="86" t="e">
        <f t="shared" si="33"/>
        <v>#N/A</v>
      </c>
      <c r="D322" s="86" t="e">
        <f>IF($C322&lt;&gt;0,Inputs!$B$14/12*C322,0)</f>
        <v>#N/A</v>
      </c>
      <c r="E322" s="86" t="e">
        <f t="shared" si="29"/>
        <v>#N/A</v>
      </c>
      <c r="F322" s="86" t="e">
        <f>IF($C322&gt;0,-PMT(Inputs!$B$14/12,Inputs!$B$15,Inputs!$B$11-Inputs!$B$13),0)</f>
        <v>#N/A</v>
      </c>
      <c r="H322" s="86">
        <f t="shared" si="34"/>
        <v>0</v>
      </c>
      <c r="I322" s="86">
        <f>IF($H322&lt;&gt;0,Inputs!$B$28/12*H322,0)</f>
        <v>0</v>
      </c>
      <c r="J322" s="86">
        <f t="shared" si="30"/>
        <v>0</v>
      </c>
      <c r="K322" s="86">
        <f t="shared" si="35"/>
        <v>0</v>
      </c>
    </row>
    <row r="323" spans="1:11" x14ac:dyDescent="0.3">
      <c r="A323" s="97">
        <f t="shared" si="28"/>
        <v>2051</v>
      </c>
      <c r="B323" s="79">
        <f t="shared" si="32"/>
        <v>55397</v>
      </c>
      <c r="C323" s="86" t="e">
        <f t="shared" si="33"/>
        <v>#N/A</v>
      </c>
      <c r="D323" s="86" t="e">
        <f>IF($C323&lt;&gt;0,Inputs!$B$14/12*C323,0)</f>
        <v>#N/A</v>
      </c>
      <c r="E323" s="86" t="e">
        <f t="shared" si="29"/>
        <v>#N/A</v>
      </c>
      <c r="F323" s="86" t="e">
        <f>IF($C323&gt;0,-PMT(Inputs!$B$14/12,Inputs!$B$15,Inputs!$B$11-Inputs!$B$13),0)</f>
        <v>#N/A</v>
      </c>
      <c r="H323" s="86">
        <f t="shared" si="34"/>
        <v>0</v>
      </c>
      <c r="I323" s="86">
        <f>IF($H323&lt;&gt;0,Inputs!$B$28/12*H323,0)</f>
        <v>0</v>
      </c>
      <c r="J323" s="86">
        <f t="shared" si="30"/>
        <v>0</v>
      </c>
      <c r="K323" s="86">
        <f t="shared" si="35"/>
        <v>0</v>
      </c>
    </row>
    <row r="324" spans="1:11" x14ac:dyDescent="0.3">
      <c r="A324" s="97">
        <f t="shared" ref="A324:A387" si="36">YEAR(B324)</f>
        <v>2051</v>
      </c>
      <c r="B324" s="79">
        <f t="shared" si="32"/>
        <v>55427</v>
      </c>
      <c r="C324" s="86" t="e">
        <f t="shared" si="33"/>
        <v>#N/A</v>
      </c>
      <c r="D324" s="86" t="e">
        <f>IF($C324&lt;&gt;0,Inputs!$B$14/12*C324,0)</f>
        <v>#N/A</v>
      </c>
      <c r="E324" s="86" t="e">
        <f t="shared" ref="E324:E387" si="37">F324-D324</f>
        <v>#N/A</v>
      </c>
      <c r="F324" s="86" t="e">
        <f>IF($C324&gt;0,-PMT(Inputs!$B$14/12,Inputs!$B$15,Inputs!$B$11-Inputs!$B$13),0)</f>
        <v>#N/A</v>
      </c>
      <c r="H324" s="86">
        <f t="shared" si="34"/>
        <v>0</v>
      </c>
      <c r="I324" s="86">
        <f>IF($H324&lt;&gt;0,Inputs!$B$28/12*H324,0)</f>
        <v>0</v>
      </c>
      <c r="J324" s="86">
        <f t="shared" ref="J324:J387" si="38">K324-I324</f>
        <v>0</v>
      </c>
      <c r="K324" s="86">
        <f t="shared" si="35"/>
        <v>0</v>
      </c>
    </row>
    <row r="325" spans="1:11" x14ac:dyDescent="0.3">
      <c r="A325" s="97">
        <f t="shared" si="36"/>
        <v>2051</v>
      </c>
      <c r="B325" s="79">
        <f t="shared" ref="B325:B388" si="39">EDATE(B324,1)</f>
        <v>55458</v>
      </c>
      <c r="C325" s="86" t="e">
        <f t="shared" ref="C325:C388" si="40">IF(C324&gt;0,C324-E324,0)</f>
        <v>#N/A</v>
      </c>
      <c r="D325" s="86" t="e">
        <f>IF($C325&lt;&gt;0,Inputs!$B$14/12*C325,0)</f>
        <v>#N/A</v>
      </c>
      <c r="E325" s="86" t="e">
        <f t="shared" si="37"/>
        <v>#N/A</v>
      </c>
      <c r="F325" s="86" t="e">
        <f>IF($C325&gt;0,-PMT(Inputs!$B$14/12,Inputs!$B$15,Inputs!$B$11-Inputs!$B$13),0)</f>
        <v>#N/A</v>
      </c>
      <c r="H325" s="86">
        <f t="shared" ref="H325:H388" si="41">IF(H324&gt;0,H324-J324,0)</f>
        <v>0</v>
      </c>
      <c r="I325" s="86">
        <f>IF($H325&lt;&gt;0,Inputs!$B$28/12*H325,0)</f>
        <v>0</v>
      </c>
      <c r="J325" s="86">
        <f t="shared" si="38"/>
        <v>0</v>
      </c>
      <c r="K325" s="86">
        <f t="shared" si="35"/>
        <v>0</v>
      </c>
    </row>
    <row r="326" spans="1:11" x14ac:dyDescent="0.3">
      <c r="A326" s="97">
        <f t="shared" si="36"/>
        <v>2051</v>
      </c>
      <c r="B326" s="79">
        <f t="shared" si="39"/>
        <v>55488</v>
      </c>
      <c r="C326" s="86" t="e">
        <f t="shared" si="40"/>
        <v>#N/A</v>
      </c>
      <c r="D326" s="86" t="e">
        <f>IF($C326&lt;&gt;0,Inputs!$B$14/12*C326,0)</f>
        <v>#N/A</v>
      </c>
      <c r="E326" s="86" t="e">
        <f t="shared" si="37"/>
        <v>#N/A</v>
      </c>
      <c r="F326" s="86" t="e">
        <f>IF($C326&gt;0,-PMT(Inputs!$B$14/12,Inputs!$B$15,Inputs!$B$11-Inputs!$B$13),0)</f>
        <v>#N/A</v>
      </c>
      <c r="H326" s="86">
        <f t="shared" si="41"/>
        <v>0</v>
      </c>
      <c r="I326" s="86">
        <f>IF($H326&lt;&gt;0,Inputs!$B$28/12*H326,0)</f>
        <v>0</v>
      </c>
      <c r="J326" s="86">
        <f t="shared" si="38"/>
        <v>0</v>
      </c>
      <c r="K326" s="86">
        <f t="shared" si="35"/>
        <v>0</v>
      </c>
    </row>
    <row r="327" spans="1:11" x14ac:dyDescent="0.3">
      <c r="A327" s="97">
        <f t="shared" si="36"/>
        <v>2052</v>
      </c>
      <c r="B327" s="79">
        <f t="shared" si="39"/>
        <v>55519</v>
      </c>
      <c r="C327" s="86" t="e">
        <f t="shared" si="40"/>
        <v>#N/A</v>
      </c>
      <c r="D327" s="86" t="e">
        <f>IF($C327&lt;&gt;0,Inputs!$B$14/12*C327,0)</f>
        <v>#N/A</v>
      </c>
      <c r="E327" s="86" t="e">
        <f t="shared" si="37"/>
        <v>#N/A</v>
      </c>
      <c r="F327" s="86" t="e">
        <f>IF($C327&gt;0,-PMT(Inputs!$B$14/12,Inputs!$B$15,Inputs!$B$11-Inputs!$B$13),0)</f>
        <v>#N/A</v>
      </c>
      <c r="H327" s="86">
        <f t="shared" si="41"/>
        <v>0</v>
      </c>
      <c r="I327" s="86">
        <f>IF($H327&lt;&gt;0,Inputs!$B$28/12*H327,0)</f>
        <v>0</v>
      </c>
      <c r="J327" s="86">
        <f t="shared" si="38"/>
        <v>0</v>
      </c>
      <c r="K327" s="86">
        <f t="shared" si="35"/>
        <v>0</v>
      </c>
    </row>
    <row r="328" spans="1:11" x14ac:dyDescent="0.3">
      <c r="A328" s="97">
        <f t="shared" si="36"/>
        <v>2052</v>
      </c>
      <c r="B328" s="79">
        <f t="shared" si="39"/>
        <v>55550</v>
      </c>
      <c r="C328" s="86" t="e">
        <f t="shared" si="40"/>
        <v>#N/A</v>
      </c>
      <c r="D328" s="86" t="e">
        <f>IF($C328&lt;&gt;0,Inputs!$B$14/12*C328,0)</f>
        <v>#N/A</v>
      </c>
      <c r="E328" s="86" t="e">
        <f t="shared" si="37"/>
        <v>#N/A</v>
      </c>
      <c r="F328" s="86" t="e">
        <f>IF($C328&gt;0,-PMT(Inputs!$B$14/12,Inputs!$B$15,Inputs!$B$11-Inputs!$B$13),0)</f>
        <v>#N/A</v>
      </c>
      <c r="H328" s="86">
        <f t="shared" si="41"/>
        <v>0</v>
      </c>
      <c r="I328" s="86">
        <f>IF($H328&lt;&gt;0,Inputs!$B$28/12*H328,0)</f>
        <v>0</v>
      </c>
      <c r="J328" s="86">
        <f t="shared" si="38"/>
        <v>0</v>
      </c>
      <c r="K328" s="86">
        <f t="shared" si="35"/>
        <v>0</v>
      </c>
    </row>
    <row r="329" spans="1:11" x14ac:dyDescent="0.3">
      <c r="A329" s="97">
        <f t="shared" si="36"/>
        <v>2052</v>
      </c>
      <c r="B329" s="79">
        <f t="shared" si="39"/>
        <v>55579</v>
      </c>
      <c r="C329" s="86" t="e">
        <f t="shared" si="40"/>
        <v>#N/A</v>
      </c>
      <c r="D329" s="86" t="e">
        <f>IF($C329&lt;&gt;0,Inputs!$B$14/12*C329,0)</f>
        <v>#N/A</v>
      </c>
      <c r="E329" s="86" t="e">
        <f t="shared" si="37"/>
        <v>#N/A</v>
      </c>
      <c r="F329" s="86" t="e">
        <f>IF($C329&gt;0,-PMT(Inputs!$B$14/12,Inputs!$B$15,Inputs!$B$11-Inputs!$B$13),0)</f>
        <v>#N/A</v>
      </c>
      <c r="H329" s="86">
        <f t="shared" si="41"/>
        <v>0</v>
      </c>
      <c r="I329" s="86">
        <f>IF($H329&lt;&gt;0,Inputs!$B$28/12*H329,0)</f>
        <v>0</v>
      </c>
      <c r="J329" s="86">
        <f t="shared" si="38"/>
        <v>0</v>
      </c>
      <c r="K329" s="86">
        <f t="shared" si="35"/>
        <v>0</v>
      </c>
    </row>
    <row r="330" spans="1:11" x14ac:dyDescent="0.3">
      <c r="A330" s="97">
        <f t="shared" si="36"/>
        <v>2052</v>
      </c>
      <c r="B330" s="79">
        <f t="shared" si="39"/>
        <v>55610</v>
      </c>
      <c r="C330" s="86" t="e">
        <f t="shared" si="40"/>
        <v>#N/A</v>
      </c>
      <c r="D330" s="86" t="e">
        <f>IF($C330&lt;&gt;0,Inputs!$B$14/12*C330,0)</f>
        <v>#N/A</v>
      </c>
      <c r="E330" s="86" t="e">
        <f t="shared" si="37"/>
        <v>#N/A</v>
      </c>
      <c r="F330" s="86" t="e">
        <f>IF($C330&gt;0,-PMT(Inputs!$B$14/12,Inputs!$B$15,Inputs!$B$11-Inputs!$B$13),0)</f>
        <v>#N/A</v>
      </c>
      <c r="H330" s="86">
        <f t="shared" si="41"/>
        <v>0</v>
      </c>
      <c r="I330" s="86">
        <f>IF($H330&lt;&gt;0,Inputs!$B$28/12*H330,0)</f>
        <v>0</v>
      </c>
      <c r="J330" s="86">
        <f t="shared" si="38"/>
        <v>0</v>
      </c>
      <c r="K330" s="86">
        <f t="shared" si="35"/>
        <v>0</v>
      </c>
    </row>
    <row r="331" spans="1:11" x14ac:dyDescent="0.3">
      <c r="A331" s="97">
        <f t="shared" si="36"/>
        <v>2052</v>
      </c>
      <c r="B331" s="79">
        <f t="shared" si="39"/>
        <v>55640</v>
      </c>
      <c r="C331" s="86" t="e">
        <f t="shared" si="40"/>
        <v>#N/A</v>
      </c>
      <c r="D331" s="86" t="e">
        <f>IF($C331&lt;&gt;0,Inputs!$B$14/12*C331,0)</f>
        <v>#N/A</v>
      </c>
      <c r="E331" s="86" t="e">
        <f t="shared" si="37"/>
        <v>#N/A</v>
      </c>
      <c r="F331" s="86" t="e">
        <f>IF($C331&gt;0,-PMT(Inputs!$B$14/12,Inputs!$B$15,Inputs!$B$11-Inputs!$B$13),0)</f>
        <v>#N/A</v>
      </c>
      <c r="H331" s="86">
        <f t="shared" si="41"/>
        <v>0</v>
      </c>
      <c r="I331" s="86">
        <f>IF($H331&lt;&gt;0,Inputs!$B$28/12*H331,0)</f>
        <v>0</v>
      </c>
      <c r="J331" s="86">
        <f t="shared" si="38"/>
        <v>0</v>
      </c>
      <c r="K331" s="86">
        <f t="shared" si="35"/>
        <v>0</v>
      </c>
    </row>
    <row r="332" spans="1:11" x14ac:dyDescent="0.3">
      <c r="A332" s="97">
        <f t="shared" si="36"/>
        <v>2052</v>
      </c>
      <c r="B332" s="79">
        <f t="shared" si="39"/>
        <v>55671</v>
      </c>
      <c r="C332" s="86" t="e">
        <f t="shared" si="40"/>
        <v>#N/A</v>
      </c>
      <c r="D332" s="86" t="e">
        <f>IF($C332&lt;&gt;0,Inputs!$B$14/12*C332,0)</f>
        <v>#N/A</v>
      </c>
      <c r="E332" s="86" t="e">
        <f t="shared" si="37"/>
        <v>#N/A</v>
      </c>
      <c r="F332" s="86" t="e">
        <f>IF($C332&gt;0,-PMT(Inputs!$B$14/12,Inputs!$B$15,Inputs!$B$11-Inputs!$B$13),0)</f>
        <v>#N/A</v>
      </c>
      <c r="H332" s="86">
        <f t="shared" si="41"/>
        <v>0</v>
      </c>
      <c r="I332" s="86">
        <f>IF($H332&lt;&gt;0,Inputs!$B$28/12*H332,0)</f>
        <v>0</v>
      </c>
      <c r="J332" s="86">
        <f t="shared" si="38"/>
        <v>0</v>
      </c>
      <c r="K332" s="86">
        <f t="shared" si="35"/>
        <v>0</v>
      </c>
    </row>
    <row r="333" spans="1:11" x14ac:dyDescent="0.3">
      <c r="A333" s="97">
        <f t="shared" si="36"/>
        <v>2052</v>
      </c>
      <c r="B333" s="79">
        <f t="shared" si="39"/>
        <v>55701</v>
      </c>
      <c r="C333" s="86" t="e">
        <f t="shared" si="40"/>
        <v>#N/A</v>
      </c>
      <c r="D333" s="86" t="e">
        <f>IF($C333&lt;&gt;0,Inputs!$B$14/12*C333,0)</f>
        <v>#N/A</v>
      </c>
      <c r="E333" s="86" t="e">
        <f t="shared" si="37"/>
        <v>#N/A</v>
      </c>
      <c r="F333" s="86" t="e">
        <f>IF($C333&gt;0,-PMT(Inputs!$B$14/12,Inputs!$B$15,Inputs!$B$11-Inputs!$B$13),0)</f>
        <v>#N/A</v>
      </c>
      <c r="H333" s="86">
        <f t="shared" si="41"/>
        <v>0</v>
      </c>
      <c r="I333" s="86">
        <f>IF($H333&lt;&gt;0,Inputs!$B$28/12*H333,0)</f>
        <v>0</v>
      </c>
      <c r="J333" s="86">
        <f t="shared" si="38"/>
        <v>0</v>
      </c>
      <c r="K333" s="86">
        <f t="shared" si="35"/>
        <v>0</v>
      </c>
    </row>
    <row r="334" spans="1:11" x14ac:dyDescent="0.3">
      <c r="A334" s="97">
        <f t="shared" si="36"/>
        <v>2052</v>
      </c>
      <c r="B334" s="79">
        <f t="shared" si="39"/>
        <v>55732</v>
      </c>
      <c r="C334" s="86" t="e">
        <f t="shared" si="40"/>
        <v>#N/A</v>
      </c>
      <c r="D334" s="86" t="e">
        <f>IF($C334&lt;&gt;0,Inputs!$B$14/12*C334,0)</f>
        <v>#N/A</v>
      </c>
      <c r="E334" s="86" t="e">
        <f t="shared" si="37"/>
        <v>#N/A</v>
      </c>
      <c r="F334" s="86" t="e">
        <f>IF($C334&gt;0,-PMT(Inputs!$B$14/12,Inputs!$B$15,Inputs!$B$11-Inputs!$B$13),0)</f>
        <v>#N/A</v>
      </c>
      <c r="H334" s="86">
        <f t="shared" si="41"/>
        <v>0</v>
      </c>
      <c r="I334" s="86">
        <f>IF($H334&lt;&gt;0,Inputs!$B$28/12*H334,0)</f>
        <v>0</v>
      </c>
      <c r="J334" s="86">
        <f t="shared" si="38"/>
        <v>0</v>
      </c>
      <c r="K334" s="86">
        <f t="shared" si="35"/>
        <v>0</v>
      </c>
    </row>
    <row r="335" spans="1:11" x14ac:dyDescent="0.3">
      <c r="A335" s="97">
        <f t="shared" si="36"/>
        <v>2052</v>
      </c>
      <c r="B335" s="79">
        <f t="shared" si="39"/>
        <v>55763</v>
      </c>
      <c r="C335" s="86" t="e">
        <f t="shared" si="40"/>
        <v>#N/A</v>
      </c>
      <c r="D335" s="86" t="e">
        <f>IF($C335&lt;&gt;0,Inputs!$B$14/12*C335,0)</f>
        <v>#N/A</v>
      </c>
      <c r="E335" s="86" t="e">
        <f t="shared" si="37"/>
        <v>#N/A</v>
      </c>
      <c r="F335" s="86" t="e">
        <f>IF($C335&gt;0,-PMT(Inputs!$B$14/12,Inputs!$B$15,Inputs!$B$11-Inputs!$B$13),0)</f>
        <v>#N/A</v>
      </c>
      <c r="H335" s="86">
        <f t="shared" si="41"/>
        <v>0</v>
      </c>
      <c r="I335" s="86">
        <f>IF($H335&lt;&gt;0,Inputs!$B$28/12*H335,0)</f>
        <v>0</v>
      </c>
      <c r="J335" s="86">
        <f t="shared" si="38"/>
        <v>0</v>
      </c>
      <c r="K335" s="86">
        <f t="shared" si="35"/>
        <v>0</v>
      </c>
    </row>
    <row r="336" spans="1:11" x14ac:dyDescent="0.3">
      <c r="A336" s="97">
        <f t="shared" si="36"/>
        <v>2052</v>
      </c>
      <c r="B336" s="79">
        <f t="shared" si="39"/>
        <v>55793</v>
      </c>
      <c r="C336" s="86" t="e">
        <f t="shared" si="40"/>
        <v>#N/A</v>
      </c>
      <c r="D336" s="86" t="e">
        <f>IF($C336&lt;&gt;0,Inputs!$B$14/12*C336,0)</f>
        <v>#N/A</v>
      </c>
      <c r="E336" s="86" t="e">
        <f t="shared" si="37"/>
        <v>#N/A</v>
      </c>
      <c r="F336" s="86" t="e">
        <f>IF($C336&gt;0,-PMT(Inputs!$B$14/12,Inputs!$B$15,Inputs!$B$11-Inputs!$B$13),0)</f>
        <v>#N/A</v>
      </c>
      <c r="H336" s="86">
        <f t="shared" si="41"/>
        <v>0</v>
      </c>
      <c r="I336" s="86">
        <f>IF($H336&lt;&gt;0,Inputs!$B$28/12*H336,0)</f>
        <v>0</v>
      </c>
      <c r="J336" s="86">
        <f t="shared" si="38"/>
        <v>0</v>
      </c>
      <c r="K336" s="86">
        <f t="shared" si="35"/>
        <v>0</v>
      </c>
    </row>
    <row r="337" spans="1:11" x14ac:dyDescent="0.3">
      <c r="A337" s="97">
        <f t="shared" si="36"/>
        <v>2052</v>
      </c>
      <c r="B337" s="79">
        <f t="shared" si="39"/>
        <v>55824</v>
      </c>
      <c r="C337" s="86" t="e">
        <f t="shared" si="40"/>
        <v>#N/A</v>
      </c>
      <c r="D337" s="86" t="e">
        <f>IF($C337&lt;&gt;0,Inputs!$B$14/12*C337,0)</f>
        <v>#N/A</v>
      </c>
      <c r="E337" s="86" t="e">
        <f t="shared" si="37"/>
        <v>#N/A</v>
      </c>
      <c r="F337" s="86" t="e">
        <f>IF($C337&gt;0,-PMT(Inputs!$B$14/12,Inputs!$B$15,Inputs!$B$11-Inputs!$B$13),0)</f>
        <v>#N/A</v>
      </c>
      <c r="H337" s="86">
        <f t="shared" si="41"/>
        <v>0</v>
      </c>
      <c r="I337" s="86">
        <f>IF($H337&lt;&gt;0,Inputs!$B$28/12*H337,0)</f>
        <v>0</v>
      </c>
      <c r="J337" s="86">
        <f t="shared" si="38"/>
        <v>0</v>
      </c>
      <c r="K337" s="86">
        <f t="shared" si="35"/>
        <v>0</v>
      </c>
    </row>
    <row r="338" spans="1:11" x14ac:dyDescent="0.3">
      <c r="A338" s="97">
        <f t="shared" si="36"/>
        <v>2052</v>
      </c>
      <c r="B338" s="79">
        <f t="shared" si="39"/>
        <v>55854</v>
      </c>
      <c r="C338" s="86" t="e">
        <f t="shared" si="40"/>
        <v>#N/A</v>
      </c>
      <c r="D338" s="86" t="e">
        <f>IF($C338&lt;&gt;0,Inputs!$B$14/12*C338,0)</f>
        <v>#N/A</v>
      </c>
      <c r="E338" s="86" t="e">
        <f t="shared" si="37"/>
        <v>#N/A</v>
      </c>
      <c r="F338" s="86" t="e">
        <f>IF($C338&gt;0,-PMT(Inputs!$B$14/12,Inputs!$B$15,Inputs!$B$11-Inputs!$B$13),0)</f>
        <v>#N/A</v>
      </c>
      <c r="H338" s="86">
        <f t="shared" si="41"/>
        <v>0</v>
      </c>
      <c r="I338" s="86">
        <f>IF($H338&lt;&gt;0,Inputs!$B$28/12*H338,0)</f>
        <v>0</v>
      </c>
      <c r="J338" s="86">
        <f t="shared" si="38"/>
        <v>0</v>
      </c>
      <c r="K338" s="86">
        <f t="shared" si="35"/>
        <v>0</v>
      </c>
    </row>
    <row r="339" spans="1:11" x14ac:dyDescent="0.3">
      <c r="A339" s="97">
        <f t="shared" si="36"/>
        <v>2053</v>
      </c>
      <c r="B339" s="79">
        <f t="shared" si="39"/>
        <v>55885</v>
      </c>
      <c r="C339" s="86" t="e">
        <f t="shared" si="40"/>
        <v>#N/A</v>
      </c>
      <c r="D339" s="86" t="e">
        <f>IF($C339&lt;&gt;0,Inputs!$B$14/12*C339,0)</f>
        <v>#N/A</v>
      </c>
      <c r="E339" s="86" t="e">
        <f t="shared" si="37"/>
        <v>#N/A</v>
      </c>
      <c r="F339" s="86" t="e">
        <f>IF($C339&gt;0,-PMT(Inputs!$B$14/12,Inputs!$B$15,Inputs!$B$11-Inputs!$B$13),0)</f>
        <v>#N/A</v>
      </c>
      <c r="H339" s="86">
        <f t="shared" si="41"/>
        <v>0</v>
      </c>
      <c r="I339" s="86">
        <f>IF($H339&lt;&gt;0,Inputs!$B$28/12*H339,0)</f>
        <v>0</v>
      </c>
      <c r="J339" s="86">
        <f t="shared" si="38"/>
        <v>0</v>
      </c>
      <c r="K339" s="86">
        <f t="shared" si="35"/>
        <v>0</v>
      </c>
    </row>
    <row r="340" spans="1:11" x14ac:dyDescent="0.3">
      <c r="A340" s="97">
        <f t="shared" si="36"/>
        <v>2053</v>
      </c>
      <c r="B340" s="79">
        <f t="shared" si="39"/>
        <v>55916</v>
      </c>
      <c r="C340" s="86" t="e">
        <f t="shared" si="40"/>
        <v>#N/A</v>
      </c>
      <c r="D340" s="86" t="e">
        <f>IF($C340&lt;&gt;0,Inputs!$B$14/12*C340,0)</f>
        <v>#N/A</v>
      </c>
      <c r="E340" s="86" t="e">
        <f t="shared" si="37"/>
        <v>#N/A</v>
      </c>
      <c r="F340" s="86" t="e">
        <f>IF($C340&gt;0,-PMT(Inputs!$B$14/12,Inputs!$B$15,Inputs!$B$11-Inputs!$B$13),0)</f>
        <v>#N/A</v>
      </c>
      <c r="H340" s="86">
        <f t="shared" si="41"/>
        <v>0</v>
      </c>
      <c r="I340" s="86">
        <f>IF($H340&lt;&gt;0,Inputs!$B$28/12*H340,0)</f>
        <v>0</v>
      </c>
      <c r="J340" s="86">
        <f t="shared" si="38"/>
        <v>0</v>
      </c>
      <c r="K340" s="86">
        <f t="shared" si="35"/>
        <v>0</v>
      </c>
    </row>
    <row r="341" spans="1:11" x14ac:dyDescent="0.3">
      <c r="A341" s="97">
        <f t="shared" si="36"/>
        <v>2053</v>
      </c>
      <c r="B341" s="79">
        <f t="shared" si="39"/>
        <v>55944</v>
      </c>
      <c r="C341" s="86" t="e">
        <f t="shared" si="40"/>
        <v>#N/A</v>
      </c>
      <c r="D341" s="86" t="e">
        <f>IF($C341&lt;&gt;0,Inputs!$B$14/12*C341,0)</f>
        <v>#N/A</v>
      </c>
      <c r="E341" s="86" t="e">
        <f t="shared" si="37"/>
        <v>#N/A</v>
      </c>
      <c r="F341" s="86" t="e">
        <f>IF($C341&gt;0,-PMT(Inputs!$B$14/12,Inputs!$B$15,Inputs!$B$11-Inputs!$B$13),0)</f>
        <v>#N/A</v>
      </c>
      <c r="H341" s="86">
        <f t="shared" si="41"/>
        <v>0</v>
      </c>
      <c r="I341" s="86">
        <f>IF($H341&lt;&gt;0,Inputs!$B$28/12*H341,0)</f>
        <v>0</v>
      </c>
      <c r="J341" s="86">
        <f t="shared" si="38"/>
        <v>0</v>
      </c>
      <c r="K341" s="86">
        <f t="shared" si="35"/>
        <v>0</v>
      </c>
    </row>
    <row r="342" spans="1:11" x14ac:dyDescent="0.3">
      <c r="A342" s="97">
        <f t="shared" si="36"/>
        <v>2053</v>
      </c>
      <c r="B342" s="79">
        <f t="shared" si="39"/>
        <v>55975</v>
      </c>
      <c r="C342" s="86" t="e">
        <f t="shared" si="40"/>
        <v>#N/A</v>
      </c>
      <c r="D342" s="86" t="e">
        <f>IF($C342&lt;&gt;0,Inputs!$B$14/12*C342,0)</f>
        <v>#N/A</v>
      </c>
      <c r="E342" s="86" t="e">
        <f t="shared" si="37"/>
        <v>#N/A</v>
      </c>
      <c r="F342" s="86" t="e">
        <f>IF($C342&gt;0,-PMT(Inputs!$B$14/12,Inputs!$B$15,Inputs!$B$11-Inputs!$B$13),0)</f>
        <v>#N/A</v>
      </c>
      <c r="H342" s="86">
        <f t="shared" si="41"/>
        <v>0</v>
      </c>
      <c r="I342" s="86">
        <f>IF($H342&lt;&gt;0,Inputs!$B$28/12*H342,0)</f>
        <v>0</v>
      </c>
      <c r="J342" s="86">
        <f t="shared" si="38"/>
        <v>0</v>
      </c>
      <c r="K342" s="86">
        <f t="shared" si="35"/>
        <v>0</v>
      </c>
    </row>
    <row r="343" spans="1:11" x14ac:dyDescent="0.3">
      <c r="A343" s="97">
        <f t="shared" si="36"/>
        <v>2053</v>
      </c>
      <c r="B343" s="79">
        <f t="shared" si="39"/>
        <v>56005</v>
      </c>
      <c r="C343" s="86" t="e">
        <f t="shared" si="40"/>
        <v>#N/A</v>
      </c>
      <c r="D343" s="86" t="e">
        <f>IF($C343&lt;&gt;0,Inputs!$B$14/12*C343,0)</f>
        <v>#N/A</v>
      </c>
      <c r="E343" s="86" t="e">
        <f t="shared" si="37"/>
        <v>#N/A</v>
      </c>
      <c r="F343" s="86" t="e">
        <f>IF($C343&gt;0,-PMT(Inputs!$B$14/12,Inputs!$B$15,Inputs!$B$11-Inputs!$B$13),0)</f>
        <v>#N/A</v>
      </c>
      <c r="H343" s="86">
        <f t="shared" si="41"/>
        <v>0</v>
      </c>
      <c r="I343" s="86">
        <f>IF($H343&lt;&gt;0,Inputs!$B$28/12*H343,0)</f>
        <v>0</v>
      </c>
      <c r="J343" s="86">
        <f t="shared" si="38"/>
        <v>0</v>
      </c>
      <c r="K343" s="86">
        <f t="shared" si="35"/>
        <v>0</v>
      </c>
    </row>
    <row r="344" spans="1:11" x14ac:dyDescent="0.3">
      <c r="A344" s="97">
        <f t="shared" si="36"/>
        <v>2053</v>
      </c>
      <c r="B344" s="79">
        <f t="shared" si="39"/>
        <v>56036</v>
      </c>
      <c r="C344" s="86" t="e">
        <f t="shared" si="40"/>
        <v>#N/A</v>
      </c>
      <c r="D344" s="86" t="e">
        <f>IF($C344&lt;&gt;0,Inputs!$B$14/12*C344,0)</f>
        <v>#N/A</v>
      </c>
      <c r="E344" s="86" t="e">
        <f t="shared" si="37"/>
        <v>#N/A</v>
      </c>
      <c r="F344" s="86" t="e">
        <f>IF($C344&gt;0,-PMT(Inputs!$B$14/12,Inputs!$B$15,Inputs!$B$11-Inputs!$B$13),0)</f>
        <v>#N/A</v>
      </c>
      <c r="H344" s="86">
        <f t="shared" si="41"/>
        <v>0</v>
      </c>
      <c r="I344" s="86">
        <f>IF($H344&lt;&gt;0,Inputs!$B$28/12*H344,0)</f>
        <v>0</v>
      </c>
      <c r="J344" s="86">
        <f t="shared" si="38"/>
        <v>0</v>
      </c>
      <c r="K344" s="86">
        <f t="shared" si="35"/>
        <v>0</v>
      </c>
    </row>
    <row r="345" spans="1:11" x14ac:dyDescent="0.3">
      <c r="A345" s="97">
        <f t="shared" si="36"/>
        <v>2053</v>
      </c>
      <c r="B345" s="79">
        <f t="shared" si="39"/>
        <v>56066</v>
      </c>
      <c r="C345" s="86" t="e">
        <f t="shared" si="40"/>
        <v>#N/A</v>
      </c>
      <c r="D345" s="86" t="e">
        <f>IF($C345&lt;&gt;0,Inputs!$B$14/12*C345,0)</f>
        <v>#N/A</v>
      </c>
      <c r="E345" s="86" t="e">
        <f t="shared" si="37"/>
        <v>#N/A</v>
      </c>
      <c r="F345" s="86" t="e">
        <f>IF($C345&gt;0,-PMT(Inputs!$B$14/12,Inputs!$B$15,Inputs!$B$11-Inputs!$B$13),0)</f>
        <v>#N/A</v>
      </c>
      <c r="H345" s="86">
        <f t="shared" si="41"/>
        <v>0</v>
      </c>
      <c r="I345" s="86">
        <f>IF($H345&lt;&gt;0,Inputs!$B$28/12*H345,0)</f>
        <v>0</v>
      </c>
      <c r="J345" s="86">
        <f t="shared" si="38"/>
        <v>0</v>
      </c>
      <c r="K345" s="86">
        <f t="shared" si="35"/>
        <v>0</v>
      </c>
    </row>
    <row r="346" spans="1:11" x14ac:dyDescent="0.3">
      <c r="A346" s="97">
        <f t="shared" si="36"/>
        <v>2053</v>
      </c>
      <c r="B346" s="79">
        <f t="shared" si="39"/>
        <v>56097</v>
      </c>
      <c r="C346" s="86" t="e">
        <f t="shared" si="40"/>
        <v>#N/A</v>
      </c>
      <c r="D346" s="86" t="e">
        <f>IF($C346&lt;&gt;0,Inputs!$B$14/12*C346,0)</f>
        <v>#N/A</v>
      </c>
      <c r="E346" s="86" t="e">
        <f t="shared" si="37"/>
        <v>#N/A</v>
      </c>
      <c r="F346" s="86" t="e">
        <f>IF($C346&gt;0,-PMT(Inputs!$B$14/12,Inputs!$B$15,Inputs!$B$11-Inputs!$B$13),0)</f>
        <v>#N/A</v>
      </c>
      <c r="H346" s="86">
        <f t="shared" si="41"/>
        <v>0</v>
      </c>
      <c r="I346" s="86">
        <f>IF($H346&lt;&gt;0,Inputs!$B$28/12*H346,0)</f>
        <v>0</v>
      </c>
      <c r="J346" s="86">
        <f t="shared" si="38"/>
        <v>0</v>
      </c>
      <c r="K346" s="86">
        <f t="shared" si="35"/>
        <v>0</v>
      </c>
    </row>
    <row r="347" spans="1:11" x14ac:dyDescent="0.3">
      <c r="A347" s="97">
        <f t="shared" si="36"/>
        <v>2053</v>
      </c>
      <c r="B347" s="79">
        <f t="shared" si="39"/>
        <v>56128</v>
      </c>
      <c r="C347" s="86" t="e">
        <f t="shared" si="40"/>
        <v>#N/A</v>
      </c>
      <c r="D347" s="86" t="e">
        <f>IF($C347&lt;&gt;0,Inputs!$B$14/12*C347,0)</f>
        <v>#N/A</v>
      </c>
      <c r="E347" s="86" t="e">
        <f t="shared" si="37"/>
        <v>#N/A</v>
      </c>
      <c r="F347" s="86" t="e">
        <f>IF($C347&gt;0,-PMT(Inputs!$B$14/12,Inputs!$B$15,Inputs!$B$11-Inputs!$B$13),0)</f>
        <v>#N/A</v>
      </c>
      <c r="H347" s="86">
        <f t="shared" si="41"/>
        <v>0</v>
      </c>
      <c r="I347" s="86">
        <f>IF($H347&lt;&gt;0,Inputs!$B$28/12*H347,0)</f>
        <v>0</v>
      </c>
      <c r="J347" s="86">
        <f t="shared" si="38"/>
        <v>0</v>
      </c>
      <c r="K347" s="86">
        <f t="shared" si="35"/>
        <v>0</v>
      </c>
    </row>
    <row r="348" spans="1:11" x14ac:dyDescent="0.3">
      <c r="A348" s="97">
        <f t="shared" si="36"/>
        <v>2053</v>
      </c>
      <c r="B348" s="79">
        <f t="shared" si="39"/>
        <v>56158</v>
      </c>
      <c r="C348" s="86" t="e">
        <f t="shared" si="40"/>
        <v>#N/A</v>
      </c>
      <c r="D348" s="86" t="e">
        <f>IF($C348&lt;&gt;0,Inputs!$B$14/12*C348,0)</f>
        <v>#N/A</v>
      </c>
      <c r="E348" s="86" t="e">
        <f t="shared" si="37"/>
        <v>#N/A</v>
      </c>
      <c r="F348" s="86" t="e">
        <f>IF($C348&gt;0,-PMT(Inputs!$B$14/12,Inputs!$B$15,Inputs!$B$11-Inputs!$B$13),0)</f>
        <v>#N/A</v>
      </c>
      <c r="H348" s="86">
        <f t="shared" si="41"/>
        <v>0</v>
      </c>
      <c r="I348" s="86">
        <f>IF($H348&lt;&gt;0,Inputs!$B$28/12*H348,0)</f>
        <v>0</v>
      </c>
      <c r="J348" s="86">
        <f t="shared" si="38"/>
        <v>0</v>
      </c>
      <c r="K348" s="86">
        <f t="shared" si="35"/>
        <v>0</v>
      </c>
    </row>
    <row r="349" spans="1:11" x14ac:dyDescent="0.3">
      <c r="A349" s="97">
        <f t="shared" si="36"/>
        <v>2053</v>
      </c>
      <c r="B349" s="79">
        <f t="shared" si="39"/>
        <v>56189</v>
      </c>
      <c r="C349" s="86" t="e">
        <f t="shared" si="40"/>
        <v>#N/A</v>
      </c>
      <c r="D349" s="86" t="e">
        <f>IF($C349&lt;&gt;0,Inputs!$B$14/12*C349,0)</f>
        <v>#N/A</v>
      </c>
      <c r="E349" s="86" t="e">
        <f t="shared" si="37"/>
        <v>#N/A</v>
      </c>
      <c r="F349" s="86" t="e">
        <f>IF($C349&gt;0,-PMT(Inputs!$B$14/12,Inputs!$B$15,Inputs!$B$11-Inputs!$B$13),0)</f>
        <v>#N/A</v>
      </c>
      <c r="H349" s="86">
        <f t="shared" si="41"/>
        <v>0</v>
      </c>
      <c r="I349" s="86">
        <f>IF($H349&lt;&gt;0,Inputs!$B$28/12*H349,0)</f>
        <v>0</v>
      </c>
      <c r="J349" s="86">
        <f t="shared" si="38"/>
        <v>0</v>
      </c>
      <c r="K349" s="86">
        <f t="shared" si="35"/>
        <v>0</v>
      </c>
    </row>
    <row r="350" spans="1:11" x14ac:dyDescent="0.3">
      <c r="A350" s="97">
        <f t="shared" si="36"/>
        <v>2053</v>
      </c>
      <c r="B350" s="79">
        <f t="shared" si="39"/>
        <v>56219</v>
      </c>
      <c r="C350" s="86" t="e">
        <f t="shared" si="40"/>
        <v>#N/A</v>
      </c>
      <c r="D350" s="86" t="e">
        <f>IF($C350&lt;&gt;0,Inputs!$B$14/12*C350,0)</f>
        <v>#N/A</v>
      </c>
      <c r="E350" s="86" t="e">
        <f t="shared" si="37"/>
        <v>#N/A</v>
      </c>
      <c r="F350" s="86" t="e">
        <f>IF($C350&gt;0,-PMT(Inputs!$B$14/12,Inputs!$B$15,Inputs!$B$11-Inputs!$B$13),0)</f>
        <v>#N/A</v>
      </c>
      <c r="H350" s="86">
        <f t="shared" si="41"/>
        <v>0</v>
      </c>
      <c r="I350" s="86">
        <f>IF($H350&lt;&gt;0,Inputs!$B$28/12*H350,0)</f>
        <v>0</v>
      </c>
      <c r="J350" s="86">
        <f t="shared" si="38"/>
        <v>0</v>
      </c>
      <c r="K350" s="86">
        <f t="shared" si="35"/>
        <v>0</v>
      </c>
    </row>
    <row r="351" spans="1:11" x14ac:dyDescent="0.3">
      <c r="A351" s="97">
        <f t="shared" si="36"/>
        <v>2054</v>
      </c>
      <c r="B351" s="79">
        <f t="shared" si="39"/>
        <v>56250</v>
      </c>
      <c r="C351" s="86" t="e">
        <f t="shared" si="40"/>
        <v>#N/A</v>
      </c>
      <c r="D351" s="86" t="e">
        <f>IF($C351&lt;&gt;0,Inputs!$B$14/12*C351,0)</f>
        <v>#N/A</v>
      </c>
      <c r="E351" s="86" t="e">
        <f t="shared" si="37"/>
        <v>#N/A</v>
      </c>
      <c r="F351" s="86" t="e">
        <f>IF($C351&gt;0,-PMT(Inputs!$B$14/12,Inputs!$B$15,Inputs!$B$11-Inputs!$B$13),0)</f>
        <v>#N/A</v>
      </c>
      <c r="H351" s="86">
        <f t="shared" si="41"/>
        <v>0</v>
      </c>
      <c r="I351" s="86">
        <f>IF($H351&lt;&gt;0,Inputs!$B$28/12*H351,0)</f>
        <v>0</v>
      </c>
      <c r="J351" s="86">
        <f t="shared" si="38"/>
        <v>0</v>
      </c>
      <c r="K351" s="86">
        <f t="shared" si="35"/>
        <v>0</v>
      </c>
    </row>
    <row r="352" spans="1:11" x14ac:dyDescent="0.3">
      <c r="A352" s="97">
        <f t="shared" si="36"/>
        <v>2054</v>
      </c>
      <c r="B352" s="79">
        <f t="shared" si="39"/>
        <v>56281</v>
      </c>
      <c r="C352" s="86" t="e">
        <f t="shared" si="40"/>
        <v>#N/A</v>
      </c>
      <c r="D352" s="86" t="e">
        <f>IF($C352&lt;&gt;0,Inputs!$B$14/12*C352,0)</f>
        <v>#N/A</v>
      </c>
      <c r="E352" s="86" t="e">
        <f t="shared" si="37"/>
        <v>#N/A</v>
      </c>
      <c r="F352" s="86" t="e">
        <f>IF($C352&gt;0,-PMT(Inputs!$B$14/12,Inputs!$B$15,Inputs!$B$11-Inputs!$B$13),0)</f>
        <v>#N/A</v>
      </c>
      <c r="H352" s="86">
        <f t="shared" si="41"/>
        <v>0</v>
      </c>
      <c r="I352" s="86">
        <f>IF($H352&lt;&gt;0,Inputs!$B$28/12*H352,0)</f>
        <v>0</v>
      </c>
      <c r="J352" s="86">
        <f t="shared" si="38"/>
        <v>0</v>
      </c>
      <c r="K352" s="86">
        <f t="shared" si="35"/>
        <v>0</v>
      </c>
    </row>
    <row r="353" spans="1:11" x14ac:dyDescent="0.3">
      <c r="A353" s="97">
        <f t="shared" si="36"/>
        <v>2054</v>
      </c>
      <c r="B353" s="79">
        <f t="shared" si="39"/>
        <v>56309</v>
      </c>
      <c r="C353" s="86" t="e">
        <f t="shared" si="40"/>
        <v>#N/A</v>
      </c>
      <c r="D353" s="86" t="e">
        <f>IF($C353&lt;&gt;0,Inputs!$B$14/12*C353,0)</f>
        <v>#N/A</v>
      </c>
      <c r="E353" s="86" t="e">
        <f t="shared" si="37"/>
        <v>#N/A</v>
      </c>
      <c r="F353" s="86" t="e">
        <f>IF($C353&gt;0,-PMT(Inputs!$B$14/12,Inputs!$B$15,Inputs!$B$11-Inputs!$B$13),0)</f>
        <v>#N/A</v>
      </c>
      <c r="H353" s="86">
        <f t="shared" si="41"/>
        <v>0</v>
      </c>
      <c r="I353" s="86">
        <f>IF($H353&lt;&gt;0,Inputs!$B$28/12*H353,0)</f>
        <v>0</v>
      </c>
      <c r="J353" s="86">
        <f t="shared" si="38"/>
        <v>0</v>
      </c>
      <c r="K353" s="86">
        <f t="shared" ref="K353:K416" si="42">IF(H353&gt;0,IF(H353+I353&gt;K352,K352,H353+I353),0)</f>
        <v>0</v>
      </c>
    </row>
    <row r="354" spans="1:11" x14ac:dyDescent="0.3">
      <c r="A354" s="97">
        <f t="shared" si="36"/>
        <v>2054</v>
      </c>
      <c r="B354" s="79">
        <f t="shared" si="39"/>
        <v>56340</v>
      </c>
      <c r="C354" s="86" t="e">
        <f t="shared" si="40"/>
        <v>#N/A</v>
      </c>
      <c r="D354" s="86" t="e">
        <f>IF($C354&lt;&gt;0,Inputs!$B$14/12*C354,0)</f>
        <v>#N/A</v>
      </c>
      <c r="E354" s="86" t="e">
        <f t="shared" si="37"/>
        <v>#N/A</v>
      </c>
      <c r="F354" s="86" t="e">
        <f>IF($C354&gt;0,-PMT(Inputs!$B$14/12,Inputs!$B$15,Inputs!$B$11-Inputs!$B$13),0)</f>
        <v>#N/A</v>
      </c>
      <c r="H354" s="86">
        <f t="shared" si="41"/>
        <v>0</v>
      </c>
      <c r="I354" s="86">
        <f>IF($H354&lt;&gt;0,Inputs!$B$28/12*H354,0)</f>
        <v>0</v>
      </c>
      <c r="J354" s="86">
        <f t="shared" si="38"/>
        <v>0</v>
      </c>
      <c r="K354" s="86">
        <f t="shared" si="42"/>
        <v>0</v>
      </c>
    </row>
    <row r="355" spans="1:11" x14ac:dyDescent="0.3">
      <c r="A355" s="97">
        <f t="shared" si="36"/>
        <v>2054</v>
      </c>
      <c r="B355" s="79">
        <f t="shared" si="39"/>
        <v>56370</v>
      </c>
      <c r="C355" s="86" t="e">
        <f t="shared" si="40"/>
        <v>#N/A</v>
      </c>
      <c r="D355" s="86" t="e">
        <f>IF($C355&lt;&gt;0,Inputs!$B$14/12*C355,0)</f>
        <v>#N/A</v>
      </c>
      <c r="E355" s="86" t="e">
        <f t="shared" si="37"/>
        <v>#N/A</v>
      </c>
      <c r="F355" s="86" t="e">
        <f>IF($C355&gt;0,-PMT(Inputs!$B$14/12,Inputs!$B$15,Inputs!$B$11-Inputs!$B$13),0)</f>
        <v>#N/A</v>
      </c>
      <c r="H355" s="86">
        <f t="shared" si="41"/>
        <v>0</v>
      </c>
      <c r="I355" s="86">
        <f>IF($H355&lt;&gt;0,Inputs!$B$28/12*H355,0)</f>
        <v>0</v>
      </c>
      <c r="J355" s="86">
        <f t="shared" si="38"/>
        <v>0</v>
      </c>
      <c r="K355" s="86">
        <f t="shared" si="42"/>
        <v>0</v>
      </c>
    </row>
    <row r="356" spans="1:11" x14ac:dyDescent="0.3">
      <c r="A356" s="97">
        <f t="shared" si="36"/>
        <v>2054</v>
      </c>
      <c r="B356" s="79">
        <f t="shared" si="39"/>
        <v>56401</v>
      </c>
      <c r="C356" s="86" t="e">
        <f t="shared" si="40"/>
        <v>#N/A</v>
      </c>
      <c r="D356" s="86" t="e">
        <f>IF($C356&lt;&gt;0,Inputs!$B$14/12*C356,0)</f>
        <v>#N/A</v>
      </c>
      <c r="E356" s="86" t="e">
        <f t="shared" si="37"/>
        <v>#N/A</v>
      </c>
      <c r="F356" s="86" t="e">
        <f>IF($C356&gt;0,-PMT(Inputs!$B$14/12,Inputs!$B$15,Inputs!$B$11-Inputs!$B$13),0)</f>
        <v>#N/A</v>
      </c>
      <c r="H356" s="86">
        <f t="shared" si="41"/>
        <v>0</v>
      </c>
      <c r="I356" s="86">
        <f>IF($H356&lt;&gt;0,Inputs!$B$28/12*H356,0)</f>
        <v>0</v>
      </c>
      <c r="J356" s="86">
        <f t="shared" si="38"/>
        <v>0</v>
      </c>
      <c r="K356" s="86">
        <f t="shared" si="42"/>
        <v>0</v>
      </c>
    </row>
    <row r="357" spans="1:11" x14ac:dyDescent="0.3">
      <c r="A357" s="97">
        <f t="shared" si="36"/>
        <v>2054</v>
      </c>
      <c r="B357" s="79">
        <f t="shared" si="39"/>
        <v>56431</v>
      </c>
      <c r="C357" s="86" t="e">
        <f t="shared" si="40"/>
        <v>#N/A</v>
      </c>
      <c r="D357" s="86" t="e">
        <f>IF($C357&lt;&gt;0,Inputs!$B$14/12*C357,0)</f>
        <v>#N/A</v>
      </c>
      <c r="E357" s="86" t="e">
        <f t="shared" si="37"/>
        <v>#N/A</v>
      </c>
      <c r="F357" s="86" t="e">
        <f>IF($C357&gt;0,-PMT(Inputs!$B$14/12,Inputs!$B$15,Inputs!$B$11-Inputs!$B$13),0)</f>
        <v>#N/A</v>
      </c>
      <c r="H357" s="86">
        <f t="shared" si="41"/>
        <v>0</v>
      </c>
      <c r="I357" s="86">
        <f>IF($H357&lt;&gt;0,Inputs!$B$28/12*H357,0)</f>
        <v>0</v>
      </c>
      <c r="J357" s="86">
        <f t="shared" si="38"/>
        <v>0</v>
      </c>
      <c r="K357" s="86">
        <f t="shared" si="42"/>
        <v>0</v>
      </c>
    </row>
    <row r="358" spans="1:11" x14ac:dyDescent="0.3">
      <c r="A358" s="97">
        <f t="shared" si="36"/>
        <v>2054</v>
      </c>
      <c r="B358" s="79">
        <f t="shared" si="39"/>
        <v>56462</v>
      </c>
      <c r="C358" s="86" t="e">
        <f t="shared" si="40"/>
        <v>#N/A</v>
      </c>
      <c r="D358" s="86" t="e">
        <f>IF($C358&lt;&gt;0,Inputs!$B$14/12*C358,0)</f>
        <v>#N/A</v>
      </c>
      <c r="E358" s="86" t="e">
        <f t="shared" si="37"/>
        <v>#N/A</v>
      </c>
      <c r="F358" s="86" t="e">
        <f>IF($C358&gt;0,-PMT(Inputs!$B$14/12,Inputs!$B$15,Inputs!$B$11-Inputs!$B$13),0)</f>
        <v>#N/A</v>
      </c>
      <c r="H358" s="86">
        <f t="shared" si="41"/>
        <v>0</v>
      </c>
      <c r="I358" s="86">
        <f>IF($H358&lt;&gt;0,Inputs!$B$28/12*H358,0)</f>
        <v>0</v>
      </c>
      <c r="J358" s="86">
        <f t="shared" si="38"/>
        <v>0</v>
      </c>
      <c r="K358" s="86">
        <f t="shared" si="42"/>
        <v>0</v>
      </c>
    </row>
    <row r="359" spans="1:11" x14ac:dyDescent="0.3">
      <c r="A359" s="97">
        <f t="shared" si="36"/>
        <v>2054</v>
      </c>
      <c r="B359" s="79">
        <f t="shared" si="39"/>
        <v>56493</v>
      </c>
      <c r="C359" s="86" t="e">
        <f t="shared" si="40"/>
        <v>#N/A</v>
      </c>
      <c r="D359" s="86" t="e">
        <f>IF($C359&lt;&gt;0,Inputs!$B$14/12*C359,0)</f>
        <v>#N/A</v>
      </c>
      <c r="E359" s="86" t="e">
        <f t="shared" si="37"/>
        <v>#N/A</v>
      </c>
      <c r="F359" s="86" t="e">
        <f>IF($C359&gt;0,-PMT(Inputs!$B$14/12,Inputs!$B$15,Inputs!$B$11-Inputs!$B$13),0)</f>
        <v>#N/A</v>
      </c>
      <c r="H359" s="86">
        <f t="shared" si="41"/>
        <v>0</v>
      </c>
      <c r="I359" s="86">
        <f>IF($H359&lt;&gt;0,Inputs!$B$28/12*H359,0)</f>
        <v>0</v>
      </c>
      <c r="J359" s="86">
        <f t="shared" si="38"/>
        <v>0</v>
      </c>
      <c r="K359" s="86">
        <f t="shared" si="42"/>
        <v>0</v>
      </c>
    </row>
    <row r="360" spans="1:11" x14ac:dyDescent="0.3">
      <c r="A360" s="97">
        <f t="shared" si="36"/>
        <v>2054</v>
      </c>
      <c r="B360" s="79">
        <f t="shared" si="39"/>
        <v>56523</v>
      </c>
      <c r="C360" s="86" t="e">
        <f t="shared" si="40"/>
        <v>#N/A</v>
      </c>
      <c r="D360" s="86" t="e">
        <f>IF($C360&lt;&gt;0,Inputs!$B$14/12*C360,0)</f>
        <v>#N/A</v>
      </c>
      <c r="E360" s="86" t="e">
        <f t="shared" si="37"/>
        <v>#N/A</v>
      </c>
      <c r="F360" s="86" t="e">
        <f>IF($C360&gt;0,-PMT(Inputs!$B$14/12,Inputs!$B$15,Inputs!$B$11-Inputs!$B$13),0)</f>
        <v>#N/A</v>
      </c>
      <c r="H360" s="86">
        <f t="shared" si="41"/>
        <v>0</v>
      </c>
      <c r="I360" s="86">
        <f>IF($H360&lt;&gt;0,Inputs!$B$28/12*H360,0)</f>
        <v>0</v>
      </c>
      <c r="J360" s="86">
        <f t="shared" si="38"/>
        <v>0</v>
      </c>
      <c r="K360" s="86">
        <f t="shared" si="42"/>
        <v>0</v>
      </c>
    </row>
    <row r="361" spans="1:11" x14ac:dyDescent="0.3">
      <c r="A361" s="97">
        <f t="shared" si="36"/>
        <v>2054</v>
      </c>
      <c r="B361" s="79">
        <f t="shared" si="39"/>
        <v>56554</v>
      </c>
      <c r="C361" s="86" t="e">
        <f t="shared" si="40"/>
        <v>#N/A</v>
      </c>
      <c r="D361" s="86" t="e">
        <f>IF($C361&lt;&gt;0,Inputs!$B$14/12*C361,0)</f>
        <v>#N/A</v>
      </c>
      <c r="E361" s="86" t="e">
        <f t="shared" si="37"/>
        <v>#N/A</v>
      </c>
      <c r="F361" s="86" t="e">
        <f>IF($C361&gt;0,-PMT(Inputs!$B$14/12,Inputs!$B$15,Inputs!$B$11-Inputs!$B$13),0)</f>
        <v>#N/A</v>
      </c>
      <c r="H361" s="86">
        <f t="shared" si="41"/>
        <v>0</v>
      </c>
      <c r="I361" s="86">
        <f>IF($H361&lt;&gt;0,Inputs!$B$28/12*H361,0)</f>
        <v>0</v>
      </c>
      <c r="J361" s="86">
        <f t="shared" si="38"/>
        <v>0</v>
      </c>
      <c r="K361" s="86">
        <f t="shared" si="42"/>
        <v>0</v>
      </c>
    </row>
    <row r="362" spans="1:11" x14ac:dyDescent="0.3">
      <c r="A362" s="97">
        <f t="shared" si="36"/>
        <v>2054</v>
      </c>
      <c r="B362" s="79">
        <f t="shared" si="39"/>
        <v>56584</v>
      </c>
      <c r="C362" s="86" t="e">
        <f t="shared" si="40"/>
        <v>#N/A</v>
      </c>
      <c r="D362" s="86" t="e">
        <f>IF($C362&lt;&gt;0,Inputs!$B$14/12*C362,0)</f>
        <v>#N/A</v>
      </c>
      <c r="E362" s="86" t="e">
        <f t="shared" si="37"/>
        <v>#N/A</v>
      </c>
      <c r="F362" s="86" t="e">
        <f>IF($C362&gt;0,-PMT(Inputs!$B$14/12,Inputs!$B$15,Inputs!$B$11-Inputs!$B$13),0)</f>
        <v>#N/A</v>
      </c>
      <c r="H362" s="86">
        <f t="shared" si="41"/>
        <v>0</v>
      </c>
      <c r="I362" s="86">
        <f>IF($H362&lt;&gt;0,Inputs!$B$28/12*H362,0)</f>
        <v>0</v>
      </c>
      <c r="J362" s="86">
        <f t="shared" si="38"/>
        <v>0</v>
      </c>
      <c r="K362" s="86">
        <f t="shared" si="42"/>
        <v>0</v>
      </c>
    </row>
    <row r="363" spans="1:11" x14ac:dyDescent="0.3">
      <c r="A363" s="97">
        <f t="shared" si="36"/>
        <v>2055</v>
      </c>
      <c r="B363" s="79">
        <f t="shared" si="39"/>
        <v>56615</v>
      </c>
      <c r="C363" s="86" t="e">
        <f t="shared" si="40"/>
        <v>#N/A</v>
      </c>
      <c r="D363" s="86" t="e">
        <f>IF($C363&lt;&gt;0,Inputs!$B$14/12*C363,0)</f>
        <v>#N/A</v>
      </c>
      <c r="E363" s="86" t="e">
        <f t="shared" si="37"/>
        <v>#N/A</v>
      </c>
      <c r="F363" s="86" t="e">
        <f>IF($C363&gt;0,-PMT(Inputs!$B$14/12,Inputs!$B$15,Inputs!$B$11-Inputs!$B$13),0)</f>
        <v>#N/A</v>
      </c>
      <c r="H363" s="86">
        <f t="shared" si="41"/>
        <v>0</v>
      </c>
      <c r="I363" s="86">
        <f>IF($H363&lt;&gt;0,Inputs!$B$28/12*H363,0)</f>
        <v>0</v>
      </c>
      <c r="J363" s="86">
        <f t="shared" si="38"/>
        <v>0</v>
      </c>
      <c r="K363" s="86">
        <f t="shared" si="42"/>
        <v>0</v>
      </c>
    </row>
    <row r="364" spans="1:11" x14ac:dyDescent="0.3">
      <c r="A364" s="97">
        <f t="shared" si="36"/>
        <v>2055</v>
      </c>
      <c r="B364" s="79">
        <f t="shared" si="39"/>
        <v>56646</v>
      </c>
      <c r="C364" s="86" t="e">
        <f t="shared" si="40"/>
        <v>#N/A</v>
      </c>
      <c r="D364" s="86" t="e">
        <f>IF($C364&lt;&gt;0,Inputs!$B$14/12*C364,0)</f>
        <v>#N/A</v>
      </c>
      <c r="E364" s="86" t="e">
        <f t="shared" si="37"/>
        <v>#N/A</v>
      </c>
      <c r="F364" s="86" t="e">
        <f>IF($C364&gt;0,-PMT(Inputs!$B$14/12,Inputs!$B$15,Inputs!$B$11-Inputs!$B$13),0)</f>
        <v>#N/A</v>
      </c>
      <c r="H364" s="86">
        <f t="shared" si="41"/>
        <v>0</v>
      </c>
      <c r="I364" s="86">
        <f>IF($H364&lt;&gt;0,Inputs!$B$28/12*H364,0)</f>
        <v>0</v>
      </c>
      <c r="J364" s="86">
        <f t="shared" si="38"/>
        <v>0</v>
      </c>
      <c r="K364" s="86">
        <f t="shared" si="42"/>
        <v>0</v>
      </c>
    </row>
    <row r="365" spans="1:11" x14ac:dyDescent="0.3">
      <c r="A365" s="97">
        <f t="shared" si="36"/>
        <v>2055</v>
      </c>
      <c r="B365" s="79">
        <f t="shared" si="39"/>
        <v>56674</v>
      </c>
      <c r="C365" s="86" t="e">
        <f t="shared" si="40"/>
        <v>#N/A</v>
      </c>
      <c r="D365" s="86" t="e">
        <f>IF($C365&lt;&gt;0,Inputs!$B$14/12*C365,0)</f>
        <v>#N/A</v>
      </c>
      <c r="E365" s="86" t="e">
        <f t="shared" si="37"/>
        <v>#N/A</v>
      </c>
      <c r="F365" s="86" t="e">
        <f>IF($C365&gt;0,-PMT(Inputs!$B$14/12,Inputs!$B$15,Inputs!$B$11-Inputs!$B$13),0)</f>
        <v>#N/A</v>
      </c>
      <c r="H365" s="86">
        <f t="shared" si="41"/>
        <v>0</v>
      </c>
      <c r="I365" s="86">
        <f>IF($H365&lt;&gt;0,Inputs!$B$28/12*H365,0)</f>
        <v>0</v>
      </c>
      <c r="J365" s="86">
        <f t="shared" si="38"/>
        <v>0</v>
      </c>
      <c r="K365" s="86">
        <f t="shared" si="42"/>
        <v>0</v>
      </c>
    </row>
    <row r="366" spans="1:11" x14ac:dyDescent="0.3">
      <c r="A366" s="97">
        <f t="shared" si="36"/>
        <v>2055</v>
      </c>
      <c r="B366" s="79">
        <f t="shared" si="39"/>
        <v>56705</v>
      </c>
      <c r="C366" s="86" t="e">
        <f t="shared" si="40"/>
        <v>#N/A</v>
      </c>
      <c r="D366" s="86" t="e">
        <f>IF($C366&lt;&gt;0,Inputs!$B$14/12*C366,0)</f>
        <v>#N/A</v>
      </c>
      <c r="E366" s="86" t="e">
        <f t="shared" si="37"/>
        <v>#N/A</v>
      </c>
      <c r="F366" s="86" t="e">
        <f>IF($C366&gt;0,-PMT(Inputs!$B$14/12,Inputs!$B$15,Inputs!$B$11-Inputs!$B$13),0)</f>
        <v>#N/A</v>
      </c>
      <c r="H366" s="86">
        <f t="shared" si="41"/>
        <v>0</v>
      </c>
      <c r="I366" s="86">
        <f>IF($H366&lt;&gt;0,Inputs!$B$28/12*H366,0)</f>
        <v>0</v>
      </c>
      <c r="J366" s="86">
        <f t="shared" si="38"/>
        <v>0</v>
      </c>
      <c r="K366" s="86">
        <f t="shared" si="42"/>
        <v>0</v>
      </c>
    </row>
    <row r="367" spans="1:11" x14ac:dyDescent="0.3">
      <c r="A367" s="97">
        <f t="shared" si="36"/>
        <v>2055</v>
      </c>
      <c r="B367" s="79">
        <f t="shared" si="39"/>
        <v>56735</v>
      </c>
      <c r="C367" s="86" t="e">
        <f t="shared" si="40"/>
        <v>#N/A</v>
      </c>
      <c r="D367" s="86" t="e">
        <f>IF($C367&lt;&gt;0,Inputs!$B$14/12*C367,0)</f>
        <v>#N/A</v>
      </c>
      <c r="E367" s="86" t="e">
        <f t="shared" si="37"/>
        <v>#N/A</v>
      </c>
      <c r="F367" s="86" t="e">
        <f>IF($C367&gt;0,-PMT(Inputs!$B$14/12,Inputs!$B$15,Inputs!$B$11-Inputs!$B$13),0)</f>
        <v>#N/A</v>
      </c>
      <c r="H367" s="86">
        <f t="shared" si="41"/>
        <v>0</v>
      </c>
      <c r="I367" s="86">
        <f>IF($H367&lt;&gt;0,Inputs!$B$28/12*H367,0)</f>
        <v>0</v>
      </c>
      <c r="J367" s="86">
        <f t="shared" si="38"/>
        <v>0</v>
      </c>
      <c r="K367" s="86">
        <f t="shared" si="42"/>
        <v>0</v>
      </c>
    </row>
    <row r="368" spans="1:11" x14ac:dyDescent="0.3">
      <c r="A368" s="97">
        <f t="shared" si="36"/>
        <v>2055</v>
      </c>
      <c r="B368" s="79">
        <f t="shared" si="39"/>
        <v>56766</v>
      </c>
      <c r="C368" s="86" t="e">
        <f t="shared" si="40"/>
        <v>#N/A</v>
      </c>
      <c r="D368" s="86" t="e">
        <f>IF($C368&lt;&gt;0,Inputs!$B$14/12*C368,0)</f>
        <v>#N/A</v>
      </c>
      <c r="E368" s="86" t="e">
        <f t="shared" si="37"/>
        <v>#N/A</v>
      </c>
      <c r="F368" s="86" t="e">
        <f>IF($C368&gt;0,-PMT(Inputs!$B$14/12,Inputs!$B$15,Inputs!$B$11-Inputs!$B$13),0)</f>
        <v>#N/A</v>
      </c>
      <c r="H368" s="86">
        <f t="shared" si="41"/>
        <v>0</v>
      </c>
      <c r="I368" s="86">
        <f>IF($H368&lt;&gt;0,Inputs!$B$28/12*H368,0)</f>
        <v>0</v>
      </c>
      <c r="J368" s="86">
        <f t="shared" si="38"/>
        <v>0</v>
      </c>
      <c r="K368" s="86">
        <f t="shared" si="42"/>
        <v>0</v>
      </c>
    </row>
    <row r="369" spans="1:11" x14ac:dyDescent="0.3">
      <c r="A369" s="97">
        <f t="shared" si="36"/>
        <v>2055</v>
      </c>
      <c r="B369" s="79">
        <f t="shared" si="39"/>
        <v>56796</v>
      </c>
      <c r="C369" s="86" t="e">
        <f t="shared" si="40"/>
        <v>#N/A</v>
      </c>
      <c r="D369" s="86" t="e">
        <f>IF($C369&lt;&gt;0,Inputs!$B$14/12*C369,0)</f>
        <v>#N/A</v>
      </c>
      <c r="E369" s="86" t="e">
        <f t="shared" si="37"/>
        <v>#N/A</v>
      </c>
      <c r="F369" s="86" t="e">
        <f>IF($C369&gt;0,-PMT(Inputs!$B$14/12,Inputs!$B$15,Inputs!$B$11-Inputs!$B$13),0)</f>
        <v>#N/A</v>
      </c>
      <c r="H369" s="86">
        <f t="shared" si="41"/>
        <v>0</v>
      </c>
      <c r="I369" s="86">
        <f>IF($H369&lt;&gt;0,Inputs!$B$28/12*H369,0)</f>
        <v>0</v>
      </c>
      <c r="J369" s="86">
        <f t="shared" si="38"/>
        <v>0</v>
      </c>
      <c r="K369" s="86">
        <f t="shared" si="42"/>
        <v>0</v>
      </c>
    </row>
    <row r="370" spans="1:11" x14ac:dyDescent="0.3">
      <c r="A370" s="97">
        <f t="shared" si="36"/>
        <v>2055</v>
      </c>
      <c r="B370" s="79">
        <f t="shared" si="39"/>
        <v>56827</v>
      </c>
      <c r="C370" s="86" t="e">
        <f t="shared" si="40"/>
        <v>#N/A</v>
      </c>
      <c r="D370" s="86" t="e">
        <f>IF($C370&lt;&gt;0,Inputs!$B$14/12*C370,0)</f>
        <v>#N/A</v>
      </c>
      <c r="E370" s="86" t="e">
        <f t="shared" si="37"/>
        <v>#N/A</v>
      </c>
      <c r="F370" s="86" t="e">
        <f>IF($C370&gt;0,-PMT(Inputs!$B$14/12,Inputs!$B$15,Inputs!$B$11-Inputs!$B$13),0)</f>
        <v>#N/A</v>
      </c>
      <c r="H370" s="86">
        <f t="shared" si="41"/>
        <v>0</v>
      </c>
      <c r="I370" s="86">
        <f>IF($H370&lt;&gt;0,Inputs!$B$28/12*H370,0)</f>
        <v>0</v>
      </c>
      <c r="J370" s="86">
        <f t="shared" si="38"/>
        <v>0</v>
      </c>
      <c r="K370" s="86">
        <f t="shared" si="42"/>
        <v>0</v>
      </c>
    </row>
    <row r="371" spans="1:11" x14ac:dyDescent="0.3">
      <c r="A371" s="97">
        <f t="shared" si="36"/>
        <v>2055</v>
      </c>
      <c r="B371" s="79">
        <f t="shared" si="39"/>
        <v>56858</v>
      </c>
      <c r="C371" s="86" t="e">
        <f t="shared" si="40"/>
        <v>#N/A</v>
      </c>
      <c r="D371" s="86" t="e">
        <f>IF($C371&lt;&gt;0,Inputs!$B$14/12*C371,0)</f>
        <v>#N/A</v>
      </c>
      <c r="E371" s="86" t="e">
        <f t="shared" si="37"/>
        <v>#N/A</v>
      </c>
      <c r="F371" s="86" t="e">
        <f>IF($C371&gt;0,-PMT(Inputs!$B$14/12,Inputs!$B$15,Inputs!$B$11-Inputs!$B$13),0)</f>
        <v>#N/A</v>
      </c>
      <c r="H371" s="86">
        <f t="shared" si="41"/>
        <v>0</v>
      </c>
      <c r="I371" s="86">
        <f>IF($H371&lt;&gt;0,Inputs!$B$28/12*H371,0)</f>
        <v>0</v>
      </c>
      <c r="J371" s="86">
        <f t="shared" si="38"/>
        <v>0</v>
      </c>
      <c r="K371" s="86">
        <f t="shared" si="42"/>
        <v>0</v>
      </c>
    </row>
    <row r="372" spans="1:11" x14ac:dyDescent="0.3">
      <c r="A372" s="97">
        <f t="shared" si="36"/>
        <v>2055</v>
      </c>
      <c r="B372" s="79">
        <f t="shared" si="39"/>
        <v>56888</v>
      </c>
      <c r="C372" s="86" t="e">
        <f t="shared" si="40"/>
        <v>#N/A</v>
      </c>
      <c r="D372" s="86" t="e">
        <f>IF($C372&lt;&gt;0,Inputs!$B$14/12*C372,0)</f>
        <v>#N/A</v>
      </c>
      <c r="E372" s="86" t="e">
        <f t="shared" si="37"/>
        <v>#N/A</v>
      </c>
      <c r="F372" s="86" t="e">
        <f>IF($C372&gt;0,-PMT(Inputs!$B$14/12,Inputs!$B$15,Inputs!$B$11-Inputs!$B$13),0)</f>
        <v>#N/A</v>
      </c>
      <c r="H372" s="86">
        <f t="shared" si="41"/>
        <v>0</v>
      </c>
      <c r="I372" s="86">
        <f>IF($H372&lt;&gt;0,Inputs!$B$28/12*H372,0)</f>
        <v>0</v>
      </c>
      <c r="J372" s="86">
        <f t="shared" si="38"/>
        <v>0</v>
      </c>
      <c r="K372" s="86">
        <f t="shared" si="42"/>
        <v>0</v>
      </c>
    </row>
    <row r="373" spans="1:11" x14ac:dyDescent="0.3">
      <c r="A373" s="97">
        <f t="shared" si="36"/>
        <v>2055</v>
      </c>
      <c r="B373" s="79">
        <f t="shared" si="39"/>
        <v>56919</v>
      </c>
      <c r="C373" s="86" t="e">
        <f t="shared" si="40"/>
        <v>#N/A</v>
      </c>
      <c r="D373" s="86" t="e">
        <f>IF($C373&lt;&gt;0,Inputs!$B$14/12*C373,0)</f>
        <v>#N/A</v>
      </c>
      <c r="E373" s="86" t="e">
        <f t="shared" si="37"/>
        <v>#N/A</v>
      </c>
      <c r="F373" s="86" t="e">
        <f>IF($C373&gt;0,-PMT(Inputs!$B$14/12,Inputs!$B$15,Inputs!$B$11-Inputs!$B$13),0)</f>
        <v>#N/A</v>
      </c>
      <c r="H373" s="86">
        <f t="shared" si="41"/>
        <v>0</v>
      </c>
      <c r="I373" s="86">
        <f>IF($H373&lt;&gt;0,Inputs!$B$28/12*H373,0)</f>
        <v>0</v>
      </c>
      <c r="J373" s="86">
        <f t="shared" si="38"/>
        <v>0</v>
      </c>
      <c r="K373" s="86">
        <f t="shared" si="42"/>
        <v>0</v>
      </c>
    </row>
    <row r="374" spans="1:11" x14ac:dyDescent="0.3">
      <c r="A374" s="97">
        <f t="shared" si="36"/>
        <v>2055</v>
      </c>
      <c r="B374" s="79">
        <f t="shared" si="39"/>
        <v>56949</v>
      </c>
      <c r="C374" s="86" t="e">
        <f t="shared" si="40"/>
        <v>#N/A</v>
      </c>
      <c r="D374" s="86" t="e">
        <f>IF($C374&lt;&gt;0,Inputs!$B$14/12*C374,0)</f>
        <v>#N/A</v>
      </c>
      <c r="E374" s="86" t="e">
        <f t="shared" si="37"/>
        <v>#N/A</v>
      </c>
      <c r="F374" s="86" t="e">
        <f>IF($C374&gt;0,-PMT(Inputs!$B$14/12,Inputs!$B$15,Inputs!$B$11-Inputs!$B$13),0)</f>
        <v>#N/A</v>
      </c>
      <c r="H374" s="86">
        <f t="shared" si="41"/>
        <v>0</v>
      </c>
      <c r="I374" s="86">
        <f>IF($H374&lt;&gt;0,Inputs!$B$28/12*H374,0)</f>
        <v>0</v>
      </c>
      <c r="J374" s="86">
        <f t="shared" si="38"/>
        <v>0</v>
      </c>
      <c r="K374" s="86">
        <f t="shared" si="42"/>
        <v>0</v>
      </c>
    </row>
    <row r="375" spans="1:11" x14ac:dyDescent="0.3">
      <c r="A375" s="97">
        <f t="shared" si="36"/>
        <v>2056</v>
      </c>
      <c r="B375" s="79">
        <f t="shared" si="39"/>
        <v>56980</v>
      </c>
      <c r="C375" s="86" t="e">
        <f t="shared" si="40"/>
        <v>#N/A</v>
      </c>
      <c r="D375" s="86" t="e">
        <f>IF($C375&lt;&gt;0,Inputs!$B$14/12*C375,0)</f>
        <v>#N/A</v>
      </c>
      <c r="E375" s="86" t="e">
        <f t="shared" si="37"/>
        <v>#N/A</v>
      </c>
      <c r="F375" s="86" t="e">
        <f>IF($C375&gt;0,-PMT(Inputs!$B$14/12,Inputs!$B$15,Inputs!$B$11-Inputs!$B$13),0)</f>
        <v>#N/A</v>
      </c>
      <c r="H375" s="86">
        <f t="shared" si="41"/>
        <v>0</v>
      </c>
      <c r="I375" s="86">
        <f>IF($H375&lt;&gt;0,Inputs!$B$28/12*H375,0)</f>
        <v>0</v>
      </c>
      <c r="J375" s="86">
        <f t="shared" si="38"/>
        <v>0</v>
      </c>
      <c r="K375" s="86">
        <f t="shared" si="42"/>
        <v>0</v>
      </c>
    </row>
    <row r="376" spans="1:11" x14ac:dyDescent="0.3">
      <c r="A376" s="97">
        <f t="shared" si="36"/>
        <v>2056</v>
      </c>
      <c r="B376" s="79">
        <f t="shared" si="39"/>
        <v>57011</v>
      </c>
      <c r="C376" s="86" t="e">
        <f t="shared" si="40"/>
        <v>#N/A</v>
      </c>
      <c r="D376" s="86" t="e">
        <f>IF($C376&lt;&gt;0,Inputs!$B$14/12*C376,0)</f>
        <v>#N/A</v>
      </c>
      <c r="E376" s="86" t="e">
        <f t="shared" si="37"/>
        <v>#N/A</v>
      </c>
      <c r="F376" s="86" t="e">
        <f>IF($C376&gt;0,-PMT(Inputs!$B$14/12,Inputs!$B$15,Inputs!$B$11-Inputs!$B$13),0)</f>
        <v>#N/A</v>
      </c>
      <c r="H376" s="86">
        <f t="shared" si="41"/>
        <v>0</v>
      </c>
      <c r="I376" s="86">
        <f>IF($H376&lt;&gt;0,Inputs!$B$28/12*H376,0)</f>
        <v>0</v>
      </c>
      <c r="J376" s="86">
        <f t="shared" si="38"/>
        <v>0</v>
      </c>
      <c r="K376" s="86">
        <f t="shared" si="42"/>
        <v>0</v>
      </c>
    </row>
    <row r="377" spans="1:11" x14ac:dyDescent="0.3">
      <c r="A377" s="97">
        <f t="shared" si="36"/>
        <v>2056</v>
      </c>
      <c r="B377" s="79">
        <f t="shared" si="39"/>
        <v>57040</v>
      </c>
      <c r="C377" s="86" t="e">
        <f t="shared" si="40"/>
        <v>#N/A</v>
      </c>
      <c r="D377" s="86" t="e">
        <f>IF($C377&lt;&gt;0,Inputs!$B$14/12*C377,0)</f>
        <v>#N/A</v>
      </c>
      <c r="E377" s="86" t="e">
        <f t="shared" si="37"/>
        <v>#N/A</v>
      </c>
      <c r="F377" s="86" t="e">
        <f>IF($C377&gt;0,-PMT(Inputs!$B$14/12,Inputs!$B$15,Inputs!$B$11-Inputs!$B$13),0)</f>
        <v>#N/A</v>
      </c>
      <c r="H377" s="86">
        <f t="shared" si="41"/>
        <v>0</v>
      </c>
      <c r="I377" s="86">
        <f>IF($H377&lt;&gt;0,Inputs!$B$28/12*H377,0)</f>
        <v>0</v>
      </c>
      <c r="J377" s="86">
        <f t="shared" si="38"/>
        <v>0</v>
      </c>
      <c r="K377" s="86">
        <f t="shared" si="42"/>
        <v>0</v>
      </c>
    </row>
    <row r="378" spans="1:11" x14ac:dyDescent="0.3">
      <c r="A378" s="97">
        <f t="shared" si="36"/>
        <v>2056</v>
      </c>
      <c r="B378" s="79">
        <f t="shared" si="39"/>
        <v>57071</v>
      </c>
      <c r="C378" s="86" t="e">
        <f t="shared" si="40"/>
        <v>#N/A</v>
      </c>
      <c r="D378" s="86" t="e">
        <f>IF($C378&lt;&gt;0,Inputs!$B$14/12*C378,0)</f>
        <v>#N/A</v>
      </c>
      <c r="E378" s="86" t="e">
        <f t="shared" si="37"/>
        <v>#N/A</v>
      </c>
      <c r="F378" s="86" t="e">
        <f>IF($C378&gt;0,-PMT(Inputs!$B$14/12,Inputs!$B$15,Inputs!$B$11-Inputs!$B$13),0)</f>
        <v>#N/A</v>
      </c>
      <c r="H378" s="86">
        <f t="shared" si="41"/>
        <v>0</v>
      </c>
      <c r="I378" s="86">
        <f>IF($H378&lt;&gt;0,Inputs!$B$28/12*H378,0)</f>
        <v>0</v>
      </c>
      <c r="J378" s="86">
        <f t="shared" si="38"/>
        <v>0</v>
      </c>
      <c r="K378" s="86">
        <f t="shared" si="42"/>
        <v>0</v>
      </c>
    </row>
    <row r="379" spans="1:11" x14ac:dyDescent="0.3">
      <c r="A379" s="97">
        <f t="shared" si="36"/>
        <v>2056</v>
      </c>
      <c r="B379" s="79">
        <f t="shared" si="39"/>
        <v>57101</v>
      </c>
      <c r="C379" s="86" t="e">
        <f t="shared" si="40"/>
        <v>#N/A</v>
      </c>
      <c r="D379" s="86" t="e">
        <f>IF($C379&lt;&gt;0,Inputs!$B$14/12*C379,0)</f>
        <v>#N/A</v>
      </c>
      <c r="E379" s="86" t="e">
        <f t="shared" si="37"/>
        <v>#N/A</v>
      </c>
      <c r="F379" s="86" t="e">
        <f>IF($C379&gt;0,-PMT(Inputs!$B$14/12,Inputs!$B$15,Inputs!$B$11-Inputs!$B$13),0)</f>
        <v>#N/A</v>
      </c>
      <c r="H379" s="86">
        <f t="shared" si="41"/>
        <v>0</v>
      </c>
      <c r="I379" s="86">
        <f>IF($H379&lt;&gt;0,Inputs!$B$28/12*H379,0)</f>
        <v>0</v>
      </c>
      <c r="J379" s="86">
        <f t="shared" si="38"/>
        <v>0</v>
      </c>
      <c r="K379" s="86">
        <f t="shared" si="42"/>
        <v>0</v>
      </c>
    </row>
    <row r="380" spans="1:11" x14ac:dyDescent="0.3">
      <c r="A380" s="97">
        <f t="shared" si="36"/>
        <v>2056</v>
      </c>
      <c r="B380" s="79">
        <f t="shared" si="39"/>
        <v>57132</v>
      </c>
      <c r="C380" s="86" t="e">
        <f t="shared" si="40"/>
        <v>#N/A</v>
      </c>
      <c r="D380" s="86" t="e">
        <f>IF($C380&lt;&gt;0,Inputs!$B$14/12*C380,0)</f>
        <v>#N/A</v>
      </c>
      <c r="E380" s="86" t="e">
        <f t="shared" si="37"/>
        <v>#N/A</v>
      </c>
      <c r="F380" s="86" t="e">
        <f>IF($C380&gt;0,-PMT(Inputs!$B$14/12,Inputs!$B$15,Inputs!$B$11-Inputs!$B$13),0)</f>
        <v>#N/A</v>
      </c>
      <c r="H380" s="86">
        <f t="shared" si="41"/>
        <v>0</v>
      </c>
      <c r="I380" s="86">
        <f>IF($H380&lt;&gt;0,Inputs!$B$28/12*H380,0)</f>
        <v>0</v>
      </c>
      <c r="J380" s="86">
        <f t="shared" si="38"/>
        <v>0</v>
      </c>
      <c r="K380" s="86">
        <f t="shared" si="42"/>
        <v>0</v>
      </c>
    </row>
    <row r="381" spans="1:11" x14ac:dyDescent="0.3">
      <c r="A381" s="97">
        <f t="shared" si="36"/>
        <v>2056</v>
      </c>
      <c r="B381" s="79">
        <f t="shared" si="39"/>
        <v>57162</v>
      </c>
      <c r="C381" s="86" t="e">
        <f t="shared" si="40"/>
        <v>#N/A</v>
      </c>
      <c r="D381" s="86" t="e">
        <f>IF($C381&lt;&gt;0,Inputs!$B$14/12*C381,0)</f>
        <v>#N/A</v>
      </c>
      <c r="E381" s="86" t="e">
        <f t="shared" si="37"/>
        <v>#N/A</v>
      </c>
      <c r="F381" s="86" t="e">
        <f>IF($C381&gt;0,-PMT(Inputs!$B$14/12,Inputs!$B$15,Inputs!$B$11-Inputs!$B$13),0)</f>
        <v>#N/A</v>
      </c>
      <c r="H381" s="86">
        <f t="shared" si="41"/>
        <v>0</v>
      </c>
      <c r="I381" s="86">
        <f>IF($H381&lt;&gt;0,Inputs!$B$28/12*H381,0)</f>
        <v>0</v>
      </c>
      <c r="J381" s="86">
        <f t="shared" si="38"/>
        <v>0</v>
      </c>
      <c r="K381" s="86">
        <f t="shared" si="42"/>
        <v>0</v>
      </c>
    </row>
    <row r="382" spans="1:11" x14ac:dyDescent="0.3">
      <c r="A382" s="97">
        <f t="shared" si="36"/>
        <v>2056</v>
      </c>
      <c r="B382" s="79">
        <f t="shared" si="39"/>
        <v>57193</v>
      </c>
      <c r="C382" s="86" t="e">
        <f t="shared" si="40"/>
        <v>#N/A</v>
      </c>
      <c r="D382" s="86" t="e">
        <f>IF($C382&lt;&gt;0,Inputs!$B$14/12*C382,0)</f>
        <v>#N/A</v>
      </c>
      <c r="E382" s="86" t="e">
        <f t="shared" si="37"/>
        <v>#N/A</v>
      </c>
      <c r="F382" s="86" t="e">
        <f>IF($C382&gt;0,-PMT(Inputs!$B$14/12,Inputs!$B$15,Inputs!$B$11-Inputs!$B$13),0)</f>
        <v>#N/A</v>
      </c>
      <c r="H382" s="86">
        <f t="shared" si="41"/>
        <v>0</v>
      </c>
      <c r="I382" s="86">
        <f>IF($H382&lt;&gt;0,Inputs!$B$28/12*H382,0)</f>
        <v>0</v>
      </c>
      <c r="J382" s="86">
        <f t="shared" si="38"/>
        <v>0</v>
      </c>
      <c r="K382" s="86">
        <f t="shared" si="42"/>
        <v>0</v>
      </c>
    </row>
    <row r="383" spans="1:11" x14ac:dyDescent="0.3">
      <c r="A383" s="97">
        <f t="shared" si="36"/>
        <v>2056</v>
      </c>
      <c r="B383" s="79">
        <f t="shared" si="39"/>
        <v>57224</v>
      </c>
      <c r="C383" s="86" t="e">
        <f t="shared" si="40"/>
        <v>#N/A</v>
      </c>
      <c r="D383" s="86" t="e">
        <f>IF($C383&lt;&gt;0,Inputs!$B$14/12*C383,0)</f>
        <v>#N/A</v>
      </c>
      <c r="E383" s="86" t="e">
        <f t="shared" si="37"/>
        <v>#N/A</v>
      </c>
      <c r="F383" s="86" t="e">
        <f>IF($C383&gt;0,-PMT(Inputs!$B$14/12,Inputs!$B$15,Inputs!$B$11-Inputs!$B$13),0)</f>
        <v>#N/A</v>
      </c>
      <c r="H383" s="86">
        <f t="shared" si="41"/>
        <v>0</v>
      </c>
      <c r="I383" s="86">
        <f>IF($H383&lt;&gt;0,Inputs!$B$28/12*H383,0)</f>
        <v>0</v>
      </c>
      <c r="J383" s="86">
        <f t="shared" si="38"/>
        <v>0</v>
      </c>
      <c r="K383" s="86">
        <f t="shared" si="42"/>
        <v>0</v>
      </c>
    </row>
    <row r="384" spans="1:11" x14ac:dyDescent="0.3">
      <c r="A384" s="97">
        <f t="shared" si="36"/>
        <v>2056</v>
      </c>
      <c r="B384" s="79">
        <f t="shared" si="39"/>
        <v>57254</v>
      </c>
      <c r="C384" s="86" t="e">
        <f t="shared" si="40"/>
        <v>#N/A</v>
      </c>
      <c r="D384" s="86" t="e">
        <f>IF($C384&lt;&gt;0,Inputs!$B$14/12*C384,0)</f>
        <v>#N/A</v>
      </c>
      <c r="E384" s="86" t="e">
        <f t="shared" si="37"/>
        <v>#N/A</v>
      </c>
      <c r="F384" s="86" t="e">
        <f>IF($C384&gt;0,-PMT(Inputs!$B$14/12,Inputs!$B$15,Inputs!$B$11-Inputs!$B$13),0)</f>
        <v>#N/A</v>
      </c>
      <c r="H384" s="86">
        <f t="shared" si="41"/>
        <v>0</v>
      </c>
      <c r="I384" s="86">
        <f>IF($H384&lt;&gt;0,Inputs!$B$28/12*H384,0)</f>
        <v>0</v>
      </c>
      <c r="J384" s="86">
        <f t="shared" si="38"/>
        <v>0</v>
      </c>
      <c r="K384" s="86">
        <f t="shared" si="42"/>
        <v>0</v>
      </c>
    </row>
    <row r="385" spans="1:11" x14ac:dyDescent="0.3">
      <c r="A385" s="97">
        <f t="shared" si="36"/>
        <v>2056</v>
      </c>
      <c r="B385" s="79">
        <f t="shared" si="39"/>
        <v>57285</v>
      </c>
      <c r="C385" s="86" t="e">
        <f t="shared" si="40"/>
        <v>#N/A</v>
      </c>
      <c r="D385" s="86" t="e">
        <f>IF($C385&lt;&gt;0,Inputs!$B$14/12*C385,0)</f>
        <v>#N/A</v>
      </c>
      <c r="E385" s="86" t="e">
        <f t="shared" si="37"/>
        <v>#N/A</v>
      </c>
      <c r="F385" s="86" t="e">
        <f>IF($C385&gt;0,-PMT(Inputs!$B$14/12,Inputs!$B$15,Inputs!$B$11-Inputs!$B$13),0)</f>
        <v>#N/A</v>
      </c>
      <c r="H385" s="86">
        <f t="shared" si="41"/>
        <v>0</v>
      </c>
      <c r="I385" s="86">
        <f>IF($H385&lt;&gt;0,Inputs!$B$28/12*H385,0)</f>
        <v>0</v>
      </c>
      <c r="J385" s="86">
        <f t="shared" si="38"/>
        <v>0</v>
      </c>
      <c r="K385" s="86">
        <f t="shared" si="42"/>
        <v>0</v>
      </c>
    </row>
    <row r="386" spans="1:11" x14ac:dyDescent="0.3">
      <c r="A386" s="97">
        <f t="shared" si="36"/>
        <v>2056</v>
      </c>
      <c r="B386" s="79">
        <f t="shared" si="39"/>
        <v>57315</v>
      </c>
      <c r="C386" s="86" t="e">
        <f t="shared" si="40"/>
        <v>#N/A</v>
      </c>
      <c r="D386" s="86" t="e">
        <f>IF($C386&lt;&gt;0,Inputs!$B$14/12*C386,0)</f>
        <v>#N/A</v>
      </c>
      <c r="E386" s="86" t="e">
        <f t="shared" si="37"/>
        <v>#N/A</v>
      </c>
      <c r="F386" s="86" t="e">
        <f>IF($C386&gt;0,-PMT(Inputs!$B$14/12,Inputs!$B$15,Inputs!$B$11-Inputs!$B$13),0)</f>
        <v>#N/A</v>
      </c>
      <c r="H386" s="86">
        <f t="shared" si="41"/>
        <v>0</v>
      </c>
      <c r="I386" s="86">
        <f>IF($H386&lt;&gt;0,Inputs!$B$28/12*H386,0)</f>
        <v>0</v>
      </c>
      <c r="J386" s="86">
        <f t="shared" si="38"/>
        <v>0</v>
      </c>
      <c r="K386" s="86">
        <f t="shared" si="42"/>
        <v>0</v>
      </c>
    </row>
    <row r="387" spans="1:11" x14ac:dyDescent="0.3">
      <c r="A387" s="97">
        <f t="shared" si="36"/>
        <v>2057</v>
      </c>
      <c r="B387" s="79">
        <f t="shared" si="39"/>
        <v>57346</v>
      </c>
      <c r="C387" s="86" t="e">
        <f t="shared" si="40"/>
        <v>#N/A</v>
      </c>
      <c r="D387" s="86" t="e">
        <f>IF($C387&lt;&gt;0,Inputs!$B$14/12*C387,0)</f>
        <v>#N/A</v>
      </c>
      <c r="E387" s="86" t="e">
        <f t="shared" si="37"/>
        <v>#N/A</v>
      </c>
      <c r="F387" s="86" t="e">
        <f>IF($C387&gt;0,-PMT(Inputs!$B$14/12,Inputs!$B$15,Inputs!$B$11-Inputs!$B$13),0)</f>
        <v>#N/A</v>
      </c>
      <c r="H387" s="86">
        <f t="shared" si="41"/>
        <v>0</v>
      </c>
      <c r="I387" s="86">
        <f>IF($H387&lt;&gt;0,Inputs!$B$28/12*H387,0)</f>
        <v>0</v>
      </c>
      <c r="J387" s="86">
        <f t="shared" si="38"/>
        <v>0</v>
      </c>
      <c r="K387" s="86">
        <f t="shared" si="42"/>
        <v>0</v>
      </c>
    </row>
    <row r="388" spans="1:11" x14ac:dyDescent="0.3">
      <c r="A388" s="97">
        <f t="shared" ref="A388:A451" si="43">YEAR(B388)</f>
        <v>2057</v>
      </c>
      <c r="B388" s="79">
        <f t="shared" si="39"/>
        <v>57377</v>
      </c>
      <c r="C388" s="86" t="e">
        <f t="shared" si="40"/>
        <v>#N/A</v>
      </c>
      <c r="D388" s="86" t="e">
        <f>IF($C388&lt;&gt;0,Inputs!$B$14/12*C388,0)</f>
        <v>#N/A</v>
      </c>
      <c r="E388" s="86" t="e">
        <f t="shared" ref="E388:E451" si="44">F388-D388</f>
        <v>#N/A</v>
      </c>
      <c r="F388" s="86" t="e">
        <f>IF($C388&gt;0,-PMT(Inputs!$B$14/12,Inputs!$B$15,Inputs!$B$11-Inputs!$B$13),0)</f>
        <v>#N/A</v>
      </c>
      <c r="H388" s="86">
        <f t="shared" si="41"/>
        <v>0</v>
      </c>
      <c r="I388" s="86">
        <f>IF($H388&lt;&gt;0,Inputs!$B$28/12*H388,0)</f>
        <v>0</v>
      </c>
      <c r="J388" s="86">
        <f t="shared" ref="J388:J451" si="45">K388-I388</f>
        <v>0</v>
      </c>
      <c r="K388" s="86">
        <f t="shared" si="42"/>
        <v>0</v>
      </c>
    </row>
    <row r="389" spans="1:11" x14ac:dyDescent="0.3">
      <c r="A389" s="97">
        <f t="shared" si="43"/>
        <v>2057</v>
      </c>
      <c r="B389" s="79">
        <f t="shared" ref="B389:B452" si="46">EDATE(B388,1)</f>
        <v>57405</v>
      </c>
      <c r="C389" s="86" t="e">
        <f t="shared" ref="C389:C452" si="47">IF(C388&gt;0,C388-E388,0)</f>
        <v>#N/A</v>
      </c>
      <c r="D389" s="86" t="e">
        <f>IF($C389&lt;&gt;0,Inputs!$B$14/12*C389,0)</f>
        <v>#N/A</v>
      </c>
      <c r="E389" s="86" t="e">
        <f t="shared" si="44"/>
        <v>#N/A</v>
      </c>
      <c r="F389" s="86" t="e">
        <f>IF($C389&gt;0,-PMT(Inputs!$B$14/12,Inputs!$B$15,Inputs!$B$11-Inputs!$B$13),0)</f>
        <v>#N/A</v>
      </c>
      <c r="H389" s="86">
        <f t="shared" ref="H389:H452" si="48">IF(H388&gt;0,H388-J388,0)</f>
        <v>0</v>
      </c>
      <c r="I389" s="86">
        <f>IF($H389&lt;&gt;0,Inputs!$B$28/12*H389,0)</f>
        <v>0</v>
      </c>
      <c r="J389" s="86">
        <f t="shared" si="45"/>
        <v>0</v>
      </c>
      <c r="K389" s="86">
        <f t="shared" si="42"/>
        <v>0</v>
      </c>
    </row>
    <row r="390" spans="1:11" x14ac:dyDescent="0.3">
      <c r="A390" s="97">
        <f t="shared" si="43"/>
        <v>2057</v>
      </c>
      <c r="B390" s="79">
        <f t="shared" si="46"/>
        <v>57436</v>
      </c>
      <c r="C390" s="86" t="e">
        <f t="shared" si="47"/>
        <v>#N/A</v>
      </c>
      <c r="D390" s="86" t="e">
        <f>IF($C390&lt;&gt;0,Inputs!$B$14/12*C390,0)</f>
        <v>#N/A</v>
      </c>
      <c r="E390" s="86" t="e">
        <f t="shared" si="44"/>
        <v>#N/A</v>
      </c>
      <c r="F390" s="86" t="e">
        <f>IF($C390&gt;0,-PMT(Inputs!$B$14/12,Inputs!$B$15,Inputs!$B$11-Inputs!$B$13),0)</f>
        <v>#N/A</v>
      </c>
      <c r="H390" s="86">
        <f t="shared" si="48"/>
        <v>0</v>
      </c>
      <c r="I390" s="86">
        <f>IF($H390&lt;&gt;0,Inputs!$B$28/12*H390,0)</f>
        <v>0</v>
      </c>
      <c r="J390" s="86">
        <f t="shared" si="45"/>
        <v>0</v>
      </c>
      <c r="K390" s="86">
        <f t="shared" si="42"/>
        <v>0</v>
      </c>
    </row>
    <row r="391" spans="1:11" x14ac:dyDescent="0.3">
      <c r="A391" s="97">
        <f t="shared" si="43"/>
        <v>2057</v>
      </c>
      <c r="B391" s="79">
        <f t="shared" si="46"/>
        <v>57466</v>
      </c>
      <c r="C391" s="86" t="e">
        <f t="shared" si="47"/>
        <v>#N/A</v>
      </c>
      <c r="D391" s="86" t="e">
        <f>IF($C391&lt;&gt;0,Inputs!$B$14/12*C391,0)</f>
        <v>#N/A</v>
      </c>
      <c r="E391" s="86" t="e">
        <f t="shared" si="44"/>
        <v>#N/A</v>
      </c>
      <c r="F391" s="86" t="e">
        <f>IF($C391&gt;0,-PMT(Inputs!$B$14/12,Inputs!$B$15,Inputs!$B$11-Inputs!$B$13),0)</f>
        <v>#N/A</v>
      </c>
      <c r="H391" s="86">
        <f t="shared" si="48"/>
        <v>0</v>
      </c>
      <c r="I391" s="86">
        <f>IF($H391&lt;&gt;0,Inputs!$B$28/12*H391,0)</f>
        <v>0</v>
      </c>
      <c r="J391" s="86">
        <f t="shared" si="45"/>
        <v>0</v>
      </c>
      <c r="K391" s="86">
        <f t="shared" si="42"/>
        <v>0</v>
      </c>
    </row>
    <row r="392" spans="1:11" x14ac:dyDescent="0.3">
      <c r="A392" s="97">
        <f t="shared" si="43"/>
        <v>2057</v>
      </c>
      <c r="B392" s="79">
        <f t="shared" si="46"/>
        <v>57497</v>
      </c>
      <c r="C392" s="86" t="e">
        <f t="shared" si="47"/>
        <v>#N/A</v>
      </c>
      <c r="D392" s="86" t="e">
        <f>IF($C392&lt;&gt;0,Inputs!$B$14/12*C392,0)</f>
        <v>#N/A</v>
      </c>
      <c r="E392" s="86" t="e">
        <f t="shared" si="44"/>
        <v>#N/A</v>
      </c>
      <c r="F392" s="86" t="e">
        <f>IF($C392&gt;0,-PMT(Inputs!$B$14/12,Inputs!$B$15,Inputs!$B$11-Inputs!$B$13),0)</f>
        <v>#N/A</v>
      </c>
      <c r="H392" s="86">
        <f t="shared" si="48"/>
        <v>0</v>
      </c>
      <c r="I392" s="86">
        <f>IF($H392&lt;&gt;0,Inputs!$B$28/12*H392,0)</f>
        <v>0</v>
      </c>
      <c r="J392" s="86">
        <f t="shared" si="45"/>
        <v>0</v>
      </c>
      <c r="K392" s="86">
        <f t="shared" si="42"/>
        <v>0</v>
      </c>
    </row>
    <row r="393" spans="1:11" x14ac:dyDescent="0.3">
      <c r="A393" s="97">
        <f t="shared" si="43"/>
        <v>2057</v>
      </c>
      <c r="B393" s="79">
        <f t="shared" si="46"/>
        <v>57527</v>
      </c>
      <c r="C393" s="86" t="e">
        <f t="shared" si="47"/>
        <v>#N/A</v>
      </c>
      <c r="D393" s="86" t="e">
        <f>IF($C393&lt;&gt;0,Inputs!$B$14/12*C393,0)</f>
        <v>#N/A</v>
      </c>
      <c r="E393" s="86" t="e">
        <f t="shared" si="44"/>
        <v>#N/A</v>
      </c>
      <c r="F393" s="86" t="e">
        <f>IF($C393&gt;0,-PMT(Inputs!$B$14/12,Inputs!$B$15,Inputs!$B$11-Inputs!$B$13),0)</f>
        <v>#N/A</v>
      </c>
      <c r="H393" s="86">
        <f t="shared" si="48"/>
        <v>0</v>
      </c>
      <c r="I393" s="86">
        <f>IF($H393&lt;&gt;0,Inputs!$B$28/12*H393,0)</f>
        <v>0</v>
      </c>
      <c r="J393" s="86">
        <f t="shared" si="45"/>
        <v>0</v>
      </c>
      <c r="K393" s="86">
        <f t="shared" si="42"/>
        <v>0</v>
      </c>
    </row>
    <row r="394" spans="1:11" x14ac:dyDescent="0.3">
      <c r="A394" s="97">
        <f t="shared" si="43"/>
        <v>2057</v>
      </c>
      <c r="B394" s="79">
        <f t="shared" si="46"/>
        <v>57558</v>
      </c>
      <c r="C394" s="86" t="e">
        <f t="shared" si="47"/>
        <v>#N/A</v>
      </c>
      <c r="D394" s="86" t="e">
        <f>IF($C394&lt;&gt;0,Inputs!$B$14/12*C394,0)</f>
        <v>#N/A</v>
      </c>
      <c r="E394" s="86" t="e">
        <f t="shared" si="44"/>
        <v>#N/A</v>
      </c>
      <c r="F394" s="86" t="e">
        <f>IF($C394&gt;0,-PMT(Inputs!$B$14/12,Inputs!$B$15,Inputs!$B$11-Inputs!$B$13),0)</f>
        <v>#N/A</v>
      </c>
      <c r="H394" s="86">
        <f t="shared" si="48"/>
        <v>0</v>
      </c>
      <c r="I394" s="86">
        <f>IF($H394&lt;&gt;0,Inputs!$B$28/12*H394,0)</f>
        <v>0</v>
      </c>
      <c r="J394" s="86">
        <f t="shared" si="45"/>
        <v>0</v>
      </c>
      <c r="K394" s="86">
        <f t="shared" si="42"/>
        <v>0</v>
      </c>
    </row>
    <row r="395" spans="1:11" x14ac:dyDescent="0.3">
      <c r="A395" s="97">
        <f t="shared" si="43"/>
        <v>2057</v>
      </c>
      <c r="B395" s="79">
        <f t="shared" si="46"/>
        <v>57589</v>
      </c>
      <c r="C395" s="86" t="e">
        <f t="shared" si="47"/>
        <v>#N/A</v>
      </c>
      <c r="D395" s="86" t="e">
        <f>IF($C395&lt;&gt;0,Inputs!$B$14/12*C395,0)</f>
        <v>#N/A</v>
      </c>
      <c r="E395" s="86" t="e">
        <f t="shared" si="44"/>
        <v>#N/A</v>
      </c>
      <c r="F395" s="86" t="e">
        <f>IF($C395&gt;0,-PMT(Inputs!$B$14/12,Inputs!$B$15,Inputs!$B$11-Inputs!$B$13),0)</f>
        <v>#N/A</v>
      </c>
      <c r="H395" s="86">
        <f t="shared" si="48"/>
        <v>0</v>
      </c>
      <c r="I395" s="86">
        <f>IF($H395&lt;&gt;0,Inputs!$B$28/12*H395,0)</f>
        <v>0</v>
      </c>
      <c r="J395" s="86">
        <f t="shared" si="45"/>
        <v>0</v>
      </c>
      <c r="K395" s="86">
        <f t="shared" si="42"/>
        <v>0</v>
      </c>
    </row>
    <row r="396" spans="1:11" x14ac:dyDescent="0.3">
      <c r="A396" s="97">
        <f t="shared" si="43"/>
        <v>2057</v>
      </c>
      <c r="B396" s="79">
        <f t="shared" si="46"/>
        <v>57619</v>
      </c>
      <c r="C396" s="86" t="e">
        <f t="shared" si="47"/>
        <v>#N/A</v>
      </c>
      <c r="D396" s="86" t="e">
        <f>IF($C396&lt;&gt;0,Inputs!$B$14/12*C396,0)</f>
        <v>#N/A</v>
      </c>
      <c r="E396" s="86" t="e">
        <f t="shared" si="44"/>
        <v>#N/A</v>
      </c>
      <c r="F396" s="86" t="e">
        <f>IF($C396&gt;0,-PMT(Inputs!$B$14/12,Inputs!$B$15,Inputs!$B$11-Inputs!$B$13),0)</f>
        <v>#N/A</v>
      </c>
      <c r="H396" s="86">
        <f t="shared" si="48"/>
        <v>0</v>
      </c>
      <c r="I396" s="86">
        <f>IF($H396&lt;&gt;0,Inputs!$B$28/12*H396,0)</f>
        <v>0</v>
      </c>
      <c r="J396" s="86">
        <f t="shared" si="45"/>
        <v>0</v>
      </c>
      <c r="K396" s="86">
        <f t="shared" si="42"/>
        <v>0</v>
      </c>
    </row>
    <row r="397" spans="1:11" x14ac:dyDescent="0.3">
      <c r="A397" s="97">
        <f t="shared" si="43"/>
        <v>2057</v>
      </c>
      <c r="B397" s="79">
        <f t="shared" si="46"/>
        <v>57650</v>
      </c>
      <c r="C397" s="86" t="e">
        <f t="shared" si="47"/>
        <v>#N/A</v>
      </c>
      <c r="D397" s="86" t="e">
        <f>IF($C397&lt;&gt;0,Inputs!$B$14/12*C397,0)</f>
        <v>#N/A</v>
      </c>
      <c r="E397" s="86" t="e">
        <f t="shared" si="44"/>
        <v>#N/A</v>
      </c>
      <c r="F397" s="86" t="e">
        <f>IF($C397&gt;0,-PMT(Inputs!$B$14/12,Inputs!$B$15,Inputs!$B$11-Inputs!$B$13),0)</f>
        <v>#N/A</v>
      </c>
      <c r="H397" s="86">
        <f t="shared" si="48"/>
        <v>0</v>
      </c>
      <c r="I397" s="86">
        <f>IF($H397&lt;&gt;0,Inputs!$B$28/12*H397,0)</f>
        <v>0</v>
      </c>
      <c r="J397" s="86">
        <f t="shared" si="45"/>
        <v>0</v>
      </c>
      <c r="K397" s="86">
        <f t="shared" si="42"/>
        <v>0</v>
      </c>
    </row>
    <row r="398" spans="1:11" x14ac:dyDescent="0.3">
      <c r="A398" s="97">
        <f t="shared" si="43"/>
        <v>2057</v>
      </c>
      <c r="B398" s="79">
        <f t="shared" si="46"/>
        <v>57680</v>
      </c>
      <c r="C398" s="86" t="e">
        <f t="shared" si="47"/>
        <v>#N/A</v>
      </c>
      <c r="D398" s="86" t="e">
        <f>IF($C398&lt;&gt;0,Inputs!$B$14/12*C398,0)</f>
        <v>#N/A</v>
      </c>
      <c r="E398" s="86" t="e">
        <f t="shared" si="44"/>
        <v>#N/A</v>
      </c>
      <c r="F398" s="86" t="e">
        <f>IF($C398&gt;0,-PMT(Inputs!$B$14/12,Inputs!$B$15,Inputs!$B$11-Inputs!$B$13),0)</f>
        <v>#N/A</v>
      </c>
      <c r="H398" s="86">
        <f t="shared" si="48"/>
        <v>0</v>
      </c>
      <c r="I398" s="86">
        <f>IF($H398&lt;&gt;0,Inputs!$B$28/12*H398,0)</f>
        <v>0</v>
      </c>
      <c r="J398" s="86">
        <f t="shared" si="45"/>
        <v>0</v>
      </c>
      <c r="K398" s="86">
        <f t="shared" si="42"/>
        <v>0</v>
      </c>
    </row>
    <row r="399" spans="1:11" x14ac:dyDescent="0.3">
      <c r="A399" s="97">
        <f t="shared" si="43"/>
        <v>2058</v>
      </c>
      <c r="B399" s="79">
        <f t="shared" si="46"/>
        <v>57711</v>
      </c>
      <c r="C399" s="86" t="e">
        <f t="shared" si="47"/>
        <v>#N/A</v>
      </c>
      <c r="D399" s="86" t="e">
        <f>IF($C399&lt;&gt;0,Inputs!$B$14/12*C399,0)</f>
        <v>#N/A</v>
      </c>
      <c r="E399" s="86" t="e">
        <f t="shared" si="44"/>
        <v>#N/A</v>
      </c>
      <c r="F399" s="86" t="e">
        <f>IF($C399&gt;0,-PMT(Inputs!$B$14/12,Inputs!$B$15,Inputs!$B$11-Inputs!$B$13),0)</f>
        <v>#N/A</v>
      </c>
      <c r="H399" s="86">
        <f t="shared" si="48"/>
        <v>0</v>
      </c>
      <c r="I399" s="86">
        <f>IF($H399&lt;&gt;0,Inputs!$B$28/12*H399,0)</f>
        <v>0</v>
      </c>
      <c r="J399" s="86">
        <f t="shared" si="45"/>
        <v>0</v>
      </c>
      <c r="K399" s="86">
        <f t="shared" si="42"/>
        <v>0</v>
      </c>
    </row>
    <row r="400" spans="1:11" x14ac:dyDescent="0.3">
      <c r="A400" s="97">
        <f t="shared" si="43"/>
        <v>2058</v>
      </c>
      <c r="B400" s="79">
        <f t="shared" si="46"/>
        <v>57742</v>
      </c>
      <c r="C400" s="86" t="e">
        <f t="shared" si="47"/>
        <v>#N/A</v>
      </c>
      <c r="D400" s="86" t="e">
        <f>IF($C400&lt;&gt;0,Inputs!$B$14/12*C400,0)</f>
        <v>#N/A</v>
      </c>
      <c r="E400" s="86" t="e">
        <f t="shared" si="44"/>
        <v>#N/A</v>
      </c>
      <c r="F400" s="86" t="e">
        <f>IF($C400&gt;0,-PMT(Inputs!$B$14/12,Inputs!$B$15,Inputs!$B$11-Inputs!$B$13),0)</f>
        <v>#N/A</v>
      </c>
      <c r="H400" s="86">
        <f t="shared" si="48"/>
        <v>0</v>
      </c>
      <c r="I400" s="86">
        <f>IF($H400&lt;&gt;0,Inputs!$B$28/12*H400,0)</f>
        <v>0</v>
      </c>
      <c r="J400" s="86">
        <f t="shared" si="45"/>
        <v>0</v>
      </c>
      <c r="K400" s="86">
        <f t="shared" si="42"/>
        <v>0</v>
      </c>
    </row>
    <row r="401" spans="1:11" x14ac:dyDescent="0.3">
      <c r="A401" s="97">
        <f t="shared" si="43"/>
        <v>2058</v>
      </c>
      <c r="B401" s="79">
        <f t="shared" si="46"/>
        <v>57770</v>
      </c>
      <c r="C401" s="86" t="e">
        <f t="shared" si="47"/>
        <v>#N/A</v>
      </c>
      <c r="D401" s="86" t="e">
        <f>IF($C401&lt;&gt;0,Inputs!$B$14/12*C401,0)</f>
        <v>#N/A</v>
      </c>
      <c r="E401" s="86" t="e">
        <f t="shared" si="44"/>
        <v>#N/A</v>
      </c>
      <c r="F401" s="86" t="e">
        <f>IF($C401&gt;0,-PMT(Inputs!$B$14/12,Inputs!$B$15,Inputs!$B$11-Inputs!$B$13),0)</f>
        <v>#N/A</v>
      </c>
      <c r="H401" s="86">
        <f t="shared" si="48"/>
        <v>0</v>
      </c>
      <c r="I401" s="86">
        <f>IF($H401&lt;&gt;0,Inputs!$B$28/12*H401,0)</f>
        <v>0</v>
      </c>
      <c r="J401" s="86">
        <f t="shared" si="45"/>
        <v>0</v>
      </c>
      <c r="K401" s="86">
        <f t="shared" si="42"/>
        <v>0</v>
      </c>
    </row>
    <row r="402" spans="1:11" x14ac:dyDescent="0.3">
      <c r="A402" s="97">
        <f t="shared" si="43"/>
        <v>2058</v>
      </c>
      <c r="B402" s="79">
        <f t="shared" si="46"/>
        <v>57801</v>
      </c>
      <c r="C402" s="86" t="e">
        <f t="shared" si="47"/>
        <v>#N/A</v>
      </c>
      <c r="D402" s="86" t="e">
        <f>IF($C402&lt;&gt;0,Inputs!$B$14/12*C402,0)</f>
        <v>#N/A</v>
      </c>
      <c r="E402" s="86" t="e">
        <f t="shared" si="44"/>
        <v>#N/A</v>
      </c>
      <c r="F402" s="86" t="e">
        <f>IF($C402&gt;0,-PMT(Inputs!$B$14/12,Inputs!$B$15,Inputs!$B$11-Inputs!$B$13),0)</f>
        <v>#N/A</v>
      </c>
      <c r="H402" s="86">
        <f t="shared" si="48"/>
        <v>0</v>
      </c>
      <c r="I402" s="86">
        <f>IF($H402&lt;&gt;0,Inputs!$B$28/12*H402,0)</f>
        <v>0</v>
      </c>
      <c r="J402" s="86">
        <f t="shared" si="45"/>
        <v>0</v>
      </c>
      <c r="K402" s="86">
        <f t="shared" si="42"/>
        <v>0</v>
      </c>
    </row>
    <row r="403" spans="1:11" x14ac:dyDescent="0.3">
      <c r="A403" s="97">
        <f t="shared" si="43"/>
        <v>2058</v>
      </c>
      <c r="B403" s="79">
        <f t="shared" si="46"/>
        <v>57831</v>
      </c>
      <c r="C403" s="86" t="e">
        <f t="shared" si="47"/>
        <v>#N/A</v>
      </c>
      <c r="D403" s="86" t="e">
        <f>IF($C403&lt;&gt;0,Inputs!$B$14/12*C403,0)</f>
        <v>#N/A</v>
      </c>
      <c r="E403" s="86" t="e">
        <f t="shared" si="44"/>
        <v>#N/A</v>
      </c>
      <c r="F403" s="86" t="e">
        <f>IF($C403&gt;0,-PMT(Inputs!$B$14/12,Inputs!$B$15,Inputs!$B$11-Inputs!$B$13),0)</f>
        <v>#N/A</v>
      </c>
      <c r="H403" s="86">
        <f t="shared" si="48"/>
        <v>0</v>
      </c>
      <c r="I403" s="86">
        <f>IF($H403&lt;&gt;0,Inputs!$B$28/12*H403,0)</f>
        <v>0</v>
      </c>
      <c r="J403" s="86">
        <f t="shared" si="45"/>
        <v>0</v>
      </c>
      <c r="K403" s="86">
        <f t="shared" si="42"/>
        <v>0</v>
      </c>
    </row>
    <row r="404" spans="1:11" x14ac:dyDescent="0.3">
      <c r="A404" s="97">
        <f t="shared" si="43"/>
        <v>2058</v>
      </c>
      <c r="B404" s="79">
        <f t="shared" si="46"/>
        <v>57862</v>
      </c>
      <c r="C404" s="86" t="e">
        <f t="shared" si="47"/>
        <v>#N/A</v>
      </c>
      <c r="D404" s="86" t="e">
        <f>IF($C404&lt;&gt;0,Inputs!$B$14/12*C404,0)</f>
        <v>#N/A</v>
      </c>
      <c r="E404" s="86" t="e">
        <f t="shared" si="44"/>
        <v>#N/A</v>
      </c>
      <c r="F404" s="86" t="e">
        <f>IF($C404&gt;0,-PMT(Inputs!$B$14/12,Inputs!$B$15,Inputs!$B$11-Inputs!$B$13),0)</f>
        <v>#N/A</v>
      </c>
      <c r="H404" s="86">
        <f t="shared" si="48"/>
        <v>0</v>
      </c>
      <c r="I404" s="86">
        <f>IF($H404&lt;&gt;0,Inputs!$B$28/12*H404,0)</f>
        <v>0</v>
      </c>
      <c r="J404" s="86">
        <f t="shared" si="45"/>
        <v>0</v>
      </c>
      <c r="K404" s="86">
        <f t="shared" si="42"/>
        <v>0</v>
      </c>
    </row>
    <row r="405" spans="1:11" x14ac:dyDescent="0.3">
      <c r="A405" s="97">
        <f t="shared" si="43"/>
        <v>2058</v>
      </c>
      <c r="B405" s="79">
        <f t="shared" si="46"/>
        <v>57892</v>
      </c>
      <c r="C405" s="86" t="e">
        <f t="shared" si="47"/>
        <v>#N/A</v>
      </c>
      <c r="D405" s="86" t="e">
        <f>IF($C405&lt;&gt;0,Inputs!$B$14/12*C405,0)</f>
        <v>#N/A</v>
      </c>
      <c r="E405" s="86" t="e">
        <f t="shared" si="44"/>
        <v>#N/A</v>
      </c>
      <c r="F405" s="86" t="e">
        <f>IF($C405&gt;0,-PMT(Inputs!$B$14/12,Inputs!$B$15,Inputs!$B$11-Inputs!$B$13),0)</f>
        <v>#N/A</v>
      </c>
      <c r="H405" s="86">
        <f t="shared" si="48"/>
        <v>0</v>
      </c>
      <c r="I405" s="86">
        <f>IF($H405&lt;&gt;0,Inputs!$B$28/12*H405,0)</f>
        <v>0</v>
      </c>
      <c r="J405" s="86">
        <f t="shared" si="45"/>
        <v>0</v>
      </c>
      <c r="K405" s="86">
        <f t="shared" si="42"/>
        <v>0</v>
      </c>
    </row>
    <row r="406" spans="1:11" x14ac:dyDescent="0.3">
      <c r="A406" s="97">
        <f t="shared" si="43"/>
        <v>2058</v>
      </c>
      <c r="B406" s="79">
        <f t="shared" si="46"/>
        <v>57923</v>
      </c>
      <c r="C406" s="86" t="e">
        <f t="shared" si="47"/>
        <v>#N/A</v>
      </c>
      <c r="D406" s="86" t="e">
        <f>IF($C406&lt;&gt;0,Inputs!$B$14/12*C406,0)</f>
        <v>#N/A</v>
      </c>
      <c r="E406" s="86" t="e">
        <f t="shared" si="44"/>
        <v>#N/A</v>
      </c>
      <c r="F406" s="86" t="e">
        <f>IF($C406&gt;0,-PMT(Inputs!$B$14/12,Inputs!$B$15,Inputs!$B$11-Inputs!$B$13),0)</f>
        <v>#N/A</v>
      </c>
      <c r="H406" s="86">
        <f t="shared" si="48"/>
        <v>0</v>
      </c>
      <c r="I406" s="86">
        <f>IF($H406&lt;&gt;0,Inputs!$B$28/12*H406,0)</f>
        <v>0</v>
      </c>
      <c r="J406" s="86">
        <f t="shared" si="45"/>
        <v>0</v>
      </c>
      <c r="K406" s="86">
        <f t="shared" si="42"/>
        <v>0</v>
      </c>
    </row>
    <row r="407" spans="1:11" x14ac:dyDescent="0.3">
      <c r="A407" s="97">
        <f t="shared" si="43"/>
        <v>2058</v>
      </c>
      <c r="B407" s="79">
        <f t="shared" si="46"/>
        <v>57954</v>
      </c>
      <c r="C407" s="86" t="e">
        <f t="shared" si="47"/>
        <v>#N/A</v>
      </c>
      <c r="D407" s="86" t="e">
        <f>IF($C407&lt;&gt;0,Inputs!$B$14/12*C407,0)</f>
        <v>#N/A</v>
      </c>
      <c r="E407" s="86" t="e">
        <f t="shared" si="44"/>
        <v>#N/A</v>
      </c>
      <c r="F407" s="86" t="e">
        <f>IF($C407&gt;0,-PMT(Inputs!$B$14/12,Inputs!$B$15,Inputs!$B$11-Inputs!$B$13),0)</f>
        <v>#N/A</v>
      </c>
      <c r="H407" s="86">
        <f t="shared" si="48"/>
        <v>0</v>
      </c>
      <c r="I407" s="86">
        <f>IF($H407&lt;&gt;0,Inputs!$B$28/12*H407,0)</f>
        <v>0</v>
      </c>
      <c r="J407" s="86">
        <f t="shared" si="45"/>
        <v>0</v>
      </c>
      <c r="K407" s="86">
        <f t="shared" si="42"/>
        <v>0</v>
      </c>
    </row>
    <row r="408" spans="1:11" x14ac:dyDescent="0.3">
      <c r="A408" s="97">
        <f t="shared" si="43"/>
        <v>2058</v>
      </c>
      <c r="B408" s="79">
        <f t="shared" si="46"/>
        <v>57984</v>
      </c>
      <c r="C408" s="86" t="e">
        <f t="shared" si="47"/>
        <v>#N/A</v>
      </c>
      <c r="D408" s="86" t="e">
        <f>IF($C408&lt;&gt;0,Inputs!$B$14/12*C408,0)</f>
        <v>#N/A</v>
      </c>
      <c r="E408" s="86" t="e">
        <f t="shared" si="44"/>
        <v>#N/A</v>
      </c>
      <c r="F408" s="86" t="e">
        <f>IF($C408&gt;0,-PMT(Inputs!$B$14/12,Inputs!$B$15,Inputs!$B$11-Inputs!$B$13),0)</f>
        <v>#N/A</v>
      </c>
      <c r="H408" s="86">
        <f t="shared" si="48"/>
        <v>0</v>
      </c>
      <c r="I408" s="86">
        <f>IF($H408&lt;&gt;0,Inputs!$B$28/12*H408,0)</f>
        <v>0</v>
      </c>
      <c r="J408" s="86">
        <f t="shared" si="45"/>
        <v>0</v>
      </c>
      <c r="K408" s="86">
        <f t="shared" si="42"/>
        <v>0</v>
      </c>
    </row>
    <row r="409" spans="1:11" x14ac:dyDescent="0.3">
      <c r="A409" s="97">
        <f t="shared" si="43"/>
        <v>2058</v>
      </c>
      <c r="B409" s="79">
        <f t="shared" si="46"/>
        <v>58015</v>
      </c>
      <c r="C409" s="86" t="e">
        <f t="shared" si="47"/>
        <v>#N/A</v>
      </c>
      <c r="D409" s="86" t="e">
        <f>IF($C409&lt;&gt;0,Inputs!$B$14/12*C409,0)</f>
        <v>#N/A</v>
      </c>
      <c r="E409" s="86" t="e">
        <f t="shared" si="44"/>
        <v>#N/A</v>
      </c>
      <c r="F409" s="86" t="e">
        <f>IF($C409&gt;0,-PMT(Inputs!$B$14/12,Inputs!$B$15,Inputs!$B$11-Inputs!$B$13),0)</f>
        <v>#N/A</v>
      </c>
      <c r="H409" s="86">
        <f t="shared" si="48"/>
        <v>0</v>
      </c>
      <c r="I409" s="86">
        <f>IF($H409&lt;&gt;0,Inputs!$B$28/12*H409,0)</f>
        <v>0</v>
      </c>
      <c r="J409" s="86">
        <f t="shared" si="45"/>
        <v>0</v>
      </c>
      <c r="K409" s="86">
        <f t="shared" si="42"/>
        <v>0</v>
      </c>
    </row>
    <row r="410" spans="1:11" x14ac:dyDescent="0.3">
      <c r="A410" s="97">
        <f t="shared" si="43"/>
        <v>2058</v>
      </c>
      <c r="B410" s="79">
        <f t="shared" si="46"/>
        <v>58045</v>
      </c>
      <c r="C410" s="86" t="e">
        <f t="shared" si="47"/>
        <v>#N/A</v>
      </c>
      <c r="D410" s="86" t="e">
        <f>IF($C410&lt;&gt;0,Inputs!$B$14/12*C410,0)</f>
        <v>#N/A</v>
      </c>
      <c r="E410" s="86" t="e">
        <f t="shared" si="44"/>
        <v>#N/A</v>
      </c>
      <c r="F410" s="86" t="e">
        <f>IF($C410&gt;0,-PMT(Inputs!$B$14/12,Inputs!$B$15,Inputs!$B$11-Inputs!$B$13),0)</f>
        <v>#N/A</v>
      </c>
      <c r="H410" s="86">
        <f t="shared" si="48"/>
        <v>0</v>
      </c>
      <c r="I410" s="86">
        <f>IF($H410&lt;&gt;0,Inputs!$B$28/12*H410,0)</f>
        <v>0</v>
      </c>
      <c r="J410" s="86">
        <f t="shared" si="45"/>
        <v>0</v>
      </c>
      <c r="K410" s="86">
        <f t="shared" si="42"/>
        <v>0</v>
      </c>
    </row>
    <row r="411" spans="1:11" x14ac:dyDescent="0.3">
      <c r="A411" s="97">
        <f t="shared" si="43"/>
        <v>2059</v>
      </c>
      <c r="B411" s="79">
        <f t="shared" si="46"/>
        <v>58076</v>
      </c>
      <c r="C411" s="86" t="e">
        <f t="shared" si="47"/>
        <v>#N/A</v>
      </c>
      <c r="D411" s="86" t="e">
        <f>IF($C411&lt;&gt;0,Inputs!$B$14/12*C411,0)</f>
        <v>#N/A</v>
      </c>
      <c r="E411" s="86" t="e">
        <f t="shared" si="44"/>
        <v>#N/A</v>
      </c>
      <c r="F411" s="86" t="e">
        <f>IF($C411&gt;0,-PMT(Inputs!$B$14/12,Inputs!$B$15,Inputs!$B$11-Inputs!$B$13),0)</f>
        <v>#N/A</v>
      </c>
      <c r="H411" s="86">
        <f t="shared" si="48"/>
        <v>0</v>
      </c>
      <c r="I411" s="86">
        <f>IF($H411&lt;&gt;0,Inputs!$B$28/12*H411,0)</f>
        <v>0</v>
      </c>
      <c r="J411" s="86">
        <f t="shared" si="45"/>
        <v>0</v>
      </c>
      <c r="K411" s="86">
        <f t="shared" si="42"/>
        <v>0</v>
      </c>
    </row>
    <row r="412" spans="1:11" x14ac:dyDescent="0.3">
      <c r="A412" s="97">
        <f t="shared" si="43"/>
        <v>2059</v>
      </c>
      <c r="B412" s="79">
        <f t="shared" si="46"/>
        <v>58107</v>
      </c>
      <c r="C412" s="86" t="e">
        <f t="shared" si="47"/>
        <v>#N/A</v>
      </c>
      <c r="D412" s="86" t="e">
        <f>IF($C412&lt;&gt;0,Inputs!$B$14/12*C412,0)</f>
        <v>#N/A</v>
      </c>
      <c r="E412" s="86" t="e">
        <f t="shared" si="44"/>
        <v>#N/A</v>
      </c>
      <c r="F412" s="86" t="e">
        <f>IF($C412&gt;0,-PMT(Inputs!$B$14/12,Inputs!$B$15,Inputs!$B$11-Inputs!$B$13),0)</f>
        <v>#N/A</v>
      </c>
      <c r="H412" s="86">
        <f t="shared" si="48"/>
        <v>0</v>
      </c>
      <c r="I412" s="86">
        <f>IF($H412&lt;&gt;0,Inputs!$B$28/12*H412,0)</f>
        <v>0</v>
      </c>
      <c r="J412" s="86">
        <f t="shared" si="45"/>
        <v>0</v>
      </c>
      <c r="K412" s="86">
        <f t="shared" si="42"/>
        <v>0</v>
      </c>
    </row>
    <row r="413" spans="1:11" x14ac:dyDescent="0.3">
      <c r="A413" s="97">
        <f t="shared" si="43"/>
        <v>2059</v>
      </c>
      <c r="B413" s="79">
        <f t="shared" si="46"/>
        <v>58135</v>
      </c>
      <c r="C413" s="86" t="e">
        <f t="shared" si="47"/>
        <v>#N/A</v>
      </c>
      <c r="D413" s="86" t="e">
        <f>IF($C413&lt;&gt;0,Inputs!$B$14/12*C413,0)</f>
        <v>#N/A</v>
      </c>
      <c r="E413" s="86" t="e">
        <f t="shared" si="44"/>
        <v>#N/A</v>
      </c>
      <c r="F413" s="86" t="e">
        <f>IF($C413&gt;0,-PMT(Inputs!$B$14/12,Inputs!$B$15,Inputs!$B$11-Inputs!$B$13),0)</f>
        <v>#N/A</v>
      </c>
      <c r="H413" s="86">
        <f t="shared" si="48"/>
        <v>0</v>
      </c>
      <c r="I413" s="86">
        <f>IF($H413&lt;&gt;0,Inputs!$B$28/12*H413,0)</f>
        <v>0</v>
      </c>
      <c r="J413" s="86">
        <f t="shared" si="45"/>
        <v>0</v>
      </c>
      <c r="K413" s="86">
        <f t="shared" si="42"/>
        <v>0</v>
      </c>
    </row>
    <row r="414" spans="1:11" x14ac:dyDescent="0.3">
      <c r="A414" s="97">
        <f t="shared" si="43"/>
        <v>2059</v>
      </c>
      <c r="B414" s="79">
        <f t="shared" si="46"/>
        <v>58166</v>
      </c>
      <c r="C414" s="86" t="e">
        <f t="shared" si="47"/>
        <v>#N/A</v>
      </c>
      <c r="D414" s="86" t="e">
        <f>IF($C414&lt;&gt;0,Inputs!$B$14/12*C414,0)</f>
        <v>#N/A</v>
      </c>
      <c r="E414" s="86" t="e">
        <f t="shared" si="44"/>
        <v>#N/A</v>
      </c>
      <c r="F414" s="86" t="e">
        <f>IF($C414&gt;0,-PMT(Inputs!$B$14/12,Inputs!$B$15,Inputs!$B$11-Inputs!$B$13),0)</f>
        <v>#N/A</v>
      </c>
      <c r="H414" s="86">
        <f t="shared" si="48"/>
        <v>0</v>
      </c>
      <c r="I414" s="86">
        <f>IF($H414&lt;&gt;0,Inputs!$B$28/12*H414,0)</f>
        <v>0</v>
      </c>
      <c r="J414" s="86">
        <f t="shared" si="45"/>
        <v>0</v>
      </c>
      <c r="K414" s="86">
        <f t="shared" si="42"/>
        <v>0</v>
      </c>
    </row>
    <row r="415" spans="1:11" x14ac:dyDescent="0.3">
      <c r="A415" s="97">
        <f t="shared" si="43"/>
        <v>2059</v>
      </c>
      <c r="B415" s="79">
        <f t="shared" si="46"/>
        <v>58196</v>
      </c>
      <c r="C415" s="86" t="e">
        <f t="shared" si="47"/>
        <v>#N/A</v>
      </c>
      <c r="D415" s="86" t="e">
        <f>IF($C415&lt;&gt;0,Inputs!$B$14/12*C415,0)</f>
        <v>#N/A</v>
      </c>
      <c r="E415" s="86" t="e">
        <f t="shared" si="44"/>
        <v>#N/A</v>
      </c>
      <c r="F415" s="86" t="e">
        <f>IF($C415&gt;0,-PMT(Inputs!$B$14/12,Inputs!$B$15,Inputs!$B$11-Inputs!$B$13),0)</f>
        <v>#N/A</v>
      </c>
      <c r="H415" s="86">
        <f t="shared" si="48"/>
        <v>0</v>
      </c>
      <c r="I415" s="86">
        <f>IF($H415&lt;&gt;0,Inputs!$B$28/12*H415,0)</f>
        <v>0</v>
      </c>
      <c r="J415" s="86">
        <f t="shared" si="45"/>
        <v>0</v>
      </c>
      <c r="K415" s="86">
        <f t="shared" si="42"/>
        <v>0</v>
      </c>
    </row>
    <row r="416" spans="1:11" x14ac:dyDescent="0.3">
      <c r="A416" s="97">
        <f t="shared" si="43"/>
        <v>2059</v>
      </c>
      <c r="B416" s="79">
        <f t="shared" si="46"/>
        <v>58227</v>
      </c>
      <c r="C416" s="86" t="e">
        <f t="shared" si="47"/>
        <v>#N/A</v>
      </c>
      <c r="D416" s="86" t="e">
        <f>IF($C416&lt;&gt;0,Inputs!$B$14/12*C416,0)</f>
        <v>#N/A</v>
      </c>
      <c r="E416" s="86" t="e">
        <f t="shared" si="44"/>
        <v>#N/A</v>
      </c>
      <c r="F416" s="86" t="e">
        <f>IF($C416&gt;0,-PMT(Inputs!$B$14/12,Inputs!$B$15,Inputs!$B$11-Inputs!$B$13),0)</f>
        <v>#N/A</v>
      </c>
      <c r="H416" s="86">
        <f t="shared" si="48"/>
        <v>0</v>
      </c>
      <c r="I416" s="86">
        <f>IF($H416&lt;&gt;0,Inputs!$B$28/12*H416,0)</f>
        <v>0</v>
      </c>
      <c r="J416" s="86">
        <f t="shared" si="45"/>
        <v>0</v>
      </c>
      <c r="K416" s="86">
        <f t="shared" si="42"/>
        <v>0</v>
      </c>
    </row>
    <row r="417" spans="1:11" x14ac:dyDescent="0.3">
      <c r="A417" s="97">
        <f t="shared" si="43"/>
        <v>2059</v>
      </c>
      <c r="B417" s="79">
        <f t="shared" si="46"/>
        <v>58257</v>
      </c>
      <c r="C417" s="86" t="e">
        <f t="shared" si="47"/>
        <v>#N/A</v>
      </c>
      <c r="D417" s="86" t="e">
        <f>IF($C417&lt;&gt;0,Inputs!$B$14/12*C417,0)</f>
        <v>#N/A</v>
      </c>
      <c r="E417" s="86" t="e">
        <f t="shared" si="44"/>
        <v>#N/A</v>
      </c>
      <c r="F417" s="86" t="e">
        <f>IF($C417&gt;0,-PMT(Inputs!$B$14/12,Inputs!$B$15,Inputs!$B$11-Inputs!$B$13),0)</f>
        <v>#N/A</v>
      </c>
      <c r="H417" s="86">
        <f t="shared" si="48"/>
        <v>0</v>
      </c>
      <c r="I417" s="86">
        <f>IF($H417&lt;&gt;0,Inputs!$B$28/12*H417,0)</f>
        <v>0</v>
      </c>
      <c r="J417" s="86">
        <f t="shared" si="45"/>
        <v>0</v>
      </c>
      <c r="K417" s="86">
        <f t="shared" ref="K417:K480" si="49">IF(H417&gt;0,IF(H417+I417&gt;K416,K416,H417+I417),0)</f>
        <v>0</v>
      </c>
    </row>
    <row r="418" spans="1:11" x14ac:dyDescent="0.3">
      <c r="A418" s="97">
        <f t="shared" si="43"/>
        <v>2059</v>
      </c>
      <c r="B418" s="79">
        <f t="shared" si="46"/>
        <v>58288</v>
      </c>
      <c r="C418" s="86" t="e">
        <f t="shared" si="47"/>
        <v>#N/A</v>
      </c>
      <c r="D418" s="86" t="e">
        <f>IF($C418&lt;&gt;0,Inputs!$B$14/12*C418,0)</f>
        <v>#N/A</v>
      </c>
      <c r="E418" s="86" t="e">
        <f t="shared" si="44"/>
        <v>#N/A</v>
      </c>
      <c r="F418" s="86" t="e">
        <f>IF($C418&gt;0,-PMT(Inputs!$B$14/12,Inputs!$B$15,Inputs!$B$11-Inputs!$B$13),0)</f>
        <v>#N/A</v>
      </c>
      <c r="H418" s="86">
        <f t="shared" si="48"/>
        <v>0</v>
      </c>
      <c r="I418" s="86">
        <f>IF($H418&lt;&gt;0,Inputs!$B$28/12*H418,0)</f>
        <v>0</v>
      </c>
      <c r="J418" s="86">
        <f t="shared" si="45"/>
        <v>0</v>
      </c>
      <c r="K418" s="86">
        <f t="shared" si="49"/>
        <v>0</v>
      </c>
    </row>
    <row r="419" spans="1:11" x14ac:dyDescent="0.3">
      <c r="A419" s="97">
        <f t="shared" si="43"/>
        <v>2059</v>
      </c>
      <c r="B419" s="79">
        <f t="shared" si="46"/>
        <v>58319</v>
      </c>
      <c r="C419" s="86" t="e">
        <f t="shared" si="47"/>
        <v>#N/A</v>
      </c>
      <c r="D419" s="86" t="e">
        <f>IF($C419&lt;&gt;0,Inputs!$B$14/12*C419,0)</f>
        <v>#N/A</v>
      </c>
      <c r="E419" s="86" t="e">
        <f t="shared" si="44"/>
        <v>#N/A</v>
      </c>
      <c r="F419" s="86" t="e">
        <f>IF($C419&gt;0,-PMT(Inputs!$B$14/12,Inputs!$B$15,Inputs!$B$11-Inputs!$B$13),0)</f>
        <v>#N/A</v>
      </c>
      <c r="H419" s="86">
        <f t="shared" si="48"/>
        <v>0</v>
      </c>
      <c r="I419" s="86">
        <f>IF($H419&lt;&gt;0,Inputs!$B$28/12*H419,0)</f>
        <v>0</v>
      </c>
      <c r="J419" s="86">
        <f t="shared" si="45"/>
        <v>0</v>
      </c>
      <c r="K419" s="86">
        <f t="shared" si="49"/>
        <v>0</v>
      </c>
    </row>
    <row r="420" spans="1:11" x14ac:dyDescent="0.3">
      <c r="A420" s="97">
        <f t="shared" si="43"/>
        <v>2059</v>
      </c>
      <c r="B420" s="79">
        <f t="shared" si="46"/>
        <v>58349</v>
      </c>
      <c r="C420" s="86" t="e">
        <f t="shared" si="47"/>
        <v>#N/A</v>
      </c>
      <c r="D420" s="86" t="e">
        <f>IF($C420&lt;&gt;0,Inputs!$B$14/12*C420,0)</f>
        <v>#N/A</v>
      </c>
      <c r="E420" s="86" t="e">
        <f t="shared" si="44"/>
        <v>#N/A</v>
      </c>
      <c r="F420" s="86" t="e">
        <f>IF($C420&gt;0,-PMT(Inputs!$B$14/12,Inputs!$B$15,Inputs!$B$11-Inputs!$B$13),0)</f>
        <v>#N/A</v>
      </c>
      <c r="H420" s="86">
        <f t="shared" si="48"/>
        <v>0</v>
      </c>
      <c r="I420" s="86">
        <f>IF($H420&lt;&gt;0,Inputs!$B$28/12*H420,0)</f>
        <v>0</v>
      </c>
      <c r="J420" s="86">
        <f t="shared" si="45"/>
        <v>0</v>
      </c>
      <c r="K420" s="86">
        <f t="shared" si="49"/>
        <v>0</v>
      </c>
    </row>
    <row r="421" spans="1:11" x14ac:dyDescent="0.3">
      <c r="A421" s="97">
        <f t="shared" si="43"/>
        <v>2059</v>
      </c>
      <c r="B421" s="79">
        <f t="shared" si="46"/>
        <v>58380</v>
      </c>
      <c r="C421" s="86" t="e">
        <f t="shared" si="47"/>
        <v>#N/A</v>
      </c>
      <c r="D421" s="86" t="e">
        <f>IF($C421&lt;&gt;0,Inputs!$B$14/12*C421,0)</f>
        <v>#N/A</v>
      </c>
      <c r="E421" s="86" t="e">
        <f t="shared" si="44"/>
        <v>#N/A</v>
      </c>
      <c r="F421" s="86" t="e">
        <f>IF($C421&gt;0,-PMT(Inputs!$B$14/12,Inputs!$B$15,Inputs!$B$11-Inputs!$B$13),0)</f>
        <v>#N/A</v>
      </c>
      <c r="H421" s="86">
        <f t="shared" si="48"/>
        <v>0</v>
      </c>
      <c r="I421" s="86">
        <f>IF($H421&lt;&gt;0,Inputs!$B$28/12*H421,0)</f>
        <v>0</v>
      </c>
      <c r="J421" s="86">
        <f t="shared" si="45"/>
        <v>0</v>
      </c>
      <c r="K421" s="86">
        <f t="shared" si="49"/>
        <v>0</v>
      </c>
    </row>
    <row r="422" spans="1:11" x14ac:dyDescent="0.3">
      <c r="A422" s="97">
        <f t="shared" si="43"/>
        <v>2059</v>
      </c>
      <c r="B422" s="79">
        <f t="shared" si="46"/>
        <v>58410</v>
      </c>
      <c r="C422" s="86" t="e">
        <f t="shared" si="47"/>
        <v>#N/A</v>
      </c>
      <c r="D422" s="86" t="e">
        <f>IF($C422&lt;&gt;0,Inputs!$B$14/12*C422,0)</f>
        <v>#N/A</v>
      </c>
      <c r="E422" s="86" t="e">
        <f t="shared" si="44"/>
        <v>#N/A</v>
      </c>
      <c r="F422" s="86" t="e">
        <f>IF($C422&gt;0,-PMT(Inputs!$B$14/12,Inputs!$B$15,Inputs!$B$11-Inputs!$B$13),0)</f>
        <v>#N/A</v>
      </c>
      <c r="H422" s="86">
        <f t="shared" si="48"/>
        <v>0</v>
      </c>
      <c r="I422" s="86">
        <f>IF($H422&lt;&gt;0,Inputs!$B$28/12*H422,0)</f>
        <v>0</v>
      </c>
      <c r="J422" s="86">
        <f t="shared" si="45"/>
        <v>0</v>
      </c>
      <c r="K422" s="86">
        <f t="shared" si="49"/>
        <v>0</v>
      </c>
    </row>
    <row r="423" spans="1:11" x14ac:dyDescent="0.3">
      <c r="A423" s="97">
        <f t="shared" si="43"/>
        <v>2060</v>
      </c>
      <c r="B423" s="79">
        <f t="shared" si="46"/>
        <v>58441</v>
      </c>
      <c r="C423" s="86" t="e">
        <f t="shared" si="47"/>
        <v>#N/A</v>
      </c>
      <c r="D423" s="86" t="e">
        <f>IF($C423&lt;&gt;0,Inputs!$B$14/12*C423,0)</f>
        <v>#N/A</v>
      </c>
      <c r="E423" s="86" t="e">
        <f t="shared" si="44"/>
        <v>#N/A</v>
      </c>
      <c r="F423" s="86" t="e">
        <f>IF($C423&gt;0,-PMT(Inputs!$B$14/12,Inputs!$B$15,Inputs!$B$11-Inputs!$B$13),0)</f>
        <v>#N/A</v>
      </c>
      <c r="H423" s="86">
        <f t="shared" si="48"/>
        <v>0</v>
      </c>
      <c r="I423" s="86">
        <f>IF($H423&lt;&gt;0,Inputs!$B$28/12*H423,0)</f>
        <v>0</v>
      </c>
      <c r="J423" s="86">
        <f t="shared" si="45"/>
        <v>0</v>
      </c>
      <c r="K423" s="86">
        <f t="shared" si="49"/>
        <v>0</v>
      </c>
    </row>
    <row r="424" spans="1:11" x14ac:dyDescent="0.3">
      <c r="A424" s="97">
        <f t="shared" si="43"/>
        <v>2060</v>
      </c>
      <c r="B424" s="79">
        <f t="shared" si="46"/>
        <v>58472</v>
      </c>
      <c r="C424" s="86" t="e">
        <f t="shared" si="47"/>
        <v>#N/A</v>
      </c>
      <c r="D424" s="86" t="e">
        <f>IF($C424&lt;&gt;0,Inputs!$B$14/12*C424,0)</f>
        <v>#N/A</v>
      </c>
      <c r="E424" s="86" t="e">
        <f t="shared" si="44"/>
        <v>#N/A</v>
      </c>
      <c r="F424" s="86" t="e">
        <f>IF($C424&gt;0,-PMT(Inputs!$B$14/12,Inputs!$B$15,Inputs!$B$11-Inputs!$B$13),0)</f>
        <v>#N/A</v>
      </c>
      <c r="H424" s="86">
        <f t="shared" si="48"/>
        <v>0</v>
      </c>
      <c r="I424" s="86">
        <f>IF($H424&lt;&gt;0,Inputs!$B$28/12*H424,0)</f>
        <v>0</v>
      </c>
      <c r="J424" s="86">
        <f t="shared" si="45"/>
        <v>0</v>
      </c>
      <c r="K424" s="86">
        <f t="shared" si="49"/>
        <v>0</v>
      </c>
    </row>
    <row r="425" spans="1:11" x14ac:dyDescent="0.3">
      <c r="A425" s="97">
        <f t="shared" si="43"/>
        <v>2060</v>
      </c>
      <c r="B425" s="79">
        <f t="shared" si="46"/>
        <v>58501</v>
      </c>
      <c r="C425" s="86" t="e">
        <f t="shared" si="47"/>
        <v>#N/A</v>
      </c>
      <c r="D425" s="86" t="e">
        <f>IF($C425&lt;&gt;0,Inputs!$B$14/12*C425,0)</f>
        <v>#N/A</v>
      </c>
      <c r="E425" s="86" t="e">
        <f t="shared" si="44"/>
        <v>#N/A</v>
      </c>
      <c r="F425" s="86" t="e">
        <f>IF($C425&gt;0,-PMT(Inputs!$B$14/12,Inputs!$B$15,Inputs!$B$11-Inputs!$B$13),0)</f>
        <v>#N/A</v>
      </c>
      <c r="H425" s="86">
        <f t="shared" si="48"/>
        <v>0</v>
      </c>
      <c r="I425" s="86">
        <f>IF($H425&lt;&gt;0,Inputs!$B$28/12*H425,0)</f>
        <v>0</v>
      </c>
      <c r="J425" s="86">
        <f t="shared" si="45"/>
        <v>0</v>
      </c>
      <c r="K425" s="86">
        <f t="shared" si="49"/>
        <v>0</v>
      </c>
    </row>
    <row r="426" spans="1:11" x14ac:dyDescent="0.3">
      <c r="A426" s="97">
        <f t="shared" si="43"/>
        <v>2060</v>
      </c>
      <c r="B426" s="79">
        <f t="shared" si="46"/>
        <v>58532</v>
      </c>
      <c r="C426" s="86" t="e">
        <f t="shared" si="47"/>
        <v>#N/A</v>
      </c>
      <c r="D426" s="86" t="e">
        <f>IF($C426&lt;&gt;0,Inputs!$B$14/12*C426,0)</f>
        <v>#N/A</v>
      </c>
      <c r="E426" s="86" t="e">
        <f t="shared" si="44"/>
        <v>#N/A</v>
      </c>
      <c r="F426" s="86" t="e">
        <f>IF($C426&gt;0,-PMT(Inputs!$B$14/12,Inputs!$B$15,Inputs!$B$11-Inputs!$B$13),0)</f>
        <v>#N/A</v>
      </c>
      <c r="H426" s="86">
        <f t="shared" si="48"/>
        <v>0</v>
      </c>
      <c r="I426" s="86">
        <f>IF($H426&lt;&gt;0,Inputs!$B$28/12*H426,0)</f>
        <v>0</v>
      </c>
      <c r="J426" s="86">
        <f t="shared" si="45"/>
        <v>0</v>
      </c>
      <c r="K426" s="86">
        <f t="shared" si="49"/>
        <v>0</v>
      </c>
    </row>
    <row r="427" spans="1:11" x14ac:dyDescent="0.3">
      <c r="A427" s="97">
        <f t="shared" si="43"/>
        <v>2060</v>
      </c>
      <c r="B427" s="79">
        <f t="shared" si="46"/>
        <v>58562</v>
      </c>
      <c r="C427" s="86" t="e">
        <f t="shared" si="47"/>
        <v>#N/A</v>
      </c>
      <c r="D427" s="86" t="e">
        <f>IF($C427&lt;&gt;0,Inputs!$B$14/12*C427,0)</f>
        <v>#N/A</v>
      </c>
      <c r="E427" s="86" t="e">
        <f t="shared" si="44"/>
        <v>#N/A</v>
      </c>
      <c r="F427" s="86" t="e">
        <f>IF($C427&gt;0,-PMT(Inputs!$B$14/12,Inputs!$B$15,Inputs!$B$11-Inputs!$B$13),0)</f>
        <v>#N/A</v>
      </c>
      <c r="H427" s="86">
        <f t="shared" si="48"/>
        <v>0</v>
      </c>
      <c r="I427" s="86">
        <f>IF($H427&lt;&gt;0,Inputs!$B$28/12*H427,0)</f>
        <v>0</v>
      </c>
      <c r="J427" s="86">
        <f t="shared" si="45"/>
        <v>0</v>
      </c>
      <c r="K427" s="86">
        <f t="shared" si="49"/>
        <v>0</v>
      </c>
    </row>
    <row r="428" spans="1:11" x14ac:dyDescent="0.3">
      <c r="A428" s="97">
        <f t="shared" si="43"/>
        <v>2060</v>
      </c>
      <c r="B428" s="79">
        <f t="shared" si="46"/>
        <v>58593</v>
      </c>
      <c r="C428" s="86" t="e">
        <f t="shared" si="47"/>
        <v>#N/A</v>
      </c>
      <c r="D428" s="86" t="e">
        <f>IF($C428&lt;&gt;0,Inputs!$B$14/12*C428,0)</f>
        <v>#N/A</v>
      </c>
      <c r="E428" s="86" t="e">
        <f t="shared" si="44"/>
        <v>#N/A</v>
      </c>
      <c r="F428" s="86" t="e">
        <f>IF($C428&gt;0,-PMT(Inputs!$B$14/12,Inputs!$B$15,Inputs!$B$11-Inputs!$B$13),0)</f>
        <v>#N/A</v>
      </c>
      <c r="H428" s="86">
        <f t="shared" si="48"/>
        <v>0</v>
      </c>
      <c r="I428" s="86">
        <f>IF($H428&lt;&gt;0,Inputs!$B$28/12*H428,0)</f>
        <v>0</v>
      </c>
      <c r="J428" s="86">
        <f t="shared" si="45"/>
        <v>0</v>
      </c>
      <c r="K428" s="86">
        <f t="shared" si="49"/>
        <v>0</v>
      </c>
    </row>
    <row r="429" spans="1:11" x14ac:dyDescent="0.3">
      <c r="A429" s="97">
        <f t="shared" si="43"/>
        <v>2060</v>
      </c>
      <c r="B429" s="79">
        <f t="shared" si="46"/>
        <v>58623</v>
      </c>
      <c r="C429" s="86" t="e">
        <f t="shared" si="47"/>
        <v>#N/A</v>
      </c>
      <c r="D429" s="86" t="e">
        <f>IF($C429&lt;&gt;0,Inputs!$B$14/12*C429,0)</f>
        <v>#N/A</v>
      </c>
      <c r="E429" s="86" t="e">
        <f t="shared" si="44"/>
        <v>#N/A</v>
      </c>
      <c r="F429" s="86" t="e">
        <f>IF($C429&gt;0,-PMT(Inputs!$B$14/12,Inputs!$B$15,Inputs!$B$11-Inputs!$B$13),0)</f>
        <v>#N/A</v>
      </c>
      <c r="H429" s="86">
        <f t="shared" si="48"/>
        <v>0</v>
      </c>
      <c r="I429" s="86">
        <f>IF($H429&lt;&gt;0,Inputs!$B$28/12*H429,0)</f>
        <v>0</v>
      </c>
      <c r="J429" s="86">
        <f t="shared" si="45"/>
        <v>0</v>
      </c>
      <c r="K429" s="86">
        <f t="shared" si="49"/>
        <v>0</v>
      </c>
    </row>
    <row r="430" spans="1:11" x14ac:dyDescent="0.3">
      <c r="A430" s="97">
        <f t="shared" si="43"/>
        <v>2060</v>
      </c>
      <c r="B430" s="79">
        <f t="shared" si="46"/>
        <v>58654</v>
      </c>
      <c r="C430" s="86" t="e">
        <f t="shared" si="47"/>
        <v>#N/A</v>
      </c>
      <c r="D430" s="86" t="e">
        <f>IF($C430&lt;&gt;0,Inputs!$B$14/12*C430,0)</f>
        <v>#N/A</v>
      </c>
      <c r="E430" s="86" t="e">
        <f t="shared" si="44"/>
        <v>#N/A</v>
      </c>
      <c r="F430" s="86" t="e">
        <f>IF($C430&gt;0,-PMT(Inputs!$B$14/12,Inputs!$B$15,Inputs!$B$11-Inputs!$B$13),0)</f>
        <v>#N/A</v>
      </c>
      <c r="H430" s="86">
        <f t="shared" si="48"/>
        <v>0</v>
      </c>
      <c r="I430" s="86">
        <f>IF($H430&lt;&gt;0,Inputs!$B$28/12*H430,0)</f>
        <v>0</v>
      </c>
      <c r="J430" s="86">
        <f t="shared" si="45"/>
        <v>0</v>
      </c>
      <c r="K430" s="86">
        <f t="shared" si="49"/>
        <v>0</v>
      </c>
    </row>
    <row r="431" spans="1:11" x14ac:dyDescent="0.3">
      <c r="A431" s="97">
        <f t="shared" si="43"/>
        <v>2060</v>
      </c>
      <c r="B431" s="79">
        <f t="shared" si="46"/>
        <v>58685</v>
      </c>
      <c r="C431" s="86" t="e">
        <f t="shared" si="47"/>
        <v>#N/A</v>
      </c>
      <c r="D431" s="86" t="e">
        <f>IF($C431&lt;&gt;0,Inputs!$B$14/12*C431,0)</f>
        <v>#N/A</v>
      </c>
      <c r="E431" s="86" t="e">
        <f t="shared" si="44"/>
        <v>#N/A</v>
      </c>
      <c r="F431" s="86" t="e">
        <f>IF($C431&gt;0,-PMT(Inputs!$B$14/12,Inputs!$B$15,Inputs!$B$11-Inputs!$B$13),0)</f>
        <v>#N/A</v>
      </c>
      <c r="H431" s="86">
        <f t="shared" si="48"/>
        <v>0</v>
      </c>
      <c r="I431" s="86">
        <f>IF($H431&lt;&gt;0,Inputs!$B$28/12*H431,0)</f>
        <v>0</v>
      </c>
      <c r="J431" s="86">
        <f t="shared" si="45"/>
        <v>0</v>
      </c>
      <c r="K431" s="86">
        <f t="shared" si="49"/>
        <v>0</v>
      </c>
    </row>
    <row r="432" spans="1:11" x14ac:dyDescent="0.3">
      <c r="A432" s="97">
        <f t="shared" si="43"/>
        <v>2060</v>
      </c>
      <c r="B432" s="79">
        <f t="shared" si="46"/>
        <v>58715</v>
      </c>
      <c r="C432" s="86" t="e">
        <f t="shared" si="47"/>
        <v>#N/A</v>
      </c>
      <c r="D432" s="86" t="e">
        <f>IF($C432&lt;&gt;0,Inputs!$B$14/12*C432,0)</f>
        <v>#N/A</v>
      </c>
      <c r="E432" s="86" t="e">
        <f t="shared" si="44"/>
        <v>#N/A</v>
      </c>
      <c r="F432" s="86" t="e">
        <f>IF($C432&gt;0,-PMT(Inputs!$B$14/12,Inputs!$B$15,Inputs!$B$11-Inputs!$B$13),0)</f>
        <v>#N/A</v>
      </c>
      <c r="H432" s="86">
        <f t="shared" si="48"/>
        <v>0</v>
      </c>
      <c r="I432" s="86">
        <f>IF($H432&lt;&gt;0,Inputs!$B$28/12*H432,0)</f>
        <v>0</v>
      </c>
      <c r="J432" s="86">
        <f t="shared" si="45"/>
        <v>0</v>
      </c>
      <c r="K432" s="86">
        <f t="shared" si="49"/>
        <v>0</v>
      </c>
    </row>
    <row r="433" spans="1:11" x14ac:dyDescent="0.3">
      <c r="A433" s="97">
        <f t="shared" si="43"/>
        <v>2060</v>
      </c>
      <c r="B433" s="79">
        <f t="shared" si="46"/>
        <v>58746</v>
      </c>
      <c r="C433" s="86" t="e">
        <f t="shared" si="47"/>
        <v>#N/A</v>
      </c>
      <c r="D433" s="86" t="e">
        <f>IF($C433&lt;&gt;0,Inputs!$B$14/12*C433,0)</f>
        <v>#N/A</v>
      </c>
      <c r="E433" s="86" t="e">
        <f t="shared" si="44"/>
        <v>#N/A</v>
      </c>
      <c r="F433" s="86" t="e">
        <f>IF($C433&gt;0,-PMT(Inputs!$B$14/12,Inputs!$B$15,Inputs!$B$11-Inputs!$B$13),0)</f>
        <v>#N/A</v>
      </c>
      <c r="H433" s="86">
        <f t="shared" si="48"/>
        <v>0</v>
      </c>
      <c r="I433" s="86">
        <f>IF($H433&lt;&gt;0,Inputs!$B$28/12*H433,0)</f>
        <v>0</v>
      </c>
      <c r="J433" s="86">
        <f t="shared" si="45"/>
        <v>0</v>
      </c>
      <c r="K433" s="86">
        <f t="shared" si="49"/>
        <v>0</v>
      </c>
    </row>
    <row r="434" spans="1:11" x14ac:dyDescent="0.3">
      <c r="A434" s="97">
        <f t="shared" si="43"/>
        <v>2060</v>
      </c>
      <c r="B434" s="79">
        <f t="shared" si="46"/>
        <v>58776</v>
      </c>
      <c r="C434" s="86" t="e">
        <f t="shared" si="47"/>
        <v>#N/A</v>
      </c>
      <c r="D434" s="86" t="e">
        <f>IF($C434&lt;&gt;0,Inputs!$B$14/12*C434,0)</f>
        <v>#N/A</v>
      </c>
      <c r="E434" s="86" t="e">
        <f t="shared" si="44"/>
        <v>#N/A</v>
      </c>
      <c r="F434" s="86" t="e">
        <f>IF($C434&gt;0,-PMT(Inputs!$B$14/12,Inputs!$B$15,Inputs!$B$11-Inputs!$B$13),0)</f>
        <v>#N/A</v>
      </c>
      <c r="H434" s="86">
        <f t="shared" si="48"/>
        <v>0</v>
      </c>
      <c r="I434" s="86">
        <f>IF($H434&lt;&gt;0,Inputs!$B$28/12*H434,0)</f>
        <v>0</v>
      </c>
      <c r="J434" s="86">
        <f t="shared" si="45"/>
        <v>0</v>
      </c>
      <c r="K434" s="86">
        <f t="shared" si="49"/>
        <v>0</v>
      </c>
    </row>
    <row r="435" spans="1:11" x14ac:dyDescent="0.3">
      <c r="A435" s="97">
        <f t="shared" si="43"/>
        <v>2061</v>
      </c>
      <c r="B435" s="79">
        <f t="shared" si="46"/>
        <v>58807</v>
      </c>
      <c r="C435" s="86" t="e">
        <f t="shared" si="47"/>
        <v>#N/A</v>
      </c>
      <c r="D435" s="86" t="e">
        <f>IF($C435&lt;&gt;0,Inputs!$B$14/12*C435,0)</f>
        <v>#N/A</v>
      </c>
      <c r="E435" s="86" t="e">
        <f t="shared" si="44"/>
        <v>#N/A</v>
      </c>
      <c r="F435" s="86" t="e">
        <f>IF($C435&gt;0,-PMT(Inputs!$B$14/12,Inputs!$B$15,Inputs!$B$11-Inputs!$B$13),0)</f>
        <v>#N/A</v>
      </c>
      <c r="H435" s="86">
        <f t="shared" si="48"/>
        <v>0</v>
      </c>
      <c r="I435" s="86">
        <f>IF($H435&lt;&gt;0,Inputs!$B$28/12*H435,0)</f>
        <v>0</v>
      </c>
      <c r="J435" s="86">
        <f t="shared" si="45"/>
        <v>0</v>
      </c>
      <c r="K435" s="86">
        <f t="shared" si="49"/>
        <v>0</v>
      </c>
    </row>
    <row r="436" spans="1:11" x14ac:dyDescent="0.3">
      <c r="A436" s="97">
        <f t="shared" si="43"/>
        <v>2061</v>
      </c>
      <c r="B436" s="79">
        <f t="shared" si="46"/>
        <v>58838</v>
      </c>
      <c r="C436" s="86" t="e">
        <f t="shared" si="47"/>
        <v>#N/A</v>
      </c>
      <c r="D436" s="86" t="e">
        <f>IF($C436&lt;&gt;0,Inputs!$B$14/12*C436,0)</f>
        <v>#N/A</v>
      </c>
      <c r="E436" s="86" t="e">
        <f t="shared" si="44"/>
        <v>#N/A</v>
      </c>
      <c r="F436" s="86" t="e">
        <f>IF($C436&gt;0,-PMT(Inputs!$B$14/12,Inputs!$B$15,Inputs!$B$11-Inputs!$B$13),0)</f>
        <v>#N/A</v>
      </c>
      <c r="H436" s="86">
        <f t="shared" si="48"/>
        <v>0</v>
      </c>
      <c r="I436" s="86">
        <f>IF($H436&lt;&gt;0,Inputs!$B$28/12*H436,0)</f>
        <v>0</v>
      </c>
      <c r="J436" s="86">
        <f t="shared" si="45"/>
        <v>0</v>
      </c>
      <c r="K436" s="86">
        <f t="shared" si="49"/>
        <v>0</v>
      </c>
    </row>
    <row r="437" spans="1:11" x14ac:dyDescent="0.3">
      <c r="A437" s="97">
        <f t="shared" si="43"/>
        <v>2061</v>
      </c>
      <c r="B437" s="79">
        <f t="shared" si="46"/>
        <v>58866</v>
      </c>
      <c r="C437" s="86" t="e">
        <f t="shared" si="47"/>
        <v>#N/A</v>
      </c>
      <c r="D437" s="86" t="e">
        <f>IF($C437&lt;&gt;0,Inputs!$B$14/12*C437,0)</f>
        <v>#N/A</v>
      </c>
      <c r="E437" s="86" t="e">
        <f t="shared" si="44"/>
        <v>#N/A</v>
      </c>
      <c r="F437" s="86" t="e">
        <f>IF($C437&gt;0,-PMT(Inputs!$B$14/12,Inputs!$B$15,Inputs!$B$11-Inputs!$B$13),0)</f>
        <v>#N/A</v>
      </c>
      <c r="H437" s="86">
        <f t="shared" si="48"/>
        <v>0</v>
      </c>
      <c r="I437" s="86">
        <f>IF($H437&lt;&gt;0,Inputs!$B$28/12*H437,0)</f>
        <v>0</v>
      </c>
      <c r="J437" s="86">
        <f t="shared" si="45"/>
        <v>0</v>
      </c>
      <c r="K437" s="86">
        <f t="shared" si="49"/>
        <v>0</v>
      </c>
    </row>
    <row r="438" spans="1:11" x14ac:dyDescent="0.3">
      <c r="A438" s="97">
        <f t="shared" si="43"/>
        <v>2061</v>
      </c>
      <c r="B438" s="79">
        <f t="shared" si="46"/>
        <v>58897</v>
      </c>
      <c r="C438" s="86" t="e">
        <f t="shared" si="47"/>
        <v>#N/A</v>
      </c>
      <c r="D438" s="86" t="e">
        <f>IF($C438&lt;&gt;0,Inputs!$B$14/12*C438,0)</f>
        <v>#N/A</v>
      </c>
      <c r="E438" s="86" t="e">
        <f t="shared" si="44"/>
        <v>#N/A</v>
      </c>
      <c r="F438" s="86" t="e">
        <f>IF($C438&gt;0,-PMT(Inputs!$B$14/12,Inputs!$B$15,Inputs!$B$11-Inputs!$B$13),0)</f>
        <v>#N/A</v>
      </c>
      <c r="H438" s="86">
        <f t="shared" si="48"/>
        <v>0</v>
      </c>
      <c r="I438" s="86">
        <f>IF($H438&lt;&gt;0,Inputs!$B$28/12*H438,0)</f>
        <v>0</v>
      </c>
      <c r="J438" s="86">
        <f t="shared" si="45"/>
        <v>0</v>
      </c>
      <c r="K438" s="86">
        <f t="shared" si="49"/>
        <v>0</v>
      </c>
    </row>
    <row r="439" spans="1:11" x14ac:dyDescent="0.3">
      <c r="A439" s="97">
        <f t="shared" si="43"/>
        <v>2061</v>
      </c>
      <c r="B439" s="79">
        <f t="shared" si="46"/>
        <v>58927</v>
      </c>
      <c r="C439" s="86" t="e">
        <f t="shared" si="47"/>
        <v>#N/A</v>
      </c>
      <c r="D439" s="86" t="e">
        <f>IF($C439&lt;&gt;0,Inputs!$B$14/12*C439,0)</f>
        <v>#N/A</v>
      </c>
      <c r="E439" s="86" t="e">
        <f t="shared" si="44"/>
        <v>#N/A</v>
      </c>
      <c r="F439" s="86" t="e">
        <f>IF($C439&gt;0,-PMT(Inputs!$B$14/12,Inputs!$B$15,Inputs!$B$11-Inputs!$B$13),0)</f>
        <v>#N/A</v>
      </c>
      <c r="H439" s="86">
        <f t="shared" si="48"/>
        <v>0</v>
      </c>
      <c r="I439" s="86">
        <f>IF($H439&lt;&gt;0,Inputs!$B$28/12*H439,0)</f>
        <v>0</v>
      </c>
      <c r="J439" s="86">
        <f t="shared" si="45"/>
        <v>0</v>
      </c>
      <c r="K439" s="86">
        <f t="shared" si="49"/>
        <v>0</v>
      </c>
    </row>
    <row r="440" spans="1:11" x14ac:dyDescent="0.3">
      <c r="A440" s="97">
        <f t="shared" si="43"/>
        <v>2061</v>
      </c>
      <c r="B440" s="79">
        <f t="shared" si="46"/>
        <v>58958</v>
      </c>
      <c r="C440" s="86" t="e">
        <f t="shared" si="47"/>
        <v>#N/A</v>
      </c>
      <c r="D440" s="86" t="e">
        <f>IF($C440&lt;&gt;0,Inputs!$B$14/12*C440,0)</f>
        <v>#N/A</v>
      </c>
      <c r="E440" s="86" t="e">
        <f t="shared" si="44"/>
        <v>#N/A</v>
      </c>
      <c r="F440" s="86" t="e">
        <f>IF($C440&gt;0,-PMT(Inputs!$B$14/12,Inputs!$B$15,Inputs!$B$11-Inputs!$B$13),0)</f>
        <v>#N/A</v>
      </c>
      <c r="H440" s="86">
        <f t="shared" si="48"/>
        <v>0</v>
      </c>
      <c r="I440" s="86">
        <f>IF($H440&lt;&gt;0,Inputs!$B$28/12*H440,0)</f>
        <v>0</v>
      </c>
      <c r="J440" s="86">
        <f t="shared" si="45"/>
        <v>0</v>
      </c>
      <c r="K440" s="86">
        <f t="shared" si="49"/>
        <v>0</v>
      </c>
    </row>
    <row r="441" spans="1:11" x14ac:dyDescent="0.3">
      <c r="A441" s="97">
        <f t="shared" si="43"/>
        <v>2061</v>
      </c>
      <c r="B441" s="79">
        <f t="shared" si="46"/>
        <v>58988</v>
      </c>
      <c r="C441" s="86" t="e">
        <f t="shared" si="47"/>
        <v>#N/A</v>
      </c>
      <c r="D441" s="86" t="e">
        <f>IF($C441&lt;&gt;0,Inputs!$B$14/12*C441,0)</f>
        <v>#N/A</v>
      </c>
      <c r="E441" s="86" t="e">
        <f t="shared" si="44"/>
        <v>#N/A</v>
      </c>
      <c r="F441" s="86" t="e">
        <f>IF($C441&gt;0,-PMT(Inputs!$B$14/12,Inputs!$B$15,Inputs!$B$11-Inputs!$B$13),0)</f>
        <v>#N/A</v>
      </c>
      <c r="H441" s="86">
        <f t="shared" si="48"/>
        <v>0</v>
      </c>
      <c r="I441" s="86">
        <f>IF($H441&lt;&gt;0,Inputs!$B$28/12*H441,0)</f>
        <v>0</v>
      </c>
      <c r="J441" s="86">
        <f t="shared" si="45"/>
        <v>0</v>
      </c>
      <c r="K441" s="86">
        <f t="shared" si="49"/>
        <v>0</v>
      </c>
    </row>
    <row r="442" spans="1:11" x14ac:dyDescent="0.3">
      <c r="A442" s="97">
        <f t="shared" si="43"/>
        <v>2061</v>
      </c>
      <c r="B442" s="79">
        <f t="shared" si="46"/>
        <v>59019</v>
      </c>
      <c r="C442" s="86" t="e">
        <f t="shared" si="47"/>
        <v>#N/A</v>
      </c>
      <c r="D442" s="86" t="e">
        <f>IF($C442&lt;&gt;0,Inputs!$B$14/12*C442,0)</f>
        <v>#N/A</v>
      </c>
      <c r="E442" s="86" t="e">
        <f t="shared" si="44"/>
        <v>#N/A</v>
      </c>
      <c r="F442" s="86" t="e">
        <f>IF($C442&gt;0,-PMT(Inputs!$B$14/12,Inputs!$B$15,Inputs!$B$11-Inputs!$B$13),0)</f>
        <v>#N/A</v>
      </c>
      <c r="H442" s="86">
        <f t="shared" si="48"/>
        <v>0</v>
      </c>
      <c r="I442" s="86">
        <f>IF($H442&lt;&gt;0,Inputs!$B$28/12*H442,0)</f>
        <v>0</v>
      </c>
      <c r="J442" s="86">
        <f t="shared" si="45"/>
        <v>0</v>
      </c>
      <c r="K442" s="86">
        <f t="shared" si="49"/>
        <v>0</v>
      </c>
    </row>
    <row r="443" spans="1:11" x14ac:dyDescent="0.3">
      <c r="A443" s="97">
        <f t="shared" si="43"/>
        <v>2061</v>
      </c>
      <c r="B443" s="79">
        <f t="shared" si="46"/>
        <v>59050</v>
      </c>
      <c r="C443" s="86" t="e">
        <f t="shared" si="47"/>
        <v>#N/A</v>
      </c>
      <c r="D443" s="86" t="e">
        <f>IF($C443&lt;&gt;0,Inputs!$B$14/12*C443,0)</f>
        <v>#N/A</v>
      </c>
      <c r="E443" s="86" t="e">
        <f t="shared" si="44"/>
        <v>#N/A</v>
      </c>
      <c r="F443" s="86" t="e">
        <f>IF($C443&gt;0,-PMT(Inputs!$B$14/12,Inputs!$B$15,Inputs!$B$11-Inputs!$B$13),0)</f>
        <v>#N/A</v>
      </c>
      <c r="H443" s="86">
        <f t="shared" si="48"/>
        <v>0</v>
      </c>
      <c r="I443" s="86">
        <f>IF($H443&lt;&gt;0,Inputs!$B$28/12*H443,0)</f>
        <v>0</v>
      </c>
      <c r="J443" s="86">
        <f t="shared" si="45"/>
        <v>0</v>
      </c>
      <c r="K443" s="86">
        <f t="shared" si="49"/>
        <v>0</v>
      </c>
    </row>
    <row r="444" spans="1:11" x14ac:dyDescent="0.3">
      <c r="A444" s="97">
        <f t="shared" si="43"/>
        <v>2061</v>
      </c>
      <c r="B444" s="79">
        <f t="shared" si="46"/>
        <v>59080</v>
      </c>
      <c r="C444" s="86" t="e">
        <f t="shared" si="47"/>
        <v>#N/A</v>
      </c>
      <c r="D444" s="86" t="e">
        <f>IF($C444&lt;&gt;0,Inputs!$B$14/12*C444,0)</f>
        <v>#N/A</v>
      </c>
      <c r="E444" s="86" t="e">
        <f t="shared" si="44"/>
        <v>#N/A</v>
      </c>
      <c r="F444" s="86" t="e">
        <f>IF($C444&gt;0,-PMT(Inputs!$B$14/12,Inputs!$B$15,Inputs!$B$11-Inputs!$B$13),0)</f>
        <v>#N/A</v>
      </c>
      <c r="H444" s="86">
        <f t="shared" si="48"/>
        <v>0</v>
      </c>
      <c r="I444" s="86">
        <f>IF($H444&lt;&gt;0,Inputs!$B$28/12*H444,0)</f>
        <v>0</v>
      </c>
      <c r="J444" s="86">
        <f t="shared" si="45"/>
        <v>0</v>
      </c>
      <c r="K444" s="86">
        <f t="shared" si="49"/>
        <v>0</v>
      </c>
    </row>
    <row r="445" spans="1:11" x14ac:dyDescent="0.3">
      <c r="A445" s="97">
        <f t="shared" si="43"/>
        <v>2061</v>
      </c>
      <c r="B445" s="79">
        <f t="shared" si="46"/>
        <v>59111</v>
      </c>
      <c r="C445" s="86" t="e">
        <f t="shared" si="47"/>
        <v>#N/A</v>
      </c>
      <c r="D445" s="86" t="e">
        <f>IF($C445&lt;&gt;0,Inputs!$B$14/12*C445,0)</f>
        <v>#N/A</v>
      </c>
      <c r="E445" s="86" t="e">
        <f t="shared" si="44"/>
        <v>#N/A</v>
      </c>
      <c r="F445" s="86" t="e">
        <f>IF($C445&gt;0,-PMT(Inputs!$B$14/12,Inputs!$B$15,Inputs!$B$11-Inputs!$B$13),0)</f>
        <v>#N/A</v>
      </c>
      <c r="H445" s="86">
        <f t="shared" si="48"/>
        <v>0</v>
      </c>
      <c r="I445" s="86">
        <f>IF($H445&lt;&gt;0,Inputs!$B$28/12*H445,0)</f>
        <v>0</v>
      </c>
      <c r="J445" s="86">
        <f t="shared" si="45"/>
        <v>0</v>
      </c>
      <c r="K445" s="86">
        <f t="shared" si="49"/>
        <v>0</v>
      </c>
    </row>
    <row r="446" spans="1:11" x14ac:dyDescent="0.3">
      <c r="A446" s="97">
        <f t="shared" si="43"/>
        <v>2061</v>
      </c>
      <c r="B446" s="79">
        <f t="shared" si="46"/>
        <v>59141</v>
      </c>
      <c r="C446" s="86" t="e">
        <f t="shared" si="47"/>
        <v>#N/A</v>
      </c>
      <c r="D446" s="86" t="e">
        <f>IF($C446&lt;&gt;0,Inputs!$B$14/12*C446,0)</f>
        <v>#N/A</v>
      </c>
      <c r="E446" s="86" t="e">
        <f t="shared" si="44"/>
        <v>#N/A</v>
      </c>
      <c r="F446" s="86" t="e">
        <f>IF($C446&gt;0,-PMT(Inputs!$B$14/12,Inputs!$B$15,Inputs!$B$11-Inputs!$B$13),0)</f>
        <v>#N/A</v>
      </c>
      <c r="H446" s="86">
        <f t="shared" si="48"/>
        <v>0</v>
      </c>
      <c r="I446" s="86">
        <f>IF($H446&lt;&gt;0,Inputs!$B$28/12*H446,0)</f>
        <v>0</v>
      </c>
      <c r="J446" s="86">
        <f t="shared" si="45"/>
        <v>0</v>
      </c>
      <c r="K446" s="86">
        <f t="shared" si="49"/>
        <v>0</v>
      </c>
    </row>
    <row r="447" spans="1:11" x14ac:dyDescent="0.3">
      <c r="A447" s="97">
        <f t="shared" si="43"/>
        <v>2062</v>
      </c>
      <c r="B447" s="79">
        <f t="shared" si="46"/>
        <v>59172</v>
      </c>
      <c r="C447" s="86" t="e">
        <f t="shared" si="47"/>
        <v>#N/A</v>
      </c>
      <c r="D447" s="86" t="e">
        <f>IF($C447&lt;&gt;0,Inputs!$B$14/12*C447,0)</f>
        <v>#N/A</v>
      </c>
      <c r="E447" s="86" t="e">
        <f t="shared" si="44"/>
        <v>#N/A</v>
      </c>
      <c r="F447" s="86" t="e">
        <f>IF($C447&gt;0,-PMT(Inputs!$B$14/12,Inputs!$B$15,Inputs!$B$11-Inputs!$B$13),0)</f>
        <v>#N/A</v>
      </c>
      <c r="H447" s="86">
        <f t="shared" si="48"/>
        <v>0</v>
      </c>
      <c r="I447" s="86">
        <f>IF($H447&lt;&gt;0,Inputs!$B$28/12*H447,0)</f>
        <v>0</v>
      </c>
      <c r="J447" s="86">
        <f t="shared" si="45"/>
        <v>0</v>
      </c>
      <c r="K447" s="86">
        <f t="shared" si="49"/>
        <v>0</v>
      </c>
    </row>
    <row r="448" spans="1:11" x14ac:dyDescent="0.3">
      <c r="A448" s="97">
        <f t="shared" si="43"/>
        <v>2062</v>
      </c>
      <c r="B448" s="79">
        <f t="shared" si="46"/>
        <v>59203</v>
      </c>
      <c r="C448" s="86" t="e">
        <f t="shared" si="47"/>
        <v>#N/A</v>
      </c>
      <c r="D448" s="86" t="e">
        <f>IF($C448&lt;&gt;0,Inputs!$B$14/12*C448,0)</f>
        <v>#N/A</v>
      </c>
      <c r="E448" s="86" t="e">
        <f t="shared" si="44"/>
        <v>#N/A</v>
      </c>
      <c r="F448" s="86" t="e">
        <f>IF($C448&gt;0,-PMT(Inputs!$B$14/12,Inputs!$B$15,Inputs!$B$11-Inputs!$B$13),0)</f>
        <v>#N/A</v>
      </c>
      <c r="H448" s="86">
        <f t="shared" si="48"/>
        <v>0</v>
      </c>
      <c r="I448" s="86">
        <f>IF($H448&lt;&gt;0,Inputs!$B$28/12*H448,0)</f>
        <v>0</v>
      </c>
      <c r="J448" s="86">
        <f t="shared" si="45"/>
        <v>0</v>
      </c>
      <c r="K448" s="86">
        <f t="shared" si="49"/>
        <v>0</v>
      </c>
    </row>
    <row r="449" spans="1:11" x14ac:dyDescent="0.3">
      <c r="A449" s="97">
        <f t="shared" si="43"/>
        <v>2062</v>
      </c>
      <c r="B449" s="79">
        <f t="shared" si="46"/>
        <v>59231</v>
      </c>
      <c r="C449" s="86" t="e">
        <f t="shared" si="47"/>
        <v>#N/A</v>
      </c>
      <c r="D449" s="86" t="e">
        <f>IF($C449&lt;&gt;0,Inputs!$B$14/12*C449,0)</f>
        <v>#N/A</v>
      </c>
      <c r="E449" s="86" t="e">
        <f t="shared" si="44"/>
        <v>#N/A</v>
      </c>
      <c r="F449" s="86" t="e">
        <f>IF($C449&gt;0,-PMT(Inputs!$B$14/12,Inputs!$B$15,Inputs!$B$11-Inputs!$B$13),0)</f>
        <v>#N/A</v>
      </c>
      <c r="H449" s="86">
        <f t="shared" si="48"/>
        <v>0</v>
      </c>
      <c r="I449" s="86">
        <f>IF($H449&lt;&gt;0,Inputs!$B$28/12*H449,0)</f>
        <v>0</v>
      </c>
      <c r="J449" s="86">
        <f t="shared" si="45"/>
        <v>0</v>
      </c>
      <c r="K449" s="86">
        <f t="shared" si="49"/>
        <v>0</v>
      </c>
    </row>
    <row r="450" spans="1:11" x14ac:dyDescent="0.3">
      <c r="A450" s="97">
        <f t="shared" si="43"/>
        <v>2062</v>
      </c>
      <c r="B450" s="79">
        <f t="shared" si="46"/>
        <v>59262</v>
      </c>
      <c r="C450" s="86" t="e">
        <f t="shared" si="47"/>
        <v>#N/A</v>
      </c>
      <c r="D450" s="86" t="e">
        <f>IF($C450&lt;&gt;0,Inputs!$B$14/12*C450,0)</f>
        <v>#N/A</v>
      </c>
      <c r="E450" s="86" t="e">
        <f t="shared" si="44"/>
        <v>#N/A</v>
      </c>
      <c r="F450" s="86" t="e">
        <f>IF($C450&gt;0,-PMT(Inputs!$B$14/12,Inputs!$B$15,Inputs!$B$11-Inputs!$B$13),0)</f>
        <v>#N/A</v>
      </c>
      <c r="H450" s="86">
        <f t="shared" si="48"/>
        <v>0</v>
      </c>
      <c r="I450" s="86">
        <f>IF($H450&lt;&gt;0,Inputs!$B$28/12*H450,0)</f>
        <v>0</v>
      </c>
      <c r="J450" s="86">
        <f t="shared" si="45"/>
        <v>0</v>
      </c>
      <c r="K450" s="86">
        <f t="shared" si="49"/>
        <v>0</v>
      </c>
    </row>
    <row r="451" spans="1:11" x14ac:dyDescent="0.3">
      <c r="A451" s="97">
        <f t="shared" si="43"/>
        <v>2062</v>
      </c>
      <c r="B451" s="79">
        <f t="shared" si="46"/>
        <v>59292</v>
      </c>
      <c r="C451" s="86" t="e">
        <f t="shared" si="47"/>
        <v>#N/A</v>
      </c>
      <c r="D451" s="86" t="e">
        <f>IF($C451&lt;&gt;0,Inputs!$B$14/12*C451,0)</f>
        <v>#N/A</v>
      </c>
      <c r="E451" s="86" t="e">
        <f t="shared" si="44"/>
        <v>#N/A</v>
      </c>
      <c r="F451" s="86" t="e">
        <f>IF($C451&gt;0,-PMT(Inputs!$B$14/12,Inputs!$B$15,Inputs!$B$11-Inputs!$B$13),0)</f>
        <v>#N/A</v>
      </c>
      <c r="H451" s="86">
        <f t="shared" si="48"/>
        <v>0</v>
      </c>
      <c r="I451" s="86">
        <f>IF($H451&lt;&gt;0,Inputs!$B$28/12*H451,0)</f>
        <v>0</v>
      </c>
      <c r="J451" s="86">
        <f t="shared" si="45"/>
        <v>0</v>
      </c>
      <c r="K451" s="86">
        <f t="shared" si="49"/>
        <v>0</v>
      </c>
    </row>
    <row r="452" spans="1:11" x14ac:dyDescent="0.3">
      <c r="A452" s="97">
        <f t="shared" ref="A452:A485" si="50">YEAR(B452)</f>
        <v>2062</v>
      </c>
      <c r="B452" s="79">
        <f t="shared" si="46"/>
        <v>59323</v>
      </c>
      <c r="C452" s="86" t="e">
        <f t="shared" si="47"/>
        <v>#N/A</v>
      </c>
      <c r="D452" s="86" t="e">
        <f>IF($C452&lt;&gt;0,Inputs!$B$14/12*C452,0)</f>
        <v>#N/A</v>
      </c>
      <c r="E452" s="86" t="e">
        <f t="shared" ref="E452:E485" si="51">F452-D452</f>
        <v>#N/A</v>
      </c>
      <c r="F452" s="86" t="e">
        <f>IF($C452&gt;0,-PMT(Inputs!$B$14/12,Inputs!$B$15,Inputs!$B$11-Inputs!$B$13),0)</f>
        <v>#N/A</v>
      </c>
      <c r="H452" s="86">
        <f t="shared" si="48"/>
        <v>0</v>
      </c>
      <c r="I452" s="86">
        <f>IF($H452&lt;&gt;0,Inputs!$B$28/12*H452,0)</f>
        <v>0</v>
      </c>
      <c r="J452" s="86">
        <f t="shared" ref="J452:J485" si="52">K452-I452</f>
        <v>0</v>
      </c>
      <c r="K452" s="86">
        <f t="shared" si="49"/>
        <v>0</v>
      </c>
    </row>
    <row r="453" spans="1:11" x14ac:dyDescent="0.3">
      <c r="A453" s="97">
        <f t="shared" si="50"/>
        <v>2062</v>
      </c>
      <c r="B453" s="79">
        <f t="shared" ref="B453:B485" si="53">EDATE(B452,1)</f>
        <v>59353</v>
      </c>
      <c r="C453" s="86" t="e">
        <f t="shared" ref="C453:C485" si="54">IF(C452&gt;0,C452-E452,0)</f>
        <v>#N/A</v>
      </c>
      <c r="D453" s="86" t="e">
        <f>IF($C453&lt;&gt;0,Inputs!$B$14/12*C453,0)</f>
        <v>#N/A</v>
      </c>
      <c r="E453" s="86" t="e">
        <f t="shared" si="51"/>
        <v>#N/A</v>
      </c>
      <c r="F453" s="86" t="e">
        <f>IF($C453&gt;0,-PMT(Inputs!$B$14/12,Inputs!$B$15,Inputs!$B$11-Inputs!$B$13),0)</f>
        <v>#N/A</v>
      </c>
      <c r="H453" s="86">
        <f t="shared" ref="H453:H485" si="55">IF(H452&gt;0,H452-J452,0)</f>
        <v>0</v>
      </c>
      <c r="I453" s="86">
        <f>IF($H453&lt;&gt;0,Inputs!$B$28/12*H453,0)</f>
        <v>0</v>
      </c>
      <c r="J453" s="86">
        <f t="shared" si="52"/>
        <v>0</v>
      </c>
      <c r="K453" s="86">
        <f t="shared" si="49"/>
        <v>0</v>
      </c>
    </row>
    <row r="454" spans="1:11" x14ac:dyDescent="0.3">
      <c r="A454" s="97">
        <f t="shared" si="50"/>
        <v>2062</v>
      </c>
      <c r="B454" s="79">
        <f t="shared" si="53"/>
        <v>59384</v>
      </c>
      <c r="C454" s="86" t="e">
        <f t="shared" si="54"/>
        <v>#N/A</v>
      </c>
      <c r="D454" s="86" t="e">
        <f>IF($C454&lt;&gt;0,Inputs!$B$14/12*C454,0)</f>
        <v>#N/A</v>
      </c>
      <c r="E454" s="86" t="e">
        <f t="shared" si="51"/>
        <v>#N/A</v>
      </c>
      <c r="F454" s="86" t="e">
        <f>IF($C454&gt;0,-PMT(Inputs!$B$14/12,Inputs!$B$15,Inputs!$B$11-Inputs!$B$13),0)</f>
        <v>#N/A</v>
      </c>
      <c r="H454" s="86">
        <f t="shared" si="55"/>
        <v>0</v>
      </c>
      <c r="I454" s="86">
        <f>IF($H454&lt;&gt;0,Inputs!$B$28/12*H454,0)</f>
        <v>0</v>
      </c>
      <c r="J454" s="86">
        <f t="shared" si="52"/>
        <v>0</v>
      </c>
      <c r="K454" s="86">
        <f t="shared" si="49"/>
        <v>0</v>
      </c>
    </row>
    <row r="455" spans="1:11" x14ac:dyDescent="0.3">
      <c r="A455" s="97">
        <f t="shared" si="50"/>
        <v>2062</v>
      </c>
      <c r="B455" s="79">
        <f t="shared" si="53"/>
        <v>59415</v>
      </c>
      <c r="C455" s="86" t="e">
        <f t="shared" si="54"/>
        <v>#N/A</v>
      </c>
      <c r="D455" s="86" t="e">
        <f>IF($C455&lt;&gt;0,Inputs!$B$14/12*C455,0)</f>
        <v>#N/A</v>
      </c>
      <c r="E455" s="86" t="e">
        <f t="shared" si="51"/>
        <v>#N/A</v>
      </c>
      <c r="F455" s="86" t="e">
        <f>IF($C455&gt;0,-PMT(Inputs!$B$14/12,Inputs!$B$15,Inputs!$B$11-Inputs!$B$13),0)</f>
        <v>#N/A</v>
      </c>
      <c r="H455" s="86">
        <f t="shared" si="55"/>
        <v>0</v>
      </c>
      <c r="I455" s="86">
        <f>IF($H455&lt;&gt;0,Inputs!$B$28/12*H455,0)</f>
        <v>0</v>
      </c>
      <c r="J455" s="86">
        <f t="shared" si="52"/>
        <v>0</v>
      </c>
      <c r="K455" s="86">
        <f t="shared" si="49"/>
        <v>0</v>
      </c>
    </row>
    <row r="456" spans="1:11" x14ac:dyDescent="0.3">
      <c r="A456" s="97">
        <f t="shared" si="50"/>
        <v>2062</v>
      </c>
      <c r="B456" s="79">
        <f t="shared" si="53"/>
        <v>59445</v>
      </c>
      <c r="C456" s="86" t="e">
        <f t="shared" si="54"/>
        <v>#N/A</v>
      </c>
      <c r="D456" s="86" t="e">
        <f>IF($C456&lt;&gt;0,Inputs!$B$14/12*C456,0)</f>
        <v>#N/A</v>
      </c>
      <c r="E456" s="86" t="e">
        <f t="shared" si="51"/>
        <v>#N/A</v>
      </c>
      <c r="F456" s="86" t="e">
        <f>IF($C456&gt;0,-PMT(Inputs!$B$14/12,Inputs!$B$15,Inputs!$B$11-Inputs!$B$13),0)</f>
        <v>#N/A</v>
      </c>
      <c r="H456" s="86">
        <f t="shared" si="55"/>
        <v>0</v>
      </c>
      <c r="I456" s="86">
        <f>IF($H456&lt;&gt;0,Inputs!$B$28/12*H456,0)</f>
        <v>0</v>
      </c>
      <c r="J456" s="86">
        <f t="shared" si="52"/>
        <v>0</v>
      </c>
      <c r="K456" s="86">
        <f t="shared" si="49"/>
        <v>0</v>
      </c>
    </row>
    <row r="457" spans="1:11" x14ac:dyDescent="0.3">
      <c r="A457" s="97">
        <f t="shared" si="50"/>
        <v>2062</v>
      </c>
      <c r="B457" s="79">
        <f t="shared" si="53"/>
        <v>59476</v>
      </c>
      <c r="C457" s="86" t="e">
        <f t="shared" si="54"/>
        <v>#N/A</v>
      </c>
      <c r="D457" s="86" t="e">
        <f>IF($C457&lt;&gt;0,Inputs!$B$14/12*C457,0)</f>
        <v>#N/A</v>
      </c>
      <c r="E457" s="86" t="e">
        <f t="shared" si="51"/>
        <v>#N/A</v>
      </c>
      <c r="F457" s="86" t="e">
        <f>IF($C457&gt;0,-PMT(Inputs!$B$14/12,Inputs!$B$15,Inputs!$B$11-Inputs!$B$13),0)</f>
        <v>#N/A</v>
      </c>
      <c r="H457" s="86">
        <f t="shared" si="55"/>
        <v>0</v>
      </c>
      <c r="I457" s="86">
        <f>IF($H457&lt;&gt;0,Inputs!$B$28/12*H457,0)</f>
        <v>0</v>
      </c>
      <c r="J457" s="86">
        <f t="shared" si="52"/>
        <v>0</v>
      </c>
      <c r="K457" s="86">
        <f t="shared" si="49"/>
        <v>0</v>
      </c>
    </row>
    <row r="458" spans="1:11" x14ac:dyDescent="0.3">
      <c r="A458" s="97">
        <f t="shared" si="50"/>
        <v>2062</v>
      </c>
      <c r="B458" s="79">
        <f t="shared" si="53"/>
        <v>59506</v>
      </c>
      <c r="C458" s="86" t="e">
        <f t="shared" si="54"/>
        <v>#N/A</v>
      </c>
      <c r="D458" s="86" t="e">
        <f>IF($C458&lt;&gt;0,Inputs!$B$14/12*C458,0)</f>
        <v>#N/A</v>
      </c>
      <c r="E458" s="86" t="e">
        <f t="shared" si="51"/>
        <v>#N/A</v>
      </c>
      <c r="F458" s="86" t="e">
        <f>IF($C458&gt;0,-PMT(Inputs!$B$14/12,Inputs!$B$15,Inputs!$B$11-Inputs!$B$13),0)</f>
        <v>#N/A</v>
      </c>
      <c r="H458" s="86">
        <f t="shared" si="55"/>
        <v>0</v>
      </c>
      <c r="I458" s="86">
        <f>IF($H458&lt;&gt;0,Inputs!$B$28/12*H458,0)</f>
        <v>0</v>
      </c>
      <c r="J458" s="86">
        <f t="shared" si="52"/>
        <v>0</v>
      </c>
      <c r="K458" s="86">
        <f t="shared" si="49"/>
        <v>0</v>
      </c>
    </row>
    <row r="459" spans="1:11" x14ac:dyDescent="0.3">
      <c r="A459" s="97">
        <f t="shared" si="50"/>
        <v>2063</v>
      </c>
      <c r="B459" s="79">
        <f t="shared" si="53"/>
        <v>59537</v>
      </c>
      <c r="C459" s="86" t="e">
        <f t="shared" si="54"/>
        <v>#N/A</v>
      </c>
      <c r="D459" s="86" t="e">
        <f>IF($C459&lt;&gt;0,Inputs!$B$14/12*C459,0)</f>
        <v>#N/A</v>
      </c>
      <c r="E459" s="86" t="e">
        <f t="shared" si="51"/>
        <v>#N/A</v>
      </c>
      <c r="F459" s="86" t="e">
        <f>IF($C459&gt;0,-PMT(Inputs!$B$14/12,Inputs!$B$15,Inputs!$B$11-Inputs!$B$13),0)</f>
        <v>#N/A</v>
      </c>
      <c r="H459" s="86">
        <f t="shared" si="55"/>
        <v>0</v>
      </c>
      <c r="I459" s="86">
        <f>IF($H459&lt;&gt;0,Inputs!$B$28/12*H459,0)</f>
        <v>0</v>
      </c>
      <c r="J459" s="86">
        <f t="shared" si="52"/>
        <v>0</v>
      </c>
      <c r="K459" s="86">
        <f t="shared" si="49"/>
        <v>0</v>
      </c>
    </row>
    <row r="460" spans="1:11" x14ac:dyDescent="0.3">
      <c r="A460" s="97">
        <f t="shared" si="50"/>
        <v>2063</v>
      </c>
      <c r="B460" s="79">
        <f t="shared" si="53"/>
        <v>59568</v>
      </c>
      <c r="C460" s="86" t="e">
        <f t="shared" si="54"/>
        <v>#N/A</v>
      </c>
      <c r="D460" s="86" t="e">
        <f>IF($C460&lt;&gt;0,Inputs!$B$14/12*C460,0)</f>
        <v>#N/A</v>
      </c>
      <c r="E460" s="86" t="e">
        <f t="shared" si="51"/>
        <v>#N/A</v>
      </c>
      <c r="F460" s="86" t="e">
        <f>IF($C460&gt;0,-PMT(Inputs!$B$14/12,Inputs!$B$15,Inputs!$B$11-Inputs!$B$13),0)</f>
        <v>#N/A</v>
      </c>
      <c r="H460" s="86">
        <f t="shared" si="55"/>
        <v>0</v>
      </c>
      <c r="I460" s="86">
        <f>IF($H460&lt;&gt;0,Inputs!$B$28/12*H460,0)</f>
        <v>0</v>
      </c>
      <c r="J460" s="86">
        <f t="shared" si="52"/>
        <v>0</v>
      </c>
      <c r="K460" s="86">
        <f t="shared" si="49"/>
        <v>0</v>
      </c>
    </row>
    <row r="461" spans="1:11" x14ac:dyDescent="0.3">
      <c r="A461" s="97">
        <f t="shared" si="50"/>
        <v>2063</v>
      </c>
      <c r="B461" s="79">
        <f t="shared" si="53"/>
        <v>59596</v>
      </c>
      <c r="C461" s="86" t="e">
        <f t="shared" si="54"/>
        <v>#N/A</v>
      </c>
      <c r="D461" s="86" t="e">
        <f>IF($C461&lt;&gt;0,Inputs!$B$14/12*C461,0)</f>
        <v>#N/A</v>
      </c>
      <c r="E461" s="86" t="e">
        <f t="shared" si="51"/>
        <v>#N/A</v>
      </c>
      <c r="F461" s="86" t="e">
        <f>IF($C461&gt;0,-PMT(Inputs!$B$14/12,Inputs!$B$15,Inputs!$B$11-Inputs!$B$13),0)</f>
        <v>#N/A</v>
      </c>
      <c r="H461" s="86">
        <f t="shared" si="55"/>
        <v>0</v>
      </c>
      <c r="I461" s="86">
        <f>IF($H461&lt;&gt;0,Inputs!$B$28/12*H461,0)</f>
        <v>0</v>
      </c>
      <c r="J461" s="86">
        <f t="shared" si="52"/>
        <v>0</v>
      </c>
      <c r="K461" s="86">
        <f t="shared" si="49"/>
        <v>0</v>
      </c>
    </row>
    <row r="462" spans="1:11" x14ac:dyDescent="0.3">
      <c r="A462" s="97">
        <f t="shared" si="50"/>
        <v>2063</v>
      </c>
      <c r="B462" s="79">
        <f t="shared" si="53"/>
        <v>59627</v>
      </c>
      <c r="C462" s="86" t="e">
        <f t="shared" si="54"/>
        <v>#N/A</v>
      </c>
      <c r="D462" s="86" t="e">
        <f>IF($C462&lt;&gt;0,Inputs!$B$14/12*C462,0)</f>
        <v>#N/A</v>
      </c>
      <c r="E462" s="86" t="e">
        <f t="shared" si="51"/>
        <v>#N/A</v>
      </c>
      <c r="F462" s="86" t="e">
        <f>IF($C462&gt;0,-PMT(Inputs!$B$14/12,Inputs!$B$15,Inputs!$B$11-Inputs!$B$13),0)</f>
        <v>#N/A</v>
      </c>
      <c r="H462" s="86">
        <f t="shared" si="55"/>
        <v>0</v>
      </c>
      <c r="I462" s="86">
        <f>IF($H462&lt;&gt;0,Inputs!$B$28/12*H462,0)</f>
        <v>0</v>
      </c>
      <c r="J462" s="86">
        <f t="shared" si="52"/>
        <v>0</v>
      </c>
      <c r="K462" s="86">
        <f t="shared" si="49"/>
        <v>0</v>
      </c>
    </row>
    <row r="463" spans="1:11" x14ac:dyDescent="0.3">
      <c r="A463" s="97">
        <f t="shared" si="50"/>
        <v>2063</v>
      </c>
      <c r="B463" s="79">
        <f t="shared" si="53"/>
        <v>59657</v>
      </c>
      <c r="C463" s="86" t="e">
        <f t="shared" si="54"/>
        <v>#N/A</v>
      </c>
      <c r="D463" s="86" t="e">
        <f>IF($C463&lt;&gt;0,Inputs!$B$14/12*C463,0)</f>
        <v>#N/A</v>
      </c>
      <c r="E463" s="86" t="e">
        <f t="shared" si="51"/>
        <v>#N/A</v>
      </c>
      <c r="F463" s="86" t="e">
        <f>IF($C463&gt;0,-PMT(Inputs!$B$14/12,Inputs!$B$15,Inputs!$B$11-Inputs!$B$13),0)</f>
        <v>#N/A</v>
      </c>
      <c r="H463" s="86">
        <f t="shared" si="55"/>
        <v>0</v>
      </c>
      <c r="I463" s="86">
        <f>IF($H463&lt;&gt;0,Inputs!$B$28/12*H463,0)</f>
        <v>0</v>
      </c>
      <c r="J463" s="86">
        <f t="shared" si="52"/>
        <v>0</v>
      </c>
      <c r="K463" s="86">
        <f t="shared" si="49"/>
        <v>0</v>
      </c>
    </row>
    <row r="464" spans="1:11" x14ac:dyDescent="0.3">
      <c r="A464" s="97">
        <f t="shared" si="50"/>
        <v>2063</v>
      </c>
      <c r="B464" s="79">
        <f t="shared" si="53"/>
        <v>59688</v>
      </c>
      <c r="C464" s="86" t="e">
        <f t="shared" si="54"/>
        <v>#N/A</v>
      </c>
      <c r="D464" s="86" t="e">
        <f>IF($C464&lt;&gt;0,Inputs!$B$14/12*C464,0)</f>
        <v>#N/A</v>
      </c>
      <c r="E464" s="86" t="e">
        <f t="shared" si="51"/>
        <v>#N/A</v>
      </c>
      <c r="F464" s="86" t="e">
        <f>IF($C464&gt;0,-PMT(Inputs!$B$14/12,Inputs!$B$15,Inputs!$B$11-Inputs!$B$13),0)</f>
        <v>#N/A</v>
      </c>
      <c r="H464" s="86">
        <f t="shared" si="55"/>
        <v>0</v>
      </c>
      <c r="I464" s="86">
        <f>IF($H464&lt;&gt;0,Inputs!$B$28/12*H464,0)</f>
        <v>0</v>
      </c>
      <c r="J464" s="86">
        <f t="shared" si="52"/>
        <v>0</v>
      </c>
      <c r="K464" s="86">
        <f t="shared" si="49"/>
        <v>0</v>
      </c>
    </row>
    <row r="465" spans="1:11" x14ac:dyDescent="0.3">
      <c r="A465" s="97">
        <f t="shared" si="50"/>
        <v>2063</v>
      </c>
      <c r="B465" s="79">
        <f t="shared" si="53"/>
        <v>59718</v>
      </c>
      <c r="C465" s="86" t="e">
        <f t="shared" si="54"/>
        <v>#N/A</v>
      </c>
      <c r="D465" s="86" t="e">
        <f>IF($C465&lt;&gt;0,Inputs!$B$14/12*C465,0)</f>
        <v>#N/A</v>
      </c>
      <c r="E465" s="86" t="e">
        <f t="shared" si="51"/>
        <v>#N/A</v>
      </c>
      <c r="F465" s="86" t="e">
        <f>IF($C465&gt;0,-PMT(Inputs!$B$14/12,Inputs!$B$15,Inputs!$B$11-Inputs!$B$13),0)</f>
        <v>#N/A</v>
      </c>
      <c r="H465" s="86">
        <f t="shared" si="55"/>
        <v>0</v>
      </c>
      <c r="I465" s="86">
        <f>IF($H465&lt;&gt;0,Inputs!$B$28/12*H465,0)</f>
        <v>0</v>
      </c>
      <c r="J465" s="86">
        <f t="shared" si="52"/>
        <v>0</v>
      </c>
      <c r="K465" s="86">
        <f t="shared" si="49"/>
        <v>0</v>
      </c>
    </row>
    <row r="466" spans="1:11" x14ac:dyDescent="0.3">
      <c r="A466" s="97">
        <f t="shared" si="50"/>
        <v>2063</v>
      </c>
      <c r="B466" s="79">
        <f t="shared" si="53"/>
        <v>59749</v>
      </c>
      <c r="C466" s="86" t="e">
        <f t="shared" si="54"/>
        <v>#N/A</v>
      </c>
      <c r="D466" s="86" t="e">
        <f>IF($C466&lt;&gt;0,Inputs!$B$14/12*C466,0)</f>
        <v>#N/A</v>
      </c>
      <c r="E466" s="86" t="e">
        <f t="shared" si="51"/>
        <v>#N/A</v>
      </c>
      <c r="F466" s="86" t="e">
        <f>IF($C466&gt;0,-PMT(Inputs!$B$14/12,Inputs!$B$15,Inputs!$B$11-Inputs!$B$13),0)</f>
        <v>#N/A</v>
      </c>
      <c r="H466" s="86">
        <f t="shared" si="55"/>
        <v>0</v>
      </c>
      <c r="I466" s="86">
        <f>IF($H466&lt;&gt;0,Inputs!$B$28/12*H466,0)</f>
        <v>0</v>
      </c>
      <c r="J466" s="86">
        <f t="shared" si="52"/>
        <v>0</v>
      </c>
      <c r="K466" s="86">
        <f t="shared" si="49"/>
        <v>0</v>
      </c>
    </row>
    <row r="467" spans="1:11" x14ac:dyDescent="0.3">
      <c r="A467" s="97">
        <f t="shared" si="50"/>
        <v>2063</v>
      </c>
      <c r="B467" s="79">
        <f t="shared" si="53"/>
        <v>59780</v>
      </c>
      <c r="C467" s="86" t="e">
        <f t="shared" si="54"/>
        <v>#N/A</v>
      </c>
      <c r="D467" s="86" t="e">
        <f>IF($C467&lt;&gt;0,Inputs!$B$14/12*C467,0)</f>
        <v>#N/A</v>
      </c>
      <c r="E467" s="86" t="e">
        <f t="shared" si="51"/>
        <v>#N/A</v>
      </c>
      <c r="F467" s="86" t="e">
        <f>IF($C467&gt;0,-PMT(Inputs!$B$14/12,Inputs!$B$15,Inputs!$B$11-Inputs!$B$13),0)</f>
        <v>#N/A</v>
      </c>
      <c r="H467" s="86">
        <f t="shared" si="55"/>
        <v>0</v>
      </c>
      <c r="I467" s="86">
        <f>IF($H467&lt;&gt;0,Inputs!$B$28/12*H467,0)</f>
        <v>0</v>
      </c>
      <c r="J467" s="86">
        <f t="shared" si="52"/>
        <v>0</v>
      </c>
      <c r="K467" s="86">
        <f t="shared" si="49"/>
        <v>0</v>
      </c>
    </row>
    <row r="468" spans="1:11" x14ac:dyDescent="0.3">
      <c r="A468" s="97">
        <f t="shared" si="50"/>
        <v>2063</v>
      </c>
      <c r="B468" s="79">
        <f t="shared" si="53"/>
        <v>59810</v>
      </c>
      <c r="C468" s="86" t="e">
        <f t="shared" si="54"/>
        <v>#N/A</v>
      </c>
      <c r="D468" s="86" t="e">
        <f>IF($C468&lt;&gt;0,Inputs!$B$14/12*C468,0)</f>
        <v>#N/A</v>
      </c>
      <c r="E468" s="86" t="e">
        <f t="shared" si="51"/>
        <v>#N/A</v>
      </c>
      <c r="F468" s="86" t="e">
        <f>IF($C468&gt;0,-PMT(Inputs!$B$14/12,Inputs!$B$15,Inputs!$B$11-Inputs!$B$13),0)</f>
        <v>#N/A</v>
      </c>
      <c r="H468" s="86">
        <f t="shared" si="55"/>
        <v>0</v>
      </c>
      <c r="I468" s="86">
        <f>IF($H468&lt;&gt;0,Inputs!$B$28/12*H468,0)</f>
        <v>0</v>
      </c>
      <c r="J468" s="86">
        <f t="shared" si="52"/>
        <v>0</v>
      </c>
      <c r="K468" s="86">
        <f t="shared" si="49"/>
        <v>0</v>
      </c>
    </row>
    <row r="469" spans="1:11" x14ac:dyDescent="0.3">
      <c r="A469" s="97">
        <f t="shared" si="50"/>
        <v>2063</v>
      </c>
      <c r="B469" s="79">
        <f t="shared" si="53"/>
        <v>59841</v>
      </c>
      <c r="C469" s="86" t="e">
        <f t="shared" si="54"/>
        <v>#N/A</v>
      </c>
      <c r="D469" s="86" t="e">
        <f>IF($C469&lt;&gt;0,Inputs!$B$14/12*C469,0)</f>
        <v>#N/A</v>
      </c>
      <c r="E469" s="86" t="e">
        <f t="shared" si="51"/>
        <v>#N/A</v>
      </c>
      <c r="F469" s="86" t="e">
        <f>IF($C469&gt;0,-PMT(Inputs!$B$14/12,Inputs!$B$15,Inputs!$B$11-Inputs!$B$13),0)</f>
        <v>#N/A</v>
      </c>
      <c r="H469" s="86">
        <f t="shared" si="55"/>
        <v>0</v>
      </c>
      <c r="I469" s="86">
        <f>IF($H469&lt;&gt;0,Inputs!$B$28/12*H469,0)</f>
        <v>0</v>
      </c>
      <c r="J469" s="86">
        <f t="shared" si="52"/>
        <v>0</v>
      </c>
      <c r="K469" s="86">
        <f t="shared" si="49"/>
        <v>0</v>
      </c>
    </row>
    <row r="470" spans="1:11" x14ac:dyDescent="0.3">
      <c r="A470" s="97">
        <f t="shared" si="50"/>
        <v>2063</v>
      </c>
      <c r="B470" s="79">
        <f t="shared" si="53"/>
        <v>59871</v>
      </c>
      <c r="C470" s="86" t="e">
        <f t="shared" si="54"/>
        <v>#N/A</v>
      </c>
      <c r="D470" s="86" t="e">
        <f>IF($C470&lt;&gt;0,Inputs!$B$14/12*C470,0)</f>
        <v>#N/A</v>
      </c>
      <c r="E470" s="86" t="e">
        <f t="shared" si="51"/>
        <v>#N/A</v>
      </c>
      <c r="F470" s="86" t="e">
        <f>IF($C470&gt;0,-PMT(Inputs!$B$14/12,Inputs!$B$15,Inputs!$B$11-Inputs!$B$13),0)</f>
        <v>#N/A</v>
      </c>
      <c r="H470" s="86">
        <f t="shared" si="55"/>
        <v>0</v>
      </c>
      <c r="I470" s="86">
        <f>IF($H470&lt;&gt;0,Inputs!$B$28/12*H470,0)</f>
        <v>0</v>
      </c>
      <c r="J470" s="86">
        <f t="shared" si="52"/>
        <v>0</v>
      </c>
      <c r="K470" s="86">
        <f t="shared" si="49"/>
        <v>0</v>
      </c>
    </row>
    <row r="471" spans="1:11" x14ac:dyDescent="0.3">
      <c r="A471" s="97">
        <f t="shared" si="50"/>
        <v>2064</v>
      </c>
      <c r="B471" s="79">
        <f t="shared" si="53"/>
        <v>59902</v>
      </c>
      <c r="C471" s="86" t="e">
        <f t="shared" si="54"/>
        <v>#N/A</v>
      </c>
      <c r="D471" s="86" t="e">
        <f>IF($C471&lt;&gt;0,Inputs!$B$14/12*C471,0)</f>
        <v>#N/A</v>
      </c>
      <c r="E471" s="86" t="e">
        <f t="shared" si="51"/>
        <v>#N/A</v>
      </c>
      <c r="F471" s="86" t="e">
        <f>IF($C471&gt;0,-PMT(Inputs!$B$14/12,Inputs!$B$15,Inputs!$B$11-Inputs!$B$13),0)</f>
        <v>#N/A</v>
      </c>
      <c r="H471" s="86">
        <f t="shared" si="55"/>
        <v>0</v>
      </c>
      <c r="I471" s="86">
        <f>IF($H471&lt;&gt;0,Inputs!$B$28/12*H471,0)</f>
        <v>0</v>
      </c>
      <c r="J471" s="86">
        <f t="shared" si="52"/>
        <v>0</v>
      </c>
      <c r="K471" s="86">
        <f t="shared" si="49"/>
        <v>0</v>
      </c>
    </row>
    <row r="472" spans="1:11" x14ac:dyDescent="0.3">
      <c r="A472" s="97">
        <f t="shared" si="50"/>
        <v>2064</v>
      </c>
      <c r="B472" s="79">
        <f t="shared" si="53"/>
        <v>59933</v>
      </c>
      <c r="C472" s="86" t="e">
        <f t="shared" si="54"/>
        <v>#N/A</v>
      </c>
      <c r="D472" s="86" t="e">
        <f>IF($C472&lt;&gt;0,Inputs!$B$14/12*C472,0)</f>
        <v>#N/A</v>
      </c>
      <c r="E472" s="86" t="e">
        <f t="shared" si="51"/>
        <v>#N/A</v>
      </c>
      <c r="F472" s="86" t="e">
        <f>IF($C472&gt;0,-PMT(Inputs!$B$14/12,Inputs!$B$15,Inputs!$B$11-Inputs!$B$13),0)</f>
        <v>#N/A</v>
      </c>
      <c r="H472" s="86">
        <f t="shared" si="55"/>
        <v>0</v>
      </c>
      <c r="I472" s="86">
        <f>IF($H472&lt;&gt;0,Inputs!$B$28/12*H472,0)</f>
        <v>0</v>
      </c>
      <c r="J472" s="86">
        <f t="shared" si="52"/>
        <v>0</v>
      </c>
      <c r="K472" s="86">
        <f t="shared" si="49"/>
        <v>0</v>
      </c>
    </row>
    <row r="473" spans="1:11" x14ac:dyDescent="0.3">
      <c r="A473" s="97">
        <f t="shared" si="50"/>
        <v>2064</v>
      </c>
      <c r="B473" s="79">
        <f t="shared" si="53"/>
        <v>59962</v>
      </c>
      <c r="C473" s="86" t="e">
        <f t="shared" si="54"/>
        <v>#N/A</v>
      </c>
      <c r="D473" s="86" t="e">
        <f>IF($C473&lt;&gt;0,Inputs!$B$14/12*C473,0)</f>
        <v>#N/A</v>
      </c>
      <c r="E473" s="86" t="e">
        <f t="shared" si="51"/>
        <v>#N/A</v>
      </c>
      <c r="F473" s="86" t="e">
        <f>IF($C473&gt;0,-PMT(Inputs!$B$14/12,Inputs!$B$15,Inputs!$B$11-Inputs!$B$13),0)</f>
        <v>#N/A</v>
      </c>
      <c r="H473" s="86">
        <f t="shared" si="55"/>
        <v>0</v>
      </c>
      <c r="I473" s="86">
        <f>IF($H473&lt;&gt;0,Inputs!$B$28/12*H473,0)</f>
        <v>0</v>
      </c>
      <c r="J473" s="86">
        <f t="shared" si="52"/>
        <v>0</v>
      </c>
      <c r="K473" s="86">
        <f t="shared" si="49"/>
        <v>0</v>
      </c>
    </row>
    <row r="474" spans="1:11" x14ac:dyDescent="0.3">
      <c r="A474" s="97">
        <f t="shared" si="50"/>
        <v>2064</v>
      </c>
      <c r="B474" s="79">
        <f t="shared" si="53"/>
        <v>59993</v>
      </c>
      <c r="C474" s="86" t="e">
        <f t="shared" si="54"/>
        <v>#N/A</v>
      </c>
      <c r="D474" s="86" t="e">
        <f>IF($C474&lt;&gt;0,Inputs!$B$14/12*C474,0)</f>
        <v>#N/A</v>
      </c>
      <c r="E474" s="86" t="e">
        <f t="shared" si="51"/>
        <v>#N/A</v>
      </c>
      <c r="F474" s="86" t="e">
        <f>IF($C474&gt;0,-PMT(Inputs!$B$14/12,Inputs!$B$15,Inputs!$B$11-Inputs!$B$13),0)</f>
        <v>#N/A</v>
      </c>
      <c r="H474" s="86">
        <f t="shared" si="55"/>
        <v>0</v>
      </c>
      <c r="I474" s="86">
        <f>IF($H474&lt;&gt;0,Inputs!$B$28/12*H474,0)</f>
        <v>0</v>
      </c>
      <c r="J474" s="86">
        <f t="shared" si="52"/>
        <v>0</v>
      </c>
      <c r="K474" s="86">
        <f t="shared" si="49"/>
        <v>0</v>
      </c>
    </row>
    <row r="475" spans="1:11" x14ac:dyDescent="0.3">
      <c r="A475" s="97">
        <f t="shared" si="50"/>
        <v>2064</v>
      </c>
      <c r="B475" s="79">
        <f t="shared" si="53"/>
        <v>60023</v>
      </c>
      <c r="C475" s="86" t="e">
        <f t="shared" si="54"/>
        <v>#N/A</v>
      </c>
      <c r="D475" s="86" t="e">
        <f>IF($C475&lt;&gt;0,Inputs!$B$14/12*C475,0)</f>
        <v>#N/A</v>
      </c>
      <c r="E475" s="86" t="e">
        <f t="shared" si="51"/>
        <v>#N/A</v>
      </c>
      <c r="F475" s="86" t="e">
        <f>IF($C475&gt;0,-PMT(Inputs!$B$14/12,Inputs!$B$15,Inputs!$B$11-Inputs!$B$13),0)</f>
        <v>#N/A</v>
      </c>
      <c r="H475" s="86">
        <f t="shared" si="55"/>
        <v>0</v>
      </c>
      <c r="I475" s="86">
        <f>IF($H475&lt;&gt;0,Inputs!$B$28/12*H475,0)</f>
        <v>0</v>
      </c>
      <c r="J475" s="86">
        <f t="shared" si="52"/>
        <v>0</v>
      </c>
      <c r="K475" s="86">
        <f t="shared" si="49"/>
        <v>0</v>
      </c>
    </row>
    <row r="476" spans="1:11" x14ac:dyDescent="0.3">
      <c r="A476" s="97">
        <f t="shared" si="50"/>
        <v>2064</v>
      </c>
      <c r="B476" s="79">
        <f t="shared" si="53"/>
        <v>60054</v>
      </c>
      <c r="C476" s="86" t="e">
        <f t="shared" si="54"/>
        <v>#N/A</v>
      </c>
      <c r="D476" s="86" t="e">
        <f>IF($C476&lt;&gt;0,Inputs!$B$14/12*C476,0)</f>
        <v>#N/A</v>
      </c>
      <c r="E476" s="86" t="e">
        <f t="shared" si="51"/>
        <v>#N/A</v>
      </c>
      <c r="F476" s="86" t="e">
        <f>IF($C476&gt;0,-PMT(Inputs!$B$14/12,Inputs!$B$15,Inputs!$B$11-Inputs!$B$13),0)</f>
        <v>#N/A</v>
      </c>
      <c r="H476" s="86">
        <f t="shared" si="55"/>
        <v>0</v>
      </c>
      <c r="I476" s="86">
        <f>IF($H476&lt;&gt;0,Inputs!$B$28/12*H476,0)</f>
        <v>0</v>
      </c>
      <c r="J476" s="86">
        <f t="shared" si="52"/>
        <v>0</v>
      </c>
      <c r="K476" s="86">
        <f t="shared" si="49"/>
        <v>0</v>
      </c>
    </row>
    <row r="477" spans="1:11" x14ac:dyDescent="0.3">
      <c r="A477" s="97">
        <f t="shared" si="50"/>
        <v>2064</v>
      </c>
      <c r="B477" s="79">
        <f t="shared" si="53"/>
        <v>60084</v>
      </c>
      <c r="C477" s="86" t="e">
        <f t="shared" si="54"/>
        <v>#N/A</v>
      </c>
      <c r="D477" s="86" t="e">
        <f>IF($C477&lt;&gt;0,Inputs!$B$14/12*C477,0)</f>
        <v>#N/A</v>
      </c>
      <c r="E477" s="86" t="e">
        <f t="shared" si="51"/>
        <v>#N/A</v>
      </c>
      <c r="F477" s="86" t="e">
        <f>IF($C477&gt;0,-PMT(Inputs!$B$14/12,Inputs!$B$15,Inputs!$B$11-Inputs!$B$13),0)</f>
        <v>#N/A</v>
      </c>
      <c r="H477" s="86">
        <f t="shared" si="55"/>
        <v>0</v>
      </c>
      <c r="I477" s="86">
        <f>IF($H477&lt;&gt;0,Inputs!$B$28/12*H477,0)</f>
        <v>0</v>
      </c>
      <c r="J477" s="86">
        <f t="shared" si="52"/>
        <v>0</v>
      </c>
      <c r="K477" s="86">
        <f t="shared" si="49"/>
        <v>0</v>
      </c>
    </row>
    <row r="478" spans="1:11" x14ac:dyDescent="0.3">
      <c r="A478" s="97">
        <f t="shared" si="50"/>
        <v>2064</v>
      </c>
      <c r="B478" s="79">
        <f t="shared" si="53"/>
        <v>60115</v>
      </c>
      <c r="C478" s="86" t="e">
        <f t="shared" si="54"/>
        <v>#N/A</v>
      </c>
      <c r="D478" s="86" t="e">
        <f>IF($C478&lt;&gt;0,Inputs!$B$14/12*C478,0)</f>
        <v>#N/A</v>
      </c>
      <c r="E478" s="86" t="e">
        <f t="shared" si="51"/>
        <v>#N/A</v>
      </c>
      <c r="F478" s="86" t="e">
        <f>IF($C478&gt;0,-PMT(Inputs!$B$14/12,Inputs!$B$15,Inputs!$B$11-Inputs!$B$13),0)</f>
        <v>#N/A</v>
      </c>
      <c r="H478" s="86">
        <f t="shared" si="55"/>
        <v>0</v>
      </c>
      <c r="I478" s="86">
        <f>IF($H478&lt;&gt;0,Inputs!$B$28/12*H478,0)</f>
        <v>0</v>
      </c>
      <c r="J478" s="86">
        <f t="shared" si="52"/>
        <v>0</v>
      </c>
      <c r="K478" s="86">
        <f t="shared" si="49"/>
        <v>0</v>
      </c>
    </row>
    <row r="479" spans="1:11" x14ac:dyDescent="0.3">
      <c r="A479" s="97">
        <f t="shared" si="50"/>
        <v>2064</v>
      </c>
      <c r="B479" s="79">
        <f t="shared" si="53"/>
        <v>60146</v>
      </c>
      <c r="C479" s="86" t="e">
        <f t="shared" si="54"/>
        <v>#N/A</v>
      </c>
      <c r="D479" s="86" t="e">
        <f>IF($C479&lt;&gt;0,Inputs!$B$14/12*C479,0)</f>
        <v>#N/A</v>
      </c>
      <c r="E479" s="86" t="e">
        <f t="shared" si="51"/>
        <v>#N/A</v>
      </c>
      <c r="F479" s="86" t="e">
        <f>IF($C479&gt;0,-PMT(Inputs!$B$14/12,Inputs!$B$15,Inputs!$B$11-Inputs!$B$13),0)</f>
        <v>#N/A</v>
      </c>
      <c r="H479" s="86">
        <f t="shared" si="55"/>
        <v>0</v>
      </c>
      <c r="I479" s="86">
        <f>IF($H479&lt;&gt;0,Inputs!$B$28/12*H479,0)</f>
        <v>0</v>
      </c>
      <c r="J479" s="86">
        <f t="shared" si="52"/>
        <v>0</v>
      </c>
      <c r="K479" s="86">
        <f t="shared" si="49"/>
        <v>0</v>
      </c>
    </row>
    <row r="480" spans="1:11" x14ac:dyDescent="0.3">
      <c r="A480" s="97">
        <f t="shared" si="50"/>
        <v>2064</v>
      </c>
      <c r="B480" s="79">
        <f t="shared" si="53"/>
        <v>60176</v>
      </c>
      <c r="C480" s="86" t="e">
        <f t="shared" si="54"/>
        <v>#N/A</v>
      </c>
      <c r="D480" s="86" t="e">
        <f>IF($C480&lt;&gt;0,Inputs!$B$14/12*C480,0)</f>
        <v>#N/A</v>
      </c>
      <c r="E480" s="86" t="e">
        <f t="shared" si="51"/>
        <v>#N/A</v>
      </c>
      <c r="F480" s="86" t="e">
        <f>IF($C480&gt;0,-PMT(Inputs!$B$14/12,Inputs!$B$15,Inputs!$B$11-Inputs!$B$13),0)</f>
        <v>#N/A</v>
      </c>
      <c r="H480" s="86">
        <f t="shared" si="55"/>
        <v>0</v>
      </c>
      <c r="I480" s="86">
        <f>IF($H480&lt;&gt;0,Inputs!$B$28/12*H480,0)</f>
        <v>0</v>
      </c>
      <c r="J480" s="86">
        <f t="shared" si="52"/>
        <v>0</v>
      </c>
      <c r="K480" s="86">
        <f t="shared" si="49"/>
        <v>0</v>
      </c>
    </row>
    <row r="481" spans="1:11" x14ac:dyDescent="0.3">
      <c r="A481" s="97">
        <f t="shared" si="50"/>
        <v>2064</v>
      </c>
      <c r="B481" s="79">
        <f t="shared" si="53"/>
        <v>60207</v>
      </c>
      <c r="C481" s="86" t="e">
        <f t="shared" si="54"/>
        <v>#N/A</v>
      </c>
      <c r="D481" s="86" t="e">
        <f>IF($C481&lt;&gt;0,Inputs!$B$14/12*C481,0)</f>
        <v>#N/A</v>
      </c>
      <c r="E481" s="86" t="e">
        <f t="shared" si="51"/>
        <v>#N/A</v>
      </c>
      <c r="F481" s="86" t="e">
        <f>IF($C481&gt;0,-PMT(Inputs!$B$14/12,Inputs!$B$15,Inputs!$B$11-Inputs!$B$13),0)</f>
        <v>#N/A</v>
      </c>
      <c r="H481" s="86">
        <f t="shared" si="55"/>
        <v>0</v>
      </c>
      <c r="I481" s="86">
        <f>IF($H481&lt;&gt;0,Inputs!$B$28/12*H481,0)</f>
        <v>0</v>
      </c>
      <c r="J481" s="86">
        <f t="shared" si="52"/>
        <v>0</v>
      </c>
      <c r="K481" s="86">
        <f t="shared" ref="K481:K485" si="56">IF(H481&gt;0,IF(H481+I481&gt;K480,K480,H481+I481),0)</f>
        <v>0</v>
      </c>
    </row>
    <row r="482" spans="1:11" x14ac:dyDescent="0.3">
      <c r="A482" s="97">
        <f t="shared" si="50"/>
        <v>2064</v>
      </c>
      <c r="B482" s="79">
        <f t="shared" si="53"/>
        <v>60237</v>
      </c>
      <c r="C482" s="86" t="e">
        <f t="shared" si="54"/>
        <v>#N/A</v>
      </c>
      <c r="D482" s="86" t="e">
        <f>IF($C482&lt;&gt;0,Inputs!$B$14/12*C482,0)</f>
        <v>#N/A</v>
      </c>
      <c r="E482" s="86" t="e">
        <f t="shared" si="51"/>
        <v>#N/A</v>
      </c>
      <c r="F482" s="86" t="e">
        <f>IF($C482&gt;0,-PMT(Inputs!$B$14/12,Inputs!$B$15,Inputs!$B$11-Inputs!$B$13),0)</f>
        <v>#N/A</v>
      </c>
      <c r="H482" s="86">
        <f t="shared" si="55"/>
        <v>0</v>
      </c>
      <c r="I482" s="86">
        <f>IF($H482&lt;&gt;0,Inputs!$B$28/12*H482,0)</f>
        <v>0</v>
      </c>
      <c r="J482" s="86">
        <f t="shared" si="52"/>
        <v>0</v>
      </c>
      <c r="K482" s="86">
        <f t="shared" si="56"/>
        <v>0</v>
      </c>
    </row>
    <row r="483" spans="1:11" x14ac:dyDescent="0.3">
      <c r="A483" s="97">
        <f t="shared" si="50"/>
        <v>2065</v>
      </c>
      <c r="B483" s="79">
        <f t="shared" si="53"/>
        <v>60268</v>
      </c>
      <c r="C483" s="86" t="e">
        <f t="shared" si="54"/>
        <v>#N/A</v>
      </c>
      <c r="D483" s="86" t="e">
        <f>IF($C483&lt;&gt;0,Inputs!$B$14/12*C483,0)</f>
        <v>#N/A</v>
      </c>
      <c r="E483" s="86" t="e">
        <f t="shared" si="51"/>
        <v>#N/A</v>
      </c>
      <c r="F483" s="86" t="e">
        <f>IF($C483&gt;0,-PMT(Inputs!$B$14/12,Inputs!$B$15,Inputs!$B$11-Inputs!$B$13),0)</f>
        <v>#N/A</v>
      </c>
      <c r="H483" s="86">
        <f t="shared" si="55"/>
        <v>0</v>
      </c>
      <c r="I483" s="86">
        <f>IF($H483&lt;&gt;0,Inputs!$B$28/12*H483,0)</f>
        <v>0</v>
      </c>
      <c r="J483" s="86">
        <f t="shared" si="52"/>
        <v>0</v>
      </c>
      <c r="K483" s="86">
        <f t="shared" si="56"/>
        <v>0</v>
      </c>
    </row>
    <row r="484" spans="1:11" x14ac:dyDescent="0.3">
      <c r="A484" s="97">
        <f t="shared" si="50"/>
        <v>2065</v>
      </c>
      <c r="B484" s="79">
        <f t="shared" si="53"/>
        <v>60299</v>
      </c>
      <c r="C484" s="86" t="e">
        <f t="shared" si="54"/>
        <v>#N/A</v>
      </c>
      <c r="D484" s="86" t="e">
        <f>IF($C484&lt;&gt;0,Inputs!$B$14/12*C484,0)</f>
        <v>#N/A</v>
      </c>
      <c r="E484" s="86" t="e">
        <f t="shared" si="51"/>
        <v>#N/A</v>
      </c>
      <c r="F484" s="86" t="e">
        <f>IF($C484&gt;0,-PMT(Inputs!$B$14/12,Inputs!$B$15,Inputs!$B$11-Inputs!$B$13),0)</f>
        <v>#N/A</v>
      </c>
      <c r="H484" s="86">
        <f t="shared" si="55"/>
        <v>0</v>
      </c>
      <c r="I484" s="86">
        <f>IF($H484&lt;&gt;0,Inputs!$B$28/12*H484,0)</f>
        <v>0</v>
      </c>
      <c r="J484" s="86">
        <f t="shared" si="52"/>
        <v>0</v>
      </c>
      <c r="K484" s="86">
        <f t="shared" si="56"/>
        <v>0</v>
      </c>
    </row>
    <row r="485" spans="1:11" x14ac:dyDescent="0.3">
      <c r="A485" s="97">
        <f t="shared" si="50"/>
        <v>2065</v>
      </c>
      <c r="B485" s="79">
        <f t="shared" si="53"/>
        <v>60327</v>
      </c>
      <c r="C485" s="86" t="e">
        <f t="shared" si="54"/>
        <v>#N/A</v>
      </c>
      <c r="D485" s="86" t="e">
        <f>IF($C485&lt;&gt;0,Inputs!$B$14/12*C485,0)</f>
        <v>#N/A</v>
      </c>
      <c r="E485" s="86" t="e">
        <f t="shared" si="51"/>
        <v>#N/A</v>
      </c>
      <c r="F485" s="86" t="e">
        <f>IF($C485&gt;0,-PMT(Inputs!$B$14/12,Inputs!$B$15,Inputs!$B$11-Inputs!$B$13),0)</f>
        <v>#N/A</v>
      </c>
      <c r="H485" s="86">
        <f t="shared" si="55"/>
        <v>0</v>
      </c>
      <c r="I485" s="86">
        <f>IF($H485&lt;&gt;0,Inputs!$B$28/12*H485,0)</f>
        <v>0</v>
      </c>
      <c r="J485" s="86">
        <f t="shared" si="52"/>
        <v>0</v>
      </c>
      <c r="K485" s="86">
        <f t="shared" si="56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6DEB-D87E-45A5-8C9A-617E170CC511}">
  <dimension ref="A1:W133"/>
  <sheetViews>
    <sheetView tabSelected="1" zoomScale="95" workbookViewId="0">
      <pane xSplit="2" ySplit="9" topLeftCell="C42" activePane="bottomRight" state="frozen"/>
      <selection pane="topRight" activeCell="C1" sqref="C1"/>
      <selection pane="bottomLeft" activeCell="A10" sqref="A10"/>
      <selection pane="bottomRight" activeCell="L50" sqref="L50"/>
    </sheetView>
  </sheetViews>
  <sheetFormatPr defaultRowHeight="14.5" outlineLevelCol="1" x14ac:dyDescent="0.35"/>
  <cols>
    <col min="1" max="1" width="24" customWidth="1"/>
    <col min="2" max="2" width="15.54296875" customWidth="1"/>
    <col min="3" max="5" width="14.81640625" bestFit="1" customWidth="1"/>
    <col min="6" max="6" width="15.08984375" hidden="1" customWidth="1" outlineLevel="1"/>
    <col min="7" max="7" width="14.6328125" hidden="1" customWidth="1" outlineLevel="1"/>
    <col min="8" max="8" width="11.08984375" hidden="1" customWidth="1" outlineLevel="1"/>
    <col min="9" max="9" width="17.54296875" hidden="1" customWidth="1" outlineLevel="1"/>
    <col min="10" max="10" width="13.1796875" hidden="1" customWidth="1" outlineLevel="1"/>
    <col min="11" max="11" width="15.453125" hidden="1" customWidth="1" outlineLevel="1"/>
    <col min="12" max="12" width="18.6328125" bestFit="1" customWidth="1" collapsed="1"/>
    <col min="13" max="13" width="15.1796875" bestFit="1" customWidth="1"/>
    <col min="14" max="14" width="18.26953125" customWidth="1"/>
    <col min="16" max="16" width="22.08984375" customWidth="1"/>
    <col min="17" max="17" width="11.7265625" customWidth="1"/>
    <col min="18" max="18" width="19.6328125" customWidth="1"/>
    <col min="21" max="21" width="12.6328125" customWidth="1"/>
    <col min="22" max="22" width="26.36328125" customWidth="1"/>
  </cols>
  <sheetData>
    <row r="1" spans="1:23" x14ac:dyDescent="0.35">
      <c r="D1" t="s">
        <v>57</v>
      </c>
      <c r="E1" s="3">
        <v>970000</v>
      </c>
      <c r="G1" t="s">
        <v>114</v>
      </c>
      <c r="H1" s="3">
        <v>350000</v>
      </c>
      <c r="P1" t="s">
        <v>418</v>
      </c>
      <c r="Q1" s="6">
        <v>650000</v>
      </c>
      <c r="S1" s="107" t="s">
        <v>343</v>
      </c>
      <c r="T1" s="107" t="s">
        <v>350</v>
      </c>
      <c r="U1" s="107" t="s">
        <v>118</v>
      </c>
      <c r="V1" s="107" t="s">
        <v>147</v>
      </c>
    </row>
    <row r="2" spans="1:23" x14ac:dyDescent="0.35">
      <c r="D2" t="s">
        <v>58</v>
      </c>
      <c r="E2">
        <v>8</v>
      </c>
      <c r="G2" t="s">
        <v>115</v>
      </c>
      <c r="H2" s="5">
        <v>0.25</v>
      </c>
      <c r="N2" s="3">
        <f>825000/200</f>
        <v>4125</v>
      </c>
      <c r="P2" t="s">
        <v>355</v>
      </c>
      <c r="Q2" s="5">
        <v>0.1</v>
      </c>
      <c r="S2" s="6">
        <v>1</v>
      </c>
      <c r="T2" t="s">
        <v>61</v>
      </c>
      <c r="U2">
        <f>1525+1400+1235+1350+1350+1385</f>
        <v>8245</v>
      </c>
      <c r="V2" t="s">
        <v>353</v>
      </c>
    </row>
    <row r="3" spans="1:23" x14ac:dyDescent="0.35">
      <c r="A3" s="1" t="s">
        <v>13</v>
      </c>
      <c r="B3" t="s">
        <v>21</v>
      </c>
      <c r="D3" t="s">
        <v>55</v>
      </c>
      <c r="E3">
        <f>2400+1400+1450</f>
        <v>5250</v>
      </c>
      <c r="G3" t="s">
        <v>116</v>
      </c>
      <c r="H3" s="3">
        <f>H1/H2</f>
        <v>1400000</v>
      </c>
      <c r="K3" t="s">
        <v>346</v>
      </c>
      <c r="L3" t="s">
        <v>295</v>
      </c>
      <c r="P3" t="s">
        <v>354</v>
      </c>
      <c r="Q3" s="127">
        <v>0</v>
      </c>
      <c r="S3" s="6">
        <v>0</v>
      </c>
      <c r="T3" t="s">
        <v>298</v>
      </c>
      <c r="U3">
        <f>1450+1525+1445+1470</f>
        <v>5890</v>
      </c>
      <c r="V3" t="s">
        <v>500</v>
      </c>
    </row>
    <row r="4" spans="1:23" x14ac:dyDescent="0.35">
      <c r="A4" s="1" t="s">
        <v>3</v>
      </c>
      <c r="B4" t="s">
        <v>21</v>
      </c>
      <c r="D4" t="s">
        <v>59</v>
      </c>
      <c r="E4" s="3">
        <f>E1/(E2*660)</f>
        <v>183.71212121212122</v>
      </c>
      <c r="F4" t="e">
        <f>_xlfn.RANK.AVG(E4,H10:H94)</f>
        <v>#N/A</v>
      </c>
      <c r="G4" t="s">
        <v>117</v>
      </c>
      <c r="H4" s="6">
        <v>200</v>
      </c>
      <c r="J4" t="s">
        <v>344</v>
      </c>
      <c r="K4" s="3">
        <f>300000/0.25</f>
        <v>1200000</v>
      </c>
      <c r="L4" s="108">
        <f>PMT(0.07/12,30*360,-K4*0.97*0.75)</f>
        <v>5092.5</v>
      </c>
      <c r="P4" t="s">
        <v>371</v>
      </c>
      <c r="Q4" s="125" t="e">
        <f>(Q7/(1-Q2))-Q7</f>
        <v>#N/A</v>
      </c>
      <c r="S4" s="6">
        <v>0</v>
      </c>
      <c r="T4" t="s">
        <v>49</v>
      </c>
      <c r="U4">
        <v>6345</v>
      </c>
      <c r="V4" t="s">
        <v>504</v>
      </c>
      <c r="W4" t="s">
        <v>505</v>
      </c>
    </row>
    <row r="5" spans="1:23" x14ac:dyDescent="0.35">
      <c r="A5" s="1" t="s">
        <v>4</v>
      </c>
      <c r="B5" t="s">
        <v>21</v>
      </c>
      <c r="D5" t="s">
        <v>33</v>
      </c>
      <c r="E5" s="3">
        <f>E1/E3</f>
        <v>184.76190476190476</v>
      </c>
      <c r="G5" t="s">
        <v>118</v>
      </c>
      <c r="H5" s="3">
        <f>H3/H4</f>
        <v>7000</v>
      </c>
      <c r="J5" t="s">
        <v>345</v>
      </c>
      <c r="K5" s="3">
        <f>300000/0.15</f>
        <v>2000000</v>
      </c>
      <c r="L5" s="110">
        <f>PMT(0.07/12,30*360,-K5*0.97*0.95)</f>
        <v>10750.833333333334</v>
      </c>
      <c r="P5" t="e">
        <f>"CapRate: "&amp;TEXT(Inputs!B47,"0.0%")</f>
        <v>#N/A</v>
      </c>
      <c r="Q5" s="112" t="e">
        <f>Inputs!B47</f>
        <v>#N/A</v>
      </c>
      <c r="S5" s="6">
        <v>0</v>
      </c>
      <c r="T5" t="s">
        <v>74</v>
      </c>
      <c r="U5">
        <f>950+1100+1100+1100</f>
        <v>4250</v>
      </c>
      <c r="V5" t="s">
        <v>507</v>
      </c>
    </row>
    <row r="6" spans="1:23" x14ac:dyDescent="0.35">
      <c r="A6" s="1" t="s">
        <v>6</v>
      </c>
      <c r="B6" t="s">
        <v>21</v>
      </c>
      <c r="D6" t="s">
        <v>56</v>
      </c>
      <c r="E6" s="4">
        <f>E3/(E1)*1000</f>
        <v>5.412371134020618</v>
      </c>
      <c r="G6" t="s">
        <v>120</v>
      </c>
      <c r="H6" s="6">
        <v>4</v>
      </c>
      <c r="P6" t="e">
        <f>"GRM: "&amp;TEXT(Inputs!B48,"0.0")</f>
        <v>#N/A</v>
      </c>
      <c r="Q6" s="113" t="e">
        <f>Inputs!B48</f>
        <v>#N/A</v>
      </c>
      <c r="R6" t="e">
        <f>_xlfn.TEXTJOIN("; ",TRUE,P5:P6)</f>
        <v>#N/A</v>
      </c>
      <c r="S6" s="6">
        <v>0</v>
      </c>
      <c r="T6" t="s">
        <v>488</v>
      </c>
      <c r="U6">
        <f>1500*4</f>
        <v>6000</v>
      </c>
      <c r="V6" t="s">
        <v>506</v>
      </c>
    </row>
    <row r="7" spans="1:23" x14ac:dyDescent="0.35">
      <c r="A7" s="1" t="s">
        <v>352</v>
      </c>
      <c r="B7" s="114">
        <v>1</v>
      </c>
      <c r="E7" s="3"/>
      <c r="G7" t="s">
        <v>119</v>
      </c>
      <c r="H7" s="3">
        <f>H5/H6</f>
        <v>1750</v>
      </c>
      <c r="P7" t="s">
        <v>359</v>
      </c>
      <c r="Q7" s="126" t="e">
        <f>Inputs!B11</f>
        <v>#N/A</v>
      </c>
      <c r="S7" s="6"/>
    </row>
    <row r="8" spans="1:23" x14ac:dyDescent="0.35">
      <c r="S8" s="6"/>
    </row>
    <row r="9" spans="1:23" x14ac:dyDescent="0.35">
      <c r="A9" s="1" t="s">
        <v>5</v>
      </c>
      <c r="B9" s="1" t="s">
        <v>29</v>
      </c>
      <c r="C9" s="1" t="s">
        <v>7</v>
      </c>
      <c r="D9" s="1" t="s">
        <v>11</v>
      </c>
      <c r="E9" s="1" t="s">
        <v>12</v>
      </c>
      <c r="F9" s="1" t="s">
        <v>17</v>
      </c>
      <c r="G9" t="s">
        <v>60</v>
      </c>
      <c r="H9" t="s">
        <v>339</v>
      </c>
      <c r="I9" t="s">
        <v>336</v>
      </c>
      <c r="J9" t="s">
        <v>349</v>
      </c>
      <c r="K9" t="s">
        <v>348</v>
      </c>
      <c r="L9" t="s">
        <v>338</v>
      </c>
      <c r="M9" t="s">
        <v>340</v>
      </c>
      <c r="N9" t="s">
        <v>337</v>
      </c>
      <c r="O9" s="107" t="s">
        <v>343</v>
      </c>
      <c r="P9" s="107" t="s">
        <v>347</v>
      </c>
      <c r="Q9" s="107" t="s">
        <v>118</v>
      </c>
      <c r="R9" s="107" t="s">
        <v>147</v>
      </c>
      <c r="S9" s="6">
        <v>0</v>
      </c>
      <c r="T9" t="s">
        <v>425</v>
      </c>
      <c r="U9">
        <f>1775+1295+1025+895</f>
        <v>4990</v>
      </c>
      <c r="V9" t="s">
        <v>503</v>
      </c>
    </row>
    <row r="10" spans="1:23" x14ac:dyDescent="0.35">
      <c r="A10" t="s">
        <v>606</v>
      </c>
      <c r="B10" t="s">
        <v>24</v>
      </c>
      <c r="C10" t="s">
        <v>24</v>
      </c>
      <c r="D10" t="s">
        <v>607</v>
      </c>
      <c r="E10" s="2">
        <v>700000</v>
      </c>
      <c r="F10" s="2">
        <v>1488</v>
      </c>
      <c r="G10" s="2">
        <v>3960</v>
      </c>
      <c r="H10">
        <v>6</v>
      </c>
      <c r="I10" s="2">
        <v>175000</v>
      </c>
      <c r="J10">
        <v>344.16666666666669</v>
      </c>
      <c r="K10">
        <v>250.83333333333329</v>
      </c>
      <c r="L10" s="2">
        <v>34.06521990740741</v>
      </c>
      <c r="M10" s="2">
        <v>200</v>
      </c>
      <c r="N10" s="109">
        <v>332.43727598566312</v>
      </c>
      <c r="O10">
        <f>IFERROR(_xlfn.XLOOKUP(A10,$T$1:$T$13,$S$1:$S$13,,0),0)</f>
        <v>0</v>
      </c>
      <c r="P10">
        <f t="shared" ref="P10:P41" si="0">IFERROR(_xlfn.XLOOKUP(A10,$T$1:$T$13,$U$1:$U$13,,0),0)</f>
        <v>0</v>
      </c>
      <c r="Q10" s="2">
        <f t="shared" ref="Q10:Q41" si="1">IF(P10&gt;1,P10,G10)</f>
        <v>3960</v>
      </c>
      <c r="R10">
        <f t="shared" ref="R10:R41" si="2">IFERROR(_xlfn.XLOOKUP(A10,$T$1:$T$13,$V$1:$V$13,,0),0)</f>
        <v>0</v>
      </c>
      <c r="S10" s="6">
        <v>0</v>
      </c>
      <c r="T10" t="s">
        <v>304</v>
      </c>
      <c r="U10">
        <f>1500+1215+1800</f>
        <v>4515</v>
      </c>
      <c r="V10" t="s">
        <v>501</v>
      </c>
    </row>
    <row r="11" spans="1:23" x14ac:dyDescent="0.35">
      <c r="A11" t="s">
        <v>473</v>
      </c>
      <c r="B11" t="s">
        <v>24</v>
      </c>
      <c r="C11" t="s">
        <v>24</v>
      </c>
      <c r="D11" t="s">
        <v>474</v>
      </c>
      <c r="E11" s="2">
        <v>789900</v>
      </c>
      <c r="F11" s="2">
        <v>1645</v>
      </c>
      <c r="G11" s="2">
        <v>4620</v>
      </c>
      <c r="H11">
        <v>7</v>
      </c>
      <c r="I11" s="2">
        <v>197475</v>
      </c>
      <c r="J11">
        <v>388.36750000000001</v>
      </c>
      <c r="K11">
        <v>283.04750000000001</v>
      </c>
      <c r="L11" s="2">
        <v>89.064444444444447</v>
      </c>
      <c r="M11" s="2">
        <v>216.47026582625378</v>
      </c>
      <c r="N11" s="109">
        <v>334.12689969604867</v>
      </c>
      <c r="O11">
        <f t="shared" ref="O11:O74" si="3">IFERROR(_xlfn.XLOOKUP(A11,$T$1:$T$13,$S$1:$S$13,,0),0)</f>
        <v>0</v>
      </c>
      <c r="P11">
        <f t="shared" si="0"/>
        <v>0</v>
      </c>
      <c r="Q11" s="2">
        <f t="shared" si="1"/>
        <v>4620</v>
      </c>
      <c r="R11">
        <f t="shared" si="2"/>
        <v>0</v>
      </c>
      <c r="S11" s="6">
        <v>0</v>
      </c>
      <c r="T11" s="132" t="s">
        <v>326</v>
      </c>
      <c r="U11">
        <f>575+1650+900+800</f>
        <v>3925</v>
      </c>
      <c r="V11" t="s">
        <v>351</v>
      </c>
    </row>
    <row r="12" spans="1:23" x14ac:dyDescent="0.35">
      <c r="A12" t="s">
        <v>597</v>
      </c>
      <c r="B12" t="s">
        <v>24</v>
      </c>
      <c r="C12" t="s">
        <v>24</v>
      </c>
      <c r="D12" t="s">
        <v>598</v>
      </c>
      <c r="E12" s="2">
        <v>749000</v>
      </c>
      <c r="F12" s="2">
        <v>2725</v>
      </c>
      <c r="G12" s="2">
        <v>2640</v>
      </c>
      <c r="H12">
        <v>4</v>
      </c>
      <c r="I12" s="2">
        <v>187250</v>
      </c>
      <c r="J12">
        <v>368.25833333333333</v>
      </c>
      <c r="K12">
        <v>268.39166666666671</v>
      </c>
      <c r="L12" s="2">
        <v>25.07303240740741</v>
      </c>
      <c r="M12" s="2">
        <v>225.3309265944645</v>
      </c>
      <c r="N12" s="109">
        <v>293.47285932721712</v>
      </c>
      <c r="O12">
        <f t="shared" si="3"/>
        <v>0</v>
      </c>
      <c r="P12">
        <f t="shared" si="0"/>
        <v>0</v>
      </c>
      <c r="Q12" s="2">
        <f t="shared" si="1"/>
        <v>2640</v>
      </c>
      <c r="R12">
        <f t="shared" si="2"/>
        <v>0</v>
      </c>
      <c r="S12" s="6">
        <v>0</v>
      </c>
      <c r="T12" t="s">
        <v>306</v>
      </c>
      <c r="U12">
        <f>1210+1140+1290</f>
        <v>3640</v>
      </c>
      <c r="V12" s="72" t="s">
        <v>502</v>
      </c>
    </row>
    <row r="13" spans="1:23" x14ac:dyDescent="0.35">
      <c r="A13" t="s">
        <v>434</v>
      </c>
      <c r="B13" t="s">
        <v>24</v>
      </c>
      <c r="C13" t="s">
        <v>24</v>
      </c>
      <c r="D13" t="s">
        <v>435</v>
      </c>
      <c r="E13" s="2">
        <v>6750000</v>
      </c>
      <c r="F13" s="2" t="s">
        <v>23</v>
      </c>
      <c r="G13" s="2">
        <v>14520</v>
      </c>
      <c r="H13">
        <v>22</v>
      </c>
      <c r="I13" s="2">
        <v>1687500</v>
      </c>
      <c r="J13">
        <v>3318.75</v>
      </c>
      <c r="K13">
        <v>2418.75</v>
      </c>
      <c r="L13" s="2">
        <v>72.065243055555555</v>
      </c>
      <c r="M13" s="2">
        <v>228.32594797550993</v>
      </c>
      <c r="N13" s="109">
        <v>511.36363636363637</v>
      </c>
      <c r="O13">
        <f t="shared" si="3"/>
        <v>0</v>
      </c>
      <c r="P13">
        <f t="shared" si="0"/>
        <v>0</v>
      </c>
      <c r="Q13" s="2">
        <f t="shared" si="1"/>
        <v>14520</v>
      </c>
      <c r="R13">
        <f t="shared" si="2"/>
        <v>0</v>
      </c>
      <c r="S13" s="6">
        <v>0</v>
      </c>
      <c r="T13" s="132" t="s">
        <v>423</v>
      </c>
      <c r="U13">
        <f>2700+1800</f>
        <v>4500</v>
      </c>
      <c r="V13" t="e">
        <f>R6</f>
        <v>#N/A</v>
      </c>
    </row>
    <row r="14" spans="1:23" x14ac:dyDescent="0.35">
      <c r="A14" t="s">
        <v>97</v>
      </c>
      <c r="B14" t="s">
        <v>24</v>
      </c>
      <c r="C14" t="s">
        <v>24</v>
      </c>
      <c r="D14" t="s">
        <v>98</v>
      </c>
      <c r="E14" s="2">
        <v>1799000</v>
      </c>
      <c r="F14" s="2">
        <v>2041</v>
      </c>
      <c r="G14" s="2">
        <v>10560</v>
      </c>
      <c r="H14">
        <v>16</v>
      </c>
      <c r="I14" s="2">
        <v>449750</v>
      </c>
      <c r="J14">
        <v>884.50833333333333</v>
      </c>
      <c r="K14">
        <v>644.64166666666665</v>
      </c>
      <c r="L14" s="2">
        <v>187.08079861111111</v>
      </c>
      <c r="M14" s="2">
        <v>230.84819709996151</v>
      </c>
      <c r="N14" s="109">
        <v>534.41325228646087</v>
      </c>
      <c r="O14">
        <f t="shared" si="3"/>
        <v>0</v>
      </c>
      <c r="P14">
        <f t="shared" si="0"/>
        <v>0</v>
      </c>
      <c r="Q14" s="2">
        <f t="shared" si="1"/>
        <v>10560</v>
      </c>
      <c r="R14">
        <f t="shared" si="2"/>
        <v>0</v>
      </c>
    </row>
    <row r="15" spans="1:23" x14ac:dyDescent="0.35">
      <c r="A15" t="s">
        <v>100</v>
      </c>
      <c r="B15" t="s">
        <v>24</v>
      </c>
      <c r="C15" t="s">
        <v>24</v>
      </c>
      <c r="D15" t="s">
        <v>101</v>
      </c>
      <c r="E15" s="2">
        <v>835000</v>
      </c>
      <c r="F15" s="2">
        <v>2245</v>
      </c>
      <c r="G15" s="2">
        <v>3960</v>
      </c>
      <c r="H15">
        <v>6</v>
      </c>
      <c r="I15" s="2">
        <v>208750</v>
      </c>
      <c r="J15">
        <v>410.54166666666669</v>
      </c>
      <c r="K15">
        <v>299.20833333333331</v>
      </c>
      <c r="L15" s="2">
        <v>213.06398148148151</v>
      </c>
      <c r="M15" s="2">
        <v>234.74838346921564</v>
      </c>
      <c r="N15" s="109">
        <v>301.9410418213314</v>
      </c>
      <c r="O15">
        <f t="shared" si="3"/>
        <v>0</v>
      </c>
      <c r="P15">
        <f t="shared" si="0"/>
        <v>0</v>
      </c>
      <c r="Q15" s="2">
        <f t="shared" si="1"/>
        <v>3960</v>
      </c>
      <c r="R15">
        <f t="shared" si="2"/>
        <v>0</v>
      </c>
    </row>
    <row r="16" spans="1:23" x14ac:dyDescent="0.35">
      <c r="A16" t="s">
        <v>461</v>
      </c>
      <c r="B16" t="s">
        <v>24</v>
      </c>
      <c r="C16" t="s">
        <v>24</v>
      </c>
      <c r="D16" t="s">
        <v>462</v>
      </c>
      <c r="E16" s="2">
        <v>1250000</v>
      </c>
      <c r="F16" s="2">
        <v>2712</v>
      </c>
      <c r="G16" s="2">
        <v>3960</v>
      </c>
      <c r="H16">
        <v>6</v>
      </c>
      <c r="I16" s="2">
        <v>312500</v>
      </c>
      <c r="J16">
        <v>614.58333333333337</v>
      </c>
      <c r="K16">
        <v>447.91666666666669</v>
      </c>
      <c r="L16" s="2">
        <v>104.06565972222219</v>
      </c>
      <c r="M16" s="2">
        <v>239.69319271332694</v>
      </c>
      <c r="N16" s="109">
        <v>404.06833824975416</v>
      </c>
      <c r="O16">
        <f t="shared" si="3"/>
        <v>0</v>
      </c>
      <c r="P16">
        <f t="shared" si="0"/>
        <v>0</v>
      </c>
      <c r="Q16" s="2">
        <f t="shared" si="1"/>
        <v>3960</v>
      </c>
      <c r="R16">
        <f t="shared" si="2"/>
        <v>0</v>
      </c>
    </row>
    <row r="17" spans="1:18" x14ac:dyDescent="0.35">
      <c r="A17" t="s">
        <v>72</v>
      </c>
      <c r="B17" t="s">
        <v>24</v>
      </c>
      <c r="C17" t="s">
        <v>24</v>
      </c>
      <c r="D17" t="s">
        <v>73</v>
      </c>
      <c r="E17" s="2">
        <v>2300000</v>
      </c>
      <c r="F17" s="2">
        <v>1863</v>
      </c>
      <c r="G17" s="2">
        <v>10560</v>
      </c>
      <c r="H17">
        <v>16</v>
      </c>
      <c r="I17" s="2">
        <v>575000</v>
      </c>
      <c r="J17" s="3">
        <v>1130.833333333333</v>
      </c>
      <c r="K17" s="3">
        <v>824.16666666666663</v>
      </c>
      <c r="L17" s="2">
        <v>240.0634490740741</v>
      </c>
      <c r="M17" s="2">
        <v>240.51030011502667</v>
      </c>
      <c r="N17" s="109">
        <v>737.07561728395058</v>
      </c>
      <c r="O17">
        <f t="shared" si="3"/>
        <v>0</v>
      </c>
      <c r="P17">
        <f t="shared" si="0"/>
        <v>0</v>
      </c>
      <c r="Q17" s="2">
        <f t="shared" si="1"/>
        <v>10560</v>
      </c>
      <c r="R17">
        <f t="shared" si="2"/>
        <v>0</v>
      </c>
    </row>
    <row r="18" spans="1:18" x14ac:dyDescent="0.35">
      <c r="A18" t="s">
        <v>582</v>
      </c>
      <c r="B18" t="s">
        <v>24</v>
      </c>
      <c r="C18" t="s">
        <v>24</v>
      </c>
      <c r="D18" t="s">
        <v>583</v>
      </c>
      <c r="E18" s="2">
        <v>724900</v>
      </c>
      <c r="F18" s="2">
        <v>2193</v>
      </c>
      <c r="G18" s="2">
        <v>5280</v>
      </c>
      <c r="H18">
        <v>8</v>
      </c>
      <c r="I18" s="2">
        <v>181225</v>
      </c>
      <c r="J18">
        <v>356.40916666666658</v>
      </c>
      <c r="K18">
        <v>259.75583333333333</v>
      </c>
      <c r="L18" s="2">
        <v>83.06424768518518</v>
      </c>
      <c r="M18" s="2">
        <v>241.63333333333333</v>
      </c>
      <c r="N18" s="109">
        <v>240.7862944596443</v>
      </c>
      <c r="O18">
        <f t="shared" si="3"/>
        <v>0</v>
      </c>
      <c r="P18">
        <f t="shared" si="0"/>
        <v>0</v>
      </c>
      <c r="Q18" s="2">
        <f t="shared" si="1"/>
        <v>5280</v>
      </c>
      <c r="R18">
        <f t="shared" si="2"/>
        <v>0</v>
      </c>
    </row>
    <row r="19" spans="1:18" x14ac:dyDescent="0.35">
      <c r="A19" t="s">
        <v>639</v>
      </c>
      <c r="B19" t="s">
        <v>24</v>
      </c>
      <c r="C19" t="s">
        <v>24</v>
      </c>
      <c r="D19" t="s">
        <v>640</v>
      </c>
      <c r="E19" s="2">
        <v>5300000</v>
      </c>
      <c r="F19" s="2" t="s">
        <v>23</v>
      </c>
      <c r="G19" s="2">
        <v>15840</v>
      </c>
      <c r="H19">
        <v>24</v>
      </c>
      <c r="I19" s="2">
        <v>1325000</v>
      </c>
      <c r="J19">
        <v>2605.833333333333</v>
      </c>
      <c r="K19">
        <v>1899.166666666667</v>
      </c>
      <c r="L19" s="2">
        <v>18.064363425925929</v>
      </c>
      <c r="M19" s="2">
        <v>243.34251606978879</v>
      </c>
      <c r="N19" s="109">
        <v>368.05555555555549</v>
      </c>
      <c r="O19">
        <f t="shared" si="3"/>
        <v>0</v>
      </c>
      <c r="P19">
        <f t="shared" si="0"/>
        <v>0</v>
      </c>
      <c r="Q19" s="2">
        <f t="shared" si="1"/>
        <v>15840</v>
      </c>
      <c r="R19">
        <f t="shared" si="2"/>
        <v>0</v>
      </c>
    </row>
    <row r="20" spans="1:18" x14ac:dyDescent="0.35">
      <c r="A20" t="s">
        <v>648</v>
      </c>
      <c r="B20" t="s">
        <v>24</v>
      </c>
      <c r="C20" t="s">
        <v>24</v>
      </c>
      <c r="D20" t="s">
        <v>649</v>
      </c>
      <c r="E20" s="2">
        <v>699000</v>
      </c>
      <c r="F20" s="2">
        <v>2064</v>
      </c>
      <c r="G20" s="2">
        <v>4620</v>
      </c>
      <c r="H20">
        <v>7</v>
      </c>
      <c r="I20" s="2">
        <v>174750</v>
      </c>
      <c r="J20">
        <v>343.67500000000001</v>
      </c>
      <c r="K20">
        <v>250.47499999999999</v>
      </c>
      <c r="L20" s="2">
        <v>187.08079861111111</v>
      </c>
      <c r="M20" s="2">
        <v>246.12676056338029</v>
      </c>
      <c r="N20" s="109">
        <v>252.54568106312291</v>
      </c>
      <c r="O20">
        <f t="shared" si="3"/>
        <v>0</v>
      </c>
      <c r="P20">
        <f t="shared" si="0"/>
        <v>0</v>
      </c>
      <c r="Q20" s="2">
        <f t="shared" si="1"/>
        <v>4620</v>
      </c>
      <c r="R20">
        <f t="shared" si="2"/>
        <v>0</v>
      </c>
    </row>
    <row r="21" spans="1:18" x14ac:dyDescent="0.35">
      <c r="A21" t="s">
        <v>654</v>
      </c>
      <c r="B21" t="s">
        <v>24</v>
      </c>
      <c r="C21" t="s">
        <v>27</v>
      </c>
      <c r="D21" t="s">
        <v>655</v>
      </c>
      <c r="E21" s="2">
        <v>830000</v>
      </c>
      <c r="F21" s="2">
        <v>1555</v>
      </c>
      <c r="G21" s="2">
        <v>5280</v>
      </c>
      <c r="H21">
        <v>8</v>
      </c>
      <c r="I21" s="2">
        <v>207500</v>
      </c>
      <c r="J21">
        <v>408.08333333333331</v>
      </c>
      <c r="K21">
        <v>297.41666666666669</v>
      </c>
      <c r="L21" s="2">
        <v>26.06481481481481</v>
      </c>
      <c r="M21" s="2">
        <v>246.14472123368921</v>
      </c>
      <c r="N21" s="109">
        <v>353.33936227224012</v>
      </c>
      <c r="O21">
        <f t="shared" si="3"/>
        <v>0</v>
      </c>
      <c r="P21">
        <f t="shared" si="0"/>
        <v>0</v>
      </c>
      <c r="Q21" s="2">
        <f t="shared" si="1"/>
        <v>5280</v>
      </c>
      <c r="R21">
        <f t="shared" si="2"/>
        <v>0</v>
      </c>
    </row>
    <row r="22" spans="1:18" x14ac:dyDescent="0.35">
      <c r="A22" t="s">
        <v>63</v>
      </c>
      <c r="B22" t="s">
        <v>31</v>
      </c>
      <c r="C22" t="s">
        <v>24</v>
      </c>
      <c r="D22" t="s">
        <v>64</v>
      </c>
      <c r="E22" s="2">
        <v>3699000</v>
      </c>
      <c r="F22" s="2">
        <v>2222</v>
      </c>
      <c r="G22" s="2">
        <v>19800</v>
      </c>
      <c r="H22">
        <v>30</v>
      </c>
      <c r="I22" s="2">
        <v>924750</v>
      </c>
      <c r="J22">
        <v>1818.675</v>
      </c>
      <c r="K22">
        <v>1325.4749999999999</v>
      </c>
      <c r="L22" s="2">
        <v>228.06342592592591</v>
      </c>
      <c r="M22" s="2">
        <v>248.94003634161115</v>
      </c>
      <c r="N22" s="109">
        <v>935.10823582358239</v>
      </c>
      <c r="O22">
        <f t="shared" si="3"/>
        <v>0</v>
      </c>
      <c r="P22">
        <f t="shared" si="0"/>
        <v>0</v>
      </c>
      <c r="Q22" s="2">
        <f t="shared" si="1"/>
        <v>19800</v>
      </c>
      <c r="R22">
        <f t="shared" si="2"/>
        <v>0</v>
      </c>
    </row>
    <row r="23" spans="1:18" x14ac:dyDescent="0.35">
      <c r="A23" t="s">
        <v>470</v>
      </c>
      <c r="B23" t="s">
        <v>24</v>
      </c>
      <c r="C23" t="s">
        <v>24</v>
      </c>
      <c r="D23" t="s">
        <v>471</v>
      </c>
      <c r="E23" s="2">
        <v>2200000</v>
      </c>
      <c r="F23" s="2">
        <v>1833</v>
      </c>
      <c r="G23" s="2">
        <v>11880</v>
      </c>
      <c r="H23">
        <v>18</v>
      </c>
      <c r="I23" s="2">
        <v>550000</v>
      </c>
      <c r="J23">
        <v>1081.666666666667</v>
      </c>
      <c r="K23">
        <v>788.33333333333337</v>
      </c>
      <c r="L23" s="2">
        <v>167.0656134259259</v>
      </c>
      <c r="M23" s="2">
        <v>253.95359575204895</v>
      </c>
      <c r="N23" s="109">
        <v>701.96096259926048</v>
      </c>
      <c r="O23">
        <f t="shared" si="3"/>
        <v>0</v>
      </c>
      <c r="P23">
        <f t="shared" si="0"/>
        <v>0</v>
      </c>
      <c r="Q23" s="2">
        <f t="shared" si="1"/>
        <v>11880</v>
      </c>
      <c r="R23">
        <f t="shared" si="2"/>
        <v>0</v>
      </c>
    </row>
    <row r="24" spans="1:18" x14ac:dyDescent="0.35">
      <c r="A24" t="s">
        <v>452</v>
      </c>
      <c r="B24" t="s">
        <v>24</v>
      </c>
      <c r="C24" t="s">
        <v>27</v>
      </c>
      <c r="D24" t="s">
        <v>453</v>
      </c>
      <c r="E24" s="2">
        <v>869000</v>
      </c>
      <c r="F24" s="2">
        <v>2303</v>
      </c>
      <c r="G24" s="2">
        <v>4620</v>
      </c>
      <c r="H24">
        <v>7</v>
      </c>
      <c r="I24" s="2">
        <v>217250</v>
      </c>
      <c r="J24">
        <v>427.25833333333333</v>
      </c>
      <c r="K24">
        <v>311.39166666666671</v>
      </c>
      <c r="L24" s="2">
        <v>72.065578703703707</v>
      </c>
      <c r="M24" s="2">
        <v>254.83870967741936</v>
      </c>
      <c r="N24" s="109">
        <v>292.11933709654073</v>
      </c>
      <c r="O24">
        <f t="shared" si="3"/>
        <v>0</v>
      </c>
      <c r="P24">
        <f t="shared" si="0"/>
        <v>0</v>
      </c>
      <c r="Q24" s="2">
        <f t="shared" si="1"/>
        <v>4620</v>
      </c>
      <c r="R24">
        <f t="shared" si="2"/>
        <v>0</v>
      </c>
    </row>
    <row r="25" spans="1:18" x14ac:dyDescent="0.35">
      <c r="A25" t="s">
        <v>443</v>
      </c>
      <c r="B25" t="s">
        <v>24</v>
      </c>
      <c r="C25" t="s">
        <v>24</v>
      </c>
      <c r="D25" t="s">
        <v>444</v>
      </c>
      <c r="E25" s="2">
        <v>805000</v>
      </c>
      <c r="F25" s="2">
        <v>2234</v>
      </c>
      <c r="G25" s="2">
        <v>3960</v>
      </c>
      <c r="H25">
        <v>6</v>
      </c>
      <c r="I25" s="2">
        <v>201250</v>
      </c>
      <c r="J25">
        <v>395.79166666666669</v>
      </c>
      <c r="K25">
        <v>288.45833333333331</v>
      </c>
      <c r="L25" s="2">
        <v>81.065115740740737</v>
      </c>
      <c r="M25" s="2">
        <v>259.84506132989026</v>
      </c>
      <c r="N25" s="109">
        <v>291.97565403362182</v>
      </c>
      <c r="O25">
        <f t="shared" si="3"/>
        <v>0</v>
      </c>
      <c r="P25">
        <f t="shared" si="0"/>
        <v>0</v>
      </c>
      <c r="Q25" s="2">
        <f t="shared" si="1"/>
        <v>3960</v>
      </c>
      <c r="R25">
        <f t="shared" si="2"/>
        <v>0</v>
      </c>
    </row>
    <row r="26" spans="1:18" x14ac:dyDescent="0.35">
      <c r="A26" t="s">
        <v>301</v>
      </c>
      <c r="B26" t="s">
        <v>30</v>
      </c>
      <c r="C26" t="s">
        <v>30</v>
      </c>
      <c r="D26" t="s">
        <v>302</v>
      </c>
      <c r="E26" s="2">
        <v>1890000</v>
      </c>
      <c r="F26" s="2">
        <v>1761</v>
      </c>
      <c r="G26" s="2">
        <v>8580</v>
      </c>
      <c r="H26">
        <v>13</v>
      </c>
      <c r="I26" s="2">
        <v>472500</v>
      </c>
      <c r="J26">
        <v>929.25</v>
      </c>
      <c r="K26">
        <v>677.25</v>
      </c>
      <c r="L26" s="2">
        <v>177.0656944444444</v>
      </c>
      <c r="M26" s="2">
        <v>261.77285318559558</v>
      </c>
      <c r="N26" s="109">
        <v>657.78076267854806</v>
      </c>
      <c r="O26">
        <f t="shared" si="3"/>
        <v>0</v>
      </c>
      <c r="P26">
        <f t="shared" si="0"/>
        <v>0</v>
      </c>
      <c r="Q26" s="2">
        <f t="shared" si="1"/>
        <v>8580</v>
      </c>
      <c r="R26">
        <f t="shared" si="2"/>
        <v>0</v>
      </c>
    </row>
    <row r="27" spans="1:18" x14ac:dyDescent="0.35">
      <c r="A27" t="s">
        <v>651</v>
      </c>
      <c r="B27" t="s">
        <v>24</v>
      </c>
      <c r="C27" t="s">
        <v>27</v>
      </c>
      <c r="D27" t="s">
        <v>652</v>
      </c>
      <c r="E27" s="2">
        <v>800000</v>
      </c>
      <c r="F27" s="2">
        <v>1721</v>
      </c>
      <c r="G27" s="2">
        <v>3960</v>
      </c>
      <c r="H27">
        <v>6</v>
      </c>
      <c r="I27" s="2">
        <v>200000</v>
      </c>
      <c r="J27">
        <v>393.33333333333331</v>
      </c>
      <c r="K27">
        <v>286.66666666666669</v>
      </c>
      <c r="L27" s="2">
        <v>44.046770833333333</v>
      </c>
      <c r="M27" s="2">
        <v>264.98840675720436</v>
      </c>
      <c r="N27" s="109">
        <v>343.53412098908905</v>
      </c>
      <c r="O27">
        <f t="shared" si="3"/>
        <v>0</v>
      </c>
      <c r="P27">
        <f t="shared" si="0"/>
        <v>0</v>
      </c>
      <c r="Q27" s="2">
        <f t="shared" si="1"/>
        <v>3960</v>
      </c>
      <c r="R27">
        <f t="shared" si="2"/>
        <v>0</v>
      </c>
    </row>
    <row r="28" spans="1:18" x14ac:dyDescent="0.35">
      <c r="A28" t="s">
        <v>304</v>
      </c>
      <c r="B28" t="s">
        <v>31</v>
      </c>
      <c r="C28" t="s">
        <v>24</v>
      </c>
      <c r="D28" t="s">
        <v>305</v>
      </c>
      <c r="E28" s="2">
        <v>960000</v>
      </c>
      <c r="F28" s="2">
        <v>2096</v>
      </c>
      <c r="G28" s="2">
        <v>3960</v>
      </c>
      <c r="H28">
        <v>6</v>
      </c>
      <c r="I28" s="2">
        <v>240000</v>
      </c>
      <c r="J28">
        <v>472</v>
      </c>
      <c r="K28">
        <v>344</v>
      </c>
      <c r="L28" s="2">
        <v>106.06527777777779</v>
      </c>
      <c r="M28" s="2">
        <v>266.66666666666669</v>
      </c>
      <c r="N28" s="109">
        <v>362.34096692111962</v>
      </c>
      <c r="O28">
        <f t="shared" si="3"/>
        <v>0</v>
      </c>
      <c r="P28">
        <f t="shared" si="0"/>
        <v>4515</v>
      </c>
      <c r="Q28" s="2">
        <f t="shared" si="1"/>
        <v>4515</v>
      </c>
      <c r="R28" t="str">
        <f t="shared" si="2"/>
        <v>CapRate: 3.8%; GRM: 207.1</v>
      </c>
    </row>
    <row r="29" spans="1:18" x14ac:dyDescent="0.35">
      <c r="A29" t="s">
        <v>395</v>
      </c>
      <c r="B29" t="s">
        <v>24</v>
      </c>
      <c r="C29" t="s">
        <v>24</v>
      </c>
      <c r="D29" t="s">
        <v>396</v>
      </c>
      <c r="E29" s="2">
        <v>705000</v>
      </c>
      <c r="F29" s="2">
        <v>2125</v>
      </c>
      <c r="G29" s="2">
        <v>2640</v>
      </c>
      <c r="H29">
        <v>4</v>
      </c>
      <c r="I29" s="2">
        <v>176250</v>
      </c>
      <c r="J29">
        <v>346.625</v>
      </c>
      <c r="K29">
        <v>252.625</v>
      </c>
      <c r="L29" s="2">
        <v>113.0602546296296</v>
      </c>
      <c r="M29" s="2">
        <v>268.46915460776847</v>
      </c>
      <c r="N29" s="109">
        <v>312.75735294117646</v>
      </c>
      <c r="O29">
        <f t="shared" si="3"/>
        <v>0</v>
      </c>
      <c r="P29">
        <f t="shared" si="0"/>
        <v>0</v>
      </c>
      <c r="Q29" s="2">
        <f t="shared" si="1"/>
        <v>2640</v>
      </c>
      <c r="R29">
        <f t="shared" si="2"/>
        <v>0</v>
      </c>
    </row>
    <row r="30" spans="1:18" x14ac:dyDescent="0.35">
      <c r="A30" t="s">
        <v>531</v>
      </c>
      <c r="B30" t="s">
        <v>30</v>
      </c>
      <c r="C30" t="s">
        <v>24</v>
      </c>
      <c r="D30" t="s">
        <v>532</v>
      </c>
      <c r="E30" s="2">
        <v>1900000</v>
      </c>
      <c r="F30" s="2">
        <v>3034</v>
      </c>
      <c r="G30" s="2">
        <v>3960</v>
      </c>
      <c r="H30">
        <v>6</v>
      </c>
      <c r="I30" s="2">
        <v>475000</v>
      </c>
      <c r="J30">
        <v>934.16666666666663</v>
      </c>
      <c r="K30">
        <v>680.83333333333337</v>
      </c>
      <c r="L30" s="2">
        <v>48.065462962962961</v>
      </c>
      <c r="M30" s="2">
        <v>268.6271737593666</v>
      </c>
      <c r="N30" s="109">
        <v>577.00688493371422</v>
      </c>
      <c r="O30">
        <f t="shared" si="3"/>
        <v>0</v>
      </c>
      <c r="P30">
        <f t="shared" si="0"/>
        <v>0</v>
      </c>
      <c r="Q30" s="2">
        <f t="shared" si="1"/>
        <v>3960</v>
      </c>
      <c r="R30">
        <f t="shared" si="2"/>
        <v>0</v>
      </c>
    </row>
    <row r="31" spans="1:18" x14ac:dyDescent="0.35">
      <c r="A31" t="s">
        <v>512</v>
      </c>
      <c r="B31" t="s">
        <v>30</v>
      </c>
      <c r="C31" t="s">
        <v>24</v>
      </c>
      <c r="D31" t="s">
        <v>513</v>
      </c>
      <c r="E31" s="2">
        <v>1140000</v>
      </c>
      <c r="F31" s="2">
        <v>2537</v>
      </c>
      <c r="G31" s="2">
        <v>5280</v>
      </c>
      <c r="H31">
        <v>8</v>
      </c>
      <c r="I31" s="2">
        <v>285000</v>
      </c>
      <c r="J31">
        <v>560.5</v>
      </c>
      <c r="K31">
        <v>408.5</v>
      </c>
      <c r="L31" s="2">
        <v>34.064282407407397</v>
      </c>
      <c r="M31" s="2">
        <v>268.74115983026871</v>
      </c>
      <c r="N31" s="109">
        <v>343.42481277098932</v>
      </c>
      <c r="O31">
        <f t="shared" si="3"/>
        <v>0</v>
      </c>
      <c r="P31">
        <f t="shared" si="0"/>
        <v>0</v>
      </c>
      <c r="Q31" s="2">
        <f t="shared" si="1"/>
        <v>5280</v>
      </c>
      <c r="R31">
        <f t="shared" si="2"/>
        <v>0</v>
      </c>
    </row>
    <row r="32" spans="1:18" x14ac:dyDescent="0.35">
      <c r="A32" t="s">
        <v>464</v>
      </c>
      <c r="B32" t="s">
        <v>24</v>
      </c>
      <c r="C32" t="s">
        <v>24</v>
      </c>
      <c r="D32" t="s">
        <v>465</v>
      </c>
      <c r="E32" s="2">
        <v>849900</v>
      </c>
      <c r="F32" s="2">
        <v>2806</v>
      </c>
      <c r="G32" s="2">
        <v>4620</v>
      </c>
      <c r="H32">
        <v>7</v>
      </c>
      <c r="I32" s="2">
        <v>212475</v>
      </c>
      <c r="J32">
        <v>417.86750000000001</v>
      </c>
      <c r="K32">
        <v>304.54750000000001</v>
      </c>
      <c r="L32" s="2">
        <v>86.06578703703704</v>
      </c>
      <c r="M32" s="2">
        <v>271.1869814932993</v>
      </c>
      <c r="N32" s="109">
        <v>252.62190713776602</v>
      </c>
      <c r="O32">
        <f>IFERROR(_xlfn.XLOOKUP(A32,$T$1:$T$13,$S$1:$S$13,,0),0)</f>
        <v>0</v>
      </c>
      <c r="P32">
        <f t="shared" si="0"/>
        <v>0</v>
      </c>
      <c r="Q32" s="2">
        <f t="shared" si="1"/>
        <v>4620</v>
      </c>
      <c r="R32">
        <f t="shared" si="2"/>
        <v>0</v>
      </c>
    </row>
    <row r="33" spans="1:18" x14ac:dyDescent="0.35">
      <c r="A33" t="s">
        <v>431</v>
      </c>
      <c r="B33" t="s">
        <v>31</v>
      </c>
      <c r="C33" t="s">
        <v>24</v>
      </c>
      <c r="D33" t="s">
        <v>432</v>
      </c>
      <c r="E33" s="2">
        <v>979000</v>
      </c>
      <c r="F33" s="2">
        <v>1942</v>
      </c>
      <c r="G33" s="2">
        <v>0</v>
      </c>
      <c r="I33" s="2">
        <v>244750</v>
      </c>
      <c r="J33">
        <v>481.34166666666658</v>
      </c>
      <c r="K33">
        <v>350.80833333333328</v>
      </c>
      <c r="L33" s="2">
        <v>66.086342592592587</v>
      </c>
      <c r="M33" s="2">
        <v>271.94444444444446</v>
      </c>
      <c r="N33" s="109">
        <v>1067.8930655681429</v>
      </c>
      <c r="O33">
        <f t="shared" si="3"/>
        <v>0</v>
      </c>
      <c r="P33">
        <f t="shared" si="0"/>
        <v>0</v>
      </c>
      <c r="Q33" s="2">
        <f t="shared" si="1"/>
        <v>0</v>
      </c>
      <c r="R33">
        <f t="shared" si="2"/>
        <v>0</v>
      </c>
    </row>
    <row r="34" spans="1:18" x14ac:dyDescent="0.35">
      <c r="A34" t="s">
        <v>298</v>
      </c>
      <c r="B34" t="s">
        <v>30</v>
      </c>
      <c r="C34" t="s">
        <v>24</v>
      </c>
      <c r="D34" t="s">
        <v>299</v>
      </c>
      <c r="E34" s="2">
        <v>950000</v>
      </c>
      <c r="F34" s="2">
        <v>2785</v>
      </c>
      <c r="G34" s="2">
        <v>2640</v>
      </c>
      <c r="H34">
        <v>4</v>
      </c>
      <c r="I34" s="2">
        <v>237500</v>
      </c>
      <c r="J34" s="3">
        <v>467.08333333333331</v>
      </c>
      <c r="K34" s="3">
        <v>340.41666666666669</v>
      </c>
      <c r="L34" s="2">
        <v>143.06533564814811</v>
      </c>
      <c r="M34" s="2">
        <v>277.53432661408124</v>
      </c>
      <c r="N34" s="109">
        <v>368.47321962896467</v>
      </c>
      <c r="O34">
        <f t="shared" si="3"/>
        <v>0</v>
      </c>
      <c r="P34">
        <f t="shared" si="0"/>
        <v>5890</v>
      </c>
      <c r="Q34" s="2">
        <f t="shared" si="1"/>
        <v>5890</v>
      </c>
      <c r="R34" t="str">
        <f t="shared" si="2"/>
        <v>CapRate: 5.6%; GRM: 156.5</v>
      </c>
    </row>
    <row r="35" spans="1:18" x14ac:dyDescent="0.35">
      <c r="A35" t="s">
        <v>567</v>
      </c>
      <c r="B35" t="s">
        <v>24</v>
      </c>
      <c r="C35" t="s">
        <v>24</v>
      </c>
      <c r="D35" t="s">
        <v>568</v>
      </c>
      <c r="E35" s="2">
        <v>685000</v>
      </c>
      <c r="F35" s="2">
        <v>2084</v>
      </c>
      <c r="G35" s="2">
        <v>2640</v>
      </c>
      <c r="H35">
        <v>4</v>
      </c>
      <c r="I35" s="2">
        <v>171250</v>
      </c>
      <c r="J35">
        <v>336.79166666666669</v>
      </c>
      <c r="K35">
        <v>245.45833333333329</v>
      </c>
      <c r="L35" s="2">
        <v>9.8127199074074074</v>
      </c>
      <c r="M35" s="2">
        <v>277.77777777777777</v>
      </c>
      <c r="N35" s="109">
        <v>307.05574216250801</v>
      </c>
      <c r="O35">
        <f t="shared" si="3"/>
        <v>0</v>
      </c>
      <c r="P35">
        <f t="shared" si="0"/>
        <v>0</v>
      </c>
      <c r="Q35" s="2">
        <f t="shared" si="1"/>
        <v>2640</v>
      </c>
      <c r="R35">
        <f t="shared" si="2"/>
        <v>0</v>
      </c>
    </row>
    <row r="36" spans="1:18" x14ac:dyDescent="0.35">
      <c r="A36" t="s">
        <v>314</v>
      </c>
      <c r="B36" t="s">
        <v>24</v>
      </c>
      <c r="C36" t="s">
        <v>24</v>
      </c>
      <c r="D36" t="s">
        <v>315</v>
      </c>
      <c r="E36" s="2">
        <v>850000</v>
      </c>
      <c r="F36" s="2">
        <v>2717</v>
      </c>
      <c r="G36" s="2">
        <v>2640</v>
      </c>
      <c r="H36">
        <v>4</v>
      </c>
      <c r="I36" s="2">
        <v>212500</v>
      </c>
      <c r="J36" s="3">
        <v>417.91666666666669</v>
      </c>
      <c r="K36" s="3">
        <v>304.58333333333331</v>
      </c>
      <c r="L36" s="2">
        <v>163.06445601851851</v>
      </c>
      <c r="M36" s="2">
        <v>281.64347249834327</v>
      </c>
      <c r="N36" s="109">
        <v>333.50585817691081</v>
      </c>
      <c r="O36">
        <f t="shared" si="3"/>
        <v>0</v>
      </c>
      <c r="P36">
        <f t="shared" si="0"/>
        <v>0</v>
      </c>
      <c r="Q36" s="2">
        <f t="shared" si="1"/>
        <v>2640</v>
      </c>
      <c r="R36">
        <f t="shared" si="2"/>
        <v>0</v>
      </c>
    </row>
    <row r="37" spans="1:18" x14ac:dyDescent="0.35">
      <c r="A37" t="s">
        <v>404</v>
      </c>
      <c r="B37" t="s">
        <v>24</v>
      </c>
      <c r="C37" t="s">
        <v>24</v>
      </c>
      <c r="D37" t="s">
        <v>405</v>
      </c>
      <c r="E37" s="2">
        <v>734999</v>
      </c>
      <c r="F37" s="2">
        <v>1804</v>
      </c>
      <c r="G37" s="2">
        <v>2640</v>
      </c>
      <c r="H37">
        <v>4</v>
      </c>
      <c r="I37" s="2">
        <v>183749.75</v>
      </c>
      <c r="J37">
        <v>361.37450833333332</v>
      </c>
      <c r="K37">
        <v>263.37464166666672</v>
      </c>
      <c r="L37" s="2">
        <v>134.0643634259259</v>
      </c>
      <c r="M37" s="2">
        <v>283.01848286484403</v>
      </c>
      <c r="N37" s="109">
        <v>356.83848346267553</v>
      </c>
      <c r="O37">
        <f t="shared" si="3"/>
        <v>0</v>
      </c>
      <c r="P37">
        <f t="shared" si="0"/>
        <v>0</v>
      </c>
      <c r="Q37" s="2">
        <f t="shared" si="1"/>
        <v>2640</v>
      </c>
      <c r="R37">
        <f t="shared" si="2"/>
        <v>0</v>
      </c>
    </row>
    <row r="38" spans="1:18" x14ac:dyDescent="0.35">
      <c r="A38" t="s">
        <v>79</v>
      </c>
      <c r="B38" t="s">
        <v>24</v>
      </c>
      <c r="C38" t="s">
        <v>24</v>
      </c>
      <c r="D38" t="s">
        <v>80</v>
      </c>
      <c r="E38" s="2">
        <v>1149000</v>
      </c>
      <c r="F38" s="2">
        <v>3017</v>
      </c>
      <c r="G38" s="2">
        <v>3960</v>
      </c>
      <c r="H38">
        <v>6</v>
      </c>
      <c r="I38" s="2">
        <v>287250</v>
      </c>
      <c r="J38">
        <v>564.92499999999995</v>
      </c>
      <c r="K38">
        <v>411.72500000000002</v>
      </c>
      <c r="L38" s="2">
        <v>187.0645023148148</v>
      </c>
      <c r="M38" s="2">
        <v>283.56367226061207</v>
      </c>
      <c r="N38" s="109">
        <v>350.00428129488455</v>
      </c>
      <c r="O38">
        <f t="shared" si="3"/>
        <v>0</v>
      </c>
      <c r="P38">
        <f t="shared" si="0"/>
        <v>0</v>
      </c>
      <c r="Q38" s="2">
        <f t="shared" si="1"/>
        <v>3960</v>
      </c>
      <c r="R38">
        <f t="shared" si="2"/>
        <v>0</v>
      </c>
    </row>
    <row r="39" spans="1:18" x14ac:dyDescent="0.35">
      <c r="A39" t="s">
        <v>389</v>
      </c>
      <c r="B39" t="s">
        <v>24</v>
      </c>
      <c r="C39" t="s">
        <v>24</v>
      </c>
      <c r="D39" t="s">
        <v>390</v>
      </c>
      <c r="E39" s="2">
        <v>879000</v>
      </c>
      <c r="F39" s="2">
        <v>3100</v>
      </c>
      <c r="G39" s="2">
        <v>3960</v>
      </c>
      <c r="H39">
        <v>6</v>
      </c>
      <c r="I39" s="2">
        <v>219750</v>
      </c>
      <c r="J39">
        <v>432.17500000000001</v>
      </c>
      <c r="K39">
        <v>314.97500000000002</v>
      </c>
      <c r="L39" s="2">
        <v>106.8586458333333</v>
      </c>
      <c r="M39" s="2">
        <v>286.1328125</v>
      </c>
      <c r="N39" s="109">
        <v>263.85752688172045</v>
      </c>
      <c r="O39">
        <f t="shared" si="3"/>
        <v>0</v>
      </c>
      <c r="P39">
        <f t="shared" si="0"/>
        <v>0</v>
      </c>
      <c r="Q39" s="2">
        <f t="shared" si="1"/>
        <v>3960</v>
      </c>
      <c r="R39">
        <f t="shared" si="2"/>
        <v>0</v>
      </c>
    </row>
    <row r="40" spans="1:18" x14ac:dyDescent="0.35">
      <c r="A40" t="s">
        <v>540</v>
      </c>
      <c r="B40" t="s">
        <v>31</v>
      </c>
      <c r="C40" t="s">
        <v>24</v>
      </c>
      <c r="D40" t="s">
        <v>541</v>
      </c>
      <c r="E40" s="2">
        <v>1000000</v>
      </c>
      <c r="F40" s="2">
        <v>1758</v>
      </c>
      <c r="G40" s="2">
        <v>2640</v>
      </c>
      <c r="H40">
        <v>4</v>
      </c>
      <c r="I40" s="2">
        <v>250000</v>
      </c>
      <c r="J40" s="3">
        <v>491.66666666666669</v>
      </c>
      <c r="K40" s="3">
        <v>358.33333333333331</v>
      </c>
      <c r="L40" s="2">
        <v>11.0633912037037</v>
      </c>
      <c r="M40" s="2">
        <v>288.35063437139564</v>
      </c>
      <c r="N40" s="109">
        <v>492.74744027303757</v>
      </c>
      <c r="O40">
        <f t="shared" si="3"/>
        <v>0</v>
      </c>
      <c r="P40">
        <f t="shared" si="0"/>
        <v>0</v>
      </c>
      <c r="Q40" s="2">
        <f t="shared" si="1"/>
        <v>2640</v>
      </c>
      <c r="R40">
        <f t="shared" si="2"/>
        <v>0</v>
      </c>
    </row>
    <row r="41" spans="1:18" x14ac:dyDescent="0.35">
      <c r="A41" t="s">
        <v>413</v>
      </c>
      <c r="B41" t="s">
        <v>24</v>
      </c>
      <c r="C41" t="s">
        <v>24</v>
      </c>
      <c r="D41" t="s">
        <v>414</v>
      </c>
      <c r="E41" s="2">
        <v>1200000</v>
      </c>
      <c r="F41" s="2">
        <v>2270</v>
      </c>
      <c r="G41" s="2">
        <v>1980</v>
      </c>
      <c r="H41">
        <v>3</v>
      </c>
      <c r="I41" s="2">
        <v>300000</v>
      </c>
      <c r="J41">
        <v>590</v>
      </c>
      <c r="K41">
        <v>430</v>
      </c>
      <c r="L41" s="2">
        <v>124.0652314814815</v>
      </c>
      <c r="M41" s="2">
        <v>291.61603888213853</v>
      </c>
      <c r="N41" s="109">
        <v>597.65051395007345</v>
      </c>
      <c r="O41">
        <f t="shared" si="3"/>
        <v>0</v>
      </c>
      <c r="P41">
        <f t="shared" si="0"/>
        <v>0</v>
      </c>
      <c r="Q41" s="2">
        <f t="shared" si="1"/>
        <v>1980</v>
      </c>
      <c r="R41">
        <f t="shared" si="2"/>
        <v>0</v>
      </c>
    </row>
    <row r="42" spans="1:18" x14ac:dyDescent="0.35">
      <c r="A42" t="s">
        <v>94</v>
      </c>
      <c r="B42" t="s">
        <v>24</v>
      </c>
      <c r="C42" t="s">
        <v>24</v>
      </c>
      <c r="D42" t="s">
        <v>95</v>
      </c>
      <c r="E42" s="2">
        <v>2400000</v>
      </c>
      <c r="F42" s="2">
        <v>2052</v>
      </c>
      <c r="G42" s="2">
        <v>11880</v>
      </c>
      <c r="H42">
        <v>18</v>
      </c>
      <c r="I42" s="2">
        <v>600000</v>
      </c>
      <c r="J42">
        <v>1180</v>
      </c>
      <c r="K42">
        <v>860</v>
      </c>
      <c r="L42" s="2">
        <v>261.06512731481479</v>
      </c>
      <c r="M42" s="2">
        <v>293.54207436399219</v>
      </c>
      <c r="N42" s="109">
        <v>695.90643274853801</v>
      </c>
      <c r="O42">
        <f t="shared" si="3"/>
        <v>0</v>
      </c>
      <c r="P42">
        <f t="shared" ref="P42:P73" si="4">IFERROR(_xlfn.XLOOKUP(A42,$T$1:$T$13,$U$1:$U$13,,0),0)</f>
        <v>0</v>
      </c>
      <c r="Q42" s="2">
        <f t="shared" ref="Q42:Q73" si="5">IF(P42&gt;1,P42,G42)</f>
        <v>11880</v>
      </c>
      <c r="R42">
        <f t="shared" ref="R42:R73" si="6">IFERROR(_xlfn.XLOOKUP(A42,$T$1:$T$13,$V$1:$V$13,,0),0)</f>
        <v>0</v>
      </c>
    </row>
    <row r="43" spans="1:18" x14ac:dyDescent="0.35">
      <c r="A43" t="s">
        <v>88</v>
      </c>
      <c r="B43" t="s">
        <v>24</v>
      </c>
      <c r="C43" t="s">
        <v>24</v>
      </c>
      <c r="D43" t="s">
        <v>89</v>
      </c>
      <c r="E43" s="2">
        <v>2300000</v>
      </c>
      <c r="F43" s="2" t="s">
        <v>23</v>
      </c>
      <c r="G43" s="2">
        <v>13200</v>
      </c>
      <c r="H43">
        <v>20</v>
      </c>
      <c r="I43" s="2">
        <v>575000</v>
      </c>
      <c r="J43" s="3">
        <v>1130.833333333333</v>
      </c>
      <c r="K43" s="3">
        <v>824.16666666666663</v>
      </c>
      <c r="L43" s="2">
        <v>207.0652199074074</v>
      </c>
      <c r="M43" s="2">
        <v>298.27519128517702</v>
      </c>
      <c r="N43" s="109">
        <v>191.66666666666671</v>
      </c>
      <c r="O43">
        <f t="shared" si="3"/>
        <v>0</v>
      </c>
      <c r="P43">
        <f t="shared" si="4"/>
        <v>0</v>
      </c>
      <c r="Q43" s="2">
        <f t="shared" si="5"/>
        <v>13200</v>
      </c>
      <c r="R43">
        <f t="shared" si="6"/>
        <v>0</v>
      </c>
    </row>
    <row r="44" spans="1:18" x14ac:dyDescent="0.35">
      <c r="A44" t="s">
        <v>407</v>
      </c>
      <c r="B44" t="s">
        <v>24</v>
      </c>
      <c r="C44" t="s">
        <v>24</v>
      </c>
      <c r="D44" t="s">
        <v>408</v>
      </c>
      <c r="E44" s="2">
        <v>925000</v>
      </c>
      <c r="F44" s="2" t="s">
        <v>23</v>
      </c>
      <c r="G44" s="2">
        <v>3960</v>
      </c>
      <c r="H44">
        <v>6</v>
      </c>
      <c r="I44" s="2">
        <v>231250</v>
      </c>
      <c r="J44">
        <v>454.79166666666669</v>
      </c>
      <c r="K44">
        <v>331.45833333333331</v>
      </c>
      <c r="L44" s="2">
        <v>110.96518518518521</v>
      </c>
      <c r="M44" s="2">
        <v>298.38709677419354</v>
      </c>
      <c r="N44" s="109">
        <v>256.94444444444451</v>
      </c>
      <c r="O44">
        <f t="shared" si="3"/>
        <v>0</v>
      </c>
      <c r="P44">
        <f t="shared" si="4"/>
        <v>0</v>
      </c>
      <c r="Q44" s="2">
        <f t="shared" si="5"/>
        <v>3960</v>
      </c>
      <c r="R44">
        <f t="shared" si="6"/>
        <v>0</v>
      </c>
    </row>
    <row r="45" spans="1:18" x14ac:dyDescent="0.35">
      <c r="A45" t="s">
        <v>528</v>
      </c>
      <c r="B45" t="s">
        <v>30</v>
      </c>
      <c r="C45" t="s">
        <v>24</v>
      </c>
      <c r="D45" t="s">
        <v>529</v>
      </c>
      <c r="E45" s="2">
        <v>1800000</v>
      </c>
      <c r="F45" s="2">
        <v>1798</v>
      </c>
      <c r="G45" s="2">
        <v>10560</v>
      </c>
      <c r="H45">
        <v>16</v>
      </c>
      <c r="I45" s="2">
        <v>450000</v>
      </c>
      <c r="J45">
        <v>885</v>
      </c>
      <c r="K45">
        <v>645</v>
      </c>
      <c r="L45" s="2">
        <v>26.064178240740741</v>
      </c>
      <c r="M45" s="2">
        <v>298.40848806366046</v>
      </c>
      <c r="N45" s="109">
        <v>594.30617352614013</v>
      </c>
      <c r="O45">
        <f t="shared" si="3"/>
        <v>0</v>
      </c>
      <c r="P45">
        <f t="shared" si="4"/>
        <v>0</v>
      </c>
      <c r="Q45" s="2">
        <f t="shared" si="5"/>
        <v>10560</v>
      </c>
      <c r="R45">
        <f t="shared" si="6"/>
        <v>0</v>
      </c>
    </row>
    <row r="46" spans="1:18" x14ac:dyDescent="0.35">
      <c r="A46" t="s">
        <v>663</v>
      </c>
      <c r="B46" t="s">
        <v>24</v>
      </c>
      <c r="C46" t="s">
        <v>24</v>
      </c>
      <c r="D46" t="s">
        <v>664</v>
      </c>
      <c r="E46" s="2">
        <v>2125000</v>
      </c>
      <c r="F46" s="2">
        <v>1554</v>
      </c>
      <c r="G46" s="2">
        <v>10560</v>
      </c>
      <c r="H46">
        <v>16</v>
      </c>
      <c r="I46" s="2">
        <v>531250</v>
      </c>
      <c r="J46">
        <v>1044.791666666667</v>
      </c>
      <c r="K46">
        <v>761.45833333333337</v>
      </c>
      <c r="L46" s="2">
        <v>41.063229166666673</v>
      </c>
      <c r="M46" s="2">
        <v>304.17978814772403</v>
      </c>
      <c r="N46" s="109">
        <v>794.39651705276708</v>
      </c>
      <c r="O46">
        <f t="shared" si="3"/>
        <v>0</v>
      </c>
      <c r="P46">
        <f t="shared" si="4"/>
        <v>0</v>
      </c>
      <c r="Q46" s="2">
        <f t="shared" si="5"/>
        <v>10560</v>
      </c>
      <c r="R46">
        <f t="shared" si="6"/>
        <v>0</v>
      </c>
    </row>
    <row r="47" spans="1:18" x14ac:dyDescent="0.35">
      <c r="A47" t="s">
        <v>386</v>
      </c>
      <c r="B47" t="s">
        <v>24</v>
      </c>
      <c r="C47" t="s">
        <v>24</v>
      </c>
      <c r="D47" t="s">
        <v>387</v>
      </c>
      <c r="E47" s="2">
        <v>925000</v>
      </c>
      <c r="F47" s="2">
        <v>2344</v>
      </c>
      <c r="G47" s="2">
        <v>3300</v>
      </c>
      <c r="H47">
        <v>5</v>
      </c>
      <c r="I47" s="2">
        <v>231250</v>
      </c>
      <c r="J47">
        <v>454.79166666666669</v>
      </c>
      <c r="K47">
        <v>331.45833333333331</v>
      </c>
      <c r="L47" s="2">
        <v>107.0654513888889</v>
      </c>
      <c r="M47" s="2">
        <v>304.67720685111988</v>
      </c>
      <c r="N47" s="109">
        <v>351.47895335608644</v>
      </c>
      <c r="O47">
        <f t="shared" si="3"/>
        <v>0</v>
      </c>
      <c r="P47">
        <f t="shared" si="4"/>
        <v>0</v>
      </c>
      <c r="Q47" s="2">
        <f t="shared" si="5"/>
        <v>3300</v>
      </c>
      <c r="R47">
        <f t="shared" si="6"/>
        <v>0</v>
      </c>
    </row>
    <row r="48" spans="1:18" x14ac:dyDescent="0.35">
      <c r="A48" t="s">
        <v>467</v>
      </c>
      <c r="B48" t="s">
        <v>24</v>
      </c>
      <c r="C48" t="s">
        <v>24</v>
      </c>
      <c r="D48" t="s">
        <v>468</v>
      </c>
      <c r="E48" s="2">
        <v>3800000</v>
      </c>
      <c r="F48" s="2">
        <v>1417</v>
      </c>
      <c r="G48" s="2">
        <v>15180</v>
      </c>
      <c r="H48">
        <v>23</v>
      </c>
      <c r="I48" s="2">
        <v>950000</v>
      </c>
      <c r="J48">
        <v>1868.333333333333</v>
      </c>
      <c r="K48">
        <v>1361.666666666667</v>
      </c>
      <c r="L48" s="2">
        <v>70.065729166666671</v>
      </c>
      <c r="M48" s="2">
        <v>308.59184667857721</v>
      </c>
      <c r="N48" s="109">
        <v>1478.5421333087866</v>
      </c>
      <c r="O48">
        <f t="shared" si="3"/>
        <v>0</v>
      </c>
      <c r="P48">
        <f t="shared" si="4"/>
        <v>0</v>
      </c>
      <c r="Q48" s="2">
        <f t="shared" si="5"/>
        <v>15180</v>
      </c>
      <c r="R48">
        <f t="shared" si="6"/>
        <v>0</v>
      </c>
    </row>
    <row r="49" spans="1:18" x14ac:dyDescent="0.35">
      <c r="A49" t="s">
        <v>612</v>
      </c>
      <c r="B49" t="s">
        <v>24</v>
      </c>
      <c r="C49" t="s">
        <v>24</v>
      </c>
      <c r="D49" t="s">
        <v>613</v>
      </c>
      <c r="E49" s="2">
        <v>1450000</v>
      </c>
      <c r="F49" s="2">
        <v>2098</v>
      </c>
      <c r="G49" s="2">
        <v>5280</v>
      </c>
      <c r="H49">
        <v>8</v>
      </c>
      <c r="I49" s="2">
        <v>362500</v>
      </c>
      <c r="J49">
        <v>712.91666666666663</v>
      </c>
      <c r="K49">
        <v>519.58333333333337</v>
      </c>
      <c r="L49" s="2">
        <v>46.065509259259258</v>
      </c>
      <c r="M49" s="2">
        <v>312.36535975872471</v>
      </c>
      <c r="N49" s="109">
        <v>496.60887353034639</v>
      </c>
      <c r="O49">
        <f t="shared" si="3"/>
        <v>0</v>
      </c>
      <c r="P49">
        <f t="shared" si="4"/>
        <v>0</v>
      </c>
      <c r="Q49" s="2">
        <f t="shared" si="5"/>
        <v>5280</v>
      </c>
      <c r="R49">
        <f t="shared" si="6"/>
        <v>0</v>
      </c>
    </row>
    <row r="50" spans="1:18" x14ac:dyDescent="0.35">
      <c r="A50" t="s">
        <v>428</v>
      </c>
      <c r="B50" t="s">
        <v>31</v>
      </c>
      <c r="C50" t="s">
        <v>24</v>
      </c>
      <c r="D50" t="s">
        <v>429</v>
      </c>
      <c r="E50" s="2">
        <v>2192000</v>
      </c>
      <c r="F50" s="2">
        <v>2552</v>
      </c>
      <c r="G50" s="2">
        <v>10560</v>
      </c>
      <c r="H50">
        <v>16</v>
      </c>
      <c r="I50" s="2">
        <v>548000</v>
      </c>
      <c r="J50">
        <v>1077.7333333333329</v>
      </c>
      <c r="K50">
        <v>785.4666666666667</v>
      </c>
      <c r="L50" s="2">
        <v>71.84600694444444</v>
      </c>
      <c r="M50" s="2">
        <v>313.14285714285717</v>
      </c>
      <c r="N50" s="109">
        <v>543.6337513061651</v>
      </c>
      <c r="O50">
        <f t="shared" si="3"/>
        <v>0</v>
      </c>
      <c r="P50">
        <f t="shared" si="4"/>
        <v>0</v>
      </c>
      <c r="Q50" s="2">
        <f t="shared" si="5"/>
        <v>10560</v>
      </c>
      <c r="R50">
        <f t="shared" si="6"/>
        <v>0</v>
      </c>
    </row>
    <row r="51" spans="1:18" x14ac:dyDescent="0.35">
      <c r="A51" t="s">
        <v>446</v>
      </c>
      <c r="B51" t="s">
        <v>24</v>
      </c>
      <c r="C51" t="s">
        <v>24</v>
      </c>
      <c r="D51" t="s">
        <v>447</v>
      </c>
      <c r="E51" s="2">
        <v>749000</v>
      </c>
      <c r="F51" s="2">
        <v>2192</v>
      </c>
      <c r="G51" s="2">
        <v>2640</v>
      </c>
      <c r="H51">
        <v>4</v>
      </c>
      <c r="I51" s="2">
        <v>187250</v>
      </c>
      <c r="J51">
        <v>368.25833333333333</v>
      </c>
      <c r="K51">
        <v>268.39166666666671</v>
      </c>
      <c r="L51" s="2">
        <v>104.065462962963</v>
      </c>
      <c r="M51" s="2">
        <v>316.16715913887714</v>
      </c>
      <c r="N51" s="109">
        <v>326.89020681265208</v>
      </c>
      <c r="O51">
        <f t="shared" si="3"/>
        <v>0</v>
      </c>
      <c r="P51">
        <f t="shared" si="4"/>
        <v>0</v>
      </c>
      <c r="Q51" s="2">
        <f t="shared" si="5"/>
        <v>2640</v>
      </c>
      <c r="R51">
        <f t="shared" si="6"/>
        <v>0</v>
      </c>
    </row>
    <row r="52" spans="1:18" x14ac:dyDescent="0.35">
      <c r="A52" t="s">
        <v>558</v>
      </c>
      <c r="B52" t="s">
        <v>31</v>
      </c>
      <c r="C52" t="s">
        <v>24</v>
      </c>
      <c r="D52" t="s">
        <v>559</v>
      </c>
      <c r="E52" s="2">
        <v>1100000</v>
      </c>
      <c r="F52" s="2">
        <v>3341</v>
      </c>
      <c r="G52" s="2">
        <v>3960</v>
      </c>
      <c r="H52">
        <v>6</v>
      </c>
      <c r="I52" s="2">
        <v>275000</v>
      </c>
      <c r="J52" s="3">
        <v>540.83333333333337</v>
      </c>
      <c r="K52" s="3">
        <v>394.16666666666669</v>
      </c>
      <c r="L52" s="2">
        <v>11.0633912037037</v>
      </c>
      <c r="M52" s="2">
        <v>316.54676258992805</v>
      </c>
      <c r="N52" s="109">
        <v>317.39914862482954</v>
      </c>
      <c r="O52">
        <f t="shared" si="3"/>
        <v>0</v>
      </c>
      <c r="P52">
        <f t="shared" si="4"/>
        <v>0</v>
      </c>
      <c r="Q52" s="2">
        <f t="shared" si="5"/>
        <v>3960</v>
      </c>
      <c r="R52">
        <f t="shared" si="6"/>
        <v>0</v>
      </c>
    </row>
    <row r="53" spans="1:18" x14ac:dyDescent="0.35">
      <c r="A53" t="s">
        <v>458</v>
      </c>
      <c r="B53" t="s">
        <v>24</v>
      </c>
      <c r="C53" t="s">
        <v>24</v>
      </c>
      <c r="D53" t="s">
        <v>459</v>
      </c>
      <c r="E53" s="2">
        <v>799000</v>
      </c>
      <c r="F53" s="2">
        <v>1882</v>
      </c>
      <c r="G53" s="2">
        <v>5280</v>
      </c>
      <c r="H53">
        <v>8</v>
      </c>
      <c r="I53" s="2">
        <v>199750</v>
      </c>
      <c r="J53">
        <v>392.84166666666658</v>
      </c>
      <c r="K53">
        <v>286.30833333333328</v>
      </c>
      <c r="L53" s="2">
        <v>57.064560185185186</v>
      </c>
      <c r="M53" s="2">
        <v>317.06349206349205</v>
      </c>
      <c r="N53" s="109">
        <v>295.50334307474316</v>
      </c>
      <c r="O53">
        <f t="shared" si="3"/>
        <v>0</v>
      </c>
      <c r="P53">
        <f t="shared" si="4"/>
        <v>0</v>
      </c>
      <c r="Q53" s="2">
        <f t="shared" si="5"/>
        <v>5280</v>
      </c>
      <c r="R53">
        <f t="shared" si="6"/>
        <v>0</v>
      </c>
    </row>
    <row r="54" spans="1:18" x14ac:dyDescent="0.35">
      <c r="A54" t="s">
        <v>594</v>
      </c>
      <c r="B54" t="s">
        <v>24</v>
      </c>
      <c r="C54" t="s">
        <v>24</v>
      </c>
      <c r="D54" t="s">
        <v>595</v>
      </c>
      <c r="E54" s="2">
        <v>834900</v>
      </c>
      <c r="F54" s="2">
        <v>2393</v>
      </c>
      <c r="G54" s="2">
        <v>3300</v>
      </c>
      <c r="H54">
        <v>5</v>
      </c>
      <c r="I54" s="2">
        <v>208725</v>
      </c>
      <c r="J54">
        <v>410.49250000000001</v>
      </c>
      <c r="K54">
        <v>299.17250000000001</v>
      </c>
      <c r="L54" s="2">
        <v>38.537696759259262</v>
      </c>
      <c r="M54" s="2">
        <v>317.69406392694066</v>
      </c>
      <c r="N54" s="109">
        <v>313.59630171333055</v>
      </c>
      <c r="O54">
        <f t="shared" si="3"/>
        <v>0</v>
      </c>
      <c r="P54">
        <f t="shared" si="4"/>
        <v>0</v>
      </c>
      <c r="Q54" s="2">
        <f t="shared" si="5"/>
        <v>3300</v>
      </c>
      <c r="R54">
        <f t="shared" si="6"/>
        <v>0</v>
      </c>
    </row>
    <row r="55" spans="1:18" x14ac:dyDescent="0.35">
      <c r="A55" t="s">
        <v>627</v>
      </c>
      <c r="B55" t="s">
        <v>24</v>
      </c>
      <c r="C55" t="s">
        <v>24</v>
      </c>
      <c r="D55" t="s">
        <v>628</v>
      </c>
      <c r="E55" s="2">
        <v>925000</v>
      </c>
      <c r="F55" s="2">
        <v>3864</v>
      </c>
      <c r="G55" s="2">
        <v>2640</v>
      </c>
      <c r="H55">
        <v>4</v>
      </c>
      <c r="I55" s="2">
        <v>231250</v>
      </c>
      <c r="J55">
        <v>454.79166666666669</v>
      </c>
      <c r="K55">
        <v>331.45833333333331</v>
      </c>
      <c r="L55" s="2">
        <v>27.063344907407409</v>
      </c>
      <c r="M55" s="2">
        <v>318.9655172413793</v>
      </c>
      <c r="N55" s="109">
        <v>312.40295031055905</v>
      </c>
      <c r="O55">
        <f t="shared" si="3"/>
        <v>0</v>
      </c>
      <c r="P55">
        <f t="shared" si="4"/>
        <v>0</v>
      </c>
      <c r="Q55" s="2">
        <f t="shared" si="5"/>
        <v>2640</v>
      </c>
      <c r="R55">
        <f t="shared" si="6"/>
        <v>0</v>
      </c>
    </row>
    <row r="56" spans="1:18" x14ac:dyDescent="0.35">
      <c r="A56" t="s">
        <v>425</v>
      </c>
      <c r="B56" t="s">
        <v>31</v>
      </c>
      <c r="C56" t="s">
        <v>24</v>
      </c>
      <c r="D56" t="s">
        <v>426</v>
      </c>
      <c r="E56" s="2">
        <v>1225000</v>
      </c>
      <c r="F56" s="2">
        <v>3300</v>
      </c>
      <c r="G56" s="2">
        <v>3960</v>
      </c>
      <c r="H56">
        <v>6</v>
      </c>
      <c r="I56" s="2">
        <v>306250</v>
      </c>
      <c r="J56">
        <v>602.29166666666663</v>
      </c>
      <c r="K56">
        <v>438.95833333333331</v>
      </c>
      <c r="L56" s="2">
        <v>67.065659722222222</v>
      </c>
      <c r="M56" s="2">
        <v>320.68062827225128</v>
      </c>
      <c r="N56" s="109">
        <v>355.74494949494954</v>
      </c>
      <c r="O56">
        <f t="shared" si="3"/>
        <v>0</v>
      </c>
      <c r="P56">
        <f t="shared" si="4"/>
        <v>4990</v>
      </c>
      <c r="Q56" s="2">
        <f t="shared" si="5"/>
        <v>4990</v>
      </c>
      <c r="R56" t="str">
        <f t="shared" si="6"/>
        <v>CapRate: 3.0%; GRM: 238.1</v>
      </c>
    </row>
    <row r="57" spans="1:18" x14ac:dyDescent="0.35">
      <c r="A57" t="s">
        <v>420</v>
      </c>
      <c r="B57" t="s">
        <v>30</v>
      </c>
      <c r="C57" t="s">
        <v>30</v>
      </c>
      <c r="D57" t="s">
        <v>422</v>
      </c>
      <c r="E57" s="2">
        <v>657000</v>
      </c>
      <c r="F57" s="2">
        <v>2560</v>
      </c>
      <c r="G57" s="2">
        <v>2640</v>
      </c>
      <c r="H57">
        <v>4</v>
      </c>
      <c r="I57" s="2">
        <v>164250</v>
      </c>
      <c r="J57">
        <v>323.02499999999998</v>
      </c>
      <c r="K57">
        <v>235.42500000000001</v>
      </c>
      <c r="L57" s="2">
        <v>96.759710648148143</v>
      </c>
      <c r="M57" s="2">
        <v>320.80078125</v>
      </c>
      <c r="N57" s="109">
        <v>265.1953125</v>
      </c>
      <c r="O57">
        <f t="shared" si="3"/>
        <v>0</v>
      </c>
      <c r="P57">
        <f t="shared" si="4"/>
        <v>0</v>
      </c>
      <c r="Q57" s="2">
        <f t="shared" si="5"/>
        <v>2640</v>
      </c>
      <c r="R57">
        <f t="shared" si="6"/>
        <v>0</v>
      </c>
    </row>
    <row r="58" spans="1:18" x14ac:dyDescent="0.35">
      <c r="A58" t="s">
        <v>66</v>
      </c>
      <c r="B58" t="s">
        <v>31</v>
      </c>
      <c r="C58" t="s">
        <v>24</v>
      </c>
      <c r="D58" t="s">
        <v>67</v>
      </c>
      <c r="E58" s="2">
        <v>4795000</v>
      </c>
      <c r="F58" s="2" t="s">
        <v>23</v>
      </c>
      <c r="G58" s="2">
        <v>18480</v>
      </c>
      <c r="H58">
        <v>28</v>
      </c>
      <c r="I58" s="2">
        <v>1198750</v>
      </c>
      <c r="J58">
        <v>2357.541666666667</v>
      </c>
      <c r="K58">
        <v>1718.208333333333</v>
      </c>
      <c r="L58" s="2">
        <v>233.06461805555551</v>
      </c>
      <c r="M58" s="2">
        <v>322.89562289562292</v>
      </c>
      <c r="N58" s="109">
        <v>285.41666666666669</v>
      </c>
      <c r="O58">
        <f t="shared" si="3"/>
        <v>0</v>
      </c>
      <c r="P58">
        <f t="shared" si="4"/>
        <v>0</v>
      </c>
      <c r="Q58" s="2">
        <f t="shared" si="5"/>
        <v>18480</v>
      </c>
      <c r="R58">
        <f t="shared" si="6"/>
        <v>0</v>
      </c>
    </row>
    <row r="59" spans="1:18" x14ac:dyDescent="0.35">
      <c r="A59" t="s">
        <v>615</v>
      </c>
      <c r="B59" t="s">
        <v>24</v>
      </c>
      <c r="C59" t="s">
        <v>24</v>
      </c>
      <c r="D59" t="s">
        <v>616</v>
      </c>
      <c r="E59" s="2">
        <v>1700000</v>
      </c>
      <c r="F59" s="2">
        <v>1939</v>
      </c>
      <c r="G59" s="2">
        <v>5280</v>
      </c>
      <c r="H59">
        <v>8</v>
      </c>
      <c r="I59" s="2">
        <v>425000</v>
      </c>
      <c r="J59">
        <v>835.83333333333337</v>
      </c>
      <c r="K59">
        <v>609.16666666666663</v>
      </c>
      <c r="L59" s="2">
        <v>11.06340277777778</v>
      </c>
      <c r="M59" s="2">
        <v>326.17037605525712</v>
      </c>
      <c r="N59" s="109">
        <v>615.45362729929514</v>
      </c>
      <c r="O59">
        <f t="shared" si="3"/>
        <v>0</v>
      </c>
      <c r="P59">
        <f t="shared" si="4"/>
        <v>0</v>
      </c>
      <c r="Q59" s="2">
        <f t="shared" si="5"/>
        <v>5280</v>
      </c>
      <c r="R59">
        <f t="shared" si="6"/>
        <v>0</v>
      </c>
    </row>
    <row r="60" spans="1:18" x14ac:dyDescent="0.35">
      <c r="A60" t="s">
        <v>331</v>
      </c>
      <c r="B60" t="s">
        <v>24</v>
      </c>
      <c r="C60" t="s">
        <v>24</v>
      </c>
      <c r="D60" t="s">
        <v>332</v>
      </c>
      <c r="E60" s="2">
        <v>1150000</v>
      </c>
      <c r="F60" s="2">
        <v>3002</v>
      </c>
      <c r="G60" s="2">
        <v>3960</v>
      </c>
      <c r="H60">
        <v>6</v>
      </c>
      <c r="I60" s="2">
        <v>287500</v>
      </c>
      <c r="J60" s="3">
        <v>565.41666666666663</v>
      </c>
      <c r="K60" s="3">
        <v>412.08333333333331</v>
      </c>
      <c r="L60" s="2">
        <v>166.0634490740741</v>
      </c>
      <c r="M60" s="2">
        <v>326.24113475177307</v>
      </c>
      <c r="N60" s="109">
        <v>351.26119623954401</v>
      </c>
      <c r="O60">
        <f t="shared" si="3"/>
        <v>0</v>
      </c>
      <c r="P60">
        <f t="shared" si="4"/>
        <v>0</v>
      </c>
      <c r="Q60" s="2">
        <f t="shared" si="5"/>
        <v>3960</v>
      </c>
      <c r="R60">
        <f t="shared" si="6"/>
        <v>0</v>
      </c>
    </row>
    <row r="61" spans="1:18" x14ac:dyDescent="0.35">
      <c r="A61" t="s">
        <v>555</v>
      </c>
      <c r="B61" t="s">
        <v>31</v>
      </c>
      <c r="C61" t="s">
        <v>24</v>
      </c>
      <c r="D61" t="s">
        <v>556</v>
      </c>
      <c r="E61" s="2">
        <v>1725000</v>
      </c>
      <c r="F61" s="2">
        <v>1789</v>
      </c>
      <c r="G61" s="2">
        <v>7260</v>
      </c>
      <c r="H61">
        <v>11</v>
      </c>
      <c r="I61" s="2">
        <v>431250</v>
      </c>
      <c r="J61">
        <v>848.125</v>
      </c>
      <c r="K61">
        <v>618.125</v>
      </c>
      <c r="L61" s="2">
        <v>43.065324074074077</v>
      </c>
      <c r="M61" s="2">
        <v>326.2719878948364</v>
      </c>
      <c r="N61" s="109">
        <v>612.79473042329391</v>
      </c>
      <c r="O61">
        <f t="shared" si="3"/>
        <v>0</v>
      </c>
      <c r="P61">
        <f t="shared" si="4"/>
        <v>0</v>
      </c>
      <c r="Q61" s="2">
        <f t="shared" si="5"/>
        <v>7260</v>
      </c>
      <c r="R61">
        <f t="shared" si="6"/>
        <v>0</v>
      </c>
    </row>
    <row r="62" spans="1:18" x14ac:dyDescent="0.35">
      <c r="A62" t="s">
        <v>521</v>
      </c>
      <c r="B62" t="s">
        <v>30</v>
      </c>
      <c r="C62" t="s">
        <v>28</v>
      </c>
      <c r="D62" t="s">
        <v>522</v>
      </c>
      <c r="E62" s="2">
        <v>720000</v>
      </c>
      <c r="F62" s="2">
        <v>2013</v>
      </c>
      <c r="G62" s="2">
        <v>2640</v>
      </c>
      <c r="H62">
        <v>4</v>
      </c>
      <c r="I62" s="2">
        <v>180000</v>
      </c>
      <c r="J62" s="3">
        <v>354</v>
      </c>
      <c r="K62" s="3">
        <v>258</v>
      </c>
      <c r="L62" s="2">
        <v>13.064004629629631</v>
      </c>
      <c r="M62" s="2">
        <v>327.27272727272725</v>
      </c>
      <c r="N62" s="109">
        <v>328.83755588673625</v>
      </c>
      <c r="O62">
        <f t="shared" si="3"/>
        <v>0</v>
      </c>
      <c r="P62">
        <f t="shared" si="4"/>
        <v>0</v>
      </c>
      <c r="Q62" s="2">
        <f t="shared" si="5"/>
        <v>2640</v>
      </c>
      <c r="R62">
        <f t="shared" si="6"/>
        <v>0</v>
      </c>
    </row>
    <row r="63" spans="1:18" x14ac:dyDescent="0.35">
      <c r="A63" t="s">
        <v>537</v>
      </c>
      <c r="B63" t="s">
        <v>31</v>
      </c>
      <c r="C63" t="s">
        <v>24</v>
      </c>
      <c r="D63" t="s">
        <v>538</v>
      </c>
      <c r="E63" s="2">
        <v>850000</v>
      </c>
      <c r="F63" s="2">
        <v>2380</v>
      </c>
      <c r="G63" s="2">
        <v>3300</v>
      </c>
      <c r="H63">
        <v>5</v>
      </c>
      <c r="I63" s="2">
        <v>212500</v>
      </c>
      <c r="J63">
        <v>417.91666666666669</v>
      </c>
      <c r="K63">
        <v>304.58333333333331</v>
      </c>
      <c r="L63" s="2">
        <v>18.063402777777782</v>
      </c>
      <c r="M63" s="2">
        <v>333.20266562132497</v>
      </c>
      <c r="N63" s="109">
        <v>320.23809523809524</v>
      </c>
      <c r="O63">
        <f t="shared" si="3"/>
        <v>0</v>
      </c>
      <c r="P63">
        <f t="shared" si="4"/>
        <v>0</v>
      </c>
      <c r="Q63" s="2">
        <f t="shared" si="5"/>
        <v>3300</v>
      </c>
      <c r="R63">
        <f t="shared" si="6"/>
        <v>0</v>
      </c>
    </row>
    <row r="64" spans="1:18" x14ac:dyDescent="0.35">
      <c r="A64" t="s">
        <v>449</v>
      </c>
      <c r="B64" t="s">
        <v>24</v>
      </c>
      <c r="C64" t="s">
        <v>24</v>
      </c>
      <c r="D64" t="s">
        <v>450</v>
      </c>
      <c r="E64" s="2">
        <v>1200000</v>
      </c>
      <c r="F64" s="2">
        <v>1924</v>
      </c>
      <c r="G64" s="2">
        <v>3300</v>
      </c>
      <c r="H64">
        <v>5</v>
      </c>
      <c r="I64" s="2">
        <v>300000</v>
      </c>
      <c r="J64">
        <v>590</v>
      </c>
      <c r="K64">
        <v>430</v>
      </c>
      <c r="L64" s="2">
        <v>95.065590277777773</v>
      </c>
      <c r="M64" s="2">
        <v>333.24076645376283</v>
      </c>
      <c r="N64" s="109">
        <v>511.85031185031187</v>
      </c>
      <c r="O64">
        <f t="shared" si="3"/>
        <v>0</v>
      </c>
      <c r="P64">
        <f t="shared" si="4"/>
        <v>0</v>
      </c>
      <c r="Q64" s="2">
        <f t="shared" si="5"/>
        <v>3300</v>
      </c>
      <c r="R64">
        <f t="shared" si="6"/>
        <v>0</v>
      </c>
    </row>
    <row r="65" spans="1:18" x14ac:dyDescent="0.35">
      <c r="A65" t="s">
        <v>488</v>
      </c>
      <c r="B65" t="s">
        <v>24</v>
      </c>
      <c r="C65" t="s">
        <v>24</v>
      </c>
      <c r="D65" t="s">
        <v>489</v>
      </c>
      <c r="E65" s="2">
        <v>1200000</v>
      </c>
      <c r="F65" s="2">
        <v>2042</v>
      </c>
      <c r="G65" s="2">
        <v>5280</v>
      </c>
      <c r="H65">
        <v>8</v>
      </c>
      <c r="I65" s="2">
        <v>300000</v>
      </c>
      <c r="J65">
        <v>590</v>
      </c>
      <c r="K65">
        <v>430</v>
      </c>
      <c r="L65" s="2">
        <v>95.06583333333333</v>
      </c>
      <c r="M65" s="2">
        <v>333.33333333333331</v>
      </c>
      <c r="N65" s="109">
        <v>418.82957884427032</v>
      </c>
      <c r="O65">
        <f t="shared" si="3"/>
        <v>0</v>
      </c>
      <c r="P65">
        <f t="shared" si="4"/>
        <v>6000</v>
      </c>
      <c r="Q65" s="2">
        <f t="shared" si="5"/>
        <v>6000</v>
      </c>
      <c r="R65" t="str">
        <f t="shared" si="6"/>
        <v>CapRate: 4.1%; GRM: 188.6</v>
      </c>
    </row>
    <row r="66" spans="1:18" x14ac:dyDescent="0.35">
      <c r="A66" t="s">
        <v>311</v>
      </c>
      <c r="B66" t="s">
        <v>24</v>
      </c>
      <c r="C66" t="s">
        <v>24</v>
      </c>
      <c r="D66" t="s">
        <v>312</v>
      </c>
      <c r="E66" s="2">
        <v>1250000</v>
      </c>
      <c r="F66" s="2">
        <v>3179</v>
      </c>
      <c r="G66" s="2">
        <v>3960</v>
      </c>
      <c r="H66">
        <v>6</v>
      </c>
      <c r="I66" s="2">
        <v>312500</v>
      </c>
      <c r="J66" s="3">
        <v>614.58333333333337</v>
      </c>
      <c r="K66" s="3">
        <v>447.91666666666669</v>
      </c>
      <c r="L66" s="2">
        <v>145.91894675925931</v>
      </c>
      <c r="M66" s="2">
        <v>337.83783783783781</v>
      </c>
      <c r="N66" s="109">
        <v>370.21381636433534</v>
      </c>
      <c r="O66">
        <f t="shared" si="3"/>
        <v>0</v>
      </c>
      <c r="P66">
        <f t="shared" si="4"/>
        <v>0</v>
      </c>
      <c r="Q66" s="2">
        <f t="shared" si="5"/>
        <v>3960</v>
      </c>
      <c r="R66">
        <f t="shared" si="6"/>
        <v>0</v>
      </c>
    </row>
    <row r="67" spans="1:18" x14ac:dyDescent="0.35">
      <c r="A67" t="s">
        <v>91</v>
      </c>
      <c r="B67" t="s">
        <v>24</v>
      </c>
      <c r="C67" t="s">
        <v>24</v>
      </c>
      <c r="D67" t="s">
        <v>92</v>
      </c>
      <c r="E67" s="2">
        <v>930000</v>
      </c>
      <c r="F67" s="2">
        <v>2264</v>
      </c>
      <c r="G67" s="2">
        <v>3960</v>
      </c>
      <c r="H67">
        <v>6</v>
      </c>
      <c r="I67" s="2">
        <v>232500</v>
      </c>
      <c r="J67">
        <v>457.25</v>
      </c>
      <c r="K67">
        <v>333.25</v>
      </c>
      <c r="L67" s="2">
        <v>199.06424768518519</v>
      </c>
      <c r="M67" s="2">
        <v>341.15920763022746</v>
      </c>
      <c r="N67" s="109">
        <v>334.55535924617197</v>
      </c>
      <c r="O67">
        <f t="shared" si="3"/>
        <v>0</v>
      </c>
      <c r="P67">
        <f t="shared" si="4"/>
        <v>0</v>
      </c>
      <c r="Q67" s="2">
        <f t="shared" si="5"/>
        <v>3960</v>
      </c>
      <c r="R67">
        <f t="shared" si="6"/>
        <v>0</v>
      </c>
    </row>
    <row r="68" spans="1:18" x14ac:dyDescent="0.35">
      <c r="A68" t="s">
        <v>657</v>
      </c>
      <c r="B68" t="s">
        <v>24</v>
      </c>
      <c r="C68" t="s">
        <v>24</v>
      </c>
      <c r="D68" t="s">
        <v>658</v>
      </c>
      <c r="E68" s="2">
        <v>5750000</v>
      </c>
      <c r="F68" s="2">
        <v>2189</v>
      </c>
      <c r="G68" s="2">
        <v>17160</v>
      </c>
      <c r="H68">
        <v>26</v>
      </c>
      <c r="I68" s="2">
        <v>1437500</v>
      </c>
      <c r="J68">
        <v>2827.083333333333</v>
      </c>
      <c r="K68">
        <v>2060.416666666667</v>
      </c>
      <c r="L68" s="2">
        <v>33.06521990740741</v>
      </c>
      <c r="M68" s="2">
        <v>342.26190476190476</v>
      </c>
      <c r="N68" s="109">
        <v>1497.6799791498283</v>
      </c>
      <c r="O68">
        <f t="shared" si="3"/>
        <v>0</v>
      </c>
      <c r="P68">
        <f t="shared" si="4"/>
        <v>0</v>
      </c>
      <c r="Q68" s="2">
        <f t="shared" si="5"/>
        <v>17160</v>
      </c>
      <c r="R68">
        <f t="shared" si="6"/>
        <v>0</v>
      </c>
    </row>
    <row r="69" spans="1:18" x14ac:dyDescent="0.35">
      <c r="A69" t="s">
        <v>579</v>
      </c>
      <c r="B69" t="s">
        <v>24</v>
      </c>
      <c r="C69" t="s">
        <v>24</v>
      </c>
      <c r="D69" t="s">
        <v>580</v>
      </c>
      <c r="E69" s="2">
        <v>659000</v>
      </c>
      <c r="F69" s="2">
        <v>1694</v>
      </c>
      <c r="G69" s="2">
        <v>2640</v>
      </c>
      <c r="H69">
        <v>4</v>
      </c>
      <c r="I69" s="2">
        <v>164750</v>
      </c>
      <c r="J69">
        <v>324.00833333333333</v>
      </c>
      <c r="K69">
        <v>236.14166666666671</v>
      </c>
      <c r="L69" s="2">
        <v>21.03253472222222</v>
      </c>
      <c r="M69" s="2">
        <v>343.22916666666669</v>
      </c>
      <c r="N69" s="109">
        <v>331.80170208579295</v>
      </c>
      <c r="O69">
        <f t="shared" si="3"/>
        <v>0</v>
      </c>
      <c r="P69">
        <f t="shared" si="4"/>
        <v>0</v>
      </c>
      <c r="Q69" s="2">
        <f t="shared" si="5"/>
        <v>2640</v>
      </c>
      <c r="R69">
        <f t="shared" si="6"/>
        <v>0</v>
      </c>
    </row>
    <row r="70" spans="1:18" x14ac:dyDescent="0.35">
      <c r="A70" t="s">
        <v>642</v>
      </c>
      <c r="B70" t="s">
        <v>24</v>
      </c>
      <c r="C70" t="s">
        <v>24</v>
      </c>
      <c r="D70" t="s">
        <v>643</v>
      </c>
      <c r="E70" s="2">
        <v>1550000</v>
      </c>
      <c r="F70" s="2" t="s">
        <v>23</v>
      </c>
      <c r="G70" s="2">
        <v>5940</v>
      </c>
      <c r="H70">
        <v>9</v>
      </c>
      <c r="I70" s="2">
        <v>387500</v>
      </c>
      <c r="J70">
        <v>762.08333333333337</v>
      </c>
      <c r="K70">
        <v>555.41666666666663</v>
      </c>
      <c r="L70" s="2">
        <v>33.063541666666673</v>
      </c>
      <c r="M70" s="2">
        <v>352.27272727272725</v>
      </c>
      <c r="N70" s="109">
        <v>287.03703703703701</v>
      </c>
      <c r="O70">
        <f t="shared" si="3"/>
        <v>0</v>
      </c>
      <c r="P70">
        <f t="shared" si="4"/>
        <v>0</v>
      </c>
      <c r="Q70" s="2">
        <f t="shared" si="5"/>
        <v>5940</v>
      </c>
      <c r="R70">
        <f t="shared" si="6"/>
        <v>0</v>
      </c>
    </row>
    <row r="71" spans="1:18" x14ac:dyDescent="0.35">
      <c r="A71" t="s">
        <v>552</v>
      </c>
      <c r="B71" t="s">
        <v>31</v>
      </c>
      <c r="C71" t="s">
        <v>24</v>
      </c>
      <c r="D71" t="s">
        <v>553</v>
      </c>
      <c r="E71" s="2">
        <v>715000</v>
      </c>
      <c r="F71" s="2" t="s">
        <v>23</v>
      </c>
      <c r="G71" s="2">
        <v>1980</v>
      </c>
      <c r="H71">
        <v>3</v>
      </c>
      <c r="I71" s="2">
        <v>178750</v>
      </c>
      <c r="J71">
        <v>351.54166666666669</v>
      </c>
      <c r="K71">
        <v>256.20833333333331</v>
      </c>
      <c r="L71" s="2">
        <v>28.06444444444444</v>
      </c>
      <c r="M71" s="2">
        <v>357.5</v>
      </c>
      <c r="N71" s="109">
        <v>397.22222222222217</v>
      </c>
      <c r="O71">
        <f t="shared" si="3"/>
        <v>0</v>
      </c>
      <c r="P71">
        <f t="shared" si="4"/>
        <v>0</v>
      </c>
      <c r="Q71" s="2">
        <f t="shared" si="5"/>
        <v>1980</v>
      </c>
      <c r="R71">
        <f t="shared" si="6"/>
        <v>0</v>
      </c>
    </row>
    <row r="72" spans="1:18" x14ac:dyDescent="0.35">
      <c r="A72" t="s">
        <v>437</v>
      </c>
      <c r="B72" t="s">
        <v>24</v>
      </c>
      <c r="C72" t="s">
        <v>24</v>
      </c>
      <c r="D72" t="s">
        <v>438</v>
      </c>
      <c r="E72" s="2">
        <v>824900</v>
      </c>
      <c r="F72" s="2">
        <v>2195</v>
      </c>
      <c r="G72" s="2">
        <v>2640</v>
      </c>
      <c r="H72">
        <v>4</v>
      </c>
      <c r="I72" s="2">
        <v>206225</v>
      </c>
      <c r="J72">
        <v>405.57583333333332</v>
      </c>
      <c r="K72">
        <v>295.5891666666667</v>
      </c>
      <c r="L72" s="2">
        <v>59.064247685185187</v>
      </c>
      <c r="M72" s="2">
        <v>357.71899392888116</v>
      </c>
      <c r="N72" s="109">
        <v>359.75849468488991</v>
      </c>
      <c r="O72">
        <f t="shared" si="3"/>
        <v>0</v>
      </c>
      <c r="P72">
        <f t="shared" si="4"/>
        <v>0</v>
      </c>
      <c r="Q72" s="2">
        <f t="shared" si="5"/>
        <v>2640</v>
      </c>
      <c r="R72">
        <f t="shared" si="6"/>
        <v>0</v>
      </c>
    </row>
    <row r="73" spans="1:18" x14ac:dyDescent="0.35">
      <c r="A73" t="s">
        <v>76</v>
      </c>
      <c r="B73" t="s">
        <v>31</v>
      </c>
      <c r="C73" t="s">
        <v>24</v>
      </c>
      <c r="D73" t="s">
        <v>77</v>
      </c>
      <c r="E73" s="2">
        <v>2750000</v>
      </c>
      <c r="F73" s="2" t="s">
        <v>23</v>
      </c>
      <c r="G73" s="2">
        <v>6600</v>
      </c>
      <c r="H73">
        <v>10</v>
      </c>
      <c r="I73" s="2">
        <v>687500</v>
      </c>
      <c r="J73" s="3">
        <v>1352.083333333333</v>
      </c>
      <c r="K73" s="3">
        <v>985.41666666666663</v>
      </c>
      <c r="L73" s="2">
        <v>222.06342592592591</v>
      </c>
      <c r="M73" s="2">
        <v>361.50913632180885</v>
      </c>
      <c r="N73" s="109">
        <v>458.33333333333331</v>
      </c>
      <c r="O73">
        <f t="shared" si="3"/>
        <v>0</v>
      </c>
      <c r="P73">
        <f t="shared" si="4"/>
        <v>0</v>
      </c>
      <c r="Q73" s="2">
        <f t="shared" si="5"/>
        <v>6600</v>
      </c>
      <c r="R73">
        <f t="shared" si="6"/>
        <v>0</v>
      </c>
    </row>
    <row r="74" spans="1:18" x14ac:dyDescent="0.35">
      <c r="A74" t="s">
        <v>576</v>
      </c>
      <c r="B74" t="s">
        <v>24</v>
      </c>
      <c r="C74" t="s">
        <v>24</v>
      </c>
      <c r="D74" t="s">
        <v>577</v>
      </c>
      <c r="E74" s="2">
        <v>999995</v>
      </c>
      <c r="F74" s="2" t="s">
        <v>23</v>
      </c>
      <c r="G74" s="2">
        <v>2640</v>
      </c>
      <c r="H74">
        <v>4</v>
      </c>
      <c r="I74" s="2">
        <v>249998.75</v>
      </c>
      <c r="J74">
        <v>491.66420833333331</v>
      </c>
      <c r="K74">
        <v>358.33154166666668</v>
      </c>
      <c r="L74" s="2">
        <v>109.95902777777781</v>
      </c>
      <c r="M74" s="2">
        <v>363.89919941775838</v>
      </c>
      <c r="N74" s="109">
        <v>416.66458333333333</v>
      </c>
      <c r="O74">
        <f t="shared" si="3"/>
        <v>0</v>
      </c>
      <c r="P74">
        <f t="shared" ref="P74:P105" si="7">IFERROR(_xlfn.XLOOKUP(A74,$T$1:$T$13,$U$1:$U$13,,0),0)</f>
        <v>0</v>
      </c>
      <c r="Q74" s="2">
        <f t="shared" ref="Q74:Q105" si="8">IF(P74&gt;1,P74,G74)</f>
        <v>2640</v>
      </c>
      <c r="R74">
        <f t="shared" ref="R74:R105" si="9">IFERROR(_xlfn.XLOOKUP(A74,$T$1:$T$13,$V$1:$V$13,,0),0)</f>
        <v>0</v>
      </c>
    </row>
    <row r="75" spans="1:18" x14ac:dyDescent="0.35">
      <c r="A75" t="s">
        <v>85</v>
      </c>
      <c r="B75" t="s">
        <v>24</v>
      </c>
      <c r="C75" t="s">
        <v>24</v>
      </c>
      <c r="D75" t="s">
        <v>86</v>
      </c>
      <c r="E75" s="2">
        <v>799000</v>
      </c>
      <c r="F75" s="2">
        <v>2118</v>
      </c>
      <c r="G75" s="2">
        <v>1980</v>
      </c>
      <c r="H75">
        <v>3</v>
      </c>
      <c r="I75" s="2">
        <v>199750</v>
      </c>
      <c r="J75" s="3">
        <v>392.84166666666658</v>
      </c>
      <c r="K75" s="3">
        <v>286.30833333333328</v>
      </c>
      <c r="L75" s="2">
        <v>288.06585648148149</v>
      </c>
      <c r="M75" s="2">
        <v>370.93779015784588</v>
      </c>
      <c r="N75" s="109">
        <v>410.56578533207426</v>
      </c>
      <c r="O75">
        <f t="shared" ref="O75:O133" si="10">IFERROR(_xlfn.XLOOKUP(A75,$T$1:$T$13,$S$1:$S$13,,0),0)</f>
        <v>0</v>
      </c>
      <c r="P75">
        <f t="shared" si="7"/>
        <v>0</v>
      </c>
      <c r="Q75" s="2">
        <f t="shared" si="8"/>
        <v>1980</v>
      </c>
      <c r="R75">
        <f t="shared" si="9"/>
        <v>0</v>
      </c>
    </row>
    <row r="76" spans="1:18" x14ac:dyDescent="0.35">
      <c r="A76" t="s">
        <v>410</v>
      </c>
      <c r="B76" t="s">
        <v>24</v>
      </c>
      <c r="C76" t="s">
        <v>24</v>
      </c>
      <c r="D76" t="s">
        <v>411</v>
      </c>
      <c r="E76" s="2">
        <v>1250000</v>
      </c>
      <c r="F76" s="2">
        <v>2490</v>
      </c>
      <c r="G76" s="2">
        <v>5280</v>
      </c>
      <c r="H76">
        <v>8</v>
      </c>
      <c r="I76" s="2">
        <v>312500</v>
      </c>
      <c r="J76">
        <v>614.58333333333337</v>
      </c>
      <c r="K76">
        <v>447.91666666666669</v>
      </c>
      <c r="L76" s="2">
        <v>116.065462962963</v>
      </c>
      <c r="M76" s="2">
        <v>372.02380952380952</v>
      </c>
      <c r="N76" s="109">
        <v>381.2123493975904</v>
      </c>
      <c r="O76">
        <f t="shared" si="10"/>
        <v>0</v>
      </c>
      <c r="P76">
        <f t="shared" si="7"/>
        <v>0</v>
      </c>
      <c r="Q76" s="2">
        <f t="shared" si="8"/>
        <v>5280</v>
      </c>
      <c r="R76">
        <f t="shared" si="9"/>
        <v>0</v>
      </c>
    </row>
    <row r="77" spans="1:18" x14ac:dyDescent="0.35">
      <c r="A77" t="s">
        <v>482</v>
      </c>
      <c r="B77" t="s">
        <v>24</v>
      </c>
      <c r="C77" t="s">
        <v>24</v>
      </c>
      <c r="D77" t="s">
        <v>483</v>
      </c>
      <c r="E77" s="2">
        <v>1550000</v>
      </c>
      <c r="F77" s="2">
        <v>1470</v>
      </c>
      <c r="G77" s="2">
        <v>5280</v>
      </c>
      <c r="H77">
        <v>8</v>
      </c>
      <c r="I77" s="2">
        <v>387500</v>
      </c>
      <c r="J77">
        <v>762.08333333333337</v>
      </c>
      <c r="K77">
        <v>555.41666666666663</v>
      </c>
      <c r="L77" s="2">
        <v>97.06583333333333</v>
      </c>
      <c r="M77" s="2">
        <v>372.59615384615387</v>
      </c>
      <c r="N77" s="109">
        <v>688.66921768707482</v>
      </c>
      <c r="O77">
        <f t="shared" si="10"/>
        <v>0</v>
      </c>
      <c r="P77">
        <f t="shared" si="7"/>
        <v>0</v>
      </c>
      <c r="Q77" s="2">
        <f t="shared" si="8"/>
        <v>5280</v>
      </c>
      <c r="R77">
        <f t="shared" si="9"/>
        <v>0</v>
      </c>
    </row>
    <row r="78" spans="1:18" x14ac:dyDescent="0.35">
      <c r="A78" t="s">
        <v>603</v>
      </c>
      <c r="B78" t="s">
        <v>24</v>
      </c>
      <c r="C78" t="s">
        <v>24</v>
      </c>
      <c r="D78" t="s">
        <v>604</v>
      </c>
      <c r="E78" s="2">
        <v>999900</v>
      </c>
      <c r="F78" s="2">
        <v>2098</v>
      </c>
      <c r="G78" s="2">
        <v>2640</v>
      </c>
      <c r="H78">
        <v>4</v>
      </c>
      <c r="I78" s="2">
        <v>249975</v>
      </c>
      <c r="J78">
        <v>491.61750000000001</v>
      </c>
      <c r="K78">
        <v>358.29750000000001</v>
      </c>
      <c r="L78" s="2">
        <v>49.063981481481477</v>
      </c>
      <c r="M78" s="2">
        <v>373.2362821948488</v>
      </c>
      <c r="N78" s="109">
        <v>446.61087940896095</v>
      </c>
      <c r="O78">
        <f t="shared" si="10"/>
        <v>0</v>
      </c>
      <c r="P78">
        <f t="shared" si="7"/>
        <v>0</v>
      </c>
      <c r="Q78" s="2">
        <f t="shared" si="8"/>
        <v>2640</v>
      </c>
      <c r="R78">
        <f t="shared" si="9"/>
        <v>0</v>
      </c>
    </row>
    <row r="79" spans="1:18" x14ac:dyDescent="0.35">
      <c r="A79" t="s">
        <v>479</v>
      </c>
      <c r="B79" t="s">
        <v>24</v>
      </c>
      <c r="C79" t="s">
        <v>24</v>
      </c>
      <c r="D79" t="s">
        <v>480</v>
      </c>
      <c r="E79" s="2">
        <v>899000</v>
      </c>
      <c r="F79" s="2">
        <v>2287</v>
      </c>
      <c r="G79" s="2">
        <v>2640</v>
      </c>
      <c r="H79">
        <v>4</v>
      </c>
      <c r="I79" s="2">
        <v>224750</v>
      </c>
      <c r="J79">
        <v>442.00833333333333</v>
      </c>
      <c r="K79">
        <v>322.14166666666671</v>
      </c>
      <c r="L79" s="2">
        <v>93.065601851851852</v>
      </c>
      <c r="M79" s="2">
        <v>374.11568872243032</v>
      </c>
      <c r="N79" s="109">
        <v>383.83735971432736</v>
      </c>
      <c r="O79">
        <f t="shared" si="10"/>
        <v>0</v>
      </c>
      <c r="P79">
        <f t="shared" si="7"/>
        <v>0</v>
      </c>
      <c r="Q79" s="2">
        <f t="shared" si="8"/>
        <v>2640</v>
      </c>
      <c r="R79">
        <f t="shared" si="9"/>
        <v>0</v>
      </c>
    </row>
    <row r="80" spans="1:18" x14ac:dyDescent="0.35">
      <c r="A80" t="s">
        <v>328</v>
      </c>
      <c r="B80" t="s">
        <v>24</v>
      </c>
      <c r="C80" t="s">
        <v>24</v>
      </c>
      <c r="D80" t="s">
        <v>329</v>
      </c>
      <c r="E80" s="2">
        <v>1125000</v>
      </c>
      <c r="F80" s="2">
        <v>1616</v>
      </c>
      <c r="G80" s="2">
        <v>5280</v>
      </c>
      <c r="H80">
        <v>8</v>
      </c>
      <c r="I80" s="2">
        <v>281250</v>
      </c>
      <c r="J80">
        <v>553.125</v>
      </c>
      <c r="K80">
        <v>403.125</v>
      </c>
      <c r="L80" s="2">
        <v>156.06511574074071</v>
      </c>
      <c r="M80" s="2">
        <v>376.00267379679144</v>
      </c>
      <c r="N80" s="109">
        <v>465.26918316831683</v>
      </c>
      <c r="O80">
        <f t="shared" si="10"/>
        <v>0</v>
      </c>
      <c r="P80">
        <f t="shared" si="7"/>
        <v>0</v>
      </c>
      <c r="Q80" s="2">
        <f t="shared" si="8"/>
        <v>5280</v>
      </c>
      <c r="R80">
        <f t="shared" si="9"/>
        <v>0</v>
      </c>
    </row>
    <row r="81" spans="1:18" x14ac:dyDescent="0.35">
      <c r="A81" t="s">
        <v>570</v>
      </c>
      <c r="B81" t="s">
        <v>24</v>
      </c>
      <c r="C81" t="s">
        <v>24</v>
      </c>
      <c r="D81" t="s">
        <v>571</v>
      </c>
      <c r="E81" s="2">
        <v>1100000</v>
      </c>
      <c r="F81" s="2">
        <v>1961</v>
      </c>
      <c r="G81" s="2">
        <v>3300</v>
      </c>
      <c r="H81">
        <v>5</v>
      </c>
      <c r="I81" s="2">
        <v>275000</v>
      </c>
      <c r="J81">
        <v>540.83333333333337</v>
      </c>
      <c r="K81">
        <v>394.16666666666669</v>
      </c>
      <c r="L81" s="2">
        <v>20.063437499999999</v>
      </c>
      <c r="M81" s="2">
        <v>376.58336186237591</v>
      </c>
      <c r="N81" s="109">
        <v>463.80248172700999</v>
      </c>
      <c r="O81">
        <f t="shared" si="10"/>
        <v>0</v>
      </c>
      <c r="P81">
        <f t="shared" si="7"/>
        <v>0</v>
      </c>
      <c r="Q81" s="2">
        <f t="shared" si="8"/>
        <v>3300</v>
      </c>
      <c r="R81">
        <f t="shared" si="9"/>
        <v>0</v>
      </c>
    </row>
    <row r="82" spans="1:18" x14ac:dyDescent="0.35">
      <c r="A82" t="s">
        <v>324</v>
      </c>
      <c r="B82" t="s">
        <v>24</v>
      </c>
      <c r="C82" t="s">
        <v>24</v>
      </c>
      <c r="D82" t="s">
        <v>325</v>
      </c>
      <c r="E82" s="2">
        <v>1530000</v>
      </c>
      <c r="F82" s="2" t="s">
        <v>23</v>
      </c>
      <c r="G82" s="2">
        <v>5940</v>
      </c>
      <c r="H82">
        <v>9</v>
      </c>
      <c r="I82" s="2">
        <v>382500</v>
      </c>
      <c r="J82" s="3">
        <v>752.25</v>
      </c>
      <c r="K82" s="3">
        <v>548.25</v>
      </c>
      <c r="L82" s="2">
        <v>178.0657291666667</v>
      </c>
      <c r="M82" s="2">
        <v>387.24373576309796</v>
      </c>
      <c r="N82" s="109">
        <v>283.33333333333331</v>
      </c>
      <c r="O82">
        <f t="shared" si="10"/>
        <v>0</v>
      </c>
      <c r="P82">
        <f t="shared" si="7"/>
        <v>0</v>
      </c>
      <c r="Q82" s="2">
        <f t="shared" si="8"/>
        <v>5940</v>
      </c>
      <c r="R82">
        <f t="shared" si="9"/>
        <v>0</v>
      </c>
    </row>
    <row r="83" spans="1:18" x14ac:dyDescent="0.35">
      <c r="A83" t="s">
        <v>383</v>
      </c>
      <c r="B83" t="s">
        <v>31</v>
      </c>
      <c r="C83" t="s">
        <v>24</v>
      </c>
      <c r="D83" t="s">
        <v>384</v>
      </c>
      <c r="E83" s="2">
        <v>1175000</v>
      </c>
      <c r="F83" s="2">
        <v>1302</v>
      </c>
      <c r="G83" s="2">
        <v>3960</v>
      </c>
      <c r="H83">
        <v>6</v>
      </c>
      <c r="I83" s="2">
        <v>293750</v>
      </c>
      <c r="J83">
        <v>577.70833333333337</v>
      </c>
      <c r="K83">
        <v>421.04166666666669</v>
      </c>
      <c r="L83" s="2">
        <v>125.0640509259259</v>
      </c>
      <c r="M83" s="2">
        <v>389.45972820682795</v>
      </c>
      <c r="N83" s="109">
        <v>614.42332309267795</v>
      </c>
      <c r="O83">
        <f t="shared" si="10"/>
        <v>0</v>
      </c>
      <c r="P83">
        <f t="shared" si="7"/>
        <v>0</v>
      </c>
      <c r="Q83" s="2">
        <f t="shared" si="8"/>
        <v>3960</v>
      </c>
      <c r="R83">
        <f t="shared" si="9"/>
        <v>0</v>
      </c>
    </row>
    <row r="84" spans="1:18" x14ac:dyDescent="0.35">
      <c r="A84" t="s">
        <v>317</v>
      </c>
      <c r="B84" t="s">
        <v>24</v>
      </c>
      <c r="C84" t="s">
        <v>24</v>
      </c>
      <c r="D84" t="s">
        <v>318</v>
      </c>
      <c r="E84" s="2">
        <v>815000</v>
      </c>
      <c r="F84" s="2">
        <v>2260</v>
      </c>
      <c r="G84" s="2">
        <v>2640</v>
      </c>
      <c r="H84">
        <v>4</v>
      </c>
      <c r="I84" s="2">
        <v>203750</v>
      </c>
      <c r="J84">
        <v>400.70833333333331</v>
      </c>
      <c r="K84">
        <v>292.04166666666669</v>
      </c>
      <c r="L84" s="2">
        <v>166.06319444444441</v>
      </c>
      <c r="M84" s="2">
        <v>393.33976833976834</v>
      </c>
      <c r="N84" s="109">
        <v>350.10140117994104</v>
      </c>
      <c r="O84">
        <f t="shared" si="10"/>
        <v>0</v>
      </c>
      <c r="P84">
        <f t="shared" si="7"/>
        <v>0</v>
      </c>
      <c r="Q84" s="2">
        <f t="shared" si="8"/>
        <v>2640</v>
      </c>
      <c r="R84">
        <f t="shared" si="9"/>
        <v>0</v>
      </c>
    </row>
    <row r="85" spans="1:18" x14ac:dyDescent="0.35">
      <c r="A85" t="s">
        <v>320</v>
      </c>
      <c r="B85" t="s">
        <v>24</v>
      </c>
      <c r="C85" t="s">
        <v>24</v>
      </c>
      <c r="D85" t="s">
        <v>322</v>
      </c>
      <c r="E85" s="2">
        <v>885000</v>
      </c>
      <c r="F85" s="2">
        <v>3054</v>
      </c>
      <c r="G85" s="2">
        <v>3300</v>
      </c>
      <c r="H85">
        <v>5</v>
      </c>
      <c r="I85" s="2">
        <v>221250</v>
      </c>
      <c r="J85">
        <v>435.125</v>
      </c>
      <c r="K85">
        <v>317.125</v>
      </c>
      <c r="L85" s="2">
        <v>159.06607638888889</v>
      </c>
      <c r="M85" s="2">
        <v>395.9731543624161</v>
      </c>
      <c r="N85" s="109">
        <v>292.39194499017685</v>
      </c>
      <c r="O85">
        <f t="shared" si="10"/>
        <v>0</v>
      </c>
      <c r="P85">
        <f t="shared" si="7"/>
        <v>0</v>
      </c>
      <c r="Q85" s="2">
        <f t="shared" si="8"/>
        <v>3300</v>
      </c>
      <c r="R85">
        <f t="shared" si="9"/>
        <v>0</v>
      </c>
    </row>
    <row r="86" spans="1:18" x14ac:dyDescent="0.35">
      <c r="A86" t="s">
        <v>636</v>
      </c>
      <c r="B86" t="s">
        <v>24</v>
      </c>
      <c r="C86" t="s">
        <v>24</v>
      </c>
      <c r="D86" t="s">
        <v>637</v>
      </c>
      <c r="E86" s="2">
        <v>1300000</v>
      </c>
      <c r="F86" s="2">
        <v>3125</v>
      </c>
      <c r="G86" s="2">
        <v>3960</v>
      </c>
      <c r="H86">
        <v>6</v>
      </c>
      <c r="I86" s="2">
        <v>325000</v>
      </c>
      <c r="J86">
        <v>639.16666666666663</v>
      </c>
      <c r="K86">
        <v>465.83333333333331</v>
      </c>
      <c r="L86" s="2">
        <v>53.065358796296287</v>
      </c>
      <c r="M86" s="2">
        <v>400.2463054187192</v>
      </c>
      <c r="N86" s="109">
        <v>388.55555555555554</v>
      </c>
      <c r="O86">
        <f t="shared" si="10"/>
        <v>0</v>
      </c>
      <c r="P86">
        <f t="shared" si="7"/>
        <v>0</v>
      </c>
      <c r="Q86" s="2">
        <f t="shared" si="8"/>
        <v>3960</v>
      </c>
      <c r="R86">
        <f t="shared" si="9"/>
        <v>0</v>
      </c>
    </row>
    <row r="87" spans="1:18" x14ac:dyDescent="0.35">
      <c r="A87" t="s">
        <v>455</v>
      </c>
      <c r="B87" t="s">
        <v>24</v>
      </c>
      <c r="C87" t="s">
        <v>24</v>
      </c>
      <c r="D87" t="s">
        <v>456</v>
      </c>
      <c r="E87" s="2">
        <v>1100000</v>
      </c>
      <c r="F87" s="2">
        <v>2159</v>
      </c>
      <c r="G87" s="2">
        <v>3960</v>
      </c>
      <c r="H87">
        <v>6</v>
      </c>
      <c r="I87" s="2">
        <v>275000</v>
      </c>
      <c r="J87">
        <v>540.83333333333337</v>
      </c>
      <c r="K87">
        <v>394.16666666666669</v>
      </c>
      <c r="L87" s="2">
        <v>73.063252314814818</v>
      </c>
      <c r="M87" s="2">
        <v>402.93040293040292</v>
      </c>
      <c r="N87" s="109">
        <v>407.5253460964438</v>
      </c>
      <c r="O87">
        <f t="shared" si="10"/>
        <v>0</v>
      </c>
      <c r="P87">
        <f t="shared" si="7"/>
        <v>0</v>
      </c>
      <c r="Q87" s="2">
        <f t="shared" si="8"/>
        <v>3960</v>
      </c>
      <c r="R87">
        <f t="shared" si="9"/>
        <v>0</v>
      </c>
    </row>
    <row r="88" spans="1:18" x14ac:dyDescent="0.35">
      <c r="A88" t="s">
        <v>392</v>
      </c>
      <c r="B88" t="s">
        <v>24</v>
      </c>
      <c r="C88" t="s">
        <v>24</v>
      </c>
      <c r="D88" t="s">
        <v>393</v>
      </c>
      <c r="E88" s="2">
        <v>799900</v>
      </c>
      <c r="F88" s="2">
        <v>2151</v>
      </c>
      <c r="G88" s="2">
        <v>2640</v>
      </c>
      <c r="H88">
        <v>4</v>
      </c>
      <c r="I88" s="2">
        <v>199975</v>
      </c>
      <c r="J88">
        <v>393.28416666666658</v>
      </c>
      <c r="K88">
        <v>286.63083333333333</v>
      </c>
      <c r="L88" s="2">
        <v>108.0649421296296</v>
      </c>
      <c r="M88" s="2">
        <v>405.01265822784808</v>
      </c>
      <c r="N88" s="109">
        <v>352.58260692701072</v>
      </c>
      <c r="O88">
        <f t="shared" si="10"/>
        <v>0</v>
      </c>
      <c r="P88">
        <f t="shared" si="7"/>
        <v>0</v>
      </c>
      <c r="Q88" s="2">
        <f t="shared" si="8"/>
        <v>2640</v>
      </c>
      <c r="R88">
        <f t="shared" si="9"/>
        <v>0</v>
      </c>
    </row>
    <row r="89" spans="1:18" x14ac:dyDescent="0.35">
      <c r="A89" t="s">
        <v>543</v>
      </c>
      <c r="B89" t="s">
        <v>31</v>
      </c>
      <c r="C89" t="s">
        <v>24</v>
      </c>
      <c r="D89" t="s">
        <v>544</v>
      </c>
      <c r="E89" s="2">
        <v>899000</v>
      </c>
      <c r="F89" s="2">
        <v>2163</v>
      </c>
      <c r="G89" s="2">
        <v>2640</v>
      </c>
      <c r="H89">
        <v>4</v>
      </c>
      <c r="I89" s="2">
        <v>224750</v>
      </c>
      <c r="J89">
        <v>442.00833333333333</v>
      </c>
      <c r="K89">
        <v>322.14166666666671</v>
      </c>
      <c r="L89" s="2">
        <v>44.906087962962957</v>
      </c>
      <c r="M89" s="2">
        <v>405.3201082055906</v>
      </c>
      <c r="N89" s="109">
        <v>395.10488904299586</v>
      </c>
      <c r="O89">
        <f t="shared" si="10"/>
        <v>0</v>
      </c>
      <c r="P89">
        <f t="shared" si="7"/>
        <v>0</v>
      </c>
      <c r="Q89" s="2">
        <f t="shared" si="8"/>
        <v>2640</v>
      </c>
      <c r="R89">
        <f t="shared" si="9"/>
        <v>0</v>
      </c>
    </row>
    <row r="90" spans="1:18" x14ac:dyDescent="0.35">
      <c r="A90" t="s">
        <v>600</v>
      </c>
      <c r="B90" t="s">
        <v>24</v>
      </c>
      <c r="C90" t="s">
        <v>24</v>
      </c>
      <c r="D90" t="s">
        <v>601</v>
      </c>
      <c r="E90" s="2">
        <v>659900</v>
      </c>
      <c r="F90" s="2">
        <v>2439</v>
      </c>
      <c r="G90" s="2">
        <v>1980</v>
      </c>
      <c r="H90">
        <v>3</v>
      </c>
      <c r="I90" s="2">
        <v>164975</v>
      </c>
      <c r="J90">
        <v>324.45083333333332</v>
      </c>
      <c r="K90">
        <v>236.4641666666667</v>
      </c>
      <c r="L90" s="2">
        <v>18.028240740740738</v>
      </c>
      <c r="M90" s="2">
        <v>409.87577639751555</v>
      </c>
      <c r="N90" s="109">
        <v>318.58640836408364</v>
      </c>
      <c r="O90">
        <f t="shared" si="10"/>
        <v>0</v>
      </c>
      <c r="P90">
        <f t="shared" si="7"/>
        <v>0</v>
      </c>
      <c r="Q90" s="2">
        <f t="shared" si="8"/>
        <v>1980</v>
      </c>
      <c r="R90">
        <f t="shared" si="9"/>
        <v>0</v>
      </c>
    </row>
    <row r="91" spans="1:18" x14ac:dyDescent="0.35">
      <c r="A91" t="s">
        <v>534</v>
      </c>
      <c r="B91" t="s">
        <v>30</v>
      </c>
      <c r="C91" t="s">
        <v>525</v>
      </c>
      <c r="D91" t="s">
        <v>535</v>
      </c>
      <c r="E91" s="2">
        <v>774900</v>
      </c>
      <c r="F91" s="2" t="s">
        <v>23</v>
      </c>
      <c r="G91" s="2">
        <v>1980</v>
      </c>
      <c r="H91">
        <v>3</v>
      </c>
      <c r="I91" s="2">
        <v>193725</v>
      </c>
      <c r="J91">
        <v>380.99250000000001</v>
      </c>
      <c r="K91">
        <v>277.67250000000001</v>
      </c>
      <c r="L91" s="2">
        <v>24.06420138888889</v>
      </c>
      <c r="M91" s="2">
        <v>414.38502673796791</v>
      </c>
      <c r="N91" s="109">
        <v>430.5</v>
      </c>
      <c r="O91">
        <f t="shared" si="10"/>
        <v>0</v>
      </c>
      <c r="P91">
        <f t="shared" si="7"/>
        <v>0</v>
      </c>
      <c r="Q91" s="2">
        <f t="shared" si="8"/>
        <v>1980</v>
      </c>
      <c r="R91">
        <f t="shared" si="9"/>
        <v>0</v>
      </c>
    </row>
    <row r="92" spans="1:18" x14ac:dyDescent="0.35">
      <c r="A92" t="s">
        <v>524</v>
      </c>
      <c r="B92" t="s">
        <v>30</v>
      </c>
      <c r="C92" t="s">
        <v>525</v>
      </c>
      <c r="D92" t="s">
        <v>526</v>
      </c>
      <c r="E92" s="2">
        <v>774900</v>
      </c>
      <c r="F92" s="2" t="s">
        <v>23</v>
      </c>
      <c r="G92" s="2">
        <v>1980</v>
      </c>
      <c r="H92">
        <v>3</v>
      </c>
      <c r="I92" s="2">
        <v>193725</v>
      </c>
      <c r="J92">
        <v>380.99250000000001</v>
      </c>
      <c r="K92">
        <v>277.67250000000001</v>
      </c>
      <c r="L92" s="2">
        <v>24.06420138888889</v>
      </c>
      <c r="M92" s="2">
        <v>414.38502673796791</v>
      </c>
      <c r="N92" s="109">
        <v>430.5</v>
      </c>
      <c r="O92">
        <f t="shared" si="10"/>
        <v>0</v>
      </c>
      <c r="P92">
        <f t="shared" si="7"/>
        <v>0</v>
      </c>
      <c r="Q92" s="2">
        <f t="shared" si="8"/>
        <v>1980</v>
      </c>
      <c r="R92">
        <f t="shared" si="9"/>
        <v>0</v>
      </c>
    </row>
    <row r="93" spans="1:18" x14ac:dyDescent="0.35">
      <c r="A93" t="s">
        <v>645</v>
      </c>
      <c r="B93" t="s">
        <v>24</v>
      </c>
      <c r="C93" t="s">
        <v>24</v>
      </c>
      <c r="D93" t="s">
        <v>646</v>
      </c>
      <c r="E93" s="2">
        <v>1200000</v>
      </c>
      <c r="F93" s="2">
        <v>1678</v>
      </c>
      <c r="G93" s="2">
        <v>3960</v>
      </c>
      <c r="H93">
        <v>6</v>
      </c>
      <c r="I93" s="2">
        <v>300000</v>
      </c>
      <c r="J93">
        <v>590</v>
      </c>
      <c r="K93">
        <v>430</v>
      </c>
      <c r="L93" s="2">
        <v>27.063449074074079</v>
      </c>
      <c r="M93" s="2">
        <v>420.16806722689074</v>
      </c>
      <c r="N93" s="109">
        <v>524.23520063567742</v>
      </c>
      <c r="O93">
        <f t="shared" si="10"/>
        <v>0</v>
      </c>
      <c r="P93">
        <f t="shared" si="7"/>
        <v>0</v>
      </c>
      <c r="Q93" s="2">
        <f t="shared" si="8"/>
        <v>3960</v>
      </c>
      <c r="R93">
        <f t="shared" si="9"/>
        <v>0</v>
      </c>
    </row>
    <row r="94" spans="1:18" x14ac:dyDescent="0.35">
      <c r="A94" t="s">
        <v>308</v>
      </c>
      <c r="B94" t="s">
        <v>24</v>
      </c>
      <c r="C94" t="s">
        <v>24</v>
      </c>
      <c r="D94" t="s">
        <v>309</v>
      </c>
      <c r="E94" s="2">
        <v>10580000</v>
      </c>
      <c r="F94" s="2" t="s">
        <v>23</v>
      </c>
      <c r="G94" s="2">
        <v>26400</v>
      </c>
      <c r="H94">
        <v>40</v>
      </c>
      <c r="I94" s="2">
        <v>2645000</v>
      </c>
      <c r="J94" s="3">
        <v>5201.833333333333</v>
      </c>
      <c r="K94" s="3">
        <v>3791.166666666667</v>
      </c>
      <c r="L94" s="2">
        <v>145.06571759259259</v>
      </c>
      <c r="M94" s="2">
        <v>423.2</v>
      </c>
      <c r="N94" s="109">
        <v>440.83333333333331</v>
      </c>
      <c r="O94">
        <f t="shared" si="10"/>
        <v>0</v>
      </c>
      <c r="P94">
        <f t="shared" si="7"/>
        <v>0</v>
      </c>
      <c r="Q94" s="2">
        <f t="shared" si="8"/>
        <v>26400</v>
      </c>
      <c r="R94">
        <f t="shared" si="9"/>
        <v>0</v>
      </c>
    </row>
    <row r="95" spans="1:18" x14ac:dyDescent="0.35">
      <c r="A95" t="s">
        <v>42</v>
      </c>
      <c r="B95" t="s">
        <v>24</v>
      </c>
      <c r="C95" t="s">
        <v>24</v>
      </c>
      <c r="D95" t="s">
        <v>44</v>
      </c>
      <c r="E95" s="2">
        <v>1375000</v>
      </c>
      <c r="F95" s="2">
        <v>2152</v>
      </c>
      <c r="G95" s="2">
        <v>4620</v>
      </c>
      <c r="H95">
        <v>7</v>
      </c>
      <c r="I95" s="2">
        <v>343750</v>
      </c>
      <c r="J95">
        <v>676.04166666666663</v>
      </c>
      <c r="K95">
        <v>492.70833333333331</v>
      </c>
      <c r="L95" s="2">
        <v>374.06459490740741</v>
      </c>
      <c r="M95" s="2">
        <v>442.12218649517683</v>
      </c>
      <c r="N95" s="109">
        <v>483.16073641352455</v>
      </c>
      <c r="O95">
        <f t="shared" si="10"/>
        <v>0</v>
      </c>
      <c r="P95">
        <f t="shared" si="7"/>
        <v>0</v>
      </c>
      <c r="Q95" s="2">
        <f t="shared" si="8"/>
        <v>4620</v>
      </c>
      <c r="R95">
        <f t="shared" si="9"/>
        <v>0</v>
      </c>
    </row>
    <row r="96" spans="1:18" x14ac:dyDescent="0.35">
      <c r="A96" t="s">
        <v>624</v>
      </c>
      <c r="B96" t="s">
        <v>24</v>
      </c>
      <c r="C96" t="s">
        <v>24</v>
      </c>
      <c r="D96" t="s">
        <v>625</v>
      </c>
      <c r="E96" s="2">
        <v>6750000</v>
      </c>
      <c r="F96" s="2" t="s">
        <v>23</v>
      </c>
      <c r="G96" s="2">
        <v>17820</v>
      </c>
      <c r="H96">
        <v>27</v>
      </c>
      <c r="I96" s="2">
        <v>1687500</v>
      </c>
      <c r="J96">
        <v>3318.75</v>
      </c>
      <c r="K96">
        <v>2418.75</v>
      </c>
      <c r="L96" s="2">
        <v>52.065439814814823</v>
      </c>
      <c r="M96" s="2">
        <v>448.14765635373789</v>
      </c>
      <c r="N96" s="109">
        <v>416.66666666666669</v>
      </c>
      <c r="O96">
        <f t="shared" si="10"/>
        <v>0</v>
      </c>
      <c r="P96">
        <f t="shared" si="7"/>
        <v>0</v>
      </c>
      <c r="Q96" s="2">
        <f t="shared" si="8"/>
        <v>17820</v>
      </c>
      <c r="R96">
        <f t="shared" si="9"/>
        <v>0</v>
      </c>
    </row>
    <row r="97" spans="1:18" x14ac:dyDescent="0.35">
      <c r="A97" t="s">
        <v>476</v>
      </c>
      <c r="B97" t="s">
        <v>24</v>
      </c>
      <c r="C97" t="s">
        <v>24</v>
      </c>
      <c r="D97" t="s">
        <v>477</v>
      </c>
      <c r="E97" s="2">
        <v>725000</v>
      </c>
      <c r="F97" s="2">
        <v>2067</v>
      </c>
      <c r="G97" s="2">
        <v>2640</v>
      </c>
      <c r="H97">
        <v>4</v>
      </c>
      <c r="I97" s="2">
        <v>181250</v>
      </c>
      <c r="J97">
        <v>356.45833333333331</v>
      </c>
      <c r="K97">
        <v>259.79166666666669</v>
      </c>
      <c r="L97" s="2">
        <v>281.06583333333327</v>
      </c>
      <c r="M97" s="2">
        <v>450.87064676616916</v>
      </c>
      <c r="N97" s="109">
        <v>326.41660619254958</v>
      </c>
      <c r="O97">
        <f t="shared" si="10"/>
        <v>0</v>
      </c>
      <c r="P97">
        <f t="shared" si="7"/>
        <v>0</v>
      </c>
      <c r="Q97" s="2">
        <f t="shared" si="8"/>
        <v>2640</v>
      </c>
      <c r="R97">
        <f t="shared" si="9"/>
        <v>0</v>
      </c>
    </row>
    <row r="98" spans="1:18" x14ac:dyDescent="0.35">
      <c r="A98" t="s">
        <v>609</v>
      </c>
      <c r="B98" t="s">
        <v>24</v>
      </c>
      <c r="C98" t="s">
        <v>24</v>
      </c>
      <c r="D98" t="s">
        <v>610</v>
      </c>
      <c r="E98" s="2">
        <v>950000</v>
      </c>
      <c r="F98" s="2">
        <v>2263</v>
      </c>
      <c r="G98" s="2">
        <v>2640</v>
      </c>
      <c r="H98">
        <v>4</v>
      </c>
      <c r="I98" s="2">
        <v>237500</v>
      </c>
      <c r="J98" s="3">
        <v>467.08333333333331</v>
      </c>
      <c r="K98" s="3">
        <v>340.41666666666669</v>
      </c>
      <c r="L98" s="2">
        <v>11.063414351851851</v>
      </c>
      <c r="M98" s="2">
        <v>473.81546134663341</v>
      </c>
      <c r="N98" s="109">
        <v>407.81503166887614</v>
      </c>
      <c r="O98">
        <f t="shared" si="10"/>
        <v>0</v>
      </c>
      <c r="P98">
        <f t="shared" si="7"/>
        <v>0</v>
      </c>
      <c r="Q98" s="2">
        <f t="shared" si="8"/>
        <v>2640</v>
      </c>
      <c r="R98">
        <f t="shared" si="9"/>
        <v>0</v>
      </c>
    </row>
    <row r="99" spans="1:18" x14ac:dyDescent="0.35">
      <c r="A99" t="s">
        <v>660</v>
      </c>
      <c r="B99" t="s">
        <v>24</v>
      </c>
      <c r="C99" t="s">
        <v>24</v>
      </c>
      <c r="D99" t="s">
        <v>661</v>
      </c>
      <c r="E99" s="2">
        <v>779900</v>
      </c>
      <c r="F99" s="2">
        <v>1877</v>
      </c>
      <c r="G99" s="2">
        <v>2640</v>
      </c>
      <c r="H99">
        <v>4</v>
      </c>
      <c r="I99" s="2">
        <v>194975</v>
      </c>
      <c r="J99">
        <v>383.45083333333332</v>
      </c>
      <c r="K99">
        <v>279.4641666666667</v>
      </c>
      <c r="L99" s="2">
        <v>37.065347222222222</v>
      </c>
      <c r="M99" s="2">
        <v>474.10334346504561</v>
      </c>
      <c r="N99" s="109">
        <v>370.23089815308117</v>
      </c>
      <c r="O99">
        <f t="shared" si="10"/>
        <v>0</v>
      </c>
      <c r="P99">
        <f t="shared" si="7"/>
        <v>0</v>
      </c>
      <c r="Q99" s="2">
        <f t="shared" si="8"/>
        <v>2640</v>
      </c>
      <c r="R99">
        <f t="shared" si="9"/>
        <v>0</v>
      </c>
    </row>
    <row r="100" spans="1:18" x14ac:dyDescent="0.35">
      <c r="A100" t="s">
        <v>564</v>
      </c>
      <c r="B100" t="s">
        <v>24</v>
      </c>
      <c r="C100" t="s">
        <v>24</v>
      </c>
      <c r="D100" t="s">
        <v>565</v>
      </c>
      <c r="E100" s="2">
        <v>1200000</v>
      </c>
      <c r="F100" s="2">
        <v>1529</v>
      </c>
      <c r="G100" s="2">
        <v>5280</v>
      </c>
      <c r="H100">
        <v>8</v>
      </c>
      <c r="I100" s="2">
        <v>300000</v>
      </c>
      <c r="J100">
        <v>590</v>
      </c>
      <c r="K100">
        <v>430</v>
      </c>
      <c r="L100" s="2">
        <v>1.1549652777777779</v>
      </c>
      <c r="M100" s="2">
        <v>495.45829892650704</v>
      </c>
      <c r="N100" s="109">
        <v>517.41334205362978</v>
      </c>
      <c r="O100">
        <f t="shared" si="10"/>
        <v>0</v>
      </c>
      <c r="P100">
        <f t="shared" si="7"/>
        <v>0</v>
      </c>
      <c r="Q100" s="2">
        <f t="shared" si="8"/>
        <v>5280</v>
      </c>
      <c r="R100">
        <f t="shared" si="9"/>
        <v>0</v>
      </c>
    </row>
    <row r="101" spans="1:18" x14ac:dyDescent="0.35">
      <c r="A101" t="s">
        <v>546</v>
      </c>
      <c r="B101" t="s">
        <v>31</v>
      </c>
      <c r="C101" t="s">
        <v>24</v>
      </c>
      <c r="D101" t="s">
        <v>547</v>
      </c>
      <c r="E101" s="2">
        <v>750000</v>
      </c>
      <c r="F101" s="2" t="s">
        <v>23</v>
      </c>
      <c r="G101" s="2">
        <v>2640</v>
      </c>
      <c r="H101">
        <v>4</v>
      </c>
      <c r="I101" s="2">
        <v>187500</v>
      </c>
      <c r="J101">
        <v>368.75</v>
      </c>
      <c r="K101">
        <v>268.75</v>
      </c>
      <c r="L101" s="2">
        <v>32.065081018518519</v>
      </c>
      <c r="M101" s="2">
        <v>551.47058823529414</v>
      </c>
      <c r="N101" s="109">
        <v>312.5</v>
      </c>
      <c r="O101">
        <f t="shared" si="10"/>
        <v>0</v>
      </c>
      <c r="P101">
        <f t="shared" si="7"/>
        <v>0</v>
      </c>
      <c r="Q101" s="2">
        <f t="shared" si="8"/>
        <v>2640</v>
      </c>
      <c r="R101">
        <f t="shared" si="9"/>
        <v>0</v>
      </c>
    </row>
    <row r="102" spans="1:18" x14ac:dyDescent="0.35">
      <c r="A102" t="s">
        <v>549</v>
      </c>
      <c r="B102" t="s">
        <v>31</v>
      </c>
      <c r="C102" t="s">
        <v>24</v>
      </c>
      <c r="D102" t="s">
        <v>550</v>
      </c>
      <c r="E102" s="2">
        <v>6400000</v>
      </c>
      <c r="F102" s="2" t="s">
        <v>23</v>
      </c>
      <c r="G102" s="2">
        <v>10560</v>
      </c>
      <c r="H102">
        <v>16</v>
      </c>
      <c r="I102" s="2">
        <v>1600000</v>
      </c>
      <c r="J102">
        <v>3146.666666666667</v>
      </c>
      <c r="K102">
        <v>2293.333333333333</v>
      </c>
      <c r="L102" s="2">
        <v>19.064409722222219</v>
      </c>
      <c r="M102" s="2">
        <v>702.98769771528998</v>
      </c>
      <c r="N102" s="109">
        <v>666.66666666666663</v>
      </c>
      <c r="O102">
        <f t="shared" si="10"/>
        <v>0</v>
      </c>
      <c r="P102">
        <f t="shared" si="7"/>
        <v>0</v>
      </c>
      <c r="Q102" s="2">
        <f t="shared" si="8"/>
        <v>10560</v>
      </c>
      <c r="R102">
        <f t="shared" si="9"/>
        <v>0</v>
      </c>
    </row>
    <row r="103" spans="1:18" x14ac:dyDescent="0.35">
      <c r="A103" t="s">
        <v>485</v>
      </c>
      <c r="B103" t="s">
        <v>24</v>
      </c>
      <c r="C103" t="s">
        <v>24</v>
      </c>
      <c r="D103" t="s">
        <v>486</v>
      </c>
      <c r="E103" s="2">
        <v>2000000</v>
      </c>
      <c r="F103" s="2" t="s">
        <v>23</v>
      </c>
      <c r="G103" s="2">
        <v>2640</v>
      </c>
      <c r="H103">
        <v>4</v>
      </c>
      <c r="I103" s="2">
        <v>500000</v>
      </c>
      <c r="J103">
        <v>983.33333333333337</v>
      </c>
      <c r="K103">
        <v>716.66666666666663</v>
      </c>
      <c r="L103" s="2">
        <v>89.065810185185185</v>
      </c>
      <c r="M103" s="2">
        <v>714.28571428571433</v>
      </c>
      <c r="N103" s="109">
        <v>833.33333333333337</v>
      </c>
      <c r="O103">
        <f t="shared" si="10"/>
        <v>0</v>
      </c>
      <c r="P103">
        <f t="shared" si="7"/>
        <v>0</v>
      </c>
      <c r="Q103" s="2">
        <f t="shared" si="8"/>
        <v>2640</v>
      </c>
      <c r="R103">
        <f t="shared" si="9"/>
        <v>0</v>
      </c>
    </row>
    <row r="104" spans="1:18" x14ac:dyDescent="0.35">
      <c r="A104" t="s">
        <v>491</v>
      </c>
      <c r="B104" t="s">
        <v>24</v>
      </c>
      <c r="C104" t="s">
        <v>24</v>
      </c>
      <c r="D104" t="s">
        <v>492</v>
      </c>
      <c r="E104" s="2">
        <v>990000</v>
      </c>
      <c r="F104" s="2" t="s">
        <v>23</v>
      </c>
      <c r="G104" s="2">
        <v>0</v>
      </c>
      <c r="I104" s="2">
        <v>247500</v>
      </c>
      <c r="J104">
        <v>486.75</v>
      </c>
      <c r="K104">
        <v>354.75</v>
      </c>
      <c r="L104" s="2">
        <v>115.0653240740741</v>
      </c>
      <c r="M104" s="2">
        <v>990000</v>
      </c>
      <c r="N104" s="109">
        <v>1650</v>
      </c>
      <c r="O104">
        <f t="shared" si="10"/>
        <v>0</v>
      </c>
      <c r="P104">
        <f t="shared" si="7"/>
        <v>0</v>
      </c>
      <c r="Q104" s="2">
        <f t="shared" si="8"/>
        <v>0</v>
      </c>
      <c r="R104">
        <f t="shared" si="9"/>
        <v>0</v>
      </c>
    </row>
    <row r="105" spans="1:18" x14ac:dyDescent="0.35">
      <c r="A105" t="s">
        <v>669</v>
      </c>
      <c r="B105" t="s">
        <v>24</v>
      </c>
      <c r="C105" t="s">
        <v>24</v>
      </c>
      <c r="D105" t="s">
        <v>670</v>
      </c>
      <c r="E105" s="2">
        <v>1070000</v>
      </c>
      <c r="F105" s="2">
        <v>1552</v>
      </c>
      <c r="G105" s="2">
        <v>0</v>
      </c>
      <c r="I105" s="2">
        <v>267500</v>
      </c>
      <c r="J105">
        <v>526.08333333333337</v>
      </c>
      <c r="K105">
        <v>383.41666666666669</v>
      </c>
      <c r="L105" s="2">
        <v>25.064745370370371</v>
      </c>
      <c r="M105" s="2">
        <v>1070000</v>
      </c>
      <c r="N105" s="109">
        <v>1236.3831615120273</v>
      </c>
      <c r="O105">
        <f t="shared" si="10"/>
        <v>0</v>
      </c>
      <c r="P105">
        <f t="shared" si="7"/>
        <v>0</v>
      </c>
      <c r="Q105" s="2">
        <f t="shared" si="8"/>
        <v>0</v>
      </c>
      <c r="R105">
        <f t="shared" si="9"/>
        <v>0</v>
      </c>
    </row>
    <row r="106" spans="1:18" x14ac:dyDescent="0.35">
      <c r="A106" t="s">
        <v>22</v>
      </c>
      <c r="G106" s="2">
        <v>531300</v>
      </c>
      <c r="H106">
        <v>805</v>
      </c>
      <c r="I106" s="2">
        <v>38288473.5</v>
      </c>
      <c r="J106">
        <v>75300.664549999972</v>
      </c>
      <c r="K106">
        <v>54880.145350000013</v>
      </c>
      <c r="L106" s="2">
        <v>9251.2557870370329</v>
      </c>
      <c r="M106" s="2">
        <v>328.55771656583858</v>
      </c>
      <c r="N106" s="109">
        <v>17787.430448573701</v>
      </c>
      <c r="O106">
        <f t="shared" si="10"/>
        <v>0</v>
      </c>
      <c r="P106">
        <f t="shared" ref="P106:P133" si="11">IFERROR(_xlfn.XLOOKUP(A106,$T$1:$T$13,$U$1:$U$13,,0),0)</f>
        <v>0</v>
      </c>
      <c r="Q106" s="2">
        <f t="shared" ref="Q106:Q131" si="12">IF(P106&gt;1,P106,G106)</f>
        <v>531300</v>
      </c>
      <c r="R106">
        <f t="shared" ref="R106:R132" si="13">IFERROR(_xlfn.XLOOKUP(A106,$T$1:$T$13,$V$1:$V$13,,0),0)</f>
        <v>0</v>
      </c>
    </row>
    <row r="107" spans="1:18" x14ac:dyDescent="0.35">
      <c r="O107">
        <f t="shared" si="10"/>
        <v>0</v>
      </c>
      <c r="P107">
        <f t="shared" si="11"/>
        <v>0</v>
      </c>
      <c r="Q107" s="2">
        <f t="shared" si="12"/>
        <v>0</v>
      </c>
      <c r="R107">
        <f t="shared" si="13"/>
        <v>0</v>
      </c>
    </row>
    <row r="108" spans="1:18" x14ac:dyDescent="0.35">
      <c r="O108">
        <f t="shared" si="10"/>
        <v>0</v>
      </c>
      <c r="P108">
        <f t="shared" si="11"/>
        <v>0</v>
      </c>
      <c r="Q108" s="2">
        <f t="shared" si="12"/>
        <v>0</v>
      </c>
      <c r="R108">
        <f t="shared" si="13"/>
        <v>0</v>
      </c>
    </row>
    <row r="109" spans="1:18" x14ac:dyDescent="0.35">
      <c r="O109">
        <f t="shared" si="10"/>
        <v>0</v>
      </c>
      <c r="P109">
        <f t="shared" si="11"/>
        <v>0</v>
      </c>
      <c r="Q109" s="2">
        <f t="shared" si="12"/>
        <v>0</v>
      </c>
      <c r="R109">
        <f t="shared" si="13"/>
        <v>0</v>
      </c>
    </row>
    <row r="110" spans="1:18" x14ac:dyDescent="0.35">
      <c r="O110">
        <f t="shared" si="10"/>
        <v>0</v>
      </c>
      <c r="P110">
        <f t="shared" si="11"/>
        <v>0</v>
      </c>
      <c r="Q110" s="2">
        <f t="shared" si="12"/>
        <v>0</v>
      </c>
      <c r="R110">
        <f t="shared" si="13"/>
        <v>0</v>
      </c>
    </row>
    <row r="111" spans="1:18" x14ac:dyDescent="0.35">
      <c r="O111">
        <f t="shared" si="10"/>
        <v>0</v>
      </c>
      <c r="P111">
        <f t="shared" si="11"/>
        <v>0</v>
      </c>
      <c r="Q111" s="2">
        <f t="shared" si="12"/>
        <v>0</v>
      </c>
      <c r="R111">
        <f t="shared" si="13"/>
        <v>0</v>
      </c>
    </row>
    <row r="112" spans="1:18" x14ac:dyDescent="0.35">
      <c r="O112">
        <f t="shared" si="10"/>
        <v>0</v>
      </c>
      <c r="P112">
        <f t="shared" si="11"/>
        <v>0</v>
      </c>
      <c r="Q112" s="2">
        <f t="shared" si="12"/>
        <v>0</v>
      </c>
      <c r="R112">
        <f t="shared" si="13"/>
        <v>0</v>
      </c>
    </row>
    <row r="113" spans="15:18" x14ac:dyDescent="0.35">
      <c r="O113">
        <f t="shared" si="10"/>
        <v>0</v>
      </c>
      <c r="P113">
        <f t="shared" si="11"/>
        <v>0</v>
      </c>
      <c r="Q113" s="2">
        <f t="shared" si="12"/>
        <v>0</v>
      </c>
      <c r="R113">
        <f t="shared" si="13"/>
        <v>0</v>
      </c>
    </row>
    <row r="114" spans="15:18" x14ac:dyDescent="0.35">
      <c r="O114">
        <f t="shared" si="10"/>
        <v>0</v>
      </c>
      <c r="P114">
        <f t="shared" si="11"/>
        <v>0</v>
      </c>
      <c r="Q114" s="2">
        <f t="shared" si="12"/>
        <v>0</v>
      </c>
      <c r="R114">
        <f t="shared" si="13"/>
        <v>0</v>
      </c>
    </row>
    <row r="115" spans="15:18" x14ac:dyDescent="0.35">
      <c r="O115">
        <f t="shared" si="10"/>
        <v>0</v>
      </c>
      <c r="P115">
        <f t="shared" si="11"/>
        <v>0</v>
      </c>
      <c r="Q115" s="2">
        <f t="shared" si="12"/>
        <v>0</v>
      </c>
      <c r="R115">
        <f t="shared" si="13"/>
        <v>0</v>
      </c>
    </row>
    <row r="116" spans="15:18" x14ac:dyDescent="0.35">
      <c r="O116">
        <f t="shared" si="10"/>
        <v>0</v>
      </c>
      <c r="P116">
        <f t="shared" si="11"/>
        <v>0</v>
      </c>
      <c r="Q116" s="2">
        <f t="shared" si="12"/>
        <v>0</v>
      </c>
      <c r="R116">
        <f t="shared" si="13"/>
        <v>0</v>
      </c>
    </row>
    <row r="117" spans="15:18" x14ac:dyDescent="0.35">
      <c r="O117">
        <f t="shared" si="10"/>
        <v>0</v>
      </c>
      <c r="P117">
        <f t="shared" si="11"/>
        <v>0</v>
      </c>
      <c r="Q117" s="2">
        <f t="shared" si="12"/>
        <v>0</v>
      </c>
      <c r="R117">
        <f t="shared" si="13"/>
        <v>0</v>
      </c>
    </row>
    <row r="118" spans="15:18" x14ac:dyDescent="0.35">
      <c r="O118">
        <f t="shared" si="10"/>
        <v>0</v>
      </c>
      <c r="P118">
        <f t="shared" si="11"/>
        <v>0</v>
      </c>
      <c r="Q118" s="2">
        <f t="shared" si="12"/>
        <v>0</v>
      </c>
      <c r="R118">
        <f t="shared" si="13"/>
        <v>0</v>
      </c>
    </row>
    <row r="119" spans="15:18" x14ac:dyDescent="0.35">
      <c r="O119">
        <f t="shared" si="10"/>
        <v>0</v>
      </c>
      <c r="P119">
        <f t="shared" si="11"/>
        <v>0</v>
      </c>
      <c r="Q119" s="2">
        <f t="shared" si="12"/>
        <v>0</v>
      </c>
      <c r="R119">
        <f t="shared" si="13"/>
        <v>0</v>
      </c>
    </row>
    <row r="120" spans="15:18" x14ac:dyDescent="0.35">
      <c r="O120">
        <f t="shared" si="10"/>
        <v>0</v>
      </c>
      <c r="P120">
        <f t="shared" si="11"/>
        <v>0</v>
      </c>
      <c r="Q120" s="2">
        <f t="shared" si="12"/>
        <v>0</v>
      </c>
      <c r="R120">
        <f t="shared" si="13"/>
        <v>0</v>
      </c>
    </row>
    <row r="121" spans="15:18" x14ac:dyDescent="0.35">
      <c r="O121">
        <f t="shared" si="10"/>
        <v>0</v>
      </c>
      <c r="P121">
        <f t="shared" si="11"/>
        <v>0</v>
      </c>
      <c r="Q121" s="2">
        <f t="shared" si="12"/>
        <v>0</v>
      </c>
      <c r="R121">
        <f t="shared" si="13"/>
        <v>0</v>
      </c>
    </row>
    <row r="122" spans="15:18" x14ac:dyDescent="0.35">
      <c r="O122">
        <f t="shared" si="10"/>
        <v>0</v>
      </c>
      <c r="P122">
        <f t="shared" si="11"/>
        <v>0</v>
      </c>
      <c r="Q122" s="2">
        <f t="shared" si="12"/>
        <v>0</v>
      </c>
      <c r="R122">
        <f t="shared" si="13"/>
        <v>0</v>
      </c>
    </row>
    <row r="123" spans="15:18" x14ac:dyDescent="0.35">
      <c r="O123">
        <f t="shared" si="10"/>
        <v>0</v>
      </c>
      <c r="P123">
        <f t="shared" si="11"/>
        <v>0</v>
      </c>
      <c r="Q123" s="2">
        <f t="shared" si="12"/>
        <v>0</v>
      </c>
      <c r="R123">
        <f t="shared" si="13"/>
        <v>0</v>
      </c>
    </row>
    <row r="124" spans="15:18" x14ac:dyDescent="0.35">
      <c r="O124">
        <f t="shared" si="10"/>
        <v>0</v>
      </c>
      <c r="P124">
        <f t="shared" si="11"/>
        <v>0</v>
      </c>
      <c r="Q124" s="2">
        <f t="shared" si="12"/>
        <v>0</v>
      </c>
      <c r="R124">
        <f t="shared" si="13"/>
        <v>0</v>
      </c>
    </row>
    <row r="125" spans="15:18" x14ac:dyDescent="0.35">
      <c r="O125">
        <f t="shared" si="10"/>
        <v>0</v>
      </c>
      <c r="P125">
        <f t="shared" si="11"/>
        <v>0</v>
      </c>
      <c r="Q125" s="2">
        <f t="shared" si="12"/>
        <v>0</v>
      </c>
      <c r="R125">
        <f t="shared" si="13"/>
        <v>0</v>
      </c>
    </row>
    <row r="126" spans="15:18" x14ac:dyDescent="0.35">
      <c r="O126">
        <f t="shared" si="10"/>
        <v>0</v>
      </c>
      <c r="P126">
        <f t="shared" si="11"/>
        <v>0</v>
      </c>
      <c r="Q126" s="2">
        <f t="shared" si="12"/>
        <v>0</v>
      </c>
      <c r="R126">
        <f t="shared" si="13"/>
        <v>0</v>
      </c>
    </row>
    <row r="127" spans="15:18" x14ac:dyDescent="0.35">
      <c r="O127">
        <f t="shared" si="10"/>
        <v>0</v>
      </c>
      <c r="P127">
        <f t="shared" si="11"/>
        <v>0</v>
      </c>
      <c r="Q127" s="2">
        <f t="shared" si="12"/>
        <v>0</v>
      </c>
      <c r="R127">
        <f t="shared" si="13"/>
        <v>0</v>
      </c>
    </row>
    <row r="128" spans="15:18" x14ac:dyDescent="0.35">
      <c r="O128">
        <f t="shared" si="10"/>
        <v>0</v>
      </c>
      <c r="P128">
        <f t="shared" si="11"/>
        <v>0</v>
      </c>
      <c r="Q128" s="2">
        <f t="shared" si="12"/>
        <v>0</v>
      </c>
      <c r="R128">
        <f t="shared" si="13"/>
        <v>0</v>
      </c>
    </row>
    <row r="129" spans="15:18" x14ac:dyDescent="0.35">
      <c r="O129">
        <f t="shared" si="10"/>
        <v>0</v>
      </c>
      <c r="P129">
        <f t="shared" si="11"/>
        <v>0</v>
      </c>
      <c r="Q129" s="2">
        <f t="shared" si="12"/>
        <v>0</v>
      </c>
      <c r="R129">
        <f t="shared" si="13"/>
        <v>0</v>
      </c>
    </row>
    <row r="130" spans="15:18" x14ac:dyDescent="0.35">
      <c r="O130">
        <f t="shared" si="10"/>
        <v>0</v>
      </c>
      <c r="P130">
        <f t="shared" si="11"/>
        <v>0</v>
      </c>
      <c r="Q130" s="2">
        <f t="shared" si="12"/>
        <v>0</v>
      </c>
      <c r="R130">
        <f t="shared" si="13"/>
        <v>0</v>
      </c>
    </row>
    <row r="131" spans="15:18" x14ac:dyDescent="0.35">
      <c r="O131">
        <f t="shared" si="10"/>
        <v>0</v>
      </c>
      <c r="P131">
        <f t="shared" si="11"/>
        <v>0</v>
      </c>
      <c r="Q131" s="2">
        <f t="shared" si="12"/>
        <v>0</v>
      </c>
      <c r="R131">
        <f t="shared" si="13"/>
        <v>0</v>
      </c>
    </row>
    <row r="132" spans="15:18" x14ac:dyDescent="0.35">
      <c r="O132">
        <f t="shared" si="10"/>
        <v>0</v>
      </c>
      <c r="P132">
        <f t="shared" si="11"/>
        <v>0</v>
      </c>
      <c r="R132">
        <f t="shared" si="13"/>
        <v>0</v>
      </c>
    </row>
    <row r="133" spans="15:18" x14ac:dyDescent="0.35">
      <c r="O133">
        <f t="shared" si="10"/>
        <v>0</v>
      </c>
      <c r="P133">
        <f t="shared" si="11"/>
        <v>0</v>
      </c>
    </row>
  </sheetData>
  <conditionalFormatting pivot="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M43 M73 M82 M9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N43 N73 N82 N9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L43 L73 L82 L94 L10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:P133">
    <cfRule type="cellIs" dxfId="3" priority="5" operator="lessThan">
      <formula>0.1</formula>
    </cfRule>
  </conditionalFormatting>
  <conditionalFormatting pivot="1" sqref="L10:L10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M7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N7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3">
    <cfRule type="cellIs" dxfId="2" priority="1" operator="lessThan">
      <formula>0.1</formula>
    </cfRule>
  </conditionalFormatting>
  <pageMargins left="0.7" right="0.7" top="0.75" bottom="0.75" header="0.3" footer="0.3"/>
  <pageSetup orientation="portrait" horizontalDpi="1200" verticalDpi="12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E12D8-43C0-44BB-B07C-133EDE0BBA1F}">
  <sheetPr>
    <tabColor theme="3" tint="0.39997558519241921"/>
  </sheetPr>
  <dimension ref="A1:AA40"/>
  <sheetViews>
    <sheetView workbookViewId="0"/>
  </sheetViews>
  <sheetFormatPr defaultRowHeight="14.5" x14ac:dyDescent="0.35"/>
  <sheetData>
    <row r="1" spans="1:27" x14ac:dyDescent="0.35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</row>
    <row r="2" spans="1:27" x14ac:dyDescent="0.35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</row>
    <row r="3" spans="1:27" x14ac:dyDescent="0.35">
      <c r="A3" s="123"/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</row>
    <row r="4" spans="1:27" x14ac:dyDescent="0.35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</row>
    <row r="5" spans="1:27" x14ac:dyDescent="0.35">
      <c r="A5" s="123"/>
      <c r="B5" s="123"/>
      <c r="C5" s="123"/>
      <c r="D5" s="123"/>
      <c r="E5" s="124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</row>
    <row r="6" spans="1:27" x14ac:dyDescent="0.35">
      <c r="A6" s="123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</row>
    <row r="7" spans="1:27" x14ac:dyDescent="0.35">
      <c r="A7" s="123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</row>
    <row r="8" spans="1:27" x14ac:dyDescent="0.35">
      <c r="A8" s="123"/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</row>
    <row r="9" spans="1:27" x14ac:dyDescent="0.35">
      <c r="A9" s="123"/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</row>
    <row r="10" spans="1:27" x14ac:dyDescent="0.35">
      <c r="A10" s="123"/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</row>
    <row r="11" spans="1:27" x14ac:dyDescent="0.35">
      <c r="A11" s="123"/>
      <c r="B11" s="123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</row>
    <row r="12" spans="1:27" x14ac:dyDescent="0.35">
      <c r="A12" s="123"/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</row>
    <row r="13" spans="1:27" x14ac:dyDescent="0.35">
      <c r="A13" s="123"/>
      <c r="B13" s="123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</row>
    <row r="14" spans="1:27" x14ac:dyDescent="0.35">
      <c r="A14" s="123"/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</row>
    <row r="15" spans="1:27" x14ac:dyDescent="0.35">
      <c r="A15" s="123"/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</row>
    <row r="16" spans="1:27" x14ac:dyDescent="0.35">
      <c r="A16" s="123"/>
      <c r="B16" s="123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</row>
    <row r="17" spans="1:27" x14ac:dyDescent="0.35">
      <c r="A17" s="123"/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</row>
    <row r="18" spans="1:27" x14ac:dyDescent="0.35">
      <c r="A18" s="123"/>
      <c r="B18" s="123"/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</row>
    <row r="19" spans="1:27" x14ac:dyDescent="0.35">
      <c r="A19" s="123"/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</row>
    <row r="20" spans="1:27" x14ac:dyDescent="0.35">
      <c r="A20" s="123"/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</row>
    <row r="21" spans="1:27" x14ac:dyDescent="0.35">
      <c r="A21" s="123"/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</row>
    <row r="22" spans="1:27" x14ac:dyDescent="0.35">
      <c r="A22" s="123"/>
      <c r="B22" s="123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</row>
    <row r="23" spans="1:27" x14ac:dyDescent="0.35">
      <c r="A23" s="123"/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</row>
    <row r="24" spans="1:27" x14ac:dyDescent="0.35">
      <c r="A24" s="123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</row>
    <row r="25" spans="1:27" x14ac:dyDescent="0.35">
      <c r="A25" s="123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</row>
    <row r="26" spans="1:27" x14ac:dyDescent="0.35">
      <c r="A26" s="123"/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</row>
    <row r="27" spans="1:27" x14ac:dyDescent="0.35">
      <c r="A27" s="123"/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</row>
    <row r="28" spans="1:27" x14ac:dyDescent="0.35">
      <c r="A28" s="123"/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</row>
    <row r="29" spans="1:27" x14ac:dyDescent="0.35">
      <c r="A29" s="123"/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</row>
    <row r="30" spans="1:27" x14ac:dyDescent="0.35">
      <c r="A30" s="123"/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</row>
    <row r="31" spans="1:27" x14ac:dyDescent="0.35">
      <c r="A31" s="123"/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</row>
    <row r="32" spans="1:27" x14ac:dyDescent="0.35">
      <c r="A32" s="123"/>
      <c r="B32" s="123"/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</row>
    <row r="33" spans="1:27" x14ac:dyDescent="0.35">
      <c r="A33" s="123"/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</row>
    <row r="34" spans="1:27" x14ac:dyDescent="0.35">
      <c r="A34" s="123"/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</row>
    <row r="35" spans="1:27" x14ac:dyDescent="0.35">
      <c r="A35" s="123"/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</row>
    <row r="36" spans="1:27" x14ac:dyDescent="0.35">
      <c r="A36" s="123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</row>
    <row r="37" spans="1:27" x14ac:dyDescent="0.35">
      <c r="A37" s="123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</row>
    <row r="38" spans="1:27" x14ac:dyDescent="0.35">
      <c r="A38" s="123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</row>
    <row r="39" spans="1:27" x14ac:dyDescent="0.35">
      <c r="A39" s="123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</row>
    <row r="40" spans="1:27" x14ac:dyDescent="0.35">
      <c r="A40" s="123"/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DE20B-01AD-4450-8812-7A7F7F82301F}">
  <dimension ref="A1:O82"/>
  <sheetViews>
    <sheetView showGridLines="0" topLeftCell="A2" zoomScaleNormal="80" workbookViewId="0">
      <pane xSplit="2" ySplit="3" topLeftCell="C5" activePane="bottomRight" state="frozen"/>
      <selection activeCell="B48" sqref="B48"/>
      <selection pane="topRight" activeCell="B48" sqref="B48"/>
      <selection pane="bottomLeft" activeCell="B48" sqref="B48"/>
      <selection pane="bottomRight" activeCell="B5" sqref="B5"/>
    </sheetView>
  </sheetViews>
  <sheetFormatPr defaultColWidth="9.1796875" defaultRowHeight="14.5" x14ac:dyDescent="0.35"/>
  <cols>
    <col min="1" max="1" width="34.81640625" style="40" customWidth="1"/>
    <col min="2" max="2" width="28" style="40" bestFit="1" customWidth="1" collapsed="1"/>
    <col min="3" max="3" width="31.453125" style="40" customWidth="1"/>
    <col min="4" max="4" width="9.1796875" style="40" customWidth="1"/>
    <col min="5" max="8" width="28" style="40" bestFit="1" customWidth="1" collapsed="1"/>
    <col min="9" max="12" width="28" style="40" bestFit="1" customWidth="1"/>
    <col min="13" max="15" width="28" style="40" bestFit="1" customWidth="1" collapsed="1"/>
    <col min="16" max="16384" width="9.1796875" style="40"/>
  </cols>
  <sheetData>
    <row r="1" spans="1:15" s="39" customFormat="1" ht="21" x14ac:dyDescent="0.5">
      <c r="A1" s="39" t="s">
        <v>161</v>
      </c>
    </row>
    <row r="2" spans="1:15" x14ac:dyDescent="0.35">
      <c r="L2" s="41" t="s">
        <v>162</v>
      </c>
    </row>
    <row r="3" spans="1:15" s="42" customFormat="1" x14ac:dyDescent="0.35">
      <c r="A3" s="42" t="s">
        <v>163</v>
      </c>
      <c r="B3" s="41"/>
      <c r="C3" s="43"/>
      <c r="E3" s="41"/>
      <c r="F3" s="41"/>
      <c r="G3" s="41"/>
      <c r="H3" s="41"/>
      <c r="I3" s="41"/>
      <c r="J3" s="41"/>
      <c r="K3" s="41" t="s">
        <v>164</v>
      </c>
      <c r="L3" s="41">
        <v>1692304</v>
      </c>
      <c r="M3" s="41"/>
      <c r="N3" s="41"/>
      <c r="O3" s="41"/>
    </row>
    <row r="4" spans="1:15" x14ac:dyDescent="0.35">
      <c r="B4" s="44" t="s">
        <v>375</v>
      </c>
      <c r="C4" s="40" t="e">
        <f>B5/4</f>
        <v>#N/A</v>
      </c>
      <c r="E4" s="44" t="s">
        <v>375</v>
      </c>
      <c r="F4" s="44" t="s">
        <v>165</v>
      </c>
      <c r="G4" s="44" t="s">
        <v>166</v>
      </c>
      <c r="H4" s="44" t="s">
        <v>167</v>
      </c>
      <c r="I4" s="45" t="s">
        <v>168</v>
      </c>
      <c r="J4" s="45" t="s">
        <v>169</v>
      </c>
      <c r="K4" s="45"/>
      <c r="L4" s="45"/>
      <c r="M4" s="44" t="s">
        <v>170</v>
      </c>
      <c r="N4" s="45" t="s">
        <v>171</v>
      </c>
      <c r="O4" s="44" t="s">
        <v>172</v>
      </c>
    </row>
    <row r="5" spans="1:15" x14ac:dyDescent="0.35">
      <c r="A5" s="46" t="s">
        <v>173</v>
      </c>
      <c r="B5" s="122" t="e">
        <f>_xlfn.XLOOKUP(1,Pivot!$O$10:$O$131,Pivot!$Q$10:$Q$131,,0)</f>
        <v>#N/A</v>
      </c>
      <c r="C5" s="73" t="s">
        <v>370</v>
      </c>
      <c r="E5" s="122" t="e">
        <f>_xlfn.XLOOKUP(1,Pivot!$O$10:$O$131,Pivot!$Q$10:$Q$131,,0)</f>
        <v>#N/A</v>
      </c>
      <c r="F5" s="47">
        <f>1795+995+1195+1195+1495+1150</f>
        <v>7825</v>
      </c>
      <c r="G5" s="47">
        <f>2600+1400+1350</f>
        <v>5350</v>
      </c>
      <c r="H5" s="47">
        <f>1350+1200*3</f>
        <v>4950</v>
      </c>
      <c r="I5" s="47">
        <f>4*700</f>
        <v>2800</v>
      </c>
      <c r="J5" s="47">
        <f>700*4</f>
        <v>2800</v>
      </c>
      <c r="K5" s="47">
        <f>750+1250</f>
        <v>2000</v>
      </c>
      <c r="L5" s="47">
        <f>2500</f>
        <v>2500</v>
      </c>
      <c r="M5" s="47">
        <f>1925+1100+1800+1800</f>
        <v>6625</v>
      </c>
      <c r="N5" s="47">
        <f>1875+1200+1150+1500</f>
        <v>5725</v>
      </c>
      <c r="O5" s="47">
        <v>4900</v>
      </c>
    </row>
    <row r="6" spans="1:15" x14ac:dyDescent="0.35">
      <c r="A6" s="46" t="s">
        <v>174</v>
      </c>
      <c r="B6" s="68" t="e">
        <f>B5*12</f>
        <v>#N/A</v>
      </c>
      <c r="C6" s="48"/>
      <c r="E6" s="68" t="e">
        <f>E5*12</f>
        <v>#N/A</v>
      </c>
      <c r="F6" s="47">
        <f>F5*12</f>
        <v>93900</v>
      </c>
      <c r="G6" s="47">
        <f>G5*12</f>
        <v>64200</v>
      </c>
      <c r="H6" s="47">
        <f>H5*12</f>
        <v>59400</v>
      </c>
      <c r="I6" s="47">
        <f t="shared" ref="I6:O6" si="0">I5*12</f>
        <v>33600</v>
      </c>
      <c r="J6" s="47">
        <f t="shared" si="0"/>
        <v>33600</v>
      </c>
      <c r="K6" s="47">
        <f t="shared" si="0"/>
        <v>24000</v>
      </c>
      <c r="L6" s="47">
        <f t="shared" si="0"/>
        <v>30000</v>
      </c>
      <c r="M6" s="47">
        <f t="shared" si="0"/>
        <v>79500</v>
      </c>
      <c r="N6" s="47">
        <f t="shared" si="0"/>
        <v>68700</v>
      </c>
      <c r="O6" s="47">
        <f t="shared" si="0"/>
        <v>58800</v>
      </c>
    </row>
    <row r="7" spans="1:15" x14ac:dyDescent="0.35">
      <c r="A7" s="40" t="s">
        <v>175</v>
      </c>
      <c r="B7" s="49">
        <v>0.03</v>
      </c>
      <c r="E7" s="49">
        <v>0.03</v>
      </c>
      <c r="F7" s="49">
        <v>3.5000000000000003E-2</v>
      </c>
      <c r="G7" s="49">
        <v>3.5000000000000003E-2</v>
      </c>
      <c r="H7" s="49">
        <v>3.5000000000000003E-2</v>
      </c>
      <c r="I7" s="49">
        <f t="shared" ref="I7:O7" si="1">I23</f>
        <v>2.5000000000000001E-2</v>
      </c>
      <c r="J7" s="49">
        <f t="shared" si="1"/>
        <v>2.5000000000000001E-2</v>
      </c>
      <c r="K7" s="49">
        <f t="shared" si="1"/>
        <v>2.5000000000000001E-2</v>
      </c>
      <c r="L7" s="49">
        <f t="shared" si="1"/>
        <v>2.5000000000000001E-2</v>
      </c>
      <c r="M7" s="49">
        <f t="shared" si="1"/>
        <v>2.5000000000000001E-2</v>
      </c>
      <c r="N7" s="49">
        <f t="shared" si="1"/>
        <v>2.5000000000000001E-2</v>
      </c>
      <c r="O7" s="49">
        <f t="shared" si="1"/>
        <v>2.5000000000000001E-2</v>
      </c>
    </row>
    <row r="8" spans="1:15" x14ac:dyDescent="0.35">
      <c r="A8" s="40" t="s">
        <v>176</v>
      </c>
      <c r="B8" s="49">
        <v>0.01</v>
      </c>
      <c r="C8" s="46"/>
      <c r="E8" s="49">
        <v>0.01</v>
      </c>
      <c r="F8" s="49">
        <v>0.01</v>
      </c>
      <c r="G8" s="49">
        <v>0.01</v>
      </c>
      <c r="H8" s="49">
        <v>0.01</v>
      </c>
      <c r="I8" s="49">
        <v>0.03</v>
      </c>
      <c r="J8" s="49">
        <v>0.03</v>
      </c>
      <c r="K8" s="49">
        <v>0.03</v>
      </c>
      <c r="L8" s="49">
        <v>0.03</v>
      </c>
      <c r="M8" s="49">
        <v>0.03</v>
      </c>
      <c r="N8" s="49">
        <v>0.03</v>
      </c>
      <c r="O8" s="49">
        <v>0.03</v>
      </c>
    </row>
    <row r="9" spans="1:15" x14ac:dyDescent="0.35">
      <c r="A9" s="40" t="s">
        <v>177</v>
      </c>
      <c r="B9" s="50" t="e">
        <f>B42</f>
        <v>#N/A</v>
      </c>
      <c r="E9" s="50" t="e">
        <f>E42</f>
        <v>#N/A</v>
      </c>
      <c r="F9" s="50">
        <f>F42</f>
        <v>23845.549210526315</v>
      </c>
      <c r="G9" s="50">
        <f>G42</f>
        <v>13558.744019138756</v>
      </c>
      <c r="H9" s="50">
        <f>H42</f>
        <v>13513.28947368421</v>
      </c>
      <c r="I9" s="51">
        <f t="shared" ref="I9:O9" si="2">I42</f>
        <v>8743.7081339712913</v>
      </c>
      <c r="J9" s="51">
        <f t="shared" si="2"/>
        <v>9309.7607655502397</v>
      </c>
      <c r="K9" s="51">
        <f t="shared" si="2"/>
        <v>6577.3374382304501</v>
      </c>
      <c r="L9" s="51">
        <f t="shared" si="2"/>
        <v>11260.946172248805</v>
      </c>
      <c r="M9" s="51">
        <f t="shared" si="2"/>
        <v>15268.761961722488</v>
      </c>
      <c r="N9" s="51">
        <f t="shared" si="2"/>
        <v>15166.489234449762</v>
      </c>
      <c r="O9" s="51">
        <f t="shared" si="2"/>
        <v>12745.633971291867</v>
      </c>
    </row>
    <row r="10" spans="1:15" x14ac:dyDescent="0.35">
      <c r="A10" s="40" t="s">
        <v>178</v>
      </c>
      <c r="B10" s="49">
        <f>B23</f>
        <v>2.5000000000000001E-2</v>
      </c>
      <c r="C10" s="40" t="s">
        <v>179</v>
      </c>
      <c r="E10" s="49">
        <f>E23</f>
        <v>2.5000000000000001E-2</v>
      </c>
      <c r="F10" s="49">
        <f>F23</f>
        <v>2.5000000000000001E-2</v>
      </c>
      <c r="G10" s="49">
        <f>G23</f>
        <v>2.5000000000000001E-2</v>
      </c>
      <c r="H10" s="49">
        <f>H23</f>
        <v>2.5000000000000001E-2</v>
      </c>
      <c r="I10" s="49">
        <f t="shared" ref="I10:O10" si="3">I23</f>
        <v>2.5000000000000001E-2</v>
      </c>
      <c r="J10" s="49">
        <f t="shared" si="3"/>
        <v>2.5000000000000001E-2</v>
      </c>
      <c r="K10" s="49">
        <f t="shared" si="3"/>
        <v>2.5000000000000001E-2</v>
      </c>
      <c r="L10" s="49">
        <f t="shared" si="3"/>
        <v>2.5000000000000001E-2</v>
      </c>
      <c r="M10" s="49">
        <f t="shared" si="3"/>
        <v>2.5000000000000001E-2</v>
      </c>
      <c r="N10" s="49">
        <f t="shared" si="3"/>
        <v>2.5000000000000001E-2</v>
      </c>
      <c r="O10" s="49">
        <f t="shared" si="3"/>
        <v>2.5000000000000001E-2</v>
      </c>
    </row>
    <row r="11" spans="1:15" x14ac:dyDescent="0.35">
      <c r="A11" s="46" t="s">
        <v>180</v>
      </c>
      <c r="B11" s="122" t="e">
        <f>_xlfn.XLOOKUP(1,Pivot!$O$10:$O$131,Pivot!$E$10:$E$131,,0)*(1-Pivot!$Q$2)</f>
        <v>#N/A</v>
      </c>
      <c r="C11" s="40" t="e">
        <f>_xlfn.XLOOKUP(1,Pivot!$O$10:$O$131,Pivot!$E$10:$E$131,,0)*(1-Pivot!$Q$3-Pivot!$Q$2)</f>
        <v>#N/A</v>
      </c>
      <c r="E11" s="68" t="e">
        <f>_xlfn.XLOOKUP(1,Pivot!$O$10:$O$131,Pivot!$E$10:$E$131,,0)*(1-Pivot!$Q$3-Pivot!$Q$2)</f>
        <v>#N/A</v>
      </c>
      <c r="F11" s="52">
        <f>1899000*0.97</f>
        <v>1842030</v>
      </c>
      <c r="G11" s="52">
        <v>970000</v>
      </c>
      <c r="H11" s="52">
        <f>1000000*0.97</f>
        <v>970000</v>
      </c>
      <c r="I11" s="52">
        <v>330000</v>
      </c>
      <c r="J11" s="52">
        <v>420000</v>
      </c>
      <c r="K11" s="52">
        <v>310000</v>
      </c>
      <c r="L11" s="52">
        <f>(460000-10000)*101.75%</f>
        <v>457875.00000000006</v>
      </c>
      <c r="M11" s="52">
        <v>1195000</v>
      </c>
      <c r="N11" s="52">
        <v>1195000</v>
      </c>
      <c r="O11" s="52">
        <v>825000</v>
      </c>
    </row>
    <row r="12" spans="1:15" x14ac:dyDescent="0.35">
      <c r="A12" s="40" t="s">
        <v>181</v>
      </c>
      <c r="B12" s="49" t="e">
        <f>1-B13/B11</f>
        <v>#N/A</v>
      </c>
      <c r="C12" s="53" t="s">
        <v>182</v>
      </c>
      <c r="E12" s="49" t="e">
        <f>1-E13/E11</f>
        <v>#N/A</v>
      </c>
      <c r="F12" s="49">
        <v>0.75</v>
      </c>
      <c r="G12" s="49">
        <v>0.75</v>
      </c>
      <c r="H12" s="49">
        <v>0.75</v>
      </c>
      <c r="I12" s="49">
        <f>(1-I13/I11)</f>
        <v>0.95</v>
      </c>
      <c r="J12" s="49">
        <f>(1-J13/J11)</f>
        <v>0.95</v>
      </c>
      <c r="K12" s="49">
        <f>(1-K13/K11)</f>
        <v>0.9</v>
      </c>
      <c r="L12" s="49">
        <f>(1-L13/L11)</f>
        <v>0.95</v>
      </c>
      <c r="M12" s="49">
        <v>0.8</v>
      </c>
      <c r="N12" s="49">
        <v>0.8</v>
      </c>
      <c r="O12" s="49">
        <v>0.8</v>
      </c>
    </row>
    <row r="13" spans="1:15" x14ac:dyDescent="0.35">
      <c r="A13" s="40" t="s">
        <v>183</v>
      </c>
      <c r="B13" s="54" t="e">
        <f>MIN(Pivot!H1,B11*0.25)</f>
        <v>#N/A</v>
      </c>
      <c r="E13" s="54" t="e">
        <f>MIN(Pivot!K1,E11*0.25)</f>
        <v>#N/A</v>
      </c>
      <c r="F13" s="54">
        <f>F11*(1-F12)</f>
        <v>460507.5</v>
      </c>
      <c r="G13" s="54">
        <f>G11*(1-G12)</f>
        <v>242500</v>
      </c>
      <c r="H13" s="54">
        <f>H11*(1-H12)</f>
        <v>242500</v>
      </c>
      <c r="I13" s="54">
        <f>I11*0.05</f>
        <v>16500</v>
      </c>
      <c r="J13" s="47">
        <f>J11*0.05</f>
        <v>21000</v>
      </c>
      <c r="K13" s="55">
        <f>K11*0.1</f>
        <v>31000</v>
      </c>
      <c r="L13" s="56">
        <f>L11*0.05</f>
        <v>22893.750000000004</v>
      </c>
      <c r="M13" s="54">
        <f>M11*(1-M12)</f>
        <v>238999.99999999994</v>
      </c>
      <c r="N13" s="54">
        <f>N11*(1-N12)</f>
        <v>238999.99999999994</v>
      </c>
      <c r="O13" s="54">
        <f>O11*(1-O12)</f>
        <v>164999.99999999997</v>
      </c>
    </row>
    <row r="14" spans="1:15" x14ac:dyDescent="0.35">
      <c r="A14" s="53" t="s">
        <v>184</v>
      </c>
      <c r="B14" s="49">
        <v>6.7000000000000004E-2</v>
      </c>
      <c r="C14" s="53" t="s">
        <v>185</v>
      </c>
      <c r="E14" s="49">
        <v>6.7000000000000004E-2</v>
      </c>
      <c r="F14" s="49">
        <v>6.8000000000000005E-2</v>
      </c>
      <c r="G14" s="49">
        <v>7.0000000000000007E-2</v>
      </c>
      <c r="H14" s="49">
        <v>7.0000000000000007E-2</v>
      </c>
      <c r="I14" s="49">
        <v>0.03</v>
      </c>
      <c r="J14" s="49">
        <v>0.03</v>
      </c>
      <c r="K14" s="49">
        <v>2.5000000000000001E-2</v>
      </c>
      <c r="L14" s="49">
        <v>2.5000000000000001E-2</v>
      </c>
      <c r="M14" s="49">
        <v>0.06</v>
      </c>
      <c r="N14" s="49">
        <v>0.06</v>
      </c>
      <c r="O14" s="49">
        <v>0.06</v>
      </c>
    </row>
    <row r="15" spans="1:15" x14ac:dyDescent="0.35">
      <c r="A15" s="53" t="s">
        <v>186</v>
      </c>
      <c r="B15" s="47">
        <v>360</v>
      </c>
      <c r="C15" s="40" t="s">
        <v>187</v>
      </c>
      <c r="E15" s="47">
        <v>360</v>
      </c>
      <c r="F15" s="47">
        <v>360</v>
      </c>
      <c r="G15" s="47">
        <v>360</v>
      </c>
      <c r="H15" s="47">
        <v>360</v>
      </c>
      <c r="I15" s="47">
        <v>360</v>
      </c>
      <c r="J15" s="47">
        <v>360</v>
      </c>
      <c r="K15" s="47">
        <v>360</v>
      </c>
      <c r="L15" s="47">
        <v>360</v>
      </c>
      <c r="M15" s="47">
        <v>360</v>
      </c>
      <c r="N15" s="47">
        <v>360</v>
      </c>
      <c r="O15" s="47">
        <v>360</v>
      </c>
    </row>
    <row r="16" spans="1:15" x14ac:dyDescent="0.35">
      <c r="A16" s="53" t="s">
        <v>188</v>
      </c>
      <c r="B16" s="57">
        <v>0.5</v>
      </c>
      <c r="C16" s="53" t="s">
        <v>189</v>
      </c>
      <c r="E16" s="57">
        <v>0.5</v>
      </c>
      <c r="F16" s="57">
        <v>0.5</v>
      </c>
      <c r="G16" s="57">
        <v>0.5</v>
      </c>
      <c r="H16" s="57">
        <v>0.5</v>
      </c>
      <c r="I16" s="57">
        <v>0.5</v>
      </c>
      <c r="J16" s="57">
        <v>0.5</v>
      </c>
      <c r="K16" s="57">
        <v>0.5</v>
      </c>
      <c r="L16" s="57">
        <v>0.5</v>
      </c>
      <c r="M16" s="57">
        <v>0.5</v>
      </c>
      <c r="N16" s="57">
        <v>0.5</v>
      </c>
      <c r="O16" s="57">
        <v>0.5</v>
      </c>
    </row>
    <row r="17" spans="1:15" x14ac:dyDescent="0.35">
      <c r="A17" s="53" t="s">
        <v>190</v>
      </c>
      <c r="B17" s="47">
        <v>27.5</v>
      </c>
      <c r="C17" s="53" t="s">
        <v>191</v>
      </c>
      <c r="E17" s="47">
        <v>27.5</v>
      </c>
      <c r="F17" s="47">
        <v>27.5</v>
      </c>
      <c r="G17" s="47">
        <v>27.5</v>
      </c>
      <c r="H17" s="47">
        <v>27.5</v>
      </c>
      <c r="I17" s="47">
        <v>27.5</v>
      </c>
      <c r="J17" s="47">
        <v>27.5</v>
      </c>
      <c r="K17" s="47">
        <v>27.5</v>
      </c>
      <c r="L17" s="47">
        <v>27.5</v>
      </c>
      <c r="M17" s="47">
        <v>27.5</v>
      </c>
      <c r="N17" s="47">
        <v>27.5</v>
      </c>
      <c r="O17" s="47">
        <v>27.5</v>
      </c>
    </row>
    <row r="18" spans="1:15" x14ac:dyDescent="0.35">
      <c r="A18" s="53" t="s">
        <v>192</v>
      </c>
      <c r="B18" s="58">
        <v>0.25</v>
      </c>
      <c r="C18" s="53" t="s">
        <v>193</v>
      </c>
      <c r="E18" s="58">
        <v>0.25</v>
      </c>
      <c r="F18" s="58">
        <v>0.25</v>
      </c>
      <c r="G18" s="58">
        <v>0.25</v>
      </c>
      <c r="H18" s="58">
        <v>0.25</v>
      </c>
      <c r="I18" s="58">
        <v>0.25</v>
      </c>
      <c r="J18" s="58">
        <v>0.25</v>
      </c>
      <c r="K18" s="58">
        <v>0.25</v>
      </c>
      <c r="L18" s="58">
        <v>0.25</v>
      </c>
      <c r="M18" s="58">
        <v>0.25</v>
      </c>
      <c r="N18" s="58">
        <v>0.25</v>
      </c>
      <c r="O18" s="58">
        <v>0.25</v>
      </c>
    </row>
    <row r="19" spans="1:15" x14ac:dyDescent="0.35">
      <c r="A19" s="59" t="s">
        <v>194</v>
      </c>
      <c r="B19" s="60">
        <v>0.1</v>
      </c>
      <c r="C19" s="46" t="s">
        <v>179</v>
      </c>
      <c r="E19" s="60">
        <v>0.1</v>
      </c>
      <c r="F19" s="60">
        <v>0.1</v>
      </c>
      <c r="G19" s="60">
        <v>0.1</v>
      </c>
      <c r="H19" s="60">
        <v>0.1</v>
      </c>
      <c r="I19" s="60">
        <v>0.1</v>
      </c>
      <c r="J19" s="60">
        <v>0.1</v>
      </c>
      <c r="K19" s="60">
        <v>0.1</v>
      </c>
      <c r="L19" s="60">
        <v>0.1</v>
      </c>
      <c r="M19" s="60">
        <v>0.1</v>
      </c>
      <c r="N19" s="60">
        <v>0.1</v>
      </c>
      <c r="O19" s="60">
        <v>0.1</v>
      </c>
    </row>
    <row r="20" spans="1:15" x14ac:dyDescent="0.35">
      <c r="A20" s="59" t="s">
        <v>195</v>
      </c>
      <c r="B20" s="60">
        <v>0.22</v>
      </c>
      <c r="C20" s="46" t="s">
        <v>196</v>
      </c>
      <c r="E20" s="60">
        <v>0.22</v>
      </c>
      <c r="F20" s="60">
        <v>0.22</v>
      </c>
      <c r="G20" s="60">
        <v>0.22</v>
      </c>
      <c r="H20" s="60">
        <v>0.22</v>
      </c>
      <c r="I20" s="60">
        <v>0.22</v>
      </c>
      <c r="J20" s="60">
        <v>0.22</v>
      </c>
      <c r="K20" s="60">
        <v>0.22</v>
      </c>
      <c r="L20" s="60">
        <v>0.22</v>
      </c>
      <c r="M20" s="60">
        <v>0.22</v>
      </c>
      <c r="N20" s="60">
        <v>0.22</v>
      </c>
      <c r="O20" s="60">
        <v>0.22</v>
      </c>
    </row>
    <row r="22" spans="1:15" x14ac:dyDescent="0.35">
      <c r="A22" s="40" t="s">
        <v>197</v>
      </c>
      <c r="B22" s="49">
        <v>2.5000000000000001E-2</v>
      </c>
      <c r="C22" s="40" t="s">
        <v>179</v>
      </c>
      <c r="E22" s="49">
        <v>2.5000000000000001E-2</v>
      </c>
      <c r="F22" s="49">
        <v>3.5000000000000003E-2</v>
      </c>
      <c r="G22" s="49">
        <v>3.5000000000000003E-2</v>
      </c>
      <c r="H22" s="49">
        <v>3.5000000000000003E-2</v>
      </c>
      <c r="I22" s="49">
        <v>0.01</v>
      </c>
      <c r="J22" s="49">
        <v>2.5000000000000001E-2</v>
      </c>
      <c r="K22" s="49">
        <v>2.5000000000000001E-2</v>
      </c>
      <c r="L22" s="49">
        <v>2.5000000000000001E-2</v>
      </c>
      <c r="M22" s="49">
        <v>2.5000000000000001E-2</v>
      </c>
      <c r="N22" s="49">
        <v>2.5000000000000001E-2</v>
      </c>
      <c r="O22" s="49">
        <v>2.5000000000000001E-2</v>
      </c>
    </row>
    <row r="23" spans="1:15" x14ac:dyDescent="0.35">
      <c r="A23" s="40" t="s">
        <v>198</v>
      </c>
      <c r="B23" s="49">
        <v>2.5000000000000001E-2</v>
      </c>
      <c r="C23" s="40" t="s">
        <v>179</v>
      </c>
      <c r="E23" s="49">
        <v>2.5000000000000001E-2</v>
      </c>
      <c r="F23" s="49">
        <v>2.5000000000000001E-2</v>
      </c>
      <c r="G23" s="49">
        <v>2.5000000000000001E-2</v>
      </c>
      <c r="H23" s="49">
        <v>2.5000000000000001E-2</v>
      </c>
      <c r="I23" s="49">
        <v>2.5000000000000001E-2</v>
      </c>
      <c r="J23" s="49">
        <v>2.5000000000000001E-2</v>
      </c>
      <c r="K23" s="49">
        <v>2.5000000000000001E-2</v>
      </c>
      <c r="L23" s="49">
        <v>2.5000000000000001E-2</v>
      </c>
      <c r="M23" s="49">
        <v>2.5000000000000001E-2</v>
      </c>
      <c r="N23" s="49">
        <v>2.5000000000000001E-2</v>
      </c>
      <c r="O23" s="49">
        <v>2.5000000000000001E-2</v>
      </c>
    </row>
    <row r="24" spans="1:15" x14ac:dyDescent="0.35">
      <c r="A24" s="40" t="s">
        <v>199</v>
      </c>
      <c r="B24" s="54" t="e">
        <f>PMT(B14/12,B15,B11-B13)</f>
        <v>#N/A</v>
      </c>
      <c r="C24" s="61" t="e">
        <f>B24*12</f>
        <v>#N/A</v>
      </c>
      <c r="E24" s="54" t="e">
        <f>PMT(E14/12,E15,E11-E13)</f>
        <v>#N/A</v>
      </c>
      <c r="F24" s="54">
        <f>PMT(F14/12,F15,F11-F13)</f>
        <v>-9006.4931576655836</v>
      </c>
      <c r="G24" s="54">
        <f>PMT(G14/12,G15,G11-G13)</f>
        <v>-4840.075652428558</v>
      </c>
      <c r="H24" s="54">
        <f>PMT(H14/12,H15,H11-H13)</f>
        <v>-4840.075652428558</v>
      </c>
      <c r="I24" s="54">
        <f t="shared" ref="I24:O24" si="4">PMT(I14/12,I15,I11-I13)</f>
        <v>-1321.7286457418272</v>
      </c>
      <c r="J24" s="54">
        <f t="shared" si="4"/>
        <v>-1682.2000945805075</v>
      </c>
      <c r="K24" s="54">
        <f t="shared" si="4"/>
        <v>-1102.3873077014723</v>
      </c>
      <c r="L24" s="54">
        <f t="shared" si="4"/>
        <v>-1718.7018246886062</v>
      </c>
      <c r="M24" s="54">
        <f t="shared" si="4"/>
        <v>-5731.7030204603125</v>
      </c>
      <c r="N24" s="54">
        <f t="shared" si="4"/>
        <v>-5731.7030204603125</v>
      </c>
      <c r="O24" s="54">
        <f t="shared" si="4"/>
        <v>-3957.0334660081653</v>
      </c>
    </row>
    <row r="25" spans="1:15" x14ac:dyDescent="0.35">
      <c r="A25" s="46" t="s">
        <v>200</v>
      </c>
      <c r="B25" s="62" t="s">
        <v>201</v>
      </c>
      <c r="C25" s="46" t="s">
        <v>179</v>
      </c>
      <c r="E25" s="62" t="s">
        <v>201</v>
      </c>
      <c r="F25" s="62" t="s">
        <v>201</v>
      </c>
      <c r="G25" s="62" t="s">
        <v>201</v>
      </c>
      <c r="H25" s="62" t="s">
        <v>201</v>
      </c>
      <c r="I25" s="62" t="s">
        <v>201</v>
      </c>
      <c r="J25" s="62" t="s">
        <v>201</v>
      </c>
      <c r="K25" s="62" t="s">
        <v>201</v>
      </c>
      <c r="L25" s="62" t="s">
        <v>201</v>
      </c>
      <c r="M25" s="62" t="s">
        <v>201</v>
      </c>
      <c r="N25" s="62" t="s">
        <v>201</v>
      </c>
      <c r="O25" s="62" t="s">
        <v>201</v>
      </c>
    </row>
    <row r="26" spans="1:15" x14ac:dyDescent="0.35">
      <c r="A26" s="46"/>
      <c r="B26" s="63"/>
      <c r="C26" s="46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</row>
    <row r="27" spans="1:15" x14ac:dyDescent="0.35">
      <c r="A27" s="46" t="s">
        <v>202</v>
      </c>
      <c r="B27" s="64">
        <v>0</v>
      </c>
      <c r="C27" s="46"/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</row>
    <row r="28" spans="1:15" x14ac:dyDescent="0.35">
      <c r="A28" s="46" t="s">
        <v>203</v>
      </c>
      <c r="B28" s="60">
        <v>0.08</v>
      </c>
      <c r="C28" s="46"/>
      <c r="E28" s="60">
        <v>0.08</v>
      </c>
      <c r="F28" s="60">
        <v>0.08</v>
      </c>
      <c r="G28" s="60">
        <v>0.08</v>
      </c>
      <c r="H28" s="60">
        <v>0.08</v>
      </c>
      <c r="I28" s="60">
        <v>6.6250000000000003E-2</v>
      </c>
      <c r="J28" s="60">
        <v>6.6250000000000003E-2</v>
      </c>
      <c r="K28" s="60">
        <v>6.6250000000000003E-2</v>
      </c>
      <c r="L28" s="60">
        <v>6.6250000000000003E-2</v>
      </c>
      <c r="M28" s="60">
        <v>6.6250000000000003E-2</v>
      </c>
      <c r="N28" s="60">
        <v>6.6250000000000003E-2</v>
      </c>
      <c r="O28" s="60">
        <v>6.6250000000000003E-2</v>
      </c>
    </row>
    <row r="29" spans="1:15" x14ac:dyDescent="0.35">
      <c r="C29" s="46"/>
    </row>
    <row r="30" spans="1:15" x14ac:dyDescent="0.35">
      <c r="A30" s="42" t="s">
        <v>204</v>
      </c>
      <c r="B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2" spans="1:15" x14ac:dyDescent="0.35">
      <c r="A32" s="40" t="s">
        <v>205</v>
      </c>
      <c r="B32" s="60">
        <v>0.01</v>
      </c>
      <c r="E32" s="60">
        <v>0.01</v>
      </c>
      <c r="F32" s="60">
        <v>0.01</v>
      </c>
      <c r="G32" s="60">
        <v>0.01</v>
      </c>
      <c r="H32" s="60">
        <v>0.01</v>
      </c>
      <c r="I32" s="60">
        <v>0</v>
      </c>
      <c r="J32" s="60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</row>
    <row r="33" spans="1:15" x14ac:dyDescent="0.35">
      <c r="A33" s="40" t="s">
        <v>206</v>
      </c>
      <c r="B33" s="68">
        <f>7*300/2</f>
        <v>1050</v>
      </c>
      <c r="C33" s="48"/>
      <c r="E33" s="68">
        <f>7*300/2</f>
        <v>1050</v>
      </c>
      <c r="F33" s="51">
        <f>7*300/2</f>
        <v>1050</v>
      </c>
      <c r="G33" s="51">
        <f>G5/660/2*300/2</f>
        <v>607.95454545454538</v>
      </c>
      <c r="H33" s="51">
        <f t="shared" ref="H33:O33" si="5">H5/660/2*300/2</f>
        <v>562.5</v>
      </c>
      <c r="I33" s="51">
        <f t="shared" si="5"/>
        <v>318.18181818181819</v>
      </c>
      <c r="J33" s="51">
        <f t="shared" si="5"/>
        <v>318.18181818181819</v>
      </c>
      <c r="K33" s="51">
        <f t="shared" si="5"/>
        <v>227.27272727272728</v>
      </c>
      <c r="L33" s="51">
        <f t="shared" si="5"/>
        <v>284.09090909090912</v>
      </c>
      <c r="M33" s="51">
        <f t="shared" si="5"/>
        <v>752.84090909090901</v>
      </c>
      <c r="N33" s="51">
        <f t="shared" si="5"/>
        <v>650.56818181818176</v>
      </c>
      <c r="O33" s="51">
        <f t="shared" si="5"/>
        <v>556.81818181818176</v>
      </c>
    </row>
    <row r="34" spans="1:15" x14ac:dyDescent="0.35">
      <c r="A34" s="46" t="s">
        <v>207</v>
      </c>
      <c r="B34" s="68">
        <v>0</v>
      </c>
      <c r="C34" s="48"/>
      <c r="E34" s="68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</row>
    <row r="35" spans="1:15" x14ac:dyDescent="0.35">
      <c r="A35" s="46" t="s">
        <v>144</v>
      </c>
      <c r="B35" s="68">
        <v>0</v>
      </c>
      <c r="C35" s="48"/>
      <c r="E35" s="68">
        <v>0</v>
      </c>
      <c r="F35" s="51">
        <v>0</v>
      </c>
      <c r="G35" s="51">
        <v>0</v>
      </c>
      <c r="H35" s="51">
        <v>0</v>
      </c>
      <c r="I35" s="51">
        <f>350*12</f>
        <v>4200</v>
      </c>
      <c r="J35" s="51">
        <f>350*12</f>
        <v>4200</v>
      </c>
      <c r="K35" s="51">
        <f>205/305*K11/1000*12</f>
        <v>2500.3278688524588</v>
      </c>
      <c r="L35" s="66">
        <f>IF(L13/L11&lt;0.05,0.0085,0.008)*L11</f>
        <v>3663.0000000000005</v>
      </c>
      <c r="M35" s="51">
        <v>0</v>
      </c>
      <c r="N35" s="51">
        <v>0</v>
      </c>
      <c r="O35" s="51">
        <v>0</v>
      </c>
    </row>
    <row r="36" spans="1:15" x14ac:dyDescent="0.35">
      <c r="A36" s="46" t="s">
        <v>208</v>
      </c>
      <c r="B36" s="68" t="e">
        <f>B11*0.005</f>
        <v>#N/A</v>
      </c>
      <c r="C36" s="48"/>
      <c r="E36" s="68" t="e">
        <f>E11*0.005</f>
        <v>#N/A</v>
      </c>
      <c r="F36" s="51">
        <f>F11*0.005</f>
        <v>9210.15</v>
      </c>
      <c r="G36" s="51">
        <f>G11*0.005</f>
        <v>4850</v>
      </c>
      <c r="H36" s="51">
        <f>H11*0.005</f>
        <v>4850</v>
      </c>
      <c r="I36" s="51">
        <f>I11*0.005</f>
        <v>1650</v>
      </c>
      <c r="J36" s="51">
        <f>I36</f>
        <v>1650</v>
      </c>
      <c r="K36" s="51">
        <v>1000</v>
      </c>
      <c r="L36" s="51">
        <f>L11*0.0075</f>
        <v>3434.0625000000005</v>
      </c>
      <c r="M36" s="51">
        <v>3000</v>
      </c>
      <c r="N36" s="51">
        <v>3000</v>
      </c>
      <c r="O36" s="51">
        <v>3000</v>
      </c>
    </row>
    <row r="37" spans="1:15" x14ac:dyDescent="0.35">
      <c r="A37" s="46" t="s">
        <v>209</v>
      </c>
      <c r="B37" s="68" t="e">
        <f>1300/775000*B11+4200</f>
        <v>#N/A</v>
      </c>
      <c r="C37" s="48"/>
      <c r="E37" s="68" t="e">
        <f>1300/775000*E11+4200</f>
        <v>#N/A</v>
      </c>
      <c r="F37" s="51">
        <v>2000</v>
      </c>
      <c r="G37" s="51">
        <v>2000</v>
      </c>
      <c r="H37" s="51">
        <v>2000</v>
      </c>
      <c r="I37" s="51">
        <v>500</v>
      </c>
      <c r="J37" s="51">
        <v>500</v>
      </c>
      <c r="K37" s="51">
        <v>900</v>
      </c>
      <c r="L37" s="51">
        <v>1000</v>
      </c>
      <c r="M37" s="51">
        <v>4000</v>
      </c>
      <c r="N37" s="51">
        <v>4000</v>
      </c>
      <c r="O37" s="51">
        <v>4000</v>
      </c>
    </row>
    <row r="38" spans="1:15" x14ac:dyDescent="0.35">
      <c r="A38" s="46" t="s">
        <v>210</v>
      </c>
      <c r="B38" s="122" t="e">
        <f>_xlfn.XLOOKUP(1,Pivot!$O$10:$O$131,Pivot!$K$10:$K$131,,0)*12</f>
        <v>#N/A</v>
      </c>
      <c r="C38" s="67">
        <f>600*12</f>
        <v>7200</v>
      </c>
      <c r="E38" s="68">
        <v>3000</v>
      </c>
      <c r="F38" s="51">
        <f>0.45%*F11</f>
        <v>8289.1350000000002</v>
      </c>
      <c r="G38" s="51">
        <f t="shared" ref="G38:O38" si="6">0.45%*G11</f>
        <v>4365.0000000000009</v>
      </c>
      <c r="H38" s="51">
        <f t="shared" si="6"/>
        <v>4365.0000000000009</v>
      </c>
      <c r="I38" s="51">
        <f t="shared" si="6"/>
        <v>1485.0000000000002</v>
      </c>
      <c r="J38" s="51">
        <f t="shared" si="6"/>
        <v>1890.0000000000002</v>
      </c>
      <c r="K38" s="51">
        <f t="shared" si="6"/>
        <v>1395.0000000000002</v>
      </c>
      <c r="L38" s="51">
        <f t="shared" si="6"/>
        <v>2060.4375000000005</v>
      </c>
      <c r="M38" s="51">
        <f t="shared" si="6"/>
        <v>5377.5000000000009</v>
      </c>
      <c r="N38" s="51">
        <f t="shared" si="6"/>
        <v>5377.5000000000009</v>
      </c>
      <c r="O38" s="51">
        <f t="shared" si="6"/>
        <v>3712.5000000000005</v>
      </c>
    </row>
    <row r="39" spans="1:15" x14ac:dyDescent="0.35">
      <c r="A39" s="40" t="s">
        <v>211</v>
      </c>
      <c r="B39" s="122" t="e">
        <f>_xlfn.XLOOKUP(1,Pivot!$O$10:$O$131,Pivot!$J$10:$J$131,,0)*12</f>
        <v>#N/A</v>
      </c>
      <c r="C39" s="48" t="e">
        <f>_xlfn.XLOOKUP(1,Pivot!$O$10:$O$131,Pivot!$J$10:$J$131,,0)*12</f>
        <v>#N/A</v>
      </c>
      <c r="E39" s="68">
        <v>5534</v>
      </c>
      <c r="F39" s="68">
        <f>1700/950000*F11</f>
        <v>3296.2642105263158</v>
      </c>
      <c r="G39" s="51">
        <f t="shared" ref="G39:O39" si="7">1700/950000*G11</f>
        <v>1735.7894736842106</v>
      </c>
      <c r="H39" s="51">
        <f t="shared" si="7"/>
        <v>1735.7894736842106</v>
      </c>
      <c r="I39" s="51">
        <f t="shared" si="7"/>
        <v>590.52631578947364</v>
      </c>
      <c r="J39" s="51">
        <f t="shared" si="7"/>
        <v>751.57894736842104</v>
      </c>
      <c r="K39" s="51">
        <f t="shared" si="7"/>
        <v>554.73684210526312</v>
      </c>
      <c r="L39" s="51">
        <f t="shared" si="7"/>
        <v>819.3552631578948</v>
      </c>
      <c r="M39" s="51">
        <f t="shared" si="7"/>
        <v>2138.4210526315787</v>
      </c>
      <c r="N39" s="51">
        <f t="shared" si="7"/>
        <v>2138.4210526315787</v>
      </c>
      <c r="O39" s="51">
        <f t="shared" si="7"/>
        <v>1476.3157894736842</v>
      </c>
    </row>
    <row r="40" spans="1:15" x14ac:dyDescent="0.35">
      <c r="A40" s="46" t="s">
        <v>212</v>
      </c>
      <c r="B40" s="51">
        <f t="shared" ref="B40" si="8">B28*B27</f>
        <v>0</v>
      </c>
      <c r="C40" s="48"/>
      <c r="E40" s="51">
        <f t="shared" ref="E40" si="9">E28*E27</f>
        <v>0</v>
      </c>
      <c r="F40" s="51">
        <f t="shared" ref="F40:O40" si="10">F28*F27</f>
        <v>0</v>
      </c>
      <c r="G40" s="51">
        <f t="shared" si="10"/>
        <v>0</v>
      </c>
      <c r="H40" s="51">
        <f t="shared" si="10"/>
        <v>0</v>
      </c>
      <c r="I40" s="51">
        <f t="shared" si="10"/>
        <v>0</v>
      </c>
      <c r="J40" s="51">
        <f t="shared" si="10"/>
        <v>0</v>
      </c>
      <c r="K40" s="51">
        <f t="shared" si="10"/>
        <v>0</v>
      </c>
      <c r="L40" s="51">
        <f t="shared" si="10"/>
        <v>0</v>
      </c>
      <c r="M40" s="51">
        <f t="shared" si="10"/>
        <v>0</v>
      </c>
      <c r="N40" s="51">
        <f t="shared" si="10"/>
        <v>0</v>
      </c>
      <c r="O40" s="51">
        <f t="shared" si="10"/>
        <v>0</v>
      </c>
    </row>
    <row r="41" spans="1:15" x14ac:dyDescent="0.35">
      <c r="C41" s="40" t="e">
        <f>B39/12</f>
        <v>#N/A</v>
      </c>
    </row>
    <row r="42" spans="1:15" x14ac:dyDescent="0.35">
      <c r="A42" s="69" t="s">
        <v>213</v>
      </c>
      <c r="B42" s="111" t="e">
        <f>SUM(B33:B40)</f>
        <v>#N/A</v>
      </c>
      <c r="E42" s="111" t="e">
        <f>SUM(E33:E40)</f>
        <v>#N/A</v>
      </c>
      <c r="F42" s="70">
        <f>SUM(F33:F40)</f>
        <v>23845.549210526315</v>
      </c>
      <c r="G42" s="70">
        <f>SUM(G33:G40)</f>
        <v>13558.744019138756</v>
      </c>
      <c r="H42" s="70">
        <f>SUM(H33:H40)</f>
        <v>13513.28947368421</v>
      </c>
      <c r="I42" s="70">
        <f t="shared" ref="I42:O42" si="11">SUM(I33:I40)</f>
        <v>8743.7081339712913</v>
      </c>
      <c r="J42" s="70">
        <f t="shared" si="11"/>
        <v>9309.7607655502397</v>
      </c>
      <c r="K42" s="70">
        <f t="shared" si="11"/>
        <v>6577.3374382304501</v>
      </c>
      <c r="L42" s="70">
        <f t="shared" si="11"/>
        <v>11260.946172248805</v>
      </c>
      <c r="M42" s="70">
        <f t="shared" si="11"/>
        <v>15268.761961722488</v>
      </c>
      <c r="N42" s="70">
        <f t="shared" si="11"/>
        <v>15166.489234449762</v>
      </c>
      <c r="O42" s="70">
        <f t="shared" si="11"/>
        <v>12745.633971291867</v>
      </c>
    </row>
    <row r="44" spans="1:15" x14ac:dyDescent="0.35">
      <c r="A44" s="42" t="s">
        <v>214</v>
      </c>
    </row>
    <row r="46" spans="1:15" x14ac:dyDescent="0.35">
      <c r="A46" s="46" t="s">
        <v>215</v>
      </c>
      <c r="B46" s="48" t="e">
        <f>(B11*(1-B16))/(B17*12)</f>
        <v>#N/A</v>
      </c>
      <c r="E46" s="48" t="e">
        <f>(E11*(1-E16))/(E17*12)</f>
        <v>#N/A</v>
      </c>
      <c r="F46" s="48">
        <f>(F11*(1-F16))/(F17*12)</f>
        <v>2790.9545454545455</v>
      </c>
      <c r="G46" s="48">
        <f>(G11*(1-G16))/(G17*12)</f>
        <v>1469.6969696969697</v>
      </c>
      <c r="H46" s="48">
        <f>(H11*(1-H16))/(H17*12)</f>
        <v>1469.6969696969697</v>
      </c>
      <c r="I46" s="48">
        <f t="shared" ref="I46:O46" si="12">(I11*(1-I16))/(I17*12)</f>
        <v>500</v>
      </c>
      <c r="J46" s="48">
        <f t="shared" si="12"/>
        <v>636.36363636363637</v>
      </c>
      <c r="K46" s="48">
        <f t="shared" si="12"/>
        <v>469.69696969696969</v>
      </c>
      <c r="L46" s="48">
        <f t="shared" si="12"/>
        <v>693.75000000000011</v>
      </c>
      <c r="M46" s="48">
        <f t="shared" si="12"/>
        <v>1810.6060606060605</v>
      </c>
      <c r="N46" s="48">
        <f t="shared" si="12"/>
        <v>1810.6060606060605</v>
      </c>
      <c r="O46" s="48">
        <f t="shared" si="12"/>
        <v>1250</v>
      </c>
    </row>
    <row r="47" spans="1:15" x14ac:dyDescent="0.35">
      <c r="A47" s="46" t="s">
        <v>216</v>
      </c>
      <c r="B47" s="71" t="e">
        <f>(B6-(SUM(B36:B39)))/B11</f>
        <v>#N/A</v>
      </c>
      <c r="E47" s="71" t="e">
        <f>(E6-(SUM(E36:E39)))/E11</f>
        <v>#N/A</v>
      </c>
      <c r="F47" s="71">
        <f>(F6-(SUM(F36:F39)))/F11</f>
        <v>3.8601136132133403E-2</v>
      </c>
      <c r="G47" s="71">
        <f>(G6-(SUM(G36:G39)))/G11</f>
        <v>5.2834237655995653E-2</v>
      </c>
      <c r="H47" s="71">
        <f>(H6-(SUM(H36:H39)))/H11</f>
        <v>4.7885784047748237E-2</v>
      </c>
      <c r="I47" s="71">
        <f t="shared" ref="I47:O47" si="13">(I6-(SUM(I36:I39)))/I11</f>
        <v>8.9013556618819781E-2</v>
      </c>
      <c r="J47" s="71">
        <f t="shared" si="13"/>
        <v>6.8591478696741856E-2</v>
      </c>
      <c r="K47" s="71">
        <f t="shared" si="13"/>
        <v>6.5000848896434635E-2</v>
      </c>
      <c r="L47" s="71">
        <f t="shared" si="13"/>
        <v>4.954658965185281E-2</v>
      </c>
      <c r="M47" s="71">
        <f t="shared" si="13"/>
        <v>5.437998238273508E-2</v>
      </c>
      <c r="N47" s="71">
        <f t="shared" si="13"/>
        <v>4.5342325478969388E-2</v>
      </c>
      <c r="O47" s="71">
        <f t="shared" si="13"/>
        <v>5.649840510366827E-2</v>
      </c>
    </row>
    <row r="48" spans="1:15" x14ac:dyDescent="0.35">
      <c r="A48" s="46" t="s">
        <v>33</v>
      </c>
      <c r="B48" s="72" t="e">
        <f>B11/(B6/12)</f>
        <v>#N/A</v>
      </c>
      <c r="E48" s="72" t="e">
        <f>E11/(E6/12)</f>
        <v>#N/A</v>
      </c>
      <c r="F48" s="72">
        <f>F11/(F6/12)</f>
        <v>235.40319488817892</v>
      </c>
      <c r="G48" s="72">
        <f>G11/(G6/12)</f>
        <v>181.30841121495328</v>
      </c>
      <c r="H48" s="72">
        <f>H11/(H6/12)</f>
        <v>195.95959595959596</v>
      </c>
      <c r="I48" s="72">
        <f t="shared" ref="I48:O48" si="14">I11/(I6/12)</f>
        <v>117.85714285714286</v>
      </c>
      <c r="J48" s="72">
        <f t="shared" si="14"/>
        <v>150</v>
      </c>
      <c r="K48" s="72">
        <f t="shared" si="14"/>
        <v>155</v>
      </c>
      <c r="L48" s="72">
        <f t="shared" si="14"/>
        <v>183.15000000000003</v>
      </c>
      <c r="M48" s="72">
        <f t="shared" si="14"/>
        <v>180.37735849056602</v>
      </c>
      <c r="N48" s="72">
        <f t="shared" si="14"/>
        <v>208.73362445414847</v>
      </c>
      <c r="O48" s="72">
        <f t="shared" si="14"/>
        <v>168.36734693877551</v>
      </c>
    </row>
    <row r="49" spans="1:15" x14ac:dyDescent="0.35">
      <c r="A49" s="46" t="s">
        <v>374</v>
      </c>
      <c r="B49" s="128" t="e">
        <f>13000/700000*(B11*B12)</f>
        <v>#N/A</v>
      </c>
      <c r="E49" s="128" t="e">
        <f>13000/700000*(E11*E12)</f>
        <v>#N/A</v>
      </c>
      <c r="F49" s="128">
        <f t="shared" ref="F49:O49" si="15">13000/700000*(F11*F12)</f>
        <v>25656.846428571429</v>
      </c>
      <c r="G49" s="128">
        <f t="shared" si="15"/>
        <v>13510.714285714286</v>
      </c>
      <c r="H49" s="128">
        <f t="shared" si="15"/>
        <v>13510.714285714286</v>
      </c>
      <c r="I49" s="128">
        <f t="shared" si="15"/>
        <v>5822.1428571428578</v>
      </c>
      <c r="J49" s="128">
        <f t="shared" si="15"/>
        <v>7410</v>
      </c>
      <c r="K49" s="128">
        <f t="shared" si="15"/>
        <v>5181.4285714285716</v>
      </c>
      <c r="L49" s="128">
        <f t="shared" si="15"/>
        <v>8078.2232142857156</v>
      </c>
      <c r="M49" s="128">
        <f t="shared" si="15"/>
        <v>17754.285714285714</v>
      </c>
      <c r="N49" s="128">
        <f t="shared" si="15"/>
        <v>17754.285714285714</v>
      </c>
      <c r="O49" s="128">
        <f t="shared" si="15"/>
        <v>12257.142857142857</v>
      </c>
    </row>
    <row r="50" spans="1:15" x14ac:dyDescent="0.35">
      <c r="A50" s="46" t="s">
        <v>373</v>
      </c>
      <c r="B50" s="131" t="e">
        <f>(B6-SUM(B36:B39)+B24*12)/(B13+B49)</f>
        <v>#N/A</v>
      </c>
      <c r="C50" s="128"/>
      <c r="E50" s="131" t="e">
        <f t="shared" ref="E50:K50" si="16">(E6-SUM(E36:E39)+E24*12)/(E13+E49)</f>
        <v>#N/A</v>
      </c>
      <c r="F50" s="129">
        <f t="shared" si="16"/>
        <v>-7.6051375165878302E-2</v>
      </c>
      <c r="G50" s="129">
        <f t="shared" si="16"/>
        <v>-2.6685200742038357E-2</v>
      </c>
      <c r="H50" s="129">
        <f t="shared" si="16"/>
        <v>-4.5434416037157144E-2</v>
      </c>
      <c r="I50" s="129">
        <f t="shared" si="16"/>
        <v>0.60539572843851519</v>
      </c>
      <c r="J50" s="129">
        <f t="shared" si="16"/>
        <v>0.303485389569359</v>
      </c>
      <c r="K50" s="129">
        <f t="shared" si="16"/>
        <v>0.19130298992513714</v>
      </c>
      <c r="L50" s="129">
        <f t="shared" ref="L50:O50" si="17">(L6-SUM(L36:L39)+L24*12)/(L13+L49)</f>
        <v>6.6567371291276697E-2</v>
      </c>
      <c r="M50" s="129">
        <f t="shared" si="17"/>
        <v>-1.4785954935840416E-2</v>
      </c>
      <c r="N50" s="129">
        <f t="shared" si="17"/>
        <v>-5.6849517652834997E-2</v>
      </c>
      <c r="O50" s="129">
        <f t="shared" si="17"/>
        <v>-4.9262747187311965E-3</v>
      </c>
    </row>
    <row r="51" spans="1:15" x14ac:dyDescent="0.35">
      <c r="A51" s="46" t="s">
        <v>372</v>
      </c>
      <c r="B51" s="128" t="e">
        <f>(B6-SUM(B36:B39))</f>
        <v>#N/A</v>
      </c>
      <c r="C51" s="128"/>
      <c r="E51" s="128" t="e">
        <f>(E6-SUM(E36:E39))</f>
        <v>#N/A</v>
      </c>
      <c r="F51" s="128">
        <f>(F6-SUM(F36:F39))</f>
        <v>71104.450789473689</v>
      </c>
      <c r="G51" s="128">
        <f t="shared" ref="G51:L51" si="18">(G6-SUM(G36:G39))</f>
        <v>51249.210526315786</v>
      </c>
      <c r="H51" s="128">
        <f t="shared" si="18"/>
        <v>46449.210526315786</v>
      </c>
      <c r="I51" s="128">
        <f t="shared" si="18"/>
        <v>29374.473684210527</v>
      </c>
      <c r="J51" s="128">
        <f t="shared" si="18"/>
        <v>28808.42105263158</v>
      </c>
      <c r="K51" s="128">
        <f t="shared" si="18"/>
        <v>20150.263157894737</v>
      </c>
      <c r="L51" s="128">
        <f t="shared" si="18"/>
        <v>22686.144736842107</v>
      </c>
      <c r="M51" s="128">
        <f t="shared" ref="M51:O51" si="19">(M6-SUM(M36:M39))</f>
        <v>64984.07894736842</v>
      </c>
      <c r="N51" s="128">
        <f t="shared" si="19"/>
        <v>54184.07894736842</v>
      </c>
      <c r="O51" s="128">
        <f t="shared" si="19"/>
        <v>46611.18421052632</v>
      </c>
    </row>
    <row r="52" spans="1:15" x14ac:dyDescent="0.35">
      <c r="L52" s="73" t="s">
        <v>219</v>
      </c>
    </row>
    <row r="53" spans="1:15" x14ac:dyDescent="0.35">
      <c r="A53" s="46"/>
      <c r="B53" s="130"/>
      <c r="E53" s="130"/>
    </row>
    <row r="54" spans="1:15" x14ac:dyDescent="0.35">
      <c r="A54" s="46"/>
      <c r="B54" s="128"/>
      <c r="E54" s="128"/>
    </row>
    <row r="55" spans="1:15" x14ac:dyDescent="0.35">
      <c r="A55" s="46" t="s">
        <v>217</v>
      </c>
    </row>
    <row r="56" spans="1:15" x14ac:dyDescent="0.35">
      <c r="A56" s="46" t="s">
        <v>218</v>
      </c>
    </row>
    <row r="59" spans="1:15" x14ac:dyDescent="0.35">
      <c r="A59" s="46" t="s">
        <v>220</v>
      </c>
    </row>
    <row r="61" spans="1:15" x14ac:dyDescent="0.35">
      <c r="A61" s="40" t="s">
        <v>221</v>
      </c>
      <c r="C61" s="46" t="s">
        <v>222</v>
      </c>
    </row>
    <row r="62" spans="1:15" x14ac:dyDescent="0.35">
      <c r="A62" s="53" t="s">
        <v>223</v>
      </c>
      <c r="C62" s="53" t="s">
        <v>224</v>
      </c>
    </row>
    <row r="63" spans="1:15" x14ac:dyDescent="0.35">
      <c r="A63" s="53" t="s">
        <v>225</v>
      </c>
      <c r="C63" s="53" t="s">
        <v>226</v>
      </c>
    </row>
    <row r="64" spans="1:15" x14ac:dyDescent="0.35">
      <c r="A64" s="53" t="s">
        <v>227</v>
      </c>
      <c r="C64" s="53" t="s">
        <v>182</v>
      </c>
    </row>
    <row r="65" spans="1:5" x14ac:dyDescent="0.35">
      <c r="A65" s="53" t="s">
        <v>228</v>
      </c>
    </row>
    <row r="66" spans="1:5" x14ac:dyDescent="0.35">
      <c r="A66" s="59" t="s">
        <v>229</v>
      </c>
    </row>
    <row r="68" spans="1:5" x14ac:dyDescent="0.35">
      <c r="A68" s="40">
        <v>1039</v>
      </c>
    </row>
    <row r="70" spans="1:5" x14ac:dyDescent="0.35">
      <c r="A70" s="42" t="s">
        <v>369</v>
      </c>
    </row>
    <row r="71" spans="1:5" x14ac:dyDescent="0.35">
      <c r="A71" s="40" t="s">
        <v>356</v>
      </c>
      <c r="B71" s="115" t="e">
        <f>B74*0.02</f>
        <v>#N/A</v>
      </c>
      <c r="E71" s="115" t="e">
        <f>E74*0.02</f>
        <v>#N/A</v>
      </c>
    </row>
    <row r="72" spans="1:5" x14ac:dyDescent="0.35">
      <c r="A72" s="40" t="s">
        <v>357</v>
      </c>
      <c r="B72" s="116" t="e">
        <f>B12*B11</f>
        <v>#N/A</v>
      </c>
      <c r="E72" s="116" t="e">
        <f>E12*E11</f>
        <v>#N/A</v>
      </c>
    </row>
    <row r="73" spans="1:5" x14ac:dyDescent="0.35">
      <c r="A73" s="40" t="s">
        <v>358</v>
      </c>
      <c r="B73" s="116" t="e">
        <f>B74-B72-B71</f>
        <v>#N/A</v>
      </c>
      <c r="E73" s="116" t="e">
        <f>E74-E72-E71</f>
        <v>#N/A</v>
      </c>
    </row>
    <row r="74" spans="1:5" x14ac:dyDescent="0.35">
      <c r="A74" s="117" t="s">
        <v>359</v>
      </c>
      <c r="B74" s="118" t="e">
        <f>B11</f>
        <v>#N/A</v>
      </c>
      <c r="E74" s="118" t="e">
        <f>E11</f>
        <v>#N/A</v>
      </c>
    </row>
    <row r="75" spans="1:5" x14ac:dyDescent="0.35">
      <c r="A75" s="42"/>
      <c r="B75" s="119"/>
      <c r="D75" s="120" t="s">
        <v>363</v>
      </c>
      <c r="E75" s="119"/>
    </row>
    <row r="76" spans="1:5" x14ac:dyDescent="0.35">
      <c r="A76" s="120" t="s">
        <v>360</v>
      </c>
      <c r="B76" s="120" t="s">
        <v>361</v>
      </c>
      <c r="C76" s="120" t="s">
        <v>362</v>
      </c>
      <c r="E76" s="120" t="s">
        <v>361</v>
      </c>
    </row>
    <row r="77" spans="1:5" x14ac:dyDescent="0.35">
      <c r="A77" s="40" t="s">
        <v>364</v>
      </c>
      <c r="C77" s="121">
        <v>45914</v>
      </c>
      <c r="D77" s="40">
        <f>C78*7</f>
        <v>7</v>
      </c>
    </row>
    <row r="78" spans="1:5" x14ac:dyDescent="0.35">
      <c r="A78" s="40" t="s">
        <v>365</v>
      </c>
      <c r="B78" s="121">
        <f>$C$77+C78*7</f>
        <v>45921</v>
      </c>
      <c r="C78" s="40">
        <v>1</v>
      </c>
      <c r="D78" s="40">
        <f t="shared" ref="D78:D80" si="20">C79*7</f>
        <v>28</v>
      </c>
      <c r="E78" s="121">
        <f>$C$77+F78*7</f>
        <v>45914</v>
      </c>
    </row>
    <row r="79" spans="1:5" x14ac:dyDescent="0.35">
      <c r="A79" s="40" t="s">
        <v>366</v>
      </c>
      <c r="B79" s="121">
        <f t="shared" ref="B79" si="21">$C$77+C79*7</f>
        <v>45942</v>
      </c>
      <c r="C79" s="40">
        <f>C78+3</f>
        <v>4</v>
      </c>
      <c r="D79" s="40">
        <f t="shared" si="20"/>
        <v>28</v>
      </c>
      <c r="E79" s="121">
        <f t="shared" ref="E79" si="22">$C$77+F79*7</f>
        <v>45914</v>
      </c>
    </row>
    <row r="80" spans="1:5" x14ac:dyDescent="0.35">
      <c r="A80" s="40" t="s">
        <v>367</v>
      </c>
      <c r="B80" s="121">
        <f>$C$77+C80*7</f>
        <v>45942</v>
      </c>
      <c r="C80" s="40">
        <f>C79</f>
        <v>4</v>
      </c>
      <c r="D80" s="40">
        <f t="shared" si="20"/>
        <v>35</v>
      </c>
      <c r="E80" s="121">
        <f>$C$77+F80*7</f>
        <v>45914</v>
      </c>
    </row>
    <row r="81" spans="1:5" x14ac:dyDescent="0.35">
      <c r="A81" s="40" t="s">
        <v>368</v>
      </c>
      <c r="B81" s="121">
        <f>$C$77+C81*7</f>
        <v>45949</v>
      </c>
      <c r="C81" s="40">
        <f>C80+1</f>
        <v>5</v>
      </c>
      <c r="E81" s="121">
        <f>$C$77+F81*7</f>
        <v>45914</v>
      </c>
    </row>
    <row r="82" spans="1:5" x14ac:dyDescent="0.35">
      <c r="B82" s="117" t="s">
        <v>213</v>
      </c>
      <c r="C82" s="117">
        <f>MAX(C78:C81)*7</f>
        <v>35</v>
      </c>
      <c r="E82" s="117" t="s">
        <v>213</v>
      </c>
    </row>
  </sheetData>
  <conditionalFormatting sqref="B50:O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O4" r:id="rId1" xr:uid="{75036498-35D5-42B0-9CF8-FFC8108D7F37}"/>
    <hyperlink ref="M4" r:id="rId2" xr:uid="{F020046F-F883-47BA-ABE3-AA9868B367BB}"/>
    <hyperlink ref="F4" r:id="rId3" xr:uid="{7885C386-DA62-4642-9750-518CDD1D5C13}"/>
    <hyperlink ref="E4" r:id="rId4" xr:uid="{20215228-CB15-4F70-9D99-C62B9099E47A}"/>
    <hyperlink ref="B4" r:id="rId5" xr:uid="{D18D95E7-11A1-4B6E-882A-895E1FE24614}"/>
  </hyperlinks>
  <pageMargins left="0.7" right="0.7" top="0.75" bottom="0.75" header="0.3" footer="0.3"/>
  <pageSetup orientation="portrait" r:id="rId6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3BCF1-581B-4F56-8F30-D564E6009131}">
  <dimension ref="A1:UN89"/>
  <sheetViews>
    <sheetView zoomScaleNormal="85" workbookViewId="0">
      <pane xSplit="1" ySplit="1" topLeftCell="N15" activePane="bottomRight" state="frozen"/>
      <selection activeCell="B48" sqref="B48"/>
      <selection pane="topRight" activeCell="B48" sqref="B48"/>
      <selection pane="bottomLeft" activeCell="B48" sqref="B48"/>
      <selection pane="bottomRight" activeCell="N80" sqref="N80:AN80"/>
    </sheetView>
  </sheetViews>
  <sheetFormatPr defaultColWidth="10.81640625" defaultRowHeight="13" outlineLevelRow="1" outlineLevelCol="1" x14ac:dyDescent="0.3"/>
  <cols>
    <col min="1" max="1" width="25.1796875" style="78" bestFit="1" customWidth="1"/>
    <col min="2" max="13" width="10.81640625" style="81" hidden="1" customWidth="1" outlineLevel="1"/>
    <col min="14" max="14" width="10.81640625" style="93" collapsed="1"/>
    <col min="15" max="26" width="10.81640625" style="81" hidden="1" customWidth="1" outlineLevel="1"/>
    <col min="27" max="27" width="10.81640625" style="95" collapsed="1"/>
    <col min="28" max="39" width="10.81640625" style="81" hidden="1" customWidth="1" outlineLevel="1"/>
    <col min="40" max="40" width="10.81640625" style="95" collapsed="1"/>
    <col min="41" max="52" width="10.81640625" style="81" hidden="1" customWidth="1" outlineLevel="1"/>
    <col min="53" max="53" width="10.81640625" style="95" collapsed="1"/>
    <col min="54" max="65" width="10.81640625" style="81" hidden="1" customWidth="1" outlineLevel="1"/>
    <col min="66" max="66" width="10.81640625" style="95" collapsed="1"/>
    <col min="67" max="78" width="10.81640625" style="81" hidden="1" customWidth="1" outlineLevel="1"/>
    <col min="79" max="79" width="10.81640625" style="95" collapsed="1"/>
    <col min="80" max="91" width="10.81640625" style="81" hidden="1" customWidth="1" outlineLevel="1"/>
    <col min="92" max="92" width="10.81640625" style="95" collapsed="1"/>
    <col min="93" max="104" width="10.81640625" style="81" hidden="1" customWidth="1" outlineLevel="1"/>
    <col min="105" max="105" width="10.81640625" style="95" collapsed="1"/>
    <col min="106" max="117" width="10.81640625" style="81" hidden="1" customWidth="1" outlineLevel="1"/>
    <col min="118" max="118" width="10.81640625" style="95" collapsed="1"/>
    <col min="119" max="130" width="10.81640625" style="81" hidden="1" customWidth="1" outlineLevel="1"/>
    <col min="131" max="131" width="10.81640625" style="95" collapsed="1"/>
    <col min="132" max="143" width="10.81640625" style="81" hidden="1" customWidth="1" outlineLevel="1"/>
    <col min="144" max="144" width="10.81640625" style="95" collapsed="1"/>
    <col min="145" max="156" width="10.81640625" style="81" hidden="1" customWidth="1" outlineLevel="1"/>
    <col min="157" max="157" width="10.81640625" style="95" collapsed="1"/>
    <col min="158" max="169" width="10.81640625" style="81" hidden="1" customWidth="1" outlineLevel="1"/>
    <col min="170" max="170" width="10.81640625" style="95" collapsed="1"/>
    <col min="171" max="182" width="10.81640625" style="81" hidden="1" customWidth="1" outlineLevel="1"/>
    <col min="183" max="183" width="10.81640625" style="95" collapsed="1"/>
    <col min="184" max="195" width="10.81640625" style="81" hidden="1" customWidth="1" outlineLevel="1"/>
    <col min="196" max="196" width="10.81640625" style="95" collapsed="1"/>
    <col min="197" max="208" width="10.81640625" style="81" hidden="1" customWidth="1" outlineLevel="1"/>
    <col min="209" max="209" width="10.81640625" style="95" collapsed="1"/>
    <col min="210" max="221" width="10.81640625" style="81" hidden="1" customWidth="1" outlineLevel="1"/>
    <col min="222" max="222" width="10.81640625" style="95" collapsed="1"/>
    <col min="223" max="234" width="10.81640625" style="81" hidden="1" customWidth="1" outlineLevel="1"/>
    <col min="235" max="235" width="10.81640625" style="95" collapsed="1"/>
    <col min="236" max="247" width="10.81640625" style="81" hidden="1" customWidth="1" outlineLevel="1"/>
    <col min="248" max="248" width="10.81640625" style="95" collapsed="1"/>
    <col min="249" max="260" width="10.81640625" style="81" hidden="1" customWidth="1" outlineLevel="1"/>
    <col min="261" max="261" width="10.81640625" style="95" collapsed="1"/>
    <col min="262" max="273" width="10.81640625" style="81" hidden="1" customWidth="1" outlineLevel="1"/>
    <col min="274" max="274" width="10.81640625" style="95" collapsed="1"/>
    <col min="275" max="286" width="10.81640625" style="81" hidden="1" customWidth="1" outlineLevel="1"/>
    <col min="287" max="287" width="10.81640625" style="95" collapsed="1"/>
    <col min="288" max="299" width="10.81640625" style="81" hidden="1" customWidth="1" outlineLevel="1"/>
    <col min="300" max="300" width="10.81640625" style="95" collapsed="1"/>
    <col min="301" max="312" width="10.81640625" style="81" hidden="1" customWidth="1" outlineLevel="1"/>
    <col min="313" max="313" width="10.81640625" style="95" collapsed="1"/>
    <col min="314" max="325" width="10.81640625" style="81" hidden="1" customWidth="1" outlineLevel="1"/>
    <col min="326" max="326" width="10.81640625" style="95" collapsed="1"/>
    <col min="327" max="338" width="10.81640625" style="81" hidden="1" customWidth="1" outlineLevel="1"/>
    <col min="339" max="339" width="10.81640625" style="95" collapsed="1"/>
    <col min="340" max="351" width="10.81640625" style="81" hidden="1" customWidth="1" outlineLevel="1"/>
    <col min="352" max="352" width="10.81640625" style="95" collapsed="1"/>
    <col min="353" max="364" width="10.81640625" style="81" hidden="1" customWidth="1" outlineLevel="1"/>
    <col min="365" max="365" width="10.81640625" style="95" collapsed="1"/>
    <col min="366" max="377" width="10.81640625" style="81" hidden="1" customWidth="1" outlineLevel="1"/>
    <col min="378" max="378" width="10.81640625" style="95" collapsed="1"/>
    <col min="379" max="390" width="10.81640625" style="81" hidden="1" customWidth="1" outlineLevel="1"/>
    <col min="391" max="391" width="10.81640625" style="95" collapsed="1"/>
    <col min="392" max="403" width="10.81640625" style="81" hidden="1" customWidth="1" outlineLevel="1"/>
    <col min="404" max="404" width="10.81640625" style="95" collapsed="1"/>
    <col min="405" max="416" width="10.81640625" style="81" hidden="1" customWidth="1" outlineLevel="1"/>
    <col min="417" max="417" width="10.81640625" style="95" collapsed="1"/>
    <col min="418" max="429" width="10.81640625" style="81" hidden="1" customWidth="1" outlineLevel="1"/>
    <col min="430" max="430" width="10.81640625" style="95" collapsed="1"/>
    <col min="431" max="442" width="10.81640625" style="81" hidden="1" customWidth="1" outlineLevel="1"/>
    <col min="443" max="443" width="10.81640625" style="95" collapsed="1"/>
    <col min="444" max="455" width="10.81640625" style="81" hidden="1" customWidth="1" outlineLevel="1"/>
    <col min="456" max="456" width="10.81640625" style="95" collapsed="1"/>
    <col min="457" max="468" width="10.81640625" style="81" hidden="1" customWidth="1" outlineLevel="1"/>
    <col min="469" max="469" width="10.81640625" style="95" collapsed="1"/>
    <col min="470" max="481" width="10.81640625" style="81" hidden="1" customWidth="1" outlineLevel="1"/>
    <col min="482" max="482" width="10.81640625" style="95" collapsed="1"/>
    <col min="483" max="16384" width="10.81640625" style="81"/>
  </cols>
  <sheetData>
    <row r="1" spans="1:482" s="77" customFormat="1" x14ac:dyDescent="0.3">
      <c r="A1" s="74"/>
      <c r="B1" s="75">
        <v>45658</v>
      </c>
      <c r="C1" s="75">
        <f>EDATE(B1,1)</f>
        <v>45689</v>
      </c>
      <c r="D1" s="75">
        <f t="shared" ref="D1:Z1" si="0">EDATE(C1,1)</f>
        <v>45717</v>
      </c>
      <c r="E1" s="75">
        <f t="shared" si="0"/>
        <v>45748</v>
      </c>
      <c r="F1" s="75">
        <f t="shared" si="0"/>
        <v>45778</v>
      </c>
      <c r="G1" s="75">
        <f t="shared" si="0"/>
        <v>45809</v>
      </c>
      <c r="H1" s="75">
        <f t="shared" si="0"/>
        <v>45839</v>
      </c>
      <c r="I1" s="75">
        <f t="shared" si="0"/>
        <v>45870</v>
      </c>
      <c r="J1" s="75">
        <f t="shared" si="0"/>
        <v>45901</v>
      </c>
      <c r="K1" s="75">
        <f t="shared" si="0"/>
        <v>45931</v>
      </c>
      <c r="L1" s="75">
        <f t="shared" si="0"/>
        <v>45962</v>
      </c>
      <c r="M1" s="75">
        <f t="shared" si="0"/>
        <v>45992</v>
      </c>
      <c r="N1" s="76" t="str">
        <f>YEAR(M1)&amp;" Total"</f>
        <v>2025 Total</v>
      </c>
      <c r="O1" s="75">
        <f>EDATE(M1,1)</f>
        <v>46023</v>
      </c>
      <c r="P1" s="75">
        <f t="shared" si="0"/>
        <v>46054</v>
      </c>
      <c r="Q1" s="75">
        <f t="shared" si="0"/>
        <v>46082</v>
      </c>
      <c r="R1" s="75">
        <f t="shared" si="0"/>
        <v>46113</v>
      </c>
      <c r="S1" s="75">
        <f t="shared" si="0"/>
        <v>46143</v>
      </c>
      <c r="T1" s="75">
        <f t="shared" si="0"/>
        <v>46174</v>
      </c>
      <c r="U1" s="75">
        <f t="shared" si="0"/>
        <v>46204</v>
      </c>
      <c r="V1" s="75">
        <f t="shared" si="0"/>
        <v>46235</v>
      </c>
      <c r="W1" s="75">
        <f t="shared" si="0"/>
        <v>46266</v>
      </c>
      <c r="X1" s="75">
        <f t="shared" si="0"/>
        <v>46296</v>
      </c>
      <c r="Y1" s="75">
        <f t="shared" si="0"/>
        <v>46327</v>
      </c>
      <c r="Z1" s="75">
        <f t="shared" si="0"/>
        <v>46357</v>
      </c>
      <c r="AA1" s="76" t="str">
        <f>YEAR(Z1)&amp;" Total"</f>
        <v>2026 Total</v>
      </c>
      <c r="AB1" s="75">
        <f>EDATE(Z1,1)</f>
        <v>46388</v>
      </c>
      <c r="AC1" s="75">
        <f t="shared" ref="AC1:AM1" si="1">EDATE(AB1,1)</f>
        <v>46419</v>
      </c>
      <c r="AD1" s="75">
        <f t="shared" si="1"/>
        <v>46447</v>
      </c>
      <c r="AE1" s="75">
        <f t="shared" si="1"/>
        <v>46478</v>
      </c>
      <c r="AF1" s="75">
        <f t="shared" si="1"/>
        <v>46508</v>
      </c>
      <c r="AG1" s="75">
        <f t="shared" si="1"/>
        <v>46539</v>
      </c>
      <c r="AH1" s="75">
        <f t="shared" si="1"/>
        <v>46569</v>
      </c>
      <c r="AI1" s="75">
        <f t="shared" si="1"/>
        <v>46600</v>
      </c>
      <c r="AJ1" s="75">
        <f t="shared" si="1"/>
        <v>46631</v>
      </c>
      <c r="AK1" s="75">
        <f t="shared" si="1"/>
        <v>46661</v>
      </c>
      <c r="AL1" s="75">
        <f t="shared" si="1"/>
        <v>46692</v>
      </c>
      <c r="AM1" s="75">
        <f t="shared" si="1"/>
        <v>46722</v>
      </c>
      <c r="AN1" s="76" t="str">
        <f>YEAR(AM1)&amp;" Total"</f>
        <v>2027 Total</v>
      </c>
      <c r="AO1" s="75">
        <f>EDATE(AM1,1)</f>
        <v>46753</v>
      </c>
      <c r="AP1" s="75">
        <f t="shared" ref="AP1:AZ1" si="2">EDATE(AO1,1)</f>
        <v>46784</v>
      </c>
      <c r="AQ1" s="75">
        <f t="shared" si="2"/>
        <v>46813</v>
      </c>
      <c r="AR1" s="75">
        <f t="shared" si="2"/>
        <v>46844</v>
      </c>
      <c r="AS1" s="75">
        <f t="shared" si="2"/>
        <v>46874</v>
      </c>
      <c r="AT1" s="75">
        <f t="shared" si="2"/>
        <v>46905</v>
      </c>
      <c r="AU1" s="75">
        <f t="shared" si="2"/>
        <v>46935</v>
      </c>
      <c r="AV1" s="75">
        <f t="shared" si="2"/>
        <v>46966</v>
      </c>
      <c r="AW1" s="75">
        <f t="shared" si="2"/>
        <v>46997</v>
      </c>
      <c r="AX1" s="75">
        <f t="shared" si="2"/>
        <v>47027</v>
      </c>
      <c r="AY1" s="75">
        <f t="shared" si="2"/>
        <v>47058</v>
      </c>
      <c r="AZ1" s="75">
        <f t="shared" si="2"/>
        <v>47088</v>
      </c>
      <c r="BA1" s="76" t="str">
        <f>YEAR(AZ1)&amp;" Total"</f>
        <v>2028 Total</v>
      </c>
      <c r="BB1" s="75">
        <f>EDATE(AZ1,1)</f>
        <v>47119</v>
      </c>
      <c r="BC1" s="75">
        <f t="shared" ref="BC1:BM1" si="3">EDATE(BB1,1)</f>
        <v>47150</v>
      </c>
      <c r="BD1" s="75">
        <f t="shared" si="3"/>
        <v>47178</v>
      </c>
      <c r="BE1" s="75">
        <f t="shared" si="3"/>
        <v>47209</v>
      </c>
      <c r="BF1" s="75">
        <f t="shared" si="3"/>
        <v>47239</v>
      </c>
      <c r="BG1" s="75">
        <f t="shared" si="3"/>
        <v>47270</v>
      </c>
      <c r="BH1" s="75">
        <f t="shared" si="3"/>
        <v>47300</v>
      </c>
      <c r="BI1" s="75">
        <f t="shared" si="3"/>
        <v>47331</v>
      </c>
      <c r="BJ1" s="75">
        <f t="shared" si="3"/>
        <v>47362</v>
      </c>
      <c r="BK1" s="75">
        <f t="shared" si="3"/>
        <v>47392</v>
      </c>
      <c r="BL1" s="75">
        <f t="shared" si="3"/>
        <v>47423</v>
      </c>
      <c r="BM1" s="75">
        <f t="shared" si="3"/>
        <v>47453</v>
      </c>
      <c r="BN1" s="76" t="str">
        <f>YEAR(BM1)&amp;" Total"</f>
        <v>2029 Total</v>
      </c>
      <c r="BO1" s="75">
        <f>EDATE(BM1,1)</f>
        <v>47484</v>
      </c>
      <c r="BP1" s="75">
        <f t="shared" ref="BP1:BZ1" si="4">EDATE(BO1,1)</f>
        <v>47515</v>
      </c>
      <c r="BQ1" s="75">
        <f t="shared" si="4"/>
        <v>47543</v>
      </c>
      <c r="BR1" s="75">
        <f t="shared" si="4"/>
        <v>47574</v>
      </c>
      <c r="BS1" s="75">
        <f t="shared" si="4"/>
        <v>47604</v>
      </c>
      <c r="BT1" s="75">
        <f t="shared" si="4"/>
        <v>47635</v>
      </c>
      <c r="BU1" s="75">
        <f t="shared" si="4"/>
        <v>47665</v>
      </c>
      <c r="BV1" s="75">
        <f t="shared" si="4"/>
        <v>47696</v>
      </c>
      <c r="BW1" s="75">
        <f t="shared" si="4"/>
        <v>47727</v>
      </c>
      <c r="BX1" s="75">
        <f t="shared" si="4"/>
        <v>47757</v>
      </c>
      <c r="BY1" s="75">
        <f t="shared" si="4"/>
        <v>47788</v>
      </c>
      <c r="BZ1" s="75">
        <f t="shared" si="4"/>
        <v>47818</v>
      </c>
      <c r="CA1" s="76" t="str">
        <f>YEAR(BZ1)&amp;" Total"</f>
        <v>2030 Total</v>
      </c>
      <c r="CB1" s="75">
        <f>EDATE(BZ1,1)</f>
        <v>47849</v>
      </c>
      <c r="CC1" s="75">
        <f t="shared" ref="CC1:CM1" si="5">EDATE(CB1,1)</f>
        <v>47880</v>
      </c>
      <c r="CD1" s="75">
        <f t="shared" si="5"/>
        <v>47908</v>
      </c>
      <c r="CE1" s="75">
        <f t="shared" si="5"/>
        <v>47939</v>
      </c>
      <c r="CF1" s="75">
        <f t="shared" si="5"/>
        <v>47969</v>
      </c>
      <c r="CG1" s="75">
        <f t="shared" si="5"/>
        <v>48000</v>
      </c>
      <c r="CH1" s="75">
        <f t="shared" si="5"/>
        <v>48030</v>
      </c>
      <c r="CI1" s="75">
        <f t="shared" si="5"/>
        <v>48061</v>
      </c>
      <c r="CJ1" s="75">
        <f t="shared" si="5"/>
        <v>48092</v>
      </c>
      <c r="CK1" s="75">
        <f t="shared" si="5"/>
        <v>48122</v>
      </c>
      <c r="CL1" s="75">
        <f t="shared" si="5"/>
        <v>48153</v>
      </c>
      <c r="CM1" s="75">
        <f t="shared" si="5"/>
        <v>48183</v>
      </c>
      <c r="CN1" s="76" t="str">
        <f>YEAR(CM1)&amp;" Total"</f>
        <v>2031 Total</v>
      </c>
      <c r="CO1" s="75">
        <f>EDATE(CM1,1)</f>
        <v>48214</v>
      </c>
      <c r="CP1" s="75">
        <f t="shared" ref="CP1:CZ1" si="6">EDATE(CO1,1)</f>
        <v>48245</v>
      </c>
      <c r="CQ1" s="75">
        <f t="shared" si="6"/>
        <v>48274</v>
      </c>
      <c r="CR1" s="75">
        <f t="shared" si="6"/>
        <v>48305</v>
      </c>
      <c r="CS1" s="75">
        <f t="shared" si="6"/>
        <v>48335</v>
      </c>
      <c r="CT1" s="75">
        <f t="shared" si="6"/>
        <v>48366</v>
      </c>
      <c r="CU1" s="75">
        <f t="shared" si="6"/>
        <v>48396</v>
      </c>
      <c r="CV1" s="75">
        <f t="shared" si="6"/>
        <v>48427</v>
      </c>
      <c r="CW1" s="75">
        <f t="shared" si="6"/>
        <v>48458</v>
      </c>
      <c r="CX1" s="75">
        <f t="shared" si="6"/>
        <v>48488</v>
      </c>
      <c r="CY1" s="75">
        <f t="shared" si="6"/>
        <v>48519</v>
      </c>
      <c r="CZ1" s="75">
        <f t="shared" si="6"/>
        <v>48549</v>
      </c>
      <c r="DA1" s="76" t="str">
        <f>YEAR(CZ1)&amp;" Total"</f>
        <v>2032 Total</v>
      </c>
      <c r="DB1" s="75">
        <f>EDATE(CZ1,1)</f>
        <v>48580</v>
      </c>
      <c r="DC1" s="75">
        <f t="shared" ref="DC1:DM1" si="7">EDATE(DB1,1)</f>
        <v>48611</v>
      </c>
      <c r="DD1" s="75">
        <f t="shared" si="7"/>
        <v>48639</v>
      </c>
      <c r="DE1" s="75">
        <f t="shared" si="7"/>
        <v>48670</v>
      </c>
      <c r="DF1" s="75">
        <f t="shared" si="7"/>
        <v>48700</v>
      </c>
      <c r="DG1" s="75">
        <f t="shared" si="7"/>
        <v>48731</v>
      </c>
      <c r="DH1" s="75">
        <f t="shared" si="7"/>
        <v>48761</v>
      </c>
      <c r="DI1" s="75">
        <f t="shared" si="7"/>
        <v>48792</v>
      </c>
      <c r="DJ1" s="75">
        <f t="shared" si="7"/>
        <v>48823</v>
      </c>
      <c r="DK1" s="75">
        <f t="shared" si="7"/>
        <v>48853</v>
      </c>
      <c r="DL1" s="75">
        <f t="shared" si="7"/>
        <v>48884</v>
      </c>
      <c r="DM1" s="75">
        <f t="shared" si="7"/>
        <v>48914</v>
      </c>
      <c r="DN1" s="76" t="str">
        <f>YEAR(DM1)&amp;" Total"</f>
        <v>2033 Total</v>
      </c>
      <c r="DO1" s="75">
        <f>EDATE(DM1,1)</f>
        <v>48945</v>
      </c>
      <c r="DP1" s="75">
        <f t="shared" ref="DP1:DZ1" si="8">EDATE(DO1,1)</f>
        <v>48976</v>
      </c>
      <c r="DQ1" s="75">
        <f t="shared" si="8"/>
        <v>49004</v>
      </c>
      <c r="DR1" s="75">
        <f t="shared" si="8"/>
        <v>49035</v>
      </c>
      <c r="DS1" s="75">
        <f t="shared" si="8"/>
        <v>49065</v>
      </c>
      <c r="DT1" s="75">
        <f t="shared" si="8"/>
        <v>49096</v>
      </c>
      <c r="DU1" s="75">
        <f t="shared" si="8"/>
        <v>49126</v>
      </c>
      <c r="DV1" s="75">
        <f t="shared" si="8"/>
        <v>49157</v>
      </c>
      <c r="DW1" s="75">
        <f t="shared" si="8"/>
        <v>49188</v>
      </c>
      <c r="DX1" s="75">
        <f t="shared" si="8"/>
        <v>49218</v>
      </c>
      <c r="DY1" s="75">
        <f t="shared" si="8"/>
        <v>49249</v>
      </c>
      <c r="DZ1" s="75">
        <f t="shared" si="8"/>
        <v>49279</v>
      </c>
      <c r="EA1" s="76" t="str">
        <f>YEAR(DZ1)&amp;" Total"</f>
        <v>2034 Total</v>
      </c>
      <c r="EB1" s="75">
        <f>EDATE(DZ1,1)</f>
        <v>49310</v>
      </c>
      <c r="EC1" s="75">
        <f t="shared" ref="EC1:EM1" si="9">EDATE(EB1,1)</f>
        <v>49341</v>
      </c>
      <c r="ED1" s="75">
        <f t="shared" si="9"/>
        <v>49369</v>
      </c>
      <c r="EE1" s="75">
        <f t="shared" si="9"/>
        <v>49400</v>
      </c>
      <c r="EF1" s="75">
        <f t="shared" si="9"/>
        <v>49430</v>
      </c>
      <c r="EG1" s="75">
        <f t="shared" si="9"/>
        <v>49461</v>
      </c>
      <c r="EH1" s="75">
        <f t="shared" si="9"/>
        <v>49491</v>
      </c>
      <c r="EI1" s="75">
        <f t="shared" si="9"/>
        <v>49522</v>
      </c>
      <c r="EJ1" s="75">
        <f t="shared" si="9"/>
        <v>49553</v>
      </c>
      <c r="EK1" s="75">
        <f t="shared" si="9"/>
        <v>49583</v>
      </c>
      <c r="EL1" s="75">
        <f t="shared" si="9"/>
        <v>49614</v>
      </c>
      <c r="EM1" s="75">
        <f t="shared" si="9"/>
        <v>49644</v>
      </c>
      <c r="EN1" s="76" t="str">
        <f>YEAR(EM1)&amp;" Total"</f>
        <v>2035 Total</v>
      </c>
      <c r="EO1" s="75">
        <f>EDATE(EM1,1)</f>
        <v>49675</v>
      </c>
      <c r="EP1" s="75">
        <f t="shared" ref="EP1:EZ1" si="10">EDATE(EO1,1)</f>
        <v>49706</v>
      </c>
      <c r="EQ1" s="75">
        <f t="shared" si="10"/>
        <v>49735</v>
      </c>
      <c r="ER1" s="75">
        <f t="shared" si="10"/>
        <v>49766</v>
      </c>
      <c r="ES1" s="75">
        <f t="shared" si="10"/>
        <v>49796</v>
      </c>
      <c r="ET1" s="75">
        <f t="shared" si="10"/>
        <v>49827</v>
      </c>
      <c r="EU1" s="75">
        <f t="shared" si="10"/>
        <v>49857</v>
      </c>
      <c r="EV1" s="75">
        <f t="shared" si="10"/>
        <v>49888</v>
      </c>
      <c r="EW1" s="75">
        <f t="shared" si="10"/>
        <v>49919</v>
      </c>
      <c r="EX1" s="75">
        <f t="shared" si="10"/>
        <v>49949</v>
      </c>
      <c r="EY1" s="75">
        <f t="shared" si="10"/>
        <v>49980</v>
      </c>
      <c r="EZ1" s="75">
        <f t="shared" si="10"/>
        <v>50010</v>
      </c>
      <c r="FA1" s="76" t="str">
        <f>YEAR(EZ1)&amp;" Total"</f>
        <v>2036 Total</v>
      </c>
      <c r="FB1" s="75">
        <f>EDATE(EZ1,1)</f>
        <v>50041</v>
      </c>
      <c r="FC1" s="75">
        <f t="shared" ref="FC1:FM1" si="11">EDATE(FB1,1)</f>
        <v>50072</v>
      </c>
      <c r="FD1" s="75">
        <f t="shared" si="11"/>
        <v>50100</v>
      </c>
      <c r="FE1" s="75">
        <f t="shared" si="11"/>
        <v>50131</v>
      </c>
      <c r="FF1" s="75">
        <f t="shared" si="11"/>
        <v>50161</v>
      </c>
      <c r="FG1" s="75">
        <f t="shared" si="11"/>
        <v>50192</v>
      </c>
      <c r="FH1" s="75">
        <f t="shared" si="11"/>
        <v>50222</v>
      </c>
      <c r="FI1" s="75">
        <f t="shared" si="11"/>
        <v>50253</v>
      </c>
      <c r="FJ1" s="75">
        <f t="shared" si="11"/>
        <v>50284</v>
      </c>
      <c r="FK1" s="75">
        <f t="shared" si="11"/>
        <v>50314</v>
      </c>
      <c r="FL1" s="75">
        <f t="shared" si="11"/>
        <v>50345</v>
      </c>
      <c r="FM1" s="75">
        <f t="shared" si="11"/>
        <v>50375</v>
      </c>
      <c r="FN1" s="76" t="str">
        <f>YEAR(FM1)&amp;" Total"</f>
        <v>2037 Total</v>
      </c>
      <c r="FO1" s="75">
        <f>EDATE(FM1,1)</f>
        <v>50406</v>
      </c>
      <c r="FP1" s="75">
        <f t="shared" ref="FP1:FZ1" si="12">EDATE(FO1,1)</f>
        <v>50437</v>
      </c>
      <c r="FQ1" s="75">
        <f t="shared" si="12"/>
        <v>50465</v>
      </c>
      <c r="FR1" s="75">
        <f t="shared" si="12"/>
        <v>50496</v>
      </c>
      <c r="FS1" s="75">
        <f t="shared" si="12"/>
        <v>50526</v>
      </c>
      <c r="FT1" s="75">
        <f t="shared" si="12"/>
        <v>50557</v>
      </c>
      <c r="FU1" s="75">
        <f t="shared" si="12"/>
        <v>50587</v>
      </c>
      <c r="FV1" s="75">
        <f t="shared" si="12"/>
        <v>50618</v>
      </c>
      <c r="FW1" s="75">
        <f t="shared" si="12"/>
        <v>50649</v>
      </c>
      <c r="FX1" s="75">
        <f t="shared" si="12"/>
        <v>50679</v>
      </c>
      <c r="FY1" s="75">
        <f t="shared" si="12"/>
        <v>50710</v>
      </c>
      <c r="FZ1" s="75">
        <f t="shared" si="12"/>
        <v>50740</v>
      </c>
      <c r="GA1" s="76" t="str">
        <f>YEAR(FZ1)&amp;" Total"</f>
        <v>2038 Total</v>
      </c>
      <c r="GB1" s="75">
        <f>EDATE(FZ1,1)</f>
        <v>50771</v>
      </c>
      <c r="GC1" s="75">
        <f t="shared" ref="GC1:GM1" si="13">EDATE(GB1,1)</f>
        <v>50802</v>
      </c>
      <c r="GD1" s="75">
        <f t="shared" si="13"/>
        <v>50830</v>
      </c>
      <c r="GE1" s="75">
        <f t="shared" si="13"/>
        <v>50861</v>
      </c>
      <c r="GF1" s="75">
        <f t="shared" si="13"/>
        <v>50891</v>
      </c>
      <c r="GG1" s="75">
        <f t="shared" si="13"/>
        <v>50922</v>
      </c>
      <c r="GH1" s="75">
        <f t="shared" si="13"/>
        <v>50952</v>
      </c>
      <c r="GI1" s="75">
        <f t="shared" si="13"/>
        <v>50983</v>
      </c>
      <c r="GJ1" s="75">
        <f t="shared" si="13"/>
        <v>51014</v>
      </c>
      <c r="GK1" s="75">
        <f t="shared" si="13"/>
        <v>51044</v>
      </c>
      <c r="GL1" s="75">
        <f t="shared" si="13"/>
        <v>51075</v>
      </c>
      <c r="GM1" s="75">
        <f t="shared" si="13"/>
        <v>51105</v>
      </c>
      <c r="GN1" s="76" t="str">
        <f>YEAR(GM1)&amp;" Total"</f>
        <v>2039 Total</v>
      </c>
      <c r="GO1" s="75">
        <f>EDATE(GM1,1)</f>
        <v>51136</v>
      </c>
      <c r="GP1" s="75">
        <f t="shared" ref="GP1:GZ1" si="14">EDATE(GO1,1)</f>
        <v>51167</v>
      </c>
      <c r="GQ1" s="75">
        <f t="shared" si="14"/>
        <v>51196</v>
      </c>
      <c r="GR1" s="75">
        <f t="shared" si="14"/>
        <v>51227</v>
      </c>
      <c r="GS1" s="75">
        <f t="shared" si="14"/>
        <v>51257</v>
      </c>
      <c r="GT1" s="75">
        <f t="shared" si="14"/>
        <v>51288</v>
      </c>
      <c r="GU1" s="75">
        <f t="shared" si="14"/>
        <v>51318</v>
      </c>
      <c r="GV1" s="75">
        <f t="shared" si="14"/>
        <v>51349</v>
      </c>
      <c r="GW1" s="75">
        <f t="shared" si="14"/>
        <v>51380</v>
      </c>
      <c r="GX1" s="75">
        <f t="shared" si="14"/>
        <v>51410</v>
      </c>
      <c r="GY1" s="75">
        <f t="shared" si="14"/>
        <v>51441</v>
      </c>
      <c r="GZ1" s="75">
        <f t="shared" si="14"/>
        <v>51471</v>
      </c>
      <c r="HA1" s="76" t="str">
        <f>YEAR(GZ1)&amp;" Total"</f>
        <v>2040 Total</v>
      </c>
      <c r="HB1" s="75">
        <f>EDATE(GZ1,1)</f>
        <v>51502</v>
      </c>
      <c r="HC1" s="75">
        <f t="shared" ref="HC1:HM1" si="15">EDATE(HB1,1)</f>
        <v>51533</v>
      </c>
      <c r="HD1" s="75">
        <f t="shared" si="15"/>
        <v>51561</v>
      </c>
      <c r="HE1" s="75">
        <f t="shared" si="15"/>
        <v>51592</v>
      </c>
      <c r="HF1" s="75">
        <f t="shared" si="15"/>
        <v>51622</v>
      </c>
      <c r="HG1" s="75">
        <f t="shared" si="15"/>
        <v>51653</v>
      </c>
      <c r="HH1" s="75">
        <f t="shared" si="15"/>
        <v>51683</v>
      </c>
      <c r="HI1" s="75">
        <f t="shared" si="15"/>
        <v>51714</v>
      </c>
      <c r="HJ1" s="75">
        <f t="shared" si="15"/>
        <v>51745</v>
      </c>
      <c r="HK1" s="75">
        <f t="shared" si="15"/>
        <v>51775</v>
      </c>
      <c r="HL1" s="75">
        <f t="shared" si="15"/>
        <v>51806</v>
      </c>
      <c r="HM1" s="75">
        <f t="shared" si="15"/>
        <v>51836</v>
      </c>
      <c r="HN1" s="76" t="str">
        <f>YEAR(HM1)&amp;" Total"</f>
        <v>2041 Total</v>
      </c>
      <c r="HO1" s="75">
        <f>EDATE(HM1,1)</f>
        <v>51867</v>
      </c>
      <c r="HP1" s="75">
        <f t="shared" ref="HP1:HZ1" si="16">EDATE(HO1,1)</f>
        <v>51898</v>
      </c>
      <c r="HQ1" s="75">
        <f t="shared" si="16"/>
        <v>51926</v>
      </c>
      <c r="HR1" s="75">
        <f t="shared" si="16"/>
        <v>51957</v>
      </c>
      <c r="HS1" s="75">
        <f t="shared" si="16"/>
        <v>51987</v>
      </c>
      <c r="HT1" s="75">
        <f t="shared" si="16"/>
        <v>52018</v>
      </c>
      <c r="HU1" s="75">
        <f t="shared" si="16"/>
        <v>52048</v>
      </c>
      <c r="HV1" s="75">
        <f t="shared" si="16"/>
        <v>52079</v>
      </c>
      <c r="HW1" s="75">
        <f t="shared" si="16"/>
        <v>52110</v>
      </c>
      <c r="HX1" s="75">
        <f t="shared" si="16"/>
        <v>52140</v>
      </c>
      <c r="HY1" s="75">
        <f t="shared" si="16"/>
        <v>52171</v>
      </c>
      <c r="HZ1" s="75">
        <f t="shared" si="16"/>
        <v>52201</v>
      </c>
      <c r="IA1" s="76" t="str">
        <f>YEAR(HZ1)&amp;" Total"</f>
        <v>2042 Total</v>
      </c>
      <c r="IB1" s="75">
        <f>EDATE(HZ1,1)</f>
        <v>52232</v>
      </c>
      <c r="IC1" s="75">
        <f t="shared" ref="IC1:IM1" si="17">EDATE(IB1,1)</f>
        <v>52263</v>
      </c>
      <c r="ID1" s="75">
        <f t="shared" si="17"/>
        <v>52291</v>
      </c>
      <c r="IE1" s="75">
        <f t="shared" si="17"/>
        <v>52322</v>
      </c>
      <c r="IF1" s="75">
        <f t="shared" si="17"/>
        <v>52352</v>
      </c>
      <c r="IG1" s="75">
        <f t="shared" si="17"/>
        <v>52383</v>
      </c>
      <c r="IH1" s="75">
        <f t="shared" si="17"/>
        <v>52413</v>
      </c>
      <c r="II1" s="75">
        <f t="shared" si="17"/>
        <v>52444</v>
      </c>
      <c r="IJ1" s="75">
        <f t="shared" si="17"/>
        <v>52475</v>
      </c>
      <c r="IK1" s="75">
        <f t="shared" si="17"/>
        <v>52505</v>
      </c>
      <c r="IL1" s="75">
        <f t="shared" si="17"/>
        <v>52536</v>
      </c>
      <c r="IM1" s="75">
        <f t="shared" si="17"/>
        <v>52566</v>
      </c>
      <c r="IN1" s="76" t="str">
        <f>YEAR(IM1)&amp;" Total"</f>
        <v>2043 Total</v>
      </c>
      <c r="IO1" s="75">
        <f>EDATE(IM1,1)</f>
        <v>52597</v>
      </c>
      <c r="IP1" s="75">
        <f t="shared" ref="IP1:IZ1" si="18">EDATE(IO1,1)</f>
        <v>52628</v>
      </c>
      <c r="IQ1" s="75">
        <f t="shared" si="18"/>
        <v>52657</v>
      </c>
      <c r="IR1" s="75">
        <f t="shared" si="18"/>
        <v>52688</v>
      </c>
      <c r="IS1" s="75">
        <f t="shared" si="18"/>
        <v>52718</v>
      </c>
      <c r="IT1" s="75">
        <f t="shared" si="18"/>
        <v>52749</v>
      </c>
      <c r="IU1" s="75">
        <f t="shared" si="18"/>
        <v>52779</v>
      </c>
      <c r="IV1" s="75">
        <f t="shared" si="18"/>
        <v>52810</v>
      </c>
      <c r="IW1" s="75">
        <f t="shared" si="18"/>
        <v>52841</v>
      </c>
      <c r="IX1" s="75">
        <f t="shared" si="18"/>
        <v>52871</v>
      </c>
      <c r="IY1" s="75">
        <f t="shared" si="18"/>
        <v>52902</v>
      </c>
      <c r="IZ1" s="75">
        <f t="shared" si="18"/>
        <v>52932</v>
      </c>
      <c r="JA1" s="76" t="str">
        <f>YEAR(IZ1)&amp;" Total"</f>
        <v>2044 Total</v>
      </c>
      <c r="JB1" s="75">
        <f>EDATE(IZ1,1)</f>
        <v>52963</v>
      </c>
      <c r="JC1" s="75">
        <f t="shared" ref="JC1:JM1" si="19">EDATE(JB1,1)</f>
        <v>52994</v>
      </c>
      <c r="JD1" s="75">
        <f t="shared" si="19"/>
        <v>53022</v>
      </c>
      <c r="JE1" s="75">
        <f t="shared" si="19"/>
        <v>53053</v>
      </c>
      <c r="JF1" s="75">
        <f t="shared" si="19"/>
        <v>53083</v>
      </c>
      <c r="JG1" s="75">
        <f t="shared" si="19"/>
        <v>53114</v>
      </c>
      <c r="JH1" s="75">
        <f t="shared" si="19"/>
        <v>53144</v>
      </c>
      <c r="JI1" s="75">
        <f t="shared" si="19"/>
        <v>53175</v>
      </c>
      <c r="JJ1" s="75">
        <f t="shared" si="19"/>
        <v>53206</v>
      </c>
      <c r="JK1" s="75">
        <f t="shared" si="19"/>
        <v>53236</v>
      </c>
      <c r="JL1" s="75">
        <f t="shared" si="19"/>
        <v>53267</v>
      </c>
      <c r="JM1" s="75">
        <f t="shared" si="19"/>
        <v>53297</v>
      </c>
      <c r="JN1" s="76" t="str">
        <f>YEAR(JM1)&amp;" Total"</f>
        <v>2045 Total</v>
      </c>
      <c r="JO1" s="75">
        <f>EDATE(JM1,1)</f>
        <v>53328</v>
      </c>
      <c r="JP1" s="75">
        <f t="shared" ref="JP1:JZ1" si="20">EDATE(JO1,1)</f>
        <v>53359</v>
      </c>
      <c r="JQ1" s="75">
        <f t="shared" si="20"/>
        <v>53387</v>
      </c>
      <c r="JR1" s="75">
        <f t="shared" si="20"/>
        <v>53418</v>
      </c>
      <c r="JS1" s="75">
        <f t="shared" si="20"/>
        <v>53448</v>
      </c>
      <c r="JT1" s="75">
        <f t="shared" si="20"/>
        <v>53479</v>
      </c>
      <c r="JU1" s="75">
        <f t="shared" si="20"/>
        <v>53509</v>
      </c>
      <c r="JV1" s="75">
        <f t="shared" si="20"/>
        <v>53540</v>
      </c>
      <c r="JW1" s="75">
        <f t="shared" si="20"/>
        <v>53571</v>
      </c>
      <c r="JX1" s="75">
        <f t="shared" si="20"/>
        <v>53601</v>
      </c>
      <c r="JY1" s="75">
        <f t="shared" si="20"/>
        <v>53632</v>
      </c>
      <c r="JZ1" s="75">
        <f t="shared" si="20"/>
        <v>53662</v>
      </c>
      <c r="KA1" s="76" t="str">
        <f>YEAR(JZ1)&amp;" Total"</f>
        <v>2046 Total</v>
      </c>
      <c r="KB1" s="75">
        <f>EDATE(JZ1,1)</f>
        <v>53693</v>
      </c>
      <c r="KC1" s="75">
        <f t="shared" ref="KC1:KM1" si="21">EDATE(KB1,1)</f>
        <v>53724</v>
      </c>
      <c r="KD1" s="75">
        <f t="shared" si="21"/>
        <v>53752</v>
      </c>
      <c r="KE1" s="75">
        <f t="shared" si="21"/>
        <v>53783</v>
      </c>
      <c r="KF1" s="75">
        <f t="shared" si="21"/>
        <v>53813</v>
      </c>
      <c r="KG1" s="75">
        <f t="shared" si="21"/>
        <v>53844</v>
      </c>
      <c r="KH1" s="75">
        <f t="shared" si="21"/>
        <v>53874</v>
      </c>
      <c r="KI1" s="75">
        <f t="shared" si="21"/>
        <v>53905</v>
      </c>
      <c r="KJ1" s="75">
        <f t="shared" si="21"/>
        <v>53936</v>
      </c>
      <c r="KK1" s="75">
        <f t="shared" si="21"/>
        <v>53966</v>
      </c>
      <c r="KL1" s="75">
        <f t="shared" si="21"/>
        <v>53997</v>
      </c>
      <c r="KM1" s="75">
        <f t="shared" si="21"/>
        <v>54027</v>
      </c>
      <c r="KN1" s="76" t="str">
        <f>YEAR(KM1)&amp;" Total"</f>
        <v>2047 Total</v>
      </c>
      <c r="KO1" s="75">
        <f>EDATE(KM1,1)</f>
        <v>54058</v>
      </c>
      <c r="KP1" s="75">
        <f t="shared" ref="KP1:KZ1" si="22">EDATE(KO1,1)</f>
        <v>54089</v>
      </c>
      <c r="KQ1" s="75">
        <f t="shared" si="22"/>
        <v>54118</v>
      </c>
      <c r="KR1" s="75">
        <f t="shared" si="22"/>
        <v>54149</v>
      </c>
      <c r="KS1" s="75">
        <f t="shared" si="22"/>
        <v>54179</v>
      </c>
      <c r="KT1" s="75">
        <f t="shared" si="22"/>
        <v>54210</v>
      </c>
      <c r="KU1" s="75">
        <f t="shared" si="22"/>
        <v>54240</v>
      </c>
      <c r="KV1" s="75">
        <f t="shared" si="22"/>
        <v>54271</v>
      </c>
      <c r="KW1" s="75">
        <f t="shared" si="22"/>
        <v>54302</v>
      </c>
      <c r="KX1" s="75">
        <f t="shared" si="22"/>
        <v>54332</v>
      </c>
      <c r="KY1" s="75">
        <f t="shared" si="22"/>
        <v>54363</v>
      </c>
      <c r="KZ1" s="75">
        <f t="shared" si="22"/>
        <v>54393</v>
      </c>
      <c r="LA1" s="76" t="str">
        <f>YEAR(KZ1)&amp;" Total"</f>
        <v>2048 Total</v>
      </c>
      <c r="LB1" s="75">
        <f>EDATE(KZ1,1)</f>
        <v>54424</v>
      </c>
      <c r="LC1" s="75">
        <f t="shared" ref="LC1:LM1" si="23">EDATE(LB1,1)</f>
        <v>54455</v>
      </c>
      <c r="LD1" s="75">
        <f t="shared" si="23"/>
        <v>54483</v>
      </c>
      <c r="LE1" s="75">
        <f t="shared" si="23"/>
        <v>54514</v>
      </c>
      <c r="LF1" s="75">
        <f t="shared" si="23"/>
        <v>54544</v>
      </c>
      <c r="LG1" s="75">
        <f t="shared" si="23"/>
        <v>54575</v>
      </c>
      <c r="LH1" s="75">
        <f t="shared" si="23"/>
        <v>54605</v>
      </c>
      <c r="LI1" s="75">
        <f t="shared" si="23"/>
        <v>54636</v>
      </c>
      <c r="LJ1" s="75">
        <f t="shared" si="23"/>
        <v>54667</v>
      </c>
      <c r="LK1" s="75">
        <f t="shared" si="23"/>
        <v>54697</v>
      </c>
      <c r="LL1" s="75">
        <f t="shared" si="23"/>
        <v>54728</v>
      </c>
      <c r="LM1" s="75">
        <f t="shared" si="23"/>
        <v>54758</v>
      </c>
      <c r="LN1" s="76" t="str">
        <f>YEAR(LM1)&amp;" Total"</f>
        <v>2049 Total</v>
      </c>
      <c r="LO1" s="75">
        <f>EDATE(LM1,1)</f>
        <v>54789</v>
      </c>
      <c r="LP1" s="75">
        <f t="shared" ref="LP1:LZ1" si="24">EDATE(LO1,1)</f>
        <v>54820</v>
      </c>
      <c r="LQ1" s="75">
        <f t="shared" si="24"/>
        <v>54848</v>
      </c>
      <c r="LR1" s="75">
        <f t="shared" si="24"/>
        <v>54879</v>
      </c>
      <c r="LS1" s="75">
        <f t="shared" si="24"/>
        <v>54909</v>
      </c>
      <c r="LT1" s="75">
        <f t="shared" si="24"/>
        <v>54940</v>
      </c>
      <c r="LU1" s="75">
        <f t="shared" si="24"/>
        <v>54970</v>
      </c>
      <c r="LV1" s="75">
        <f t="shared" si="24"/>
        <v>55001</v>
      </c>
      <c r="LW1" s="75">
        <f t="shared" si="24"/>
        <v>55032</v>
      </c>
      <c r="LX1" s="75">
        <f t="shared" si="24"/>
        <v>55062</v>
      </c>
      <c r="LY1" s="75">
        <f t="shared" si="24"/>
        <v>55093</v>
      </c>
      <c r="LZ1" s="75">
        <f t="shared" si="24"/>
        <v>55123</v>
      </c>
      <c r="MA1" s="76" t="str">
        <f>YEAR(LZ1)&amp;" Total"</f>
        <v>2050 Total</v>
      </c>
      <c r="MB1" s="75">
        <f>EDATE(LZ1,1)</f>
        <v>55154</v>
      </c>
      <c r="MC1" s="75">
        <f t="shared" ref="MC1:MM1" si="25">EDATE(MB1,1)</f>
        <v>55185</v>
      </c>
      <c r="MD1" s="75">
        <f t="shared" si="25"/>
        <v>55213</v>
      </c>
      <c r="ME1" s="75">
        <f t="shared" si="25"/>
        <v>55244</v>
      </c>
      <c r="MF1" s="75">
        <f t="shared" si="25"/>
        <v>55274</v>
      </c>
      <c r="MG1" s="75">
        <f t="shared" si="25"/>
        <v>55305</v>
      </c>
      <c r="MH1" s="75">
        <f t="shared" si="25"/>
        <v>55335</v>
      </c>
      <c r="MI1" s="75">
        <f t="shared" si="25"/>
        <v>55366</v>
      </c>
      <c r="MJ1" s="75">
        <f t="shared" si="25"/>
        <v>55397</v>
      </c>
      <c r="MK1" s="75">
        <f t="shared" si="25"/>
        <v>55427</v>
      </c>
      <c r="ML1" s="75">
        <f t="shared" si="25"/>
        <v>55458</v>
      </c>
      <c r="MM1" s="75">
        <f t="shared" si="25"/>
        <v>55488</v>
      </c>
      <c r="MN1" s="76" t="str">
        <f>YEAR(MM1)&amp;" Total"</f>
        <v>2051 Total</v>
      </c>
      <c r="MO1" s="75">
        <f>EDATE(MM1,1)</f>
        <v>55519</v>
      </c>
      <c r="MP1" s="75">
        <f t="shared" ref="MP1:MZ1" si="26">EDATE(MO1,1)</f>
        <v>55550</v>
      </c>
      <c r="MQ1" s="75">
        <f t="shared" si="26"/>
        <v>55579</v>
      </c>
      <c r="MR1" s="75">
        <f t="shared" si="26"/>
        <v>55610</v>
      </c>
      <c r="MS1" s="75">
        <f t="shared" si="26"/>
        <v>55640</v>
      </c>
      <c r="MT1" s="75">
        <f t="shared" si="26"/>
        <v>55671</v>
      </c>
      <c r="MU1" s="75">
        <f t="shared" si="26"/>
        <v>55701</v>
      </c>
      <c r="MV1" s="75">
        <f t="shared" si="26"/>
        <v>55732</v>
      </c>
      <c r="MW1" s="75">
        <f t="shared" si="26"/>
        <v>55763</v>
      </c>
      <c r="MX1" s="75">
        <f t="shared" si="26"/>
        <v>55793</v>
      </c>
      <c r="MY1" s="75">
        <f t="shared" si="26"/>
        <v>55824</v>
      </c>
      <c r="MZ1" s="75">
        <f t="shared" si="26"/>
        <v>55854</v>
      </c>
      <c r="NA1" s="76" t="str">
        <f>YEAR(MZ1)&amp;" Total"</f>
        <v>2052 Total</v>
      </c>
      <c r="NB1" s="75">
        <f>EDATE(MZ1,1)</f>
        <v>55885</v>
      </c>
      <c r="NC1" s="75">
        <f t="shared" ref="NC1:NM1" si="27">EDATE(NB1,1)</f>
        <v>55916</v>
      </c>
      <c r="ND1" s="75">
        <f t="shared" si="27"/>
        <v>55944</v>
      </c>
      <c r="NE1" s="75">
        <f t="shared" si="27"/>
        <v>55975</v>
      </c>
      <c r="NF1" s="75">
        <f t="shared" si="27"/>
        <v>56005</v>
      </c>
      <c r="NG1" s="75">
        <f t="shared" si="27"/>
        <v>56036</v>
      </c>
      <c r="NH1" s="75">
        <f t="shared" si="27"/>
        <v>56066</v>
      </c>
      <c r="NI1" s="75">
        <f t="shared" si="27"/>
        <v>56097</v>
      </c>
      <c r="NJ1" s="75">
        <f t="shared" si="27"/>
        <v>56128</v>
      </c>
      <c r="NK1" s="75">
        <f t="shared" si="27"/>
        <v>56158</v>
      </c>
      <c r="NL1" s="75">
        <f t="shared" si="27"/>
        <v>56189</v>
      </c>
      <c r="NM1" s="75">
        <f t="shared" si="27"/>
        <v>56219</v>
      </c>
      <c r="NN1" s="76" t="str">
        <f>YEAR(NM1)&amp;" Total"</f>
        <v>2053 Total</v>
      </c>
      <c r="NO1" s="75">
        <f>EDATE(NM1,1)</f>
        <v>56250</v>
      </c>
      <c r="NP1" s="75">
        <f t="shared" ref="NP1:NZ1" si="28">EDATE(NO1,1)</f>
        <v>56281</v>
      </c>
      <c r="NQ1" s="75">
        <f t="shared" si="28"/>
        <v>56309</v>
      </c>
      <c r="NR1" s="75">
        <f t="shared" si="28"/>
        <v>56340</v>
      </c>
      <c r="NS1" s="75">
        <f t="shared" si="28"/>
        <v>56370</v>
      </c>
      <c r="NT1" s="75">
        <f t="shared" si="28"/>
        <v>56401</v>
      </c>
      <c r="NU1" s="75">
        <f t="shared" si="28"/>
        <v>56431</v>
      </c>
      <c r="NV1" s="75">
        <f t="shared" si="28"/>
        <v>56462</v>
      </c>
      <c r="NW1" s="75">
        <f t="shared" si="28"/>
        <v>56493</v>
      </c>
      <c r="NX1" s="75">
        <f t="shared" si="28"/>
        <v>56523</v>
      </c>
      <c r="NY1" s="75">
        <f t="shared" si="28"/>
        <v>56554</v>
      </c>
      <c r="NZ1" s="75">
        <f t="shared" si="28"/>
        <v>56584</v>
      </c>
      <c r="OA1" s="76" t="str">
        <f>YEAR(NZ1)&amp;" Total"</f>
        <v>2054 Total</v>
      </c>
      <c r="OB1" s="75">
        <f>EDATE(NZ1,1)</f>
        <v>56615</v>
      </c>
      <c r="OC1" s="75">
        <f t="shared" ref="OC1:OM1" si="29">EDATE(OB1,1)</f>
        <v>56646</v>
      </c>
      <c r="OD1" s="75">
        <f t="shared" si="29"/>
        <v>56674</v>
      </c>
      <c r="OE1" s="75">
        <f t="shared" si="29"/>
        <v>56705</v>
      </c>
      <c r="OF1" s="75">
        <f t="shared" si="29"/>
        <v>56735</v>
      </c>
      <c r="OG1" s="75">
        <f t="shared" si="29"/>
        <v>56766</v>
      </c>
      <c r="OH1" s="75">
        <f t="shared" si="29"/>
        <v>56796</v>
      </c>
      <c r="OI1" s="75">
        <f t="shared" si="29"/>
        <v>56827</v>
      </c>
      <c r="OJ1" s="75">
        <f t="shared" si="29"/>
        <v>56858</v>
      </c>
      <c r="OK1" s="75">
        <f t="shared" si="29"/>
        <v>56888</v>
      </c>
      <c r="OL1" s="75">
        <f t="shared" si="29"/>
        <v>56919</v>
      </c>
      <c r="OM1" s="75">
        <f t="shared" si="29"/>
        <v>56949</v>
      </c>
      <c r="ON1" s="76" t="str">
        <f>YEAR(OM1)&amp;" Total"</f>
        <v>2055 Total</v>
      </c>
      <c r="OO1" s="75">
        <f>EDATE(OM1,1)</f>
        <v>56980</v>
      </c>
      <c r="OP1" s="75">
        <f t="shared" ref="OP1:OZ1" si="30">EDATE(OO1,1)</f>
        <v>57011</v>
      </c>
      <c r="OQ1" s="75">
        <f t="shared" si="30"/>
        <v>57040</v>
      </c>
      <c r="OR1" s="75">
        <f t="shared" si="30"/>
        <v>57071</v>
      </c>
      <c r="OS1" s="75">
        <f t="shared" si="30"/>
        <v>57101</v>
      </c>
      <c r="OT1" s="75">
        <f t="shared" si="30"/>
        <v>57132</v>
      </c>
      <c r="OU1" s="75">
        <f t="shared" si="30"/>
        <v>57162</v>
      </c>
      <c r="OV1" s="75">
        <f t="shared" si="30"/>
        <v>57193</v>
      </c>
      <c r="OW1" s="75">
        <f t="shared" si="30"/>
        <v>57224</v>
      </c>
      <c r="OX1" s="75">
        <f t="shared" si="30"/>
        <v>57254</v>
      </c>
      <c r="OY1" s="75">
        <f t="shared" si="30"/>
        <v>57285</v>
      </c>
      <c r="OZ1" s="75">
        <f t="shared" si="30"/>
        <v>57315</v>
      </c>
      <c r="PA1" s="76" t="str">
        <f>YEAR(OZ1)&amp;" Total"</f>
        <v>2056 Total</v>
      </c>
      <c r="PB1" s="75">
        <f>EDATE(OZ1,1)</f>
        <v>57346</v>
      </c>
      <c r="PC1" s="75">
        <f t="shared" ref="PC1:PM1" si="31">EDATE(PB1,1)</f>
        <v>57377</v>
      </c>
      <c r="PD1" s="75">
        <f t="shared" si="31"/>
        <v>57405</v>
      </c>
      <c r="PE1" s="75">
        <f t="shared" si="31"/>
        <v>57436</v>
      </c>
      <c r="PF1" s="75">
        <f t="shared" si="31"/>
        <v>57466</v>
      </c>
      <c r="PG1" s="75">
        <f t="shared" si="31"/>
        <v>57497</v>
      </c>
      <c r="PH1" s="75">
        <f t="shared" si="31"/>
        <v>57527</v>
      </c>
      <c r="PI1" s="75">
        <f t="shared" si="31"/>
        <v>57558</v>
      </c>
      <c r="PJ1" s="75">
        <f t="shared" si="31"/>
        <v>57589</v>
      </c>
      <c r="PK1" s="75">
        <f t="shared" si="31"/>
        <v>57619</v>
      </c>
      <c r="PL1" s="75">
        <f t="shared" si="31"/>
        <v>57650</v>
      </c>
      <c r="PM1" s="75">
        <f t="shared" si="31"/>
        <v>57680</v>
      </c>
      <c r="PN1" s="76" t="str">
        <f>YEAR(PM1)&amp;" Total"</f>
        <v>2057 Total</v>
      </c>
      <c r="PO1" s="75">
        <f>EDATE(PM1,1)</f>
        <v>57711</v>
      </c>
      <c r="PP1" s="75">
        <f t="shared" ref="PP1:PZ1" si="32">EDATE(PO1,1)</f>
        <v>57742</v>
      </c>
      <c r="PQ1" s="75">
        <f t="shared" si="32"/>
        <v>57770</v>
      </c>
      <c r="PR1" s="75">
        <f t="shared" si="32"/>
        <v>57801</v>
      </c>
      <c r="PS1" s="75">
        <f t="shared" si="32"/>
        <v>57831</v>
      </c>
      <c r="PT1" s="75">
        <f t="shared" si="32"/>
        <v>57862</v>
      </c>
      <c r="PU1" s="75">
        <f t="shared" si="32"/>
        <v>57892</v>
      </c>
      <c r="PV1" s="75">
        <f t="shared" si="32"/>
        <v>57923</v>
      </c>
      <c r="PW1" s="75">
        <f t="shared" si="32"/>
        <v>57954</v>
      </c>
      <c r="PX1" s="75">
        <f t="shared" si="32"/>
        <v>57984</v>
      </c>
      <c r="PY1" s="75">
        <f t="shared" si="32"/>
        <v>58015</v>
      </c>
      <c r="PZ1" s="75">
        <f t="shared" si="32"/>
        <v>58045</v>
      </c>
      <c r="QA1" s="76" t="str">
        <f>YEAR(PZ1)&amp;" Total"</f>
        <v>2058 Total</v>
      </c>
      <c r="QB1" s="75">
        <f>EDATE(PZ1,1)</f>
        <v>58076</v>
      </c>
      <c r="QC1" s="75">
        <f t="shared" ref="QC1:QM1" si="33">EDATE(QB1,1)</f>
        <v>58107</v>
      </c>
      <c r="QD1" s="75">
        <f t="shared" si="33"/>
        <v>58135</v>
      </c>
      <c r="QE1" s="75">
        <f t="shared" si="33"/>
        <v>58166</v>
      </c>
      <c r="QF1" s="75">
        <f t="shared" si="33"/>
        <v>58196</v>
      </c>
      <c r="QG1" s="75">
        <f t="shared" si="33"/>
        <v>58227</v>
      </c>
      <c r="QH1" s="75">
        <f t="shared" si="33"/>
        <v>58257</v>
      </c>
      <c r="QI1" s="75">
        <f t="shared" si="33"/>
        <v>58288</v>
      </c>
      <c r="QJ1" s="75">
        <f t="shared" si="33"/>
        <v>58319</v>
      </c>
      <c r="QK1" s="75">
        <f t="shared" si="33"/>
        <v>58349</v>
      </c>
      <c r="QL1" s="75">
        <f t="shared" si="33"/>
        <v>58380</v>
      </c>
      <c r="QM1" s="75">
        <f t="shared" si="33"/>
        <v>58410</v>
      </c>
      <c r="QN1" s="76" t="str">
        <f>YEAR(QM1)&amp;" Total"</f>
        <v>2059 Total</v>
      </c>
      <c r="QO1" s="75">
        <f>EDATE(QM1,1)</f>
        <v>58441</v>
      </c>
      <c r="QP1" s="75">
        <f t="shared" ref="QP1:QZ1" si="34">EDATE(QO1,1)</f>
        <v>58472</v>
      </c>
      <c r="QQ1" s="75">
        <f t="shared" si="34"/>
        <v>58501</v>
      </c>
      <c r="QR1" s="75">
        <f t="shared" si="34"/>
        <v>58532</v>
      </c>
      <c r="QS1" s="75">
        <f t="shared" si="34"/>
        <v>58562</v>
      </c>
      <c r="QT1" s="75">
        <f t="shared" si="34"/>
        <v>58593</v>
      </c>
      <c r="QU1" s="75">
        <f t="shared" si="34"/>
        <v>58623</v>
      </c>
      <c r="QV1" s="75">
        <f t="shared" si="34"/>
        <v>58654</v>
      </c>
      <c r="QW1" s="75">
        <f t="shared" si="34"/>
        <v>58685</v>
      </c>
      <c r="QX1" s="75">
        <f t="shared" si="34"/>
        <v>58715</v>
      </c>
      <c r="QY1" s="75">
        <f t="shared" si="34"/>
        <v>58746</v>
      </c>
      <c r="QZ1" s="75">
        <f t="shared" si="34"/>
        <v>58776</v>
      </c>
      <c r="RA1" s="76" t="str">
        <f>YEAR(QZ1)&amp;" Total"</f>
        <v>2060 Total</v>
      </c>
      <c r="RB1" s="75">
        <f>EDATE(QZ1,1)</f>
        <v>58807</v>
      </c>
      <c r="RC1" s="75">
        <f t="shared" ref="RC1:RM1" si="35">EDATE(RB1,1)</f>
        <v>58838</v>
      </c>
      <c r="RD1" s="75">
        <f t="shared" si="35"/>
        <v>58866</v>
      </c>
      <c r="RE1" s="75">
        <f t="shared" si="35"/>
        <v>58897</v>
      </c>
      <c r="RF1" s="75">
        <f t="shared" si="35"/>
        <v>58927</v>
      </c>
      <c r="RG1" s="75">
        <f t="shared" si="35"/>
        <v>58958</v>
      </c>
      <c r="RH1" s="75">
        <f t="shared" si="35"/>
        <v>58988</v>
      </c>
      <c r="RI1" s="75">
        <f t="shared" si="35"/>
        <v>59019</v>
      </c>
      <c r="RJ1" s="75">
        <f t="shared" si="35"/>
        <v>59050</v>
      </c>
      <c r="RK1" s="75">
        <f t="shared" si="35"/>
        <v>59080</v>
      </c>
      <c r="RL1" s="75">
        <f t="shared" si="35"/>
        <v>59111</v>
      </c>
      <c r="RM1" s="75">
        <f t="shared" si="35"/>
        <v>59141</v>
      </c>
      <c r="RN1" s="76" t="str">
        <f>YEAR(RM1)&amp;" Total"</f>
        <v>2061 Total</v>
      </c>
    </row>
    <row r="2" spans="1:482" x14ac:dyDescent="0.3">
      <c r="B2" s="79"/>
      <c r="C2" s="80">
        <f>(YEAR(D1)-YEAR(B1))/12</f>
        <v>0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6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6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6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6"/>
      <c r="BB2" s="79"/>
      <c r="BC2" s="79"/>
      <c r="BD2" s="79"/>
      <c r="BE2" s="79"/>
      <c r="BF2" s="79"/>
      <c r="BG2" s="79"/>
      <c r="BH2" s="79"/>
      <c r="BI2" s="79"/>
      <c r="BJ2" s="79"/>
      <c r="BK2" s="79"/>
      <c r="BL2" s="79"/>
      <c r="BM2" s="79"/>
      <c r="BN2" s="76"/>
      <c r="BO2" s="79"/>
      <c r="BP2" s="79"/>
      <c r="BQ2" s="79"/>
      <c r="BR2" s="79"/>
      <c r="BS2" s="79"/>
      <c r="BT2" s="79"/>
      <c r="BU2" s="79"/>
      <c r="BV2" s="79"/>
      <c r="BW2" s="79"/>
      <c r="BX2" s="79"/>
      <c r="BY2" s="79"/>
      <c r="BZ2" s="79"/>
      <c r="CA2" s="76"/>
      <c r="CB2" s="79"/>
      <c r="CC2" s="79"/>
      <c r="CD2" s="79"/>
      <c r="CE2" s="79"/>
      <c r="CF2" s="79"/>
      <c r="CG2" s="79"/>
      <c r="CH2" s="79"/>
      <c r="CI2" s="79"/>
      <c r="CJ2" s="79"/>
      <c r="CK2" s="79"/>
      <c r="CL2" s="79"/>
      <c r="CM2" s="79"/>
      <c r="CN2" s="76"/>
      <c r="CO2" s="79"/>
      <c r="CP2" s="79"/>
      <c r="CQ2" s="79"/>
      <c r="CR2" s="79"/>
      <c r="CS2" s="79"/>
      <c r="CT2" s="79"/>
      <c r="CU2" s="79"/>
      <c r="CV2" s="79"/>
      <c r="CW2" s="79"/>
      <c r="CX2" s="79"/>
      <c r="CY2" s="79"/>
      <c r="CZ2" s="79"/>
      <c r="DA2" s="76"/>
      <c r="DB2" s="79"/>
      <c r="DC2" s="79"/>
      <c r="DD2" s="79"/>
      <c r="DE2" s="79"/>
      <c r="DF2" s="79"/>
      <c r="DG2" s="79"/>
      <c r="DH2" s="79"/>
      <c r="DI2" s="79"/>
      <c r="DJ2" s="79"/>
      <c r="DK2" s="79"/>
      <c r="DL2" s="79"/>
      <c r="DM2" s="79"/>
      <c r="DN2" s="76"/>
      <c r="DO2" s="79"/>
      <c r="DP2" s="79"/>
      <c r="DQ2" s="79"/>
      <c r="DR2" s="79"/>
      <c r="DS2" s="79"/>
      <c r="DT2" s="79"/>
      <c r="DU2" s="79"/>
      <c r="DV2" s="79"/>
      <c r="DW2" s="79"/>
      <c r="DX2" s="79"/>
      <c r="DY2" s="79"/>
      <c r="DZ2" s="79"/>
      <c r="EA2" s="76"/>
      <c r="EB2" s="79"/>
      <c r="EC2" s="79"/>
      <c r="ED2" s="79"/>
      <c r="EE2" s="79"/>
      <c r="EF2" s="79"/>
      <c r="EG2" s="79"/>
      <c r="EH2" s="79"/>
      <c r="EI2" s="79"/>
      <c r="EJ2" s="79"/>
      <c r="EK2" s="79"/>
      <c r="EL2" s="79"/>
      <c r="EM2" s="79"/>
      <c r="EN2" s="76"/>
      <c r="EO2" s="79"/>
      <c r="EP2" s="79"/>
      <c r="EQ2" s="79"/>
      <c r="ER2" s="79"/>
      <c r="ES2" s="79"/>
      <c r="ET2" s="79"/>
      <c r="EU2" s="79"/>
      <c r="EV2" s="79"/>
      <c r="EW2" s="79"/>
      <c r="EX2" s="79"/>
      <c r="EY2" s="79"/>
      <c r="EZ2" s="79"/>
      <c r="FA2" s="76"/>
      <c r="FB2" s="79"/>
      <c r="FC2" s="79"/>
      <c r="FD2" s="79"/>
      <c r="FE2" s="79"/>
      <c r="FF2" s="79"/>
      <c r="FG2" s="79"/>
      <c r="FH2" s="79"/>
      <c r="FI2" s="79"/>
      <c r="FJ2" s="79"/>
      <c r="FK2" s="79"/>
      <c r="FL2" s="79"/>
      <c r="FM2" s="79"/>
      <c r="FN2" s="76"/>
      <c r="FO2" s="79"/>
      <c r="FP2" s="79"/>
      <c r="FQ2" s="79"/>
      <c r="FR2" s="79"/>
      <c r="FS2" s="79"/>
      <c r="FT2" s="79"/>
      <c r="FU2" s="79"/>
      <c r="FV2" s="79"/>
      <c r="FW2" s="79"/>
      <c r="FX2" s="79"/>
      <c r="FY2" s="79"/>
      <c r="FZ2" s="79"/>
      <c r="GA2" s="76"/>
      <c r="GB2" s="79"/>
      <c r="GC2" s="79"/>
      <c r="GD2" s="79"/>
      <c r="GE2" s="79"/>
      <c r="GF2" s="79"/>
      <c r="GG2" s="79"/>
      <c r="GH2" s="79"/>
      <c r="GI2" s="79"/>
      <c r="GJ2" s="79"/>
      <c r="GK2" s="79"/>
      <c r="GL2" s="79"/>
      <c r="GM2" s="79"/>
      <c r="GN2" s="76"/>
      <c r="GO2" s="79"/>
      <c r="GP2" s="79"/>
      <c r="GQ2" s="79"/>
      <c r="GR2" s="79"/>
      <c r="GS2" s="79"/>
      <c r="GT2" s="79"/>
      <c r="GU2" s="79"/>
      <c r="GV2" s="79"/>
      <c r="GW2" s="79"/>
      <c r="GX2" s="79"/>
      <c r="GY2" s="79"/>
      <c r="GZ2" s="79"/>
      <c r="HA2" s="76"/>
      <c r="HB2" s="79"/>
      <c r="HC2" s="79"/>
      <c r="HD2" s="79"/>
      <c r="HE2" s="79"/>
      <c r="HF2" s="79"/>
      <c r="HG2" s="79"/>
      <c r="HH2" s="79"/>
      <c r="HI2" s="79"/>
      <c r="HJ2" s="79"/>
      <c r="HK2" s="79"/>
      <c r="HL2" s="79"/>
      <c r="HM2" s="79"/>
      <c r="HN2" s="76"/>
      <c r="HO2" s="79"/>
      <c r="HP2" s="79"/>
      <c r="HQ2" s="79"/>
      <c r="HR2" s="79"/>
      <c r="HS2" s="79"/>
      <c r="HT2" s="79"/>
      <c r="HU2" s="79"/>
      <c r="HV2" s="79"/>
      <c r="HW2" s="79"/>
      <c r="HX2" s="79"/>
      <c r="HY2" s="79"/>
      <c r="HZ2" s="79"/>
      <c r="IA2" s="76"/>
      <c r="IB2" s="79"/>
      <c r="IC2" s="79"/>
      <c r="ID2" s="79"/>
      <c r="IE2" s="79"/>
      <c r="IF2" s="79"/>
      <c r="IG2" s="79"/>
      <c r="IH2" s="79"/>
      <c r="II2" s="79"/>
      <c r="IJ2" s="79"/>
      <c r="IK2" s="79"/>
      <c r="IL2" s="79"/>
      <c r="IM2" s="79"/>
      <c r="IN2" s="76"/>
      <c r="IO2" s="79"/>
      <c r="IP2" s="79"/>
      <c r="IQ2" s="79"/>
      <c r="IR2" s="79"/>
      <c r="IS2" s="79"/>
      <c r="IT2" s="79"/>
      <c r="IU2" s="79"/>
      <c r="IV2" s="79"/>
      <c r="IW2" s="79"/>
      <c r="IX2" s="79"/>
      <c r="IY2" s="79"/>
      <c r="IZ2" s="79"/>
      <c r="JA2" s="76"/>
      <c r="JB2" s="79"/>
      <c r="JC2" s="79"/>
      <c r="JD2" s="79"/>
      <c r="JE2" s="79"/>
      <c r="JF2" s="79"/>
      <c r="JG2" s="79"/>
      <c r="JH2" s="79"/>
      <c r="JI2" s="79"/>
      <c r="JJ2" s="79"/>
      <c r="JK2" s="79"/>
      <c r="JL2" s="79"/>
      <c r="JM2" s="79"/>
      <c r="JN2" s="76"/>
      <c r="JO2" s="79"/>
      <c r="JP2" s="79"/>
      <c r="JQ2" s="79"/>
      <c r="JR2" s="79"/>
      <c r="JS2" s="79"/>
      <c r="JT2" s="79"/>
      <c r="JU2" s="79"/>
      <c r="JV2" s="79"/>
      <c r="JW2" s="79"/>
      <c r="JX2" s="79"/>
      <c r="JY2" s="79"/>
      <c r="JZ2" s="79"/>
      <c r="KA2" s="76"/>
      <c r="KB2" s="79"/>
      <c r="KC2" s="79"/>
      <c r="KD2" s="79"/>
      <c r="KE2" s="79"/>
      <c r="KF2" s="79"/>
      <c r="KG2" s="79"/>
      <c r="KH2" s="79"/>
      <c r="KI2" s="79"/>
      <c r="KJ2" s="79"/>
      <c r="KK2" s="79"/>
      <c r="KL2" s="79"/>
      <c r="KM2" s="79"/>
      <c r="KN2" s="76"/>
      <c r="KO2" s="79"/>
      <c r="KP2" s="79"/>
      <c r="KQ2" s="79"/>
      <c r="KR2" s="79"/>
      <c r="KS2" s="79"/>
      <c r="KT2" s="79"/>
      <c r="KU2" s="79"/>
      <c r="KV2" s="79"/>
      <c r="KW2" s="79"/>
      <c r="KX2" s="79"/>
      <c r="KY2" s="79"/>
      <c r="KZ2" s="79"/>
      <c r="LA2" s="76"/>
      <c r="LB2" s="79"/>
      <c r="LC2" s="79"/>
      <c r="LD2" s="79"/>
      <c r="LE2" s="79"/>
      <c r="LF2" s="79"/>
      <c r="LG2" s="79"/>
      <c r="LH2" s="79"/>
      <c r="LI2" s="79"/>
      <c r="LJ2" s="79"/>
      <c r="LK2" s="79"/>
      <c r="LL2" s="79"/>
      <c r="LM2" s="79"/>
      <c r="LN2" s="76"/>
      <c r="LO2" s="79"/>
      <c r="LP2" s="79"/>
      <c r="LQ2" s="79"/>
      <c r="LR2" s="79"/>
      <c r="LS2" s="79"/>
      <c r="LT2" s="79"/>
      <c r="LU2" s="79"/>
      <c r="LV2" s="79"/>
      <c r="LW2" s="79"/>
      <c r="LX2" s="79"/>
      <c r="LY2" s="79"/>
      <c r="LZ2" s="79"/>
      <c r="MA2" s="76"/>
      <c r="MB2" s="79"/>
      <c r="MC2" s="79"/>
      <c r="MD2" s="79"/>
      <c r="ME2" s="79"/>
      <c r="MF2" s="79"/>
      <c r="MG2" s="79"/>
      <c r="MH2" s="79"/>
      <c r="MI2" s="79"/>
      <c r="MJ2" s="79"/>
      <c r="MK2" s="79"/>
      <c r="ML2" s="79"/>
      <c r="MM2" s="79"/>
      <c r="MN2" s="76"/>
      <c r="MO2" s="79"/>
      <c r="MP2" s="79"/>
      <c r="MQ2" s="79"/>
      <c r="MR2" s="79"/>
      <c r="MS2" s="79"/>
      <c r="MT2" s="79"/>
      <c r="MU2" s="79"/>
      <c r="MV2" s="79"/>
      <c r="MW2" s="79"/>
      <c r="MX2" s="79"/>
      <c r="MY2" s="79"/>
      <c r="MZ2" s="79"/>
      <c r="NA2" s="76"/>
      <c r="NB2" s="79"/>
      <c r="NC2" s="79"/>
      <c r="ND2" s="79"/>
      <c r="NE2" s="79"/>
      <c r="NF2" s="79"/>
      <c r="NG2" s="79"/>
      <c r="NH2" s="79"/>
      <c r="NI2" s="79"/>
      <c r="NJ2" s="79"/>
      <c r="NK2" s="79"/>
      <c r="NL2" s="79"/>
      <c r="NM2" s="79"/>
      <c r="NN2" s="76"/>
      <c r="NO2" s="79"/>
      <c r="NP2" s="79"/>
      <c r="NQ2" s="79"/>
      <c r="NR2" s="79"/>
      <c r="NS2" s="79"/>
      <c r="NT2" s="79"/>
      <c r="NU2" s="79"/>
      <c r="NV2" s="79"/>
      <c r="NW2" s="79"/>
      <c r="NX2" s="79"/>
      <c r="NY2" s="79"/>
      <c r="NZ2" s="79"/>
      <c r="OA2" s="76"/>
      <c r="OB2" s="79"/>
      <c r="OC2" s="79"/>
      <c r="OD2" s="79"/>
      <c r="OE2" s="79"/>
      <c r="OF2" s="79"/>
      <c r="OG2" s="79"/>
      <c r="OH2" s="79"/>
      <c r="OI2" s="79"/>
      <c r="OJ2" s="79"/>
      <c r="OK2" s="79"/>
      <c r="OL2" s="79"/>
      <c r="OM2" s="79"/>
      <c r="ON2" s="76"/>
      <c r="OO2" s="79"/>
      <c r="OP2" s="79"/>
      <c r="OQ2" s="79"/>
      <c r="OR2" s="79"/>
      <c r="OS2" s="79"/>
      <c r="OT2" s="79"/>
      <c r="OU2" s="79"/>
      <c r="OV2" s="79"/>
      <c r="OW2" s="79"/>
      <c r="OX2" s="79"/>
      <c r="OY2" s="79"/>
      <c r="OZ2" s="79"/>
      <c r="PA2" s="76"/>
      <c r="PB2" s="79"/>
      <c r="PC2" s="79"/>
      <c r="PD2" s="79"/>
      <c r="PE2" s="79"/>
      <c r="PF2" s="79"/>
      <c r="PG2" s="79"/>
      <c r="PH2" s="79"/>
      <c r="PI2" s="79"/>
      <c r="PJ2" s="79"/>
      <c r="PK2" s="79"/>
      <c r="PL2" s="79"/>
      <c r="PM2" s="79"/>
      <c r="PN2" s="76"/>
      <c r="PO2" s="79"/>
      <c r="PP2" s="79"/>
      <c r="PQ2" s="79"/>
      <c r="PR2" s="79"/>
      <c r="PS2" s="79"/>
      <c r="PT2" s="79"/>
      <c r="PU2" s="79"/>
      <c r="PV2" s="79"/>
      <c r="PW2" s="79"/>
      <c r="PX2" s="79"/>
      <c r="PY2" s="79"/>
      <c r="PZ2" s="79"/>
      <c r="QA2" s="76"/>
      <c r="QB2" s="79"/>
      <c r="QC2" s="79"/>
      <c r="QD2" s="79"/>
      <c r="QE2" s="79"/>
      <c r="QF2" s="79"/>
      <c r="QG2" s="79"/>
      <c r="QH2" s="79"/>
      <c r="QI2" s="79"/>
      <c r="QJ2" s="79"/>
      <c r="QK2" s="79"/>
      <c r="QL2" s="79"/>
      <c r="QM2" s="79"/>
      <c r="QN2" s="76"/>
      <c r="QO2" s="79"/>
      <c r="QP2" s="79"/>
      <c r="QQ2" s="79"/>
      <c r="QR2" s="79"/>
      <c r="QS2" s="79"/>
      <c r="QT2" s="79"/>
      <c r="QU2" s="79"/>
      <c r="QV2" s="79"/>
      <c r="QW2" s="79"/>
      <c r="QX2" s="79"/>
      <c r="QY2" s="79"/>
      <c r="QZ2" s="79"/>
      <c r="RA2" s="76"/>
      <c r="RB2" s="79"/>
      <c r="RC2" s="79"/>
      <c r="RD2" s="79"/>
      <c r="RE2" s="79"/>
      <c r="RF2" s="79"/>
      <c r="RG2" s="79"/>
      <c r="RH2" s="79"/>
      <c r="RI2" s="79"/>
      <c r="RJ2" s="79"/>
      <c r="RK2" s="79"/>
      <c r="RL2" s="79"/>
      <c r="RM2" s="79"/>
      <c r="RN2" s="76"/>
    </row>
    <row r="3" spans="1:482" s="85" customFormat="1" x14ac:dyDescent="0.3">
      <c r="A3" s="82" t="s">
        <v>230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4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4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4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4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4"/>
      <c r="BO3" s="83"/>
      <c r="BP3" s="83"/>
      <c r="BQ3" s="83"/>
      <c r="BR3" s="83"/>
      <c r="BS3" s="83"/>
      <c r="BT3" s="83"/>
      <c r="BU3" s="83"/>
      <c r="BV3" s="83"/>
      <c r="BW3" s="83"/>
      <c r="BX3" s="83"/>
      <c r="BY3" s="83"/>
      <c r="BZ3" s="83"/>
      <c r="CA3" s="84"/>
      <c r="CB3" s="83"/>
      <c r="CC3" s="83"/>
      <c r="CD3" s="83"/>
      <c r="CE3" s="83"/>
      <c r="CF3" s="83"/>
      <c r="CG3" s="83"/>
      <c r="CH3" s="83"/>
      <c r="CI3" s="83"/>
      <c r="CJ3" s="83"/>
      <c r="CK3" s="83"/>
      <c r="CL3" s="83"/>
      <c r="CM3" s="83"/>
      <c r="CN3" s="84"/>
      <c r="CO3" s="83"/>
      <c r="CP3" s="83"/>
      <c r="CQ3" s="83"/>
      <c r="CR3" s="83"/>
      <c r="CS3" s="83"/>
      <c r="CT3" s="83"/>
      <c r="CU3" s="83"/>
      <c r="CV3" s="83"/>
      <c r="CW3" s="83"/>
      <c r="CX3" s="83"/>
      <c r="CY3" s="83"/>
      <c r="CZ3" s="83"/>
      <c r="DA3" s="84"/>
      <c r="DB3" s="83"/>
      <c r="DC3" s="83"/>
      <c r="DD3" s="83"/>
      <c r="DE3" s="83"/>
      <c r="DF3" s="83"/>
      <c r="DG3" s="83"/>
      <c r="DH3" s="83"/>
      <c r="DI3" s="83"/>
      <c r="DJ3" s="83"/>
      <c r="DK3" s="83"/>
      <c r="DL3" s="83"/>
      <c r="DM3" s="83"/>
      <c r="DN3" s="84"/>
      <c r="DO3" s="83"/>
      <c r="DP3" s="83"/>
      <c r="DQ3" s="83"/>
      <c r="DR3" s="83"/>
      <c r="DS3" s="83"/>
      <c r="DT3" s="83"/>
      <c r="DU3" s="83"/>
      <c r="DV3" s="83"/>
      <c r="DW3" s="83"/>
      <c r="DX3" s="83"/>
      <c r="DY3" s="83"/>
      <c r="DZ3" s="83"/>
      <c r="EA3" s="84"/>
      <c r="EB3" s="83"/>
      <c r="EC3" s="83"/>
      <c r="ED3" s="83"/>
      <c r="EE3" s="83"/>
      <c r="EF3" s="83"/>
      <c r="EG3" s="83"/>
      <c r="EH3" s="83"/>
      <c r="EI3" s="83"/>
      <c r="EJ3" s="83"/>
      <c r="EK3" s="83"/>
      <c r="EL3" s="83"/>
      <c r="EM3" s="83"/>
      <c r="EN3" s="84"/>
      <c r="EO3" s="83"/>
      <c r="EP3" s="83"/>
      <c r="EQ3" s="83"/>
      <c r="ER3" s="83"/>
      <c r="ES3" s="83"/>
      <c r="ET3" s="83"/>
      <c r="EU3" s="83"/>
      <c r="EV3" s="83"/>
      <c r="EW3" s="83"/>
      <c r="EX3" s="83"/>
      <c r="EY3" s="83"/>
      <c r="EZ3" s="83"/>
      <c r="FA3" s="84"/>
      <c r="FB3" s="83"/>
      <c r="FC3" s="83"/>
      <c r="FD3" s="83"/>
      <c r="FE3" s="83"/>
      <c r="FF3" s="83"/>
      <c r="FG3" s="83"/>
      <c r="FH3" s="83"/>
      <c r="FI3" s="83"/>
      <c r="FJ3" s="83"/>
      <c r="FK3" s="83"/>
      <c r="FL3" s="83"/>
      <c r="FM3" s="83"/>
      <c r="FN3" s="84"/>
      <c r="FO3" s="83"/>
      <c r="FP3" s="83"/>
      <c r="FQ3" s="83"/>
      <c r="FR3" s="83"/>
      <c r="FS3" s="83"/>
      <c r="FT3" s="83"/>
      <c r="FU3" s="83"/>
      <c r="FV3" s="83"/>
      <c r="FW3" s="83"/>
      <c r="FX3" s="83"/>
      <c r="FY3" s="83"/>
      <c r="FZ3" s="83"/>
      <c r="GA3" s="84"/>
      <c r="GB3" s="83"/>
      <c r="GC3" s="83"/>
      <c r="GD3" s="83"/>
      <c r="GE3" s="83"/>
      <c r="GF3" s="83"/>
      <c r="GG3" s="83"/>
      <c r="GH3" s="83"/>
      <c r="GI3" s="83"/>
      <c r="GJ3" s="83"/>
      <c r="GK3" s="83"/>
      <c r="GL3" s="83"/>
      <c r="GM3" s="83"/>
      <c r="GN3" s="84"/>
      <c r="GO3" s="83"/>
      <c r="GP3" s="83"/>
      <c r="GQ3" s="83"/>
      <c r="GR3" s="83"/>
      <c r="GS3" s="83"/>
      <c r="GT3" s="83"/>
      <c r="GU3" s="83"/>
      <c r="GV3" s="83"/>
      <c r="GW3" s="83"/>
      <c r="GX3" s="83"/>
      <c r="GY3" s="83"/>
      <c r="GZ3" s="83"/>
      <c r="HA3" s="84"/>
      <c r="HB3" s="83"/>
      <c r="HC3" s="83"/>
      <c r="HD3" s="83"/>
      <c r="HE3" s="83"/>
      <c r="HF3" s="83"/>
      <c r="HG3" s="83"/>
      <c r="HH3" s="83"/>
      <c r="HI3" s="83"/>
      <c r="HJ3" s="83"/>
      <c r="HK3" s="83"/>
      <c r="HL3" s="83"/>
      <c r="HM3" s="83"/>
      <c r="HN3" s="84"/>
      <c r="HO3" s="83"/>
      <c r="HP3" s="83"/>
      <c r="HQ3" s="83"/>
      <c r="HR3" s="83"/>
      <c r="HS3" s="83"/>
      <c r="HT3" s="83"/>
      <c r="HU3" s="83"/>
      <c r="HV3" s="83"/>
      <c r="HW3" s="83"/>
      <c r="HX3" s="83"/>
      <c r="HY3" s="83"/>
      <c r="HZ3" s="83"/>
      <c r="IA3" s="84"/>
      <c r="IB3" s="83"/>
      <c r="IC3" s="83"/>
      <c r="ID3" s="83"/>
      <c r="IE3" s="83"/>
      <c r="IF3" s="83"/>
      <c r="IG3" s="83"/>
      <c r="IH3" s="83"/>
      <c r="II3" s="83"/>
      <c r="IJ3" s="83"/>
      <c r="IK3" s="83"/>
      <c r="IL3" s="83"/>
      <c r="IM3" s="83"/>
      <c r="IN3" s="84"/>
      <c r="IO3" s="83"/>
      <c r="IP3" s="83"/>
      <c r="IQ3" s="83"/>
      <c r="IR3" s="83"/>
      <c r="IS3" s="83"/>
      <c r="IT3" s="83"/>
      <c r="IU3" s="83"/>
      <c r="IV3" s="83"/>
      <c r="IW3" s="83"/>
      <c r="IX3" s="83"/>
      <c r="IY3" s="83"/>
      <c r="IZ3" s="83"/>
      <c r="JA3" s="84"/>
      <c r="JB3" s="83"/>
      <c r="JC3" s="83"/>
      <c r="JD3" s="83"/>
      <c r="JE3" s="83"/>
      <c r="JF3" s="83"/>
      <c r="JG3" s="83"/>
      <c r="JH3" s="83"/>
      <c r="JI3" s="83"/>
      <c r="JJ3" s="83"/>
      <c r="JK3" s="83"/>
      <c r="JL3" s="83"/>
      <c r="JM3" s="83"/>
      <c r="JN3" s="84"/>
      <c r="JO3" s="83"/>
      <c r="JP3" s="83"/>
      <c r="JQ3" s="83"/>
      <c r="JR3" s="83"/>
      <c r="JS3" s="83"/>
      <c r="JT3" s="83"/>
      <c r="JU3" s="83"/>
      <c r="JV3" s="83"/>
      <c r="JW3" s="83"/>
      <c r="JX3" s="83"/>
      <c r="JY3" s="83"/>
      <c r="JZ3" s="83"/>
      <c r="KA3" s="84"/>
      <c r="KB3" s="83"/>
      <c r="KC3" s="83"/>
      <c r="KD3" s="83"/>
      <c r="KE3" s="83"/>
      <c r="KF3" s="83"/>
      <c r="KG3" s="83"/>
      <c r="KH3" s="83"/>
      <c r="KI3" s="83"/>
      <c r="KJ3" s="83"/>
      <c r="KK3" s="83"/>
      <c r="KL3" s="83"/>
      <c r="KM3" s="83"/>
      <c r="KN3" s="84"/>
      <c r="KO3" s="83"/>
      <c r="KP3" s="83"/>
      <c r="KQ3" s="83"/>
      <c r="KR3" s="83"/>
      <c r="KS3" s="83"/>
      <c r="KT3" s="83"/>
      <c r="KU3" s="83"/>
      <c r="KV3" s="83"/>
      <c r="KW3" s="83"/>
      <c r="KX3" s="83"/>
      <c r="KY3" s="83"/>
      <c r="KZ3" s="83"/>
      <c r="LA3" s="84"/>
      <c r="LB3" s="83"/>
      <c r="LC3" s="83"/>
      <c r="LD3" s="83"/>
      <c r="LE3" s="83"/>
      <c r="LF3" s="83"/>
      <c r="LG3" s="83"/>
      <c r="LH3" s="83"/>
      <c r="LI3" s="83"/>
      <c r="LJ3" s="83"/>
      <c r="LK3" s="83"/>
      <c r="LL3" s="83"/>
      <c r="LM3" s="83"/>
      <c r="LN3" s="84"/>
      <c r="LO3" s="83"/>
      <c r="LP3" s="83"/>
      <c r="LQ3" s="83"/>
      <c r="LR3" s="83"/>
      <c r="LS3" s="83"/>
      <c r="LT3" s="83"/>
      <c r="LU3" s="83"/>
      <c r="LV3" s="83"/>
      <c r="LW3" s="83"/>
      <c r="LX3" s="83"/>
      <c r="LY3" s="83"/>
      <c r="LZ3" s="83"/>
      <c r="MA3" s="84"/>
      <c r="MB3" s="83"/>
      <c r="MC3" s="83"/>
      <c r="MD3" s="83"/>
      <c r="ME3" s="83"/>
      <c r="MF3" s="83"/>
      <c r="MG3" s="83"/>
      <c r="MH3" s="83"/>
      <c r="MI3" s="83"/>
      <c r="MJ3" s="83"/>
      <c r="MK3" s="83"/>
      <c r="ML3" s="83"/>
      <c r="MM3" s="83"/>
      <c r="MN3" s="84"/>
      <c r="MO3" s="83"/>
      <c r="MP3" s="83"/>
      <c r="MQ3" s="83"/>
      <c r="MR3" s="83"/>
      <c r="MS3" s="83"/>
      <c r="MT3" s="83"/>
      <c r="MU3" s="83"/>
      <c r="MV3" s="83"/>
      <c r="MW3" s="83"/>
      <c r="MX3" s="83"/>
      <c r="MY3" s="83"/>
      <c r="MZ3" s="83"/>
      <c r="NA3" s="84"/>
      <c r="NB3" s="83"/>
      <c r="NC3" s="83"/>
      <c r="ND3" s="83"/>
      <c r="NE3" s="83"/>
      <c r="NF3" s="83"/>
      <c r="NG3" s="83"/>
      <c r="NH3" s="83"/>
      <c r="NI3" s="83"/>
      <c r="NJ3" s="83"/>
      <c r="NK3" s="83"/>
      <c r="NL3" s="83"/>
      <c r="NM3" s="83"/>
      <c r="NN3" s="84"/>
      <c r="NO3" s="83"/>
      <c r="NP3" s="83"/>
      <c r="NQ3" s="83"/>
      <c r="NR3" s="83"/>
      <c r="NS3" s="83"/>
      <c r="NT3" s="83"/>
      <c r="NU3" s="83"/>
      <c r="NV3" s="83"/>
      <c r="NW3" s="83"/>
      <c r="NX3" s="83"/>
      <c r="NY3" s="83"/>
      <c r="NZ3" s="83"/>
      <c r="OA3" s="84"/>
      <c r="OB3" s="83"/>
      <c r="OC3" s="83"/>
      <c r="OD3" s="83"/>
      <c r="OE3" s="83"/>
      <c r="OF3" s="83"/>
      <c r="OG3" s="83"/>
      <c r="OH3" s="83"/>
      <c r="OI3" s="83"/>
      <c r="OJ3" s="83"/>
      <c r="OK3" s="83"/>
      <c r="OL3" s="83"/>
      <c r="OM3" s="83"/>
      <c r="ON3" s="84"/>
      <c r="OO3" s="83"/>
      <c r="OP3" s="83"/>
      <c r="OQ3" s="83"/>
      <c r="OR3" s="83"/>
      <c r="OS3" s="83"/>
      <c r="OT3" s="83"/>
      <c r="OU3" s="83"/>
      <c r="OV3" s="83"/>
      <c r="OW3" s="83"/>
      <c r="OX3" s="83"/>
      <c r="OY3" s="83"/>
      <c r="OZ3" s="83"/>
      <c r="PA3" s="84"/>
      <c r="PB3" s="83"/>
      <c r="PC3" s="83"/>
      <c r="PD3" s="83"/>
      <c r="PE3" s="83"/>
      <c r="PF3" s="83"/>
      <c r="PG3" s="83"/>
      <c r="PH3" s="83"/>
      <c r="PI3" s="83"/>
      <c r="PJ3" s="83"/>
      <c r="PK3" s="83"/>
      <c r="PL3" s="83"/>
      <c r="PM3" s="83"/>
      <c r="PN3" s="84"/>
      <c r="PO3" s="83"/>
      <c r="PP3" s="83"/>
      <c r="PQ3" s="83"/>
      <c r="PR3" s="83"/>
      <c r="PS3" s="83"/>
      <c r="PT3" s="83"/>
      <c r="PU3" s="83"/>
      <c r="PV3" s="83"/>
      <c r="PW3" s="83"/>
      <c r="PX3" s="83"/>
      <c r="PY3" s="83"/>
      <c r="PZ3" s="83"/>
      <c r="QA3" s="84"/>
      <c r="QB3" s="83"/>
      <c r="QC3" s="83"/>
      <c r="QD3" s="83"/>
      <c r="QE3" s="83"/>
      <c r="QF3" s="83"/>
      <c r="QG3" s="83"/>
      <c r="QH3" s="83"/>
      <c r="QI3" s="83"/>
      <c r="QJ3" s="83"/>
      <c r="QK3" s="83"/>
      <c r="QL3" s="83"/>
      <c r="QM3" s="83"/>
      <c r="QN3" s="84"/>
      <c r="QO3" s="83"/>
      <c r="QP3" s="83"/>
      <c r="QQ3" s="83"/>
      <c r="QR3" s="83"/>
      <c r="QS3" s="83"/>
      <c r="QT3" s="83"/>
      <c r="QU3" s="83"/>
      <c r="QV3" s="83"/>
      <c r="QW3" s="83"/>
      <c r="QX3" s="83"/>
      <c r="QY3" s="83"/>
      <c r="QZ3" s="83"/>
      <c r="RA3" s="84"/>
      <c r="RB3" s="83"/>
      <c r="RC3" s="83"/>
      <c r="RD3" s="83"/>
      <c r="RE3" s="83"/>
      <c r="RF3" s="83"/>
      <c r="RG3" s="83"/>
      <c r="RH3" s="83"/>
      <c r="RI3" s="83"/>
      <c r="RJ3" s="83"/>
      <c r="RK3" s="83"/>
      <c r="RL3" s="83"/>
      <c r="RM3" s="83"/>
      <c r="RN3" s="84"/>
    </row>
    <row r="4" spans="1:482" outlineLevel="1" x14ac:dyDescent="0.3">
      <c r="A4" s="78" t="s">
        <v>231</v>
      </c>
      <c r="B4" s="86" t="e">
        <f>B52</f>
        <v>#N/A</v>
      </c>
      <c r="C4" s="86" t="e">
        <f>C52</f>
        <v>#N/A</v>
      </c>
      <c r="D4" s="86" t="e">
        <f t="shared" ref="D4:M4" si="36">D52</f>
        <v>#N/A</v>
      </c>
      <c r="E4" s="86" t="e">
        <f t="shared" si="36"/>
        <v>#N/A</v>
      </c>
      <c r="F4" s="86" t="e">
        <f t="shared" si="36"/>
        <v>#N/A</v>
      </c>
      <c r="G4" s="86" t="e">
        <f t="shared" si="36"/>
        <v>#N/A</v>
      </c>
      <c r="H4" s="86" t="e">
        <f t="shared" si="36"/>
        <v>#N/A</v>
      </c>
      <c r="I4" s="86" t="e">
        <f t="shared" si="36"/>
        <v>#N/A</v>
      </c>
      <c r="J4" s="86" t="e">
        <f t="shared" si="36"/>
        <v>#N/A</v>
      </c>
      <c r="K4" s="86" t="e">
        <f t="shared" si="36"/>
        <v>#N/A</v>
      </c>
      <c r="L4" s="86" t="e">
        <f t="shared" si="36"/>
        <v>#N/A</v>
      </c>
      <c r="M4" s="86" t="e">
        <f t="shared" si="36"/>
        <v>#N/A</v>
      </c>
      <c r="N4" s="87" t="e">
        <f t="shared" ref="N4:N9" si="37">SUM(B4:M4)</f>
        <v>#N/A</v>
      </c>
      <c r="O4" s="86" t="e">
        <f t="shared" ref="O4:Z4" si="38">O52</f>
        <v>#N/A</v>
      </c>
      <c r="P4" s="86" t="e">
        <f t="shared" si="38"/>
        <v>#N/A</v>
      </c>
      <c r="Q4" s="86" t="e">
        <f t="shared" si="38"/>
        <v>#N/A</v>
      </c>
      <c r="R4" s="86" t="e">
        <f t="shared" si="38"/>
        <v>#N/A</v>
      </c>
      <c r="S4" s="86" t="e">
        <f t="shared" si="38"/>
        <v>#N/A</v>
      </c>
      <c r="T4" s="86" t="e">
        <f t="shared" si="38"/>
        <v>#N/A</v>
      </c>
      <c r="U4" s="86" t="e">
        <f t="shared" si="38"/>
        <v>#N/A</v>
      </c>
      <c r="V4" s="86" t="e">
        <f t="shared" si="38"/>
        <v>#N/A</v>
      </c>
      <c r="W4" s="86" t="e">
        <f t="shared" si="38"/>
        <v>#N/A</v>
      </c>
      <c r="X4" s="86" t="e">
        <f t="shared" si="38"/>
        <v>#N/A</v>
      </c>
      <c r="Y4" s="86" t="e">
        <f t="shared" si="38"/>
        <v>#N/A</v>
      </c>
      <c r="Z4" s="86" t="e">
        <f t="shared" si="38"/>
        <v>#N/A</v>
      </c>
      <c r="AA4" s="87" t="e">
        <f t="shared" ref="AA4:AA9" si="39">SUM(O4:Z4)</f>
        <v>#N/A</v>
      </c>
      <c r="AB4" s="86" t="e">
        <f t="shared" ref="AB4:AM4" si="40">AB52</f>
        <v>#N/A</v>
      </c>
      <c r="AC4" s="86" t="e">
        <f t="shared" si="40"/>
        <v>#N/A</v>
      </c>
      <c r="AD4" s="86" t="e">
        <f t="shared" si="40"/>
        <v>#N/A</v>
      </c>
      <c r="AE4" s="86" t="e">
        <f t="shared" si="40"/>
        <v>#N/A</v>
      </c>
      <c r="AF4" s="86" t="e">
        <f t="shared" si="40"/>
        <v>#N/A</v>
      </c>
      <c r="AG4" s="86" t="e">
        <f t="shared" si="40"/>
        <v>#N/A</v>
      </c>
      <c r="AH4" s="86" t="e">
        <f t="shared" si="40"/>
        <v>#N/A</v>
      </c>
      <c r="AI4" s="86" t="e">
        <f t="shared" si="40"/>
        <v>#N/A</v>
      </c>
      <c r="AJ4" s="86" t="e">
        <f t="shared" si="40"/>
        <v>#N/A</v>
      </c>
      <c r="AK4" s="86" t="e">
        <f t="shared" si="40"/>
        <v>#N/A</v>
      </c>
      <c r="AL4" s="86" t="e">
        <f t="shared" si="40"/>
        <v>#N/A</v>
      </c>
      <c r="AM4" s="86" t="e">
        <f t="shared" si="40"/>
        <v>#N/A</v>
      </c>
      <c r="AN4" s="87" t="e">
        <f t="shared" ref="AN4:AN9" si="41">SUM(AB4:AM4)</f>
        <v>#N/A</v>
      </c>
      <c r="AO4" s="86" t="e">
        <f t="shared" ref="AO4:AZ4" si="42">AO52</f>
        <v>#N/A</v>
      </c>
      <c r="AP4" s="86" t="e">
        <f t="shared" si="42"/>
        <v>#N/A</v>
      </c>
      <c r="AQ4" s="86" t="e">
        <f t="shared" si="42"/>
        <v>#N/A</v>
      </c>
      <c r="AR4" s="86" t="e">
        <f t="shared" si="42"/>
        <v>#N/A</v>
      </c>
      <c r="AS4" s="86" t="e">
        <f t="shared" si="42"/>
        <v>#N/A</v>
      </c>
      <c r="AT4" s="86" t="e">
        <f t="shared" si="42"/>
        <v>#N/A</v>
      </c>
      <c r="AU4" s="86" t="e">
        <f t="shared" si="42"/>
        <v>#N/A</v>
      </c>
      <c r="AV4" s="86" t="e">
        <f t="shared" si="42"/>
        <v>#N/A</v>
      </c>
      <c r="AW4" s="86" t="e">
        <f t="shared" si="42"/>
        <v>#N/A</v>
      </c>
      <c r="AX4" s="86" t="e">
        <f t="shared" si="42"/>
        <v>#N/A</v>
      </c>
      <c r="AY4" s="86" t="e">
        <f t="shared" si="42"/>
        <v>#N/A</v>
      </c>
      <c r="AZ4" s="86" t="e">
        <f t="shared" si="42"/>
        <v>#N/A</v>
      </c>
      <c r="BA4" s="87" t="e">
        <f t="shared" ref="BA4:BA9" si="43">SUM(AO4:AZ4)</f>
        <v>#N/A</v>
      </c>
      <c r="BB4" s="86" t="e">
        <f t="shared" ref="BB4:BM4" si="44">BB52</f>
        <v>#N/A</v>
      </c>
      <c r="BC4" s="86" t="e">
        <f t="shared" si="44"/>
        <v>#N/A</v>
      </c>
      <c r="BD4" s="86" t="e">
        <f t="shared" si="44"/>
        <v>#N/A</v>
      </c>
      <c r="BE4" s="86" t="e">
        <f t="shared" si="44"/>
        <v>#N/A</v>
      </c>
      <c r="BF4" s="86" t="e">
        <f t="shared" si="44"/>
        <v>#N/A</v>
      </c>
      <c r="BG4" s="86" t="e">
        <f t="shared" si="44"/>
        <v>#N/A</v>
      </c>
      <c r="BH4" s="86" t="e">
        <f t="shared" si="44"/>
        <v>#N/A</v>
      </c>
      <c r="BI4" s="86" t="e">
        <f t="shared" si="44"/>
        <v>#N/A</v>
      </c>
      <c r="BJ4" s="86" t="e">
        <f t="shared" si="44"/>
        <v>#N/A</v>
      </c>
      <c r="BK4" s="86" t="e">
        <f t="shared" si="44"/>
        <v>#N/A</v>
      </c>
      <c r="BL4" s="86" t="e">
        <f t="shared" si="44"/>
        <v>#N/A</v>
      </c>
      <c r="BM4" s="86" t="e">
        <f t="shared" si="44"/>
        <v>#N/A</v>
      </c>
      <c r="BN4" s="87" t="e">
        <f t="shared" ref="BN4:BN9" si="45">SUM(BB4:BM4)</f>
        <v>#N/A</v>
      </c>
      <c r="BO4" s="86" t="e">
        <f t="shared" ref="BO4:BZ4" si="46">BO52</f>
        <v>#N/A</v>
      </c>
      <c r="BP4" s="86" t="e">
        <f t="shared" si="46"/>
        <v>#N/A</v>
      </c>
      <c r="BQ4" s="86" t="e">
        <f t="shared" si="46"/>
        <v>#N/A</v>
      </c>
      <c r="BR4" s="86" t="e">
        <f t="shared" si="46"/>
        <v>#N/A</v>
      </c>
      <c r="BS4" s="86" t="e">
        <f t="shared" si="46"/>
        <v>#N/A</v>
      </c>
      <c r="BT4" s="86" t="e">
        <f t="shared" si="46"/>
        <v>#N/A</v>
      </c>
      <c r="BU4" s="86" t="e">
        <f t="shared" si="46"/>
        <v>#N/A</v>
      </c>
      <c r="BV4" s="86" t="e">
        <f t="shared" si="46"/>
        <v>#N/A</v>
      </c>
      <c r="BW4" s="86" t="e">
        <f t="shared" si="46"/>
        <v>#N/A</v>
      </c>
      <c r="BX4" s="86" t="e">
        <f t="shared" si="46"/>
        <v>#N/A</v>
      </c>
      <c r="BY4" s="86" t="e">
        <f t="shared" si="46"/>
        <v>#N/A</v>
      </c>
      <c r="BZ4" s="86" t="e">
        <f t="shared" si="46"/>
        <v>#N/A</v>
      </c>
      <c r="CA4" s="87" t="e">
        <f t="shared" ref="CA4:CA9" si="47">SUM(BO4:BZ4)</f>
        <v>#N/A</v>
      </c>
      <c r="CB4" s="86" t="e">
        <f t="shared" ref="CB4:CM4" si="48">CB52</f>
        <v>#N/A</v>
      </c>
      <c r="CC4" s="86" t="e">
        <f t="shared" si="48"/>
        <v>#N/A</v>
      </c>
      <c r="CD4" s="86" t="e">
        <f t="shared" si="48"/>
        <v>#N/A</v>
      </c>
      <c r="CE4" s="86" t="e">
        <f t="shared" si="48"/>
        <v>#N/A</v>
      </c>
      <c r="CF4" s="86" t="e">
        <f t="shared" si="48"/>
        <v>#N/A</v>
      </c>
      <c r="CG4" s="86" t="e">
        <f t="shared" si="48"/>
        <v>#N/A</v>
      </c>
      <c r="CH4" s="86" t="e">
        <f t="shared" si="48"/>
        <v>#N/A</v>
      </c>
      <c r="CI4" s="86" t="e">
        <f t="shared" si="48"/>
        <v>#N/A</v>
      </c>
      <c r="CJ4" s="86" t="e">
        <f t="shared" si="48"/>
        <v>#N/A</v>
      </c>
      <c r="CK4" s="86" t="e">
        <f t="shared" si="48"/>
        <v>#N/A</v>
      </c>
      <c r="CL4" s="86" t="e">
        <f t="shared" si="48"/>
        <v>#N/A</v>
      </c>
      <c r="CM4" s="86" t="e">
        <f t="shared" si="48"/>
        <v>#N/A</v>
      </c>
      <c r="CN4" s="87" t="e">
        <f t="shared" ref="CN4:CN9" si="49">SUM(CB4:CM4)</f>
        <v>#N/A</v>
      </c>
      <c r="CO4" s="86" t="e">
        <f t="shared" ref="CO4:CZ4" si="50">CO52</f>
        <v>#N/A</v>
      </c>
      <c r="CP4" s="86" t="e">
        <f t="shared" si="50"/>
        <v>#N/A</v>
      </c>
      <c r="CQ4" s="86" t="e">
        <f t="shared" si="50"/>
        <v>#N/A</v>
      </c>
      <c r="CR4" s="86" t="e">
        <f t="shared" si="50"/>
        <v>#N/A</v>
      </c>
      <c r="CS4" s="86" t="e">
        <f t="shared" si="50"/>
        <v>#N/A</v>
      </c>
      <c r="CT4" s="86" t="e">
        <f t="shared" si="50"/>
        <v>#N/A</v>
      </c>
      <c r="CU4" s="86" t="e">
        <f t="shared" si="50"/>
        <v>#N/A</v>
      </c>
      <c r="CV4" s="86" t="e">
        <f t="shared" si="50"/>
        <v>#N/A</v>
      </c>
      <c r="CW4" s="86" t="e">
        <f t="shared" si="50"/>
        <v>#N/A</v>
      </c>
      <c r="CX4" s="86" t="e">
        <f t="shared" si="50"/>
        <v>#N/A</v>
      </c>
      <c r="CY4" s="86" t="e">
        <f t="shared" si="50"/>
        <v>#N/A</v>
      </c>
      <c r="CZ4" s="86" t="e">
        <f t="shared" si="50"/>
        <v>#N/A</v>
      </c>
      <c r="DA4" s="87" t="e">
        <f t="shared" ref="DA4:DA9" si="51">SUM(CO4:CZ4)</f>
        <v>#N/A</v>
      </c>
      <c r="DB4" s="86" t="e">
        <f t="shared" ref="DB4:DM4" si="52">DB52</f>
        <v>#N/A</v>
      </c>
      <c r="DC4" s="86" t="e">
        <f t="shared" si="52"/>
        <v>#N/A</v>
      </c>
      <c r="DD4" s="86" t="e">
        <f t="shared" si="52"/>
        <v>#N/A</v>
      </c>
      <c r="DE4" s="86" t="e">
        <f t="shared" si="52"/>
        <v>#N/A</v>
      </c>
      <c r="DF4" s="86" t="e">
        <f t="shared" si="52"/>
        <v>#N/A</v>
      </c>
      <c r="DG4" s="86" t="e">
        <f t="shared" si="52"/>
        <v>#N/A</v>
      </c>
      <c r="DH4" s="86" t="e">
        <f t="shared" si="52"/>
        <v>#N/A</v>
      </c>
      <c r="DI4" s="86" t="e">
        <f t="shared" si="52"/>
        <v>#N/A</v>
      </c>
      <c r="DJ4" s="86" t="e">
        <f t="shared" si="52"/>
        <v>#N/A</v>
      </c>
      <c r="DK4" s="86" t="e">
        <f t="shared" si="52"/>
        <v>#N/A</v>
      </c>
      <c r="DL4" s="86" t="e">
        <f t="shared" si="52"/>
        <v>#N/A</v>
      </c>
      <c r="DM4" s="86" t="e">
        <f t="shared" si="52"/>
        <v>#N/A</v>
      </c>
      <c r="DN4" s="87" t="e">
        <f t="shared" ref="DN4:DN9" si="53">SUM(DB4:DM4)</f>
        <v>#N/A</v>
      </c>
      <c r="DO4" s="86" t="e">
        <f t="shared" ref="DO4:DZ4" si="54">DO52</f>
        <v>#N/A</v>
      </c>
      <c r="DP4" s="86" t="e">
        <f t="shared" si="54"/>
        <v>#N/A</v>
      </c>
      <c r="DQ4" s="86" t="e">
        <f t="shared" si="54"/>
        <v>#N/A</v>
      </c>
      <c r="DR4" s="86" t="e">
        <f t="shared" si="54"/>
        <v>#N/A</v>
      </c>
      <c r="DS4" s="86" t="e">
        <f t="shared" si="54"/>
        <v>#N/A</v>
      </c>
      <c r="DT4" s="86" t="e">
        <f t="shared" si="54"/>
        <v>#N/A</v>
      </c>
      <c r="DU4" s="86" t="e">
        <f t="shared" si="54"/>
        <v>#N/A</v>
      </c>
      <c r="DV4" s="86" t="e">
        <f t="shared" si="54"/>
        <v>#N/A</v>
      </c>
      <c r="DW4" s="86" t="e">
        <f t="shared" si="54"/>
        <v>#N/A</v>
      </c>
      <c r="DX4" s="86" t="e">
        <f t="shared" si="54"/>
        <v>#N/A</v>
      </c>
      <c r="DY4" s="86" t="e">
        <f t="shared" si="54"/>
        <v>#N/A</v>
      </c>
      <c r="DZ4" s="86" t="e">
        <f t="shared" si="54"/>
        <v>#N/A</v>
      </c>
      <c r="EA4" s="87" t="e">
        <f t="shared" ref="EA4:EA9" si="55">SUM(DO4:DZ4)</f>
        <v>#N/A</v>
      </c>
      <c r="EB4" s="86" t="e">
        <f t="shared" ref="EB4:EM4" si="56">EB52</f>
        <v>#N/A</v>
      </c>
      <c r="EC4" s="86" t="e">
        <f t="shared" si="56"/>
        <v>#N/A</v>
      </c>
      <c r="ED4" s="86" t="e">
        <f t="shared" si="56"/>
        <v>#N/A</v>
      </c>
      <c r="EE4" s="86" t="e">
        <f t="shared" si="56"/>
        <v>#N/A</v>
      </c>
      <c r="EF4" s="86" t="e">
        <f t="shared" si="56"/>
        <v>#N/A</v>
      </c>
      <c r="EG4" s="86" t="e">
        <f t="shared" si="56"/>
        <v>#N/A</v>
      </c>
      <c r="EH4" s="86" t="e">
        <f t="shared" si="56"/>
        <v>#N/A</v>
      </c>
      <c r="EI4" s="86" t="e">
        <f t="shared" si="56"/>
        <v>#N/A</v>
      </c>
      <c r="EJ4" s="86" t="e">
        <f t="shared" si="56"/>
        <v>#N/A</v>
      </c>
      <c r="EK4" s="86" t="e">
        <f t="shared" si="56"/>
        <v>#N/A</v>
      </c>
      <c r="EL4" s="86" t="e">
        <f t="shared" si="56"/>
        <v>#N/A</v>
      </c>
      <c r="EM4" s="86" t="e">
        <f t="shared" si="56"/>
        <v>#N/A</v>
      </c>
      <c r="EN4" s="87" t="e">
        <f t="shared" ref="EN4:EN9" si="57">SUM(EB4:EM4)</f>
        <v>#N/A</v>
      </c>
      <c r="EO4" s="86" t="e">
        <f t="shared" ref="EO4:EZ4" si="58">EO52</f>
        <v>#N/A</v>
      </c>
      <c r="EP4" s="86" t="e">
        <f t="shared" si="58"/>
        <v>#N/A</v>
      </c>
      <c r="EQ4" s="86" t="e">
        <f t="shared" si="58"/>
        <v>#N/A</v>
      </c>
      <c r="ER4" s="86" t="e">
        <f t="shared" si="58"/>
        <v>#N/A</v>
      </c>
      <c r="ES4" s="86" t="e">
        <f t="shared" si="58"/>
        <v>#N/A</v>
      </c>
      <c r="ET4" s="86" t="e">
        <f t="shared" si="58"/>
        <v>#N/A</v>
      </c>
      <c r="EU4" s="86" t="e">
        <f t="shared" si="58"/>
        <v>#N/A</v>
      </c>
      <c r="EV4" s="86" t="e">
        <f t="shared" si="58"/>
        <v>#N/A</v>
      </c>
      <c r="EW4" s="86" t="e">
        <f t="shared" si="58"/>
        <v>#N/A</v>
      </c>
      <c r="EX4" s="86" t="e">
        <f t="shared" si="58"/>
        <v>#N/A</v>
      </c>
      <c r="EY4" s="86" t="e">
        <f t="shared" si="58"/>
        <v>#N/A</v>
      </c>
      <c r="EZ4" s="86" t="e">
        <f t="shared" si="58"/>
        <v>#N/A</v>
      </c>
      <c r="FA4" s="87" t="e">
        <f t="shared" ref="FA4:FA9" si="59">SUM(EO4:EZ4)</f>
        <v>#N/A</v>
      </c>
      <c r="FB4" s="86" t="e">
        <f t="shared" ref="FB4:FM4" si="60">FB52</f>
        <v>#N/A</v>
      </c>
      <c r="FC4" s="86" t="e">
        <f t="shared" si="60"/>
        <v>#N/A</v>
      </c>
      <c r="FD4" s="86" t="e">
        <f t="shared" si="60"/>
        <v>#N/A</v>
      </c>
      <c r="FE4" s="86" t="e">
        <f t="shared" si="60"/>
        <v>#N/A</v>
      </c>
      <c r="FF4" s="86" t="e">
        <f t="shared" si="60"/>
        <v>#N/A</v>
      </c>
      <c r="FG4" s="86" t="e">
        <f t="shared" si="60"/>
        <v>#N/A</v>
      </c>
      <c r="FH4" s="86" t="e">
        <f t="shared" si="60"/>
        <v>#N/A</v>
      </c>
      <c r="FI4" s="86" t="e">
        <f t="shared" si="60"/>
        <v>#N/A</v>
      </c>
      <c r="FJ4" s="86" t="e">
        <f t="shared" si="60"/>
        <v>#N/A</v>
      </c>
      <c r="FK4" s="86" t="e">
        <f t="shared" si="60"/>
        <v>#N/A</v>
      </c>
      <c r="FL4" s="86" t="e">
        <f t="shared" si="60"/>
        <v>#N/A</v>
      </c>
      <c r="FM4" s="86" t="e">
        <f t="shared" si="60"/>
        <v>#N/A</v>
      </c>
      <c r="FN4" s="87" t="e">
        <f t="shared" ref="FN4:FN9" si="61">SUM(FB4:FM4)</f>
        <v>#N/A</v>
      </c>
      <c r="FO4" s="86" t="e">
        <f t="shared" ref="FO4:FZ4" si="62">FO52</f>
        <v>#N/A</v>
      </c>
      <c r="FP4" s="86" t="e">
        <f t="shared" si="62"/>
        <v>#N/A</v>
      </c>
      <c r="FQ4" s="86" t="e">
        <f t="shared" si="62"/>
        <v>#N/A</v>
      </c>
      <c r="FR4" s="86" t="e">
        <f t="shared" si="62"/>
        <v>#N/A</v>
      </c>
      <c r="FS4" s="86" t="e">
        <f t="shared" si="62"/>
        <v>#N/A</v>
      </c>
      <c r="FT4" s="86" t="e">
        <f t="shared" si="62"/>
        <v>#N/A</v>
      </c>
      <c r="FU4" s="86" t="e">
        <f t="shared" si="62"/>
        <v>#N/A</v>
      </c>
      <c r="FV4" s="86" t="e">
        <f t="shared" si="62"/>
        <v>#N/A</v>
      </c>
      <c r="FW4" s="86" t="e">
        <f t="shared" si="62"/>
        <v>#N/A</v>
      </c>
      <c r="FX4" s="86" t="e">
        <f t="shared" si="62"/>
        <v>#N/A</v>
      </c>
      <c r="FY4" s="86" t="e">
        <f t="shared" si="62"/>
        <v>#N/A</v>
      </c>
      <c r="FZ4" s="86" t="e">
        <f t="shared" si="62"/>
        <v>#N/A</v>
      </c>
      <c r="GA4" s="87" t="e">
        <f t="shared" ref="GA4:GA9" si="63">SUM(FO4:FZ4)</f>
        <v>#N/A</v>
      </c>
      <c r="GB4" s="86" t="e">
        <f t="shared" ref="GB4:GM4" si="64">GB52</f>
        <v>#N/A</v>
      </c>
      <c r="GC4" s="86" t="e">
        <f t="shared" si="64"/>
        <v>#N/A</v>
      </c>
      <c r="GD4" s="86" t="e">
        <f t="shared" si="64"/>
        <v>#N/A</v>
      </c>
      <c r="GE4" s="86" t="e">
        <f t="shared" si="64"/>
        <v>#N/A</v>
      </c>
      <c r="GF4" s="86" t="e">
        <f t="shared" si="64"/>
        <v>#N/A</v>
      </c>
      <c r="GG4" s="86" t="e">
        <f t="shared" si="64"/>
        <v>#N/A</v>
      </c>
      <c r="GH4" s="86" t="e">
        <f t="shared" si="64"/>
        <v>#N/A</v>
      </c>
      <c r="GI4" s="86" t="e">
        <f t="shared" si="64"/>
        <v>#N/A</v>
      </c>
      <c r="GJ4" s="86" t="e">
        <f t="shared" si="64"/>
        <v>#N/A</v>
      </c>
      <c r="GK4" s="86" t="e">
        <f t="shared" si="64"/>
        <v>#N/A</v>
      </c>
      <c r="GL4" s="86" t="e">
        <f t="shared" si="64"/>
        <v>#N/A</v>
      </c>
      <c r="GM4" s="86" t="e">
        <f t="shared" si="64"/>
        <v>#N/A</v>
      </c>
      <c r="GN4" s="87" t="e">
        <f t="shared" ref="GN4:GN9" si="65">SUM(GB4:GM4)</f>
        <v>#N/A</v>
      </c>
      <c r="GO4" s="86" t="e">
        <f t="shared" ref="GO4:GZ4" si="66">GO52</f>
        <v>#N/A</v>
      </c>
      <c r="GP4" s="86" t="e">
        <f t="shared" si="66"/>
        <v>#N/A</v>
      </c>
      <c r="GQ4" s="86" t="e">
        <f t="shared" si="66"/>
        <v>#N/A</v>
      </c>
      <c r="GR4" s="86" t="e">
        <f t="shared" si="66"/>
        <v>#N/A</v>
      </c>
      <c r="GS4" s="86" t="e">
        <f t="shared" si="66"/>
        <v>#N/A</v>
      </c>
      <c r="GT4" s="86" t="e">
        <f t="shared" si="66"/>
        <v>#N/A</v>
      </c>
      <c r="GU4" s="86" t="e">
        <f t="shared" si="66"/>
        <v>#N/A</v>
      </c>
      <c r="GV4" s="86" t="e">
        <f t="shared" si="66"/>
        <v>#N/A</v>
      </c>
      <c r="GW4" s="86" t="e">
        <f t="shared" si="66"/>
        <v>#N/A</v>
      </c>
      <c r="GX4" s="86" t="e">
        <f t="shared" si="66"/>
        <v>#N/A</v>
      </c>
      <c r="GY4" s="86" t="e">
        <f t="shared" si="66"/>
        <v>#N/A</v>
      </c>
      <c r="GZ4" s="86" t="e">
        <f t="shared" si="66"/>
        <v>#N/A</v>
      </c>
      <c r="HA4" s="87" t="e">
        <f t="shared" ref="HA4:HA9" si="67">SUM(GO4:GZ4)</f>
        <v>#N/A</v>
      </c>
      <c r="HB4" s="86" t="e">
        <f t="shared" ref="HB4:HM4" si="68">HB52</f>
        <v>#N/A</v>
      </c>
      <c r="HC4" s="86" t="e">
        <f t="shared" si="68"/>
        <v>#N/A</v>
      </c>
      <c r="HD4" s="86" t="e">
        <f t="shared" si="68"/>
        <v>#N/A</v>
      </c>
      <c r="HE4" s="86" t="e">
        <f t="shared" si="68"/>
        <v>#N/A</v>
      </c>
      <c r="HF4" s="86" t="e">
        <f t="shared" si="68"/>
        <v>#N/A</v>
      </c>
      <c r="HG4" s="86" t="e">
        <f t="shared" si="68"/>
        <v>#N/A</v>
      </c>
      <c r="HH4" s="86" t="e">
        <f t="shared" si="68"/>
        <v>#N/A</v>
      </c>
      <c r="HI4" s="86" t="e">
        <f t="shared" si="68"/>
        <v>#N/A</v>
      </c>
      <c r="HJ4" s="86" t="e">
        <f t="shared" si="68"/>
        <v>#N/A</v>
      </c>
      <c r="HK4" s="86" t="e">
        <f t="shared" si="68"/>
        <v>#N/A</v>
      </c>
      <c r="HL4" s="86" t="e">
        <f t="shared" si="68"/>
        <v>#N/A</v>
      </c>
      <c r="HM4" s="86" t="e">
        <f t="shared" si="68"/>
        <v>#N/A</v>
      </c>
      <c r="HN4" s="87" t="e">
        <f t="shared" ref="HN4:HN9" si="69">SUM(HB4:HM4)</f>
        <v>#N/A</v>
      </c>
      <c r="HO4" s="86" t="e">
        <f t="shared" ref="HO4:HZ4" si="70">HO52</f>
        <v>#N/A</v>
      </c>
      <c r="HP4" s="86" t="e">
        <f t="shared" si="70"/>
        <v>#N/A</v>
      </c>
      <c r="HQ4" s="86" t="e">
        <f t="shared" si="70"/>
        <v>#N/A</v>
      </c>
      <c r="HR4" s="86" t="e">
        <f t="shared" si="70"/>
        <v>#N/A</v>
      </c>
      <c r="HS4" s="86" t="e">
        <f t="shared" si="70"/>
        <v>#N/A</v>
      </c>
      <c r="HT4" s="86" t="e">
        <f t="shared" si="70"/>
        <v>#N/A</v>
      </c>
      <c r="HU4" s="86" t="e">
        <f t="shared" si="70"/>
        <v>#N/A</v>
      </c>
      <c r="HV4" s="86" t="e">
        <f t="shared" si="70"/>
        <v>#N/A</v>
      </c>
      <c r="HW4" s="86" t="e">
        <f t="shared" si="70"/>
        <v>#N/A</v>
      </c>
      <c r="HX4" s="86" t="e">
        <f t="shared" si="70"/>
        <v>#N/A</v>
      </c>
      <c r="HY4" s="86" t="e">
        <f t="shared" si="70"/>
        <v>#N/A</v>
      </c>
      <c r="HZ4" s="86" t="e">
        <f t="shared" si="70"/>
        <v>#N/A</v>
      </c>
      <c r="IA4" s="87" t="e">
        <f t="shared" ref="IA4:IA9" si="71">SUM(HO4:HZ4)</f>
        <v>#N/A</v>
      </c>
      <c r="IB4" s="86" t="e">
        <f t="shared" ref="IB4:IM4" si="72">IB52</f>
        <v>#N/A</v>
      </c>
      <c r="IC4" s="86" t="e">
        <f t="shared" si="72"/>
        <v>#N/A</v>
      </c>
      <c r="ID4" s="86" t="e">
        <f t="shared" si="72"/>
        <v>#N/A</v>
      </c>
      <c r="IE4" s="86" t="e">
        <f t="shared" si="72"/>
        <v>#N/A</v>
      </c>
      <c r="IF4" s="86" t="e">
        <f t="shared" si="72"/>
        <v>#N/A</v>
      </c>
      <c r="IG4" s="86" t="e">
        <f t="shared" si="72"/>
        <v>#N/A</v>
      </c>
      <c r="IH4" s="86" t="e">
        <f t="shared" si="72"/>
        <v>#N/A</v>
      </c>
      <c r="II4" s="86" t="e">
        <f t="shared" si="72"/>
        <v>#N/A</v>
      </c>
      <c r="IJ4" s="86" t="e">
        <f t="shared" si="72"/>
        <v>#N/A</v>
      </c>
      <c r="IK4" s="86" t="e">
        <f t="shared" si="72"/>
        <v>#N/A</v>
      </c>
      <c r="IL4" s="86" t="e">
        <f t="shared" si="72"/>
        <v>#N/A</v>
      </c>
      <c r="IM4" s="86" t="e">
        <f t="shared" si="72"/>
        <v>#N/A</v>
      </c>
      <c r="IN4" s="87" t="e">
        <f t="shared" ref="IN4:IN9" si="73">SUM(IB4:IM4)</f>
        <v>#N/A</v>
      </c>
      <c r="IO4" s="86" t="e">
        <f t="shared" ref="IO4:IZ4" si="74">IO52</f>
        <v>#N/A</v>
      </c>
      <c r="IP4" s="86" t="e">
        <f t="shared" si="74"/>
        <v>#N/A</v>
      </c>
      <c r="IQ4" s="86" t="e">
        <f t="shared" si="74"/>
        <v>#N/A</v>
      </c>
      <c r="IR4" s="86" t="e">
        <f t="shared" si="74"/>
        <v>#N/A</v>
      </c>
      <c r="IS4" s="86" t="e">
        <f t="shared" si="74"/>
        <v>#N/A</v>
      </c>
      <c r="IT4" s="86" t="e">
        <f t="shared" si="74"/>
        <v>#N/A</v>
      </c>
      <c r="IU4" s="86" t="e">
        <f t="shared" si="74"/>
        <v>#N/A</v>
      </c>
      <c r="IV4" s="86" t="e">
        <f t="shared" si="74"/>
        <v>#N/A</v>
      </c>
      <c r="IW4" s="86" t="e">
        <f t="shared" si="74"/>
        <v>#N/A</v>
      </c>
      <c r="IX4" s="86" t="e">
        <f t="shared" si="74"/>
        <v>#N/A</v>
      </c>
      <c r="IY4" s="86" t="e">
        <f t="shared" si="74"/>
        <v>#N/A</v>
      </c>
      <c r="IZ4" s="86" t="e">
        <f t="shared" si="74"/>
        <v>#N/A</v>
      </c>
      <c r="JA4" s="87" t="e">
        <f t="shared" ref="JA4:JA9" si="75">SUM(IO4:IZ4)</f>
        <v>#N/A</v>
      </c>
      <c r="JB4" s="86" t="e">
        <f t="shared" ref="JB4:JM4" si="76">JB52</f>
        <v>#N/A</v>
      </c>
      <c r="JC4" s="86" t="e">
        <f t="shared" si="76"/>
        <v>#N/A</v>
      </c>
      <c r="JD4" s="86" t="e">
        <f t="shared" si="76"/>
        <v>#N/A</v>
      </c>
      <c r="JE4" s="86" t="e">
        <f t="shared" si="76"/>
        <v>#N/A</v>
      </c>
      <c r="JF4" s="86" t="e">
        <f t="shared" si="76"/>
        <v>#N/A</v>
      </c>
      <c r="JG4" s="86" t="e">
        <f t="shared" si="76"/>
        <v>#N/A</v>
      </c>
      <c r="JH4" s="86" t="e">
        <f t="shared" si="76"/>
        <v>#N/A</v>
      </c>
      <c r="JI4" s="86" t="e">
        <f t="shared" si="76"/>
        <v>#N/A</v>
      </c>
      <c r="JJ4" s="86" t="e">
        <f t="shared" si="76"/>
        <v>#N/A</v>
      </c>
      <c r="JK4" s="86" t="e">
        <f t="shared" si="76"/>
        <v>#N/A</v>
      </c>
      <c r="JL4" s="86" t="e">
        <f t="shared" si="76"/>
        <v>#N/A</v>
      </c>
      <c r="JM4" s="86" t="e">
        <f t="shared" si="76"/>
        <v>#N/A</v>
      </c>
      <c r="JN4" s="87" t="e">
        <f t="shared" ref="JN4:JN9" si="77">SUM(JB4:JM4)</f>
        <v>#N/A</v>
      </c>
      <c r="JO4" s="86" t="e">
        <f t="shared" ref="JO4:JZ4" si="78">JO52</f>
        <v>#N/A</v>
      </c>
      <c r="JP4" s="86" t="e">
        <f t="shared" si="78"/>
        <v>#N/A</v>
      </c>
      <c r="JQ4" s="86" t="e">
        <f t="shared" si="78"/>
        <v>#N/A</v>
      </c>
      <c r="JR4" s="86" t="e">
        <f t="shared" si="78"/>
        <v>#N/A</v>
      </c>
      <c r="JS4" s="86" t="e">
        <f t="shared" si="78"/>
        <v>#N/A</v>
      </c>
      <c r="JT4" s="86" t="e">
        <f t="shared" si="78"/>
        <v>#N/A</v>
      </c>
      <c r="JU4" s="86" t="e">
        <f t="shared" si="78"/>
        <v>#N/A</v>
      </c>
      <c r="JV4" s="86" t="e">
        <f t="shared" si="78"/>
        <v>#N/A</v>
      </c>
      <c r="JW4" s="86" t="e">
        <f t="shared" si="78"/>
        <v>#N/A</v>
      </c>
      <c r="JX4" s="86" t="e">
        <f t="shared" si="78"/>
        <v>#N/A</v>
      </c>
      <c r="JY4" s="86" t="e">
        <f t="shared" si="78"/>
        <v>#N/A</v>
      </c>
      <c r="JZ4" s="86" t="e">
        <f t="shared" si="78"/>
        <v>#N/A</v>
      </c>
      <c r="KA4" s="87" t="e">
        <f t="shared" ref="KA4:KA9" si="79">SUM(JO4:JZ4)</f>
        <v>#N/A</v>
      </c>
      <c r="KB4" s="86" t="e">
        <f t="shared" ref="KB4:KM4" si="80">KB52</f>
        <v>#N/A</v>
      </c>
      <c r="KC4" s="86" t="e">
        <f t="shared" si="80"/>
        <v>#N/A</v>
      </c>
      <c r="KD4" s="86" t="e">
        <f t="shared" si="80"/>
        <v>#N/A</v>
      </c>
      <c r="KE4" s="86" t="e">
        <f t="shared" si="80"/>
        <v>#N/A</v>
      </c>
      <c r="KF4" s="86" t="e">
        <f t="shared" si="80"/>
        <v>#N/A</v>
      </c>
      <c r="KG4" s="86" t="e">
        <f t="shared" si="80"/>
        <v>#N/A</v>
      </c>
      <c r="KH4" s="86" t="e">
        <f t="shared" si="80"/>
        <v>#N/A</v>
      </c>
      <c r="KI4" s="86" t="e">
        <f t="shared" si="80"/>
        <v>#N/A</v>
      </c>
      <c r="KJ4" s="86" t="e">
        <f t="shared" si="80"/>
        <v>#N/A</v>
      </c>
      <c r="KK4" s="86" t="e">
        <f t="shared" si="80"/>
        <v>#N/A</v>
      </c>
      <c r="KL4" s="86" t="e">
        <f t="shared" si="80"/>
        <v>#N/A</v>
      </c>
      <c r="KM4" s="86" t="e">
        <f t="shared" si="80"/>
        <v>#N/A</v>
      </c>
      <c r="KN4" s="87" t="e">
        <f t="shared" ref="KN4:KN9" si="81">SUM(KB4:KM4)</f>
        <v>#N/A</v>
      </c>
      <c r="KO4" s="86" t="e">
        <f t="shared" ref="KO4:KZ4" si="82">KO52</f>
        <v>#N/A</v>
      </c>
      <c r="KP4" s="86" t="e">
        <f t="shared" si="82"/>
        <v>#N/A</v>
      </c>
      <c r="KQ4" s="86" t="e">
        <f t="shared" si="82"/>
        <v>#N/A</v>
      </c>
      <c r="KR4" s="86" t="e">
        <f t="shared" si="82"/>
        <v>#N/A</v>
      </c>
      <c r="KS4" s="86" t="e">
        <f t="shared" si="82"/>
        <v>#N/A</v>
      </c>
      <c r="KT4" s="86" t="e">
        <f t="shared" si="82"/>
        <v>#N/A</v>
      </c>
      <c r="KU4" s="86" t="e">
        <f t="shared" si="82"/>
        <v>#N/A</v>
      </c>
      <c r="KV4" s="86" t="e">
        <f t="shared" si="82"/>
        <v>#N/A</v>
      </c>
      <c r="KW4" s="86" t="e">
        <f t="shared" si="82"/>
        <v>#N/A</v>
      </c>
      <c r="KX4" s="86" t="e">
        <f t="shared" si="82"/>
        <v>#N/A</v>
      </c>
      <c r="KY4" s="86" t="e">
        <f t="shared" si="82"/>
        <v>#N/A</v>
      </c>
      <c r="KZ4" s="86" t="e">
        <f t="shared" si="82"/>
        <v>#N/A</v>
      </c>
      <c r="LA4" s="87" t="e">
        <f t="shared" ref="LA4:LA9" si="83">SUM(KO4:KZ4)</f>
        <v>#N/A</v>
      </c>
      <c r="LB4" s="86" t="e">
        <f t="shared" ref="LB4:LM4" si="84">LB52</f>
        <v>#N/A</v>
      </c>
      <c r="LC4" s="86" t="e">
        <f t="shared" si="84"/>
        <v>#N/A</v>
      </c>
      <c r="LD4" s="86" t="e">
        <f t="shared" si="84"/>
        <v>#N/A</v>
      </c>
      <c r="LE4" s="86" t="e">
        <f t="shared" si="84"/>
        <v>#N/A</v>
      </c>
      <c r="LF4" s="86" t="e">
        <f t="shared" si="84"/>
        <v>#N/A</v>
      </c>
      <c r="LG4" s="86" t="e">
        <f t="shared" si="84"/>
        <v>#N/A</v>
      </c>
      <c r="LH4" s="86" t="e">
        <f t="shared" si="84"/>
        <v>#N/A</v>
      </c>
      <c r="LI4" s="86" t="e">
        <f t="shared" si="84"/>
        <v>#N/A</v>
      </c>
      <c r="LJ4" s="86" t="e">
        <f t="shared" si="84"/>
        <v>#N/A</v>
      </c>
      <c r="LK4" s="86" t="e">
        <f t="shared" si="84"/>
        <v>#N/A</v>
      </c>
      <c r="LL4" s="86" t="e">
        <f t="shared" si="84"/>
        <v>#N/A</v>
      </c>
      <c r="LM4" s="86" t="e">
        <f t="shared" si="84"/>
        <v>#N/A</v>
      </c>
      <c r="LN4" s="87" t="e">
        <f t="shared" ref="LN4:LN9" si="85">SUM(LB4:LM4)</f>
        <v>#N/A</v>
      </c>
      <c r="LO4" s="86" t="e">
        <f t="shared" ref="LO4:LZ4" si="86">LO52</f>
        <v>#N/A</v>
      </c>
      <c r="LP4" s="86" t="e">
        <f t="shared" si="86"/>
        <v>#N/A</v>
      </c>
      <c r="LQ4" s="86" t="e">
        <f t="shared" si="86"/>
        <v>#N/A</v>
      </c>
      <c r="LR4" s="86" t="e">
        <f t="shared" si="86"/>
        <v>#N/A</v>
      </c>
      <c r="LS4" s="86" t="e">
        <f t="shared" si="86"/>
        <v>#N/A</v>
      </c>
      <c r="LT4" s="86" t="e">
        <f t="shared" si="86"/>
        <v>#N/A</v>
      </c>
      <c r="LU4" s="86" t="e">
        <f t="shared" si="86"/>
        <v>#N/A</v>
      </c>
      <c r="LV4" s="86" t="e">
        <f t="shared" si="86"/>
        <v>#N/A</v>
      </c>
      <c r="LW4" s="86" t="e">
        <f t="shared" si="86"/>
        <v>#N/A</v>
      </c>
      <c r="LX4" s="86" t="e">
        <f t="shared" si="86"/>
        <v>#N/A</v>
      </c>
      <c r="LY4" s="86" t="e">
        <f t="shared" si="86"/>
        <v>#N/A</v>
      </c>
      <c r="LZ4" s="86" t="e">
        <f t="shared" si="86"/>
        <v>#N/A</v>
      </c>
      <c r="MA4" s="87" t="e">
        <f t="shared" ref="MA4:MA9" si="87">SUM(LO4:LZ4)</f>
        <v>#N/A</v>
      </c>
      <c r="MB4" s="86" t="e">
        <f t="shared" ref="MB4:MM4" si="88">MB52</f>
        <v>#N/A</v>
      </c>
      <c r="MC4" s="86" t="e">
        <f t="shared" si="88"/>
        <v>#N/A</v>
      </c>
      <c r="MD4" s="86" t="e">
        <f t="shared" si="88"/>
        <v>#N/A</v>
      </c>
      <c r="ME4" s="86" t="e">
        <f t="shared" si="88"/>
        <v>#N/A</v>
      </c>
      <c r="MF4" s="86" t="e">
        <f t="shared" si="88"/>
        <v>#N/A</v>
      </c>
      <c r="MG4" s="86" t="e">
        <f t="shared" si="88"/>
        <v>#N/A</v>
      </c>
      <c r="MH4" s="86" t="e">
        <f t="shared" si="88"/>
        <v>#N/A</v>
      </c>
      <c r="MI4" s="86" t="e">
        <f t="shared" si="88"/>
        <v>#N/A</v>
      </c>
      <c r="MJ4" s="86" t="e">
        <f t="shared" si="88"/>
        <v>#N/A</v>
      </c>
      <c r="MK4" s="86" t="e">
        <f t="shared" si="88"/>
        <v>#N/A</v>
      </c>
      <c r="ML4" s="86" t="e">
        <f t="shared" si="88"/>
        <v>#N/A</v>
      </c>
      <c r="MM4" s="86" t="e">
        <f t="shared" si="88"/>
        <v>#N/A</v>
      </c>
      <c r="MN4" s="87" t="e">
        <f t="shared" ref="MN4:MN9" si="89">SUM(MB4:MM4)</f>
        <v>#N/A</v>
      </c>
      <c r="MO4" s="86" t="e">
        <f t="shared" ref="MO4:MZ4" si="90">MO52</f>
        <v>#N/A</v>
      </c>
      <c r="MP4" s="86" t="e">
        <f t="shared" si="90"/>
        <v>#N/A</v>
      </c>
      <c r="MQ4" s="86" t="e">
        <f t="shared" si="90"/>
        <v>#N/A</v>
      </c>
      <c r="MR4" s="86" t="e">
        <f t="shared" si="90"/>
        <v>#N/A</v>
      </c>
      <c r="MS4" s="86" t="e">
        <f t="shared" si="90"/>
        <v>#N/A</v>
      </c>
      <c r="MT4" s="86" t="e">
        <f t="shared" si="90"/>
        <v>#N/A</v>
      </c>
      <c r="MU4" s="86" t="e">
        <f t="shared" si="90"/>
        <v>#N/A</v>
      </c>
      <c r="MV4" s="86" t="e">
        <f t="shared" si="90"/>
        <v>#N/A</v>
      </c>
      <c r="MW4" s="86" t="e">
        <f t="shared" si="90"/>
        <v>#N/A</v>
      </c>
      <c r="MX4" s="86" t="e">
        <f t="shared" si="90"/>
        <v>#N/A</v>
      </c>
      <c r="MY4" s="86" t="e">
        <f t="shared" si="90"/>
        <v>#N/A</v>
      </c>
      <c r="MZ4" s="86" t="e">
        <f t="shared" si="90"/>
        <v>#N/A</v>
      </c>
      <c r="NA4" s="87" t="e">
        <f t="shared" ref="NA4:NA9" si="91">SUM(MO4:MZ4)</f>
        <v>#N/A</v>
      </c>
      <c r="NB4" s="86" t="e">
        <f t="shared" ref="NB4:NM4" si="92">NB52</f>
        <v>#N/A</v>
      </c>
      <c r="NC4" s="86" t="e">
        <f t="shared" si="92"/>
        <v>#N/A</v>
      </c>
      <c r="ND4" s="86" t="e">
        <f t="shared" si="92"/>
        <v>#N/A</v>
      </c>
      <c r="NE4" s="86" t="e">
        <f t="shared" si="92"/>
        <v>#N/A</v>
      </c>
      <c r="NF4" s="86" t="e">
        <f t="shared" si="92"/>
        <v>#N/A</v>
      </c>
      <c r="NG4" s="86" t="e">
        <f t="shared" si="92"/>
        <v>#N/A</v>
      </c>
      <c r="NH4" s="86" t="e">
        <f t="shared" si="92"/>
        <v>#N/A</v>
      </c>
      <c r="NI4" s="86" t="e">
        <f t="shared" si="92"/>
        <v>#N/A</v>
      </c>
      <c r="NJ4" s="86" t="e">
        <f t="shared" si="92"/>
        <v>#N/A</v>
      </c>
      <c r="NK4" s="86" t="e">
        <f t="shared" si="92"/>
        <v>#N/A</v>
      </c>
      <c r="NL4" s="86" t="e">
        <f t="shared" si="92"/>
        <v>#N/A</v>
      </c>
      <c r="NM4" s="86" t="e">
        <f t="shared" si="92"/>
        <v>#N/A</v>
      </c>
      <c r="NN4" s="87" t="e">
        <f t="shared" ref="NN4:NN9" si="93">SUM(NB4:NM4)</f>
        <v>#N/A</v>
      </c>
      <c r="NO4" s="86" t="e">
        <f t="shared" ref="NO4:NZ4" si="94">NO52</f>
        <v>#N/A</v>
      </c>
      <c r="NP4" s="86" t="e">
        <f t="shared" si="94"/>
        <v>#N/A</v>
      </c>
      <c r="NQ4" s="86" t="e">
        <f t="shared" si="94"/>
        <v>#N/A</v>
      </c>
      <c r="NR4" s="86" t="e">
        <f t="shared" si="94"/>
        <v>#N/A</v>
      </c>
      <c r="NS4" s="86" t="e">
        <f t="shared" si="94"/>
        <v>#N/A</v>
      </c>
      <c r="NT4" s="86" t="e">
        <f t="shared" si="94"/>
        <v>#N/A</v>
      </c>
      <c r="NU4" s="86" t="e">
        <f t="shared" si="94"/>
        <v>#N/A</v>
      </c>
      <c r="NV4" s="86" t="e">
        <f t="shared" si="94"/>
        <v>#N/A</v>
      </c>
      <c r="NW4" s="86" t="e">
        <f t="shared" si="94"/>
        <v>#N/A</v>
      </c>
      <c r="NX4" s="86" t="e">
        <f t="shared" si="94"/>
        <v>#N/A</v>
      </c>
      <c r="NY4" s="86" t="e">
        <f t="shared" si="94"/>
        <v>#N/A</v>
      </c>
      <c r="NZ4" s="86" t="e">
        <f t="shared" si="94"/>
        <v>#N/A</v>
      </c>
      <c r="OA4" s="87" t="e">
        <f t="shared" ref="OA4:OA9" si="95">SUM(NO4:NZ4)</f>
        <v>#N/A</v>
      </c>
      <c r="OB4" s="86" t="e">
        <f t="shared" ref="OB4:OM4" si="96">OB52</f>
        <v>#N/A</v>
      </c>
      <c r="OC4" s="86" t="e">
        <f t="shared" si="96"/>
        <v>#N/A</v>
      </c>
      <c r="OD4" s="86" t="e">
        <f t="shared" si="96"/>
        <v>#N/A</v>
      </c>
      <c r="OE4" s="86" t="e">
        <f t="shared" si="96"/>
        <v>#N/A</v>
      </c>
      <c r="OF4" s="86" t="e">
        <f t="shared" si="96"/>
        <v>#N/A</v>
      </c>
      <c r="OG4" s="86" t="e">
        <f t="shared" si="96"/>
        <v>#N/A</v>
      </c>
      <c r="OH4" s="86" t="e">
        <f t="shared" si="96"/>
        <v>#N/A</v>
      </c>
      <c r="OI4" s="86" t="e">
        <f t="shared" si="96"/>
        <v>#N/A</v>
      </c>
      <c r="OJ4" s="86" t="e">
        <f t="shared" si="96"/>
        <v>#N/A</v>
      </c>
      <c r="OK4" s="86" t="e">
        <f t="shared" si="96"/>
        <v>#N/A</v>
      </c>
      <c r="OL4" s="86" t="e">
        <f t="shared" si="96"/>
        <v>#N/A</v>
      </c>
      <c r="OM4" s="86" t="e">
        <f t="shared" si="96"/>
        <v>#N/A</v>
      </c>
      <c r="ON4" s="87" t="e">
        <f t="shared" ref="ON4:ON9" si="97">SUM(OB4:OM4)</f>
        <v>#N/A</v>
      </c>
      <c r="OO4" s="86" t="e">
        <f t="shared" ref="OO4:OZ4" si="98">OO52</f>
        <v>#N/A</v>
      </c>
      <c r="OP4" s="86" t="e">
        <f t="shared" si="98"/>
        <v>#N/A</v>
      </c>
      <c r="OQ4" s="86" t="e">
        <f t="shared" si="98"/>
        <v>#N/A</v>
      </c>
      <c r="OR4" s="86" t="e">
        <f t="shared" si="98"/>
        <v>#N/A</v>
      </c>
      <c r="OS4" s="86" t="e">
        <f t="shared" si="98"/>
        <v>#N/A</v>
      </c>
      <c r="OT4" s="86" t="e">
        <f t="shared" si="98"/>
        <v>#N/A</v>
      </c>
      <c r="OU4" s="86" t="e">
        <f t="shared" si="98"/>
        <v>#N/A</v>
      </c>
      <c r="OV4" s="86" t="e">
        <f t="shared" si="98"/>
        <v>#N/A</v>
      </c>
      <c r="OW4" s="86" t="e">
        <f t="shared" si="98"/>
        <v>#N/A</v>
      </c>
      <c r="OX4" s="86" t="e">
        <f t="shared" si="98"/>
        <v>#N/A</v>
      </c>
      <c r="OY4" s="86" t="e">
        <f t="shared" si="98"/>
        <v>#N/A</v>
      </c>
      <c r="OZ4" s="86" t="e">
        <f t="shared" si="98"/>
        <v>#N/A</v>
      </c>
      <c r="PA4" s="87" t="e">
        <f t="shared" ref="PA4:PA5" si="99">SUM(OO4:OZ4)</f>
        <v>#N/A</v>
      </c>
      <c r="PB4" s="86" t="e">
        <f t="shared" ref="PB4:PM4" si="100">PB52</f>
        <v>#N/A</v>
      </c>
      <c r="PC4" s="86" t="e">
        <f t="shared" si="100"/>
        <v>#N/A</v>
      </c>
      <c r="PD4" s="86" t="e">
        <f t="shared" si="100"/>
        <v>#N/A</v>
      </c>
      <c r="PE4" s="86" t="e">
        <f t="shared" si="100"/>
        <v>#N/A</v>
      </c>
      <c r="PF4" s="86" t="e">
        <f t="shared" si="100"/>
        <v>#N/A</v>
      </c>
      <c r="PG4" s="86" t="e">
        <f t="shared" si="100"/>
        <v>#N/A</v>
      </c>
      <c r="PH4" s="86" t="e">
        <f t="shared" si="100"/>
        <v>#N/A</v>
      </c>
      <c r="PI4" s="86" t="e">
        <f t="shared" si="100"/>
        <v>#N/A</v>
      </c>
      <c r="PJ4" s="86" t="e">
        <f t="shared" si="100"/>
        <v>#N/A</v>
      </c>
      <c r="PK4" s="86" t="e">
        <f t="shared" si="100"/>
        <v>#N/A</v>
      </c>
      <c r="PL4" s="86" t="e">
        <f t="shared" si="100"/>
        <v>#N/A</v>
      </c>
      <c r="PM4" s="86" t="e">
        <f t="shared" si="100"/>
        <v>#N/A</v>
      </c>
      <c r="PN4" s="87" t="e">
        <f t="shared" ref="PN4:PN5" si="101">SUM(PB4:PM4)</f>
        <v>#N/A</v>
      </c>
      <c r="PO4" s="86" t="e">
        <f t="shared" ref="PO4:PZ4" si="102">PO52</f>
        <v>#N/A</v>
      </c>
      <c r="PP4" s="86" t="e">
        <f t="shared" si="102"/>
        <v>#N/A</v>
      </c>
      <c r="PQ4" s="86" t="e">
        <f t="shared" si="102"/>
        <v>#N/A</v>
      </c>
      <c r="PR4" s="86" t="e">
        <f t="shared" si="102"/>
        <v>#N/A</v>
      </c>
      <c r="PS4" s="86" t="e">
        <f t="shared" si="102"/>
        <v>#N/A</v>
      </c>
      <c r="PT4" s="86" t="e">
        <f t="shared" si="102"/>
        <v>#N/A</v>
      </c>
      <c r="PU4" s="86" t="e">
        <f t="shared" si="102"/>
        <v>#N/A</v>
      </c>
      <c r="PV4" s="86" t="e">
        <f t="shared" si="102"/>
        <v>#N/A</v>
      </c>
      <c r="PW4" s="86" t="e">
        <f t="shared" si="102"/>
        <v>#N/A</v>
      </c>
      <c r="PX4" s="86" t="e">
        <f t="shared" si="102"/>
        <v>#N/A</v>
      </c>
      <c r="PY4" s="86" t="e">
        <f t="shared" si="102"/>
        <v>#N/A</v>
      </c>
      <c r="PZ4" s="86" t="e">
        <f t="shared" si="102"/>
        <v>#N/A</v>
      </c>
      <c r="QA4" s="87" t="e">
        <f t="shared" ref="QA4:QA5" si="103">SUM(PO4:PZ4)</f>
        <v>#N/A</v>
      </c>
      <c r="QB4" s="86" t="e">
        <f t="shared" ref="QB4:QM4" si="104">QB52</f>
        <v>#N/A</v>
      </c>
      <c r="QC4" s="86" t="e">
        <f t="shared" si="104"/>
        <v>#N/A</v>
      </c>
      <c r="QD4" s="86" t="e">
        <f t="shared" si="104"/>
        <v>#N/A</v>
      </c>
      <c r="QE4" s="86" t="e">
        <f t="shared" si="104"/>
        <v>#N/A</v>
      </c>
      <c r="QF4" s="86" t="e">
        <f t="shared" si="104"/>
        <v>#N/A</v>
      </c>
      <c r="QG4" s="86" t="e">
        <f t="shared" si="104"/>
        <v>#N/A</v>
      </c>
      <c r="QH4" s="86" t="e">
        <f t="shared" si="104"/>
        <v>#N/A</v>
      </c>
      <c r="QI4" s="86" t="e">
        <f t="shared" si="104"/>
        <v>#N/A</v>
      </c>
      <c r="QJ4" s="86" t="e">
        <f t="shared" si="104"/>
        <v>#N/A</v>
      </c>
      <c r="QK4" s="86" t="e">
        <f t="shared" si="104"/>
        <v>#N/A</v>
      </c>
      <c r="QL4" s="86" t="e">
        <f t="shared" si="104"/>
        <v>#N/A</v>
      </c>
      <c r="QM4" s="86" t="e">
        <f t="shared" si="104"/>
        <v>#N/A</v>
      </c>
      <c r="QN4" s="87" t="e">
        <f t="shared" ref="QN4:QN5" si="105">SUM(QB4:QM4)</f>
        <v>#N/A</v>
      </c>
      <c r="QO4" s="86" t="e">
        <f t="shared" ref="QO4:QZ4" si="106">QO52</f>
        <v>#N/A</v>
      </c>
      <c r="QP4" s="86" t="e">
        <f t="shared" si="106"/>
        <v>#N/A</v>
      </c>
      <c r="QQ4" s="86" t="e">
        <f t="shared" si="106"/>
        <v>#N/A</v>
      </c>
      <c r="QR4" s="86" t="e">
        <f t="shared" si="106"/>
        <v>#N/A</v>
      </c>
      <c r="QS4" s="86" t="e">
        <f t="shared" si="106"/>
        <v>#N/A</v>
      </c>
      <c r="QT4" s="86" t="e">
        <f t="shared" si="106"/>
        <v>#N/A</v>
      </c>
      <c r="QU4" s="86" t="e">
        <f t="shared" si="106"/>
        <v>#N/A</v>
      </c>
      <c r="QV4" s="86" t="e">
        <f t="shared" si="106"/>
        <v>#N/A</v>
      </c>
      <c r="QW4" s="86" t="e">
        <f t="shared" si="106"/>
        <v>#N/A</v>
      </c>
      <c r="QX4" s="86" t="e">
        <f t="shared" si="106"/>
        <v>#N/A</v>
      </c>
      <c r="QY4" s="86" t="e">
        <f t="shared" si="106"/>
        <v>#N/A</v>
      </c>
      <c r="QZ4" s="86" t="e">
        <f t="shared" si="106"/>
        <v>#N/A</v>
      </c>
      <c r="RA4" s="87" t="e">
        <f t="shared" ref="RA4:RA5" si="107">SUM(QO4:QZ4)</f>
        <v>#N/A</v>
      </c>
      <c r="RB4" s="86" t="e">
        <f t="shared" ref="RB4:RM4" si="108">RB52</f>
        <v>#N/A</v>
      </c>
      <c r="RC4" s="86" t="e">
        <f t="shared" si="108"/>
        <v>#N/A</v>
      </c>
      <c r="RD4" s="86" t="e">
        <f t="shared" si="108"/>
        <v>#N/A</v>
      </c>
      <c r="RE4" s="86" t="e">
        <f t="shared" si="108"/>
        <v>#N/A</v>
      </c>
      <c r="RF4" s="86" t="e">
        <f t="shared" si="108"/>
        <v>#N/A</v>
      </c>
      <c r="RG4" s="86" t="e">
        <f t="shared" si="108"/>
        <v>#N/A</v>
      </c>
      <c r="RH4" s="86" t="e">
        <f t="shared" si="108"/>
        <v>#N/A</v>
      </c>
      <c r="RI4" s="86" t="e">
        <f t="shared" si="108"/>
        <v>#N/A</v>
      </c>
      <c r="RJ4" s="86" t="e">
        <f t="shared" si="108"/>
        <v>#N/A</v>
      </c>
      <c r="RK4" s="86" t="e">
        <f t="shared" si="108"/>
        <v>#N/A</v>
      </c>
      <c r="RL4" s="86" t="e">
        <f t="shared" si="108"/>
        <v>#N/A</v>
      </c>
      <c r="RM4" s="86" t="e">
        <f t="shared" si="108"/>
        <v>#N/A</v>
      </c>
      <c r="RN4" s="87" t="e">
        <f t="shared" ref="RN4:RN5" si="109">SUM(RB4:RM4)</f>
        <v>#N/A</v>
      </c>
    </row>
    <row r="5" spans="1:482" outlineLevel="1" x14ac:dyDescent="0.3">
      <c r="A5" s="78" t="s">
        <v>232</v>
      </c>
      <c r="B5" s="86" t="e">
        <f>B52+B42</f>
        <v>#N/A</v>
      </c>
      <c r="C5" s="86" t="e">
        <f t="shared" ref="C5:M5" si="110">C52+C42</f>
        <v>#N/A</v>
      </c>
      <c r="D5" s="86" t="e">
        <f t="shared" si="110"/>
        <v>#N/A</v>
      </c>
      <c r="E5" s="86" t="e">
        <f t="shared" si="110"/>
        <v>#N/A</v>
      </c>
      <c r="F5" s="86" t="e">
        <f t="shared" si="110"/>
        <v>#N/A</v>
      </c>
      <c r="G5" s="86" t="e">
        <f t="shared" si="110"/>
        <v>#N/A</v>
      </c>
      <c r="H5" s="86" t="e">
        <f t="shared" si="110"/>
        <v>#N/A</v>
      </c>
      <c r="I5" s="86" t="e">
        <f t="shared" si="110"/>
        <v>#N/A</v>
      </c>
      <c r="J5" s="86" t="e">
        <f t="shared" si="110"/>
        <v>#N/A</v>
      </c>
      <c r="K5" s="86" t="e">
        <f t="shared" si="110"/>
        <v>#N/A</v>
      </c>
      <c r="L5" s="86" t="e">
        <f t="shared" si="110"/>
        <v>#N/A</v>
      </c>
      <c r="M5" s="86" t="e">
        <f t="shared" si="110"/>
        <v>#N/A</v>
      </c>
      <c r="N5" s="87" t="e">
        <f t="shared" si="37"/>
        <v>#N/A</v>
      </c>
      <c r="O5" s="86" t="e">
        <f t="shared" ref="O5:Z5" si="111">O52+O42</f>
        <v>#N/A</v>
      </c>
      <c r="P5" s="86" t="e">
        <f t="shared" si="111"/>
        <v>#N/A</v>
      </c>
      <c r="Q5" s="86" t="e">
        <f t="shared" si="111"/>
        <v>#N/A</v>
      </c>
      <c r="R5" s="86" t="e">
        <f t="shared" si="111"/>
        <v>#N/A</v>
      </c>
      <c r="S5" s="86" t="e">
        <f t="shared" si="111"/>
        <v>#N/A</v>
      </c>
      <c r="T5" s="86" t="e">
        <f t="shared" si="111"/>
        <v>#N/A</v>
      </c>
      <c r="U5" s="86" t="e">
        <f t="shared" si="111"/>
        <v>#N/A</v>
      </c>
      <c r="V5" s="86" t="e">
        <f t="shared" si="111"/>
        <v>#N/A</v>
      </c>
      <c r="W5" s="86" t="e">
        <f t="shared" si="111"/>
        <v>#N/A</v>
      </c>
      <c r="X5" s="86" t="e">
        <f t="shared" si="111"/>
        <v>#N/A</v>
      </c>
      <c r="Y5" s="86" t="e">
        <f t="shared" si="111"/>
        <v>#N/A</v>
      </c>
      <c r="Z5" s="86" t="e">
        <f t="shared" si="111"/>
        <v>#N/A</v>
      </c>
      <c r="AA5" s="87" t="e">
        <f t="shared" si="39"/>
        <v>#N/A</v>
      </c>
      <c r="AB5" s="86" t="e">
        <f t="shared" ref="AB5:AM5" si="112">AB52+AB42</f>
        <v>#N/A</v>
      </c>
      <c r="AC5" s="86" t="e">
        <f t="shared" si="112"/>
        <v>#N/A</v>
      </c>
      <c r="AD5" s="86" t="e">
        <f t="shared" si="112"/>
        <v>#N/A</v>
      </c>
      <c r="AE5" s="86" t="e">
        <f t="shared" si="112"/>
        <v>#N/A</v>
      </c>
      <c r="AF5" s="86" t="e">
        <f t="shared" si="112"/>
        <v>#N/A</v>
      </c>
      <c r="AG5" s="86" t="e">
        <f t="shared" si="112"/>
        <v>#N/A</v>
      </c>
      <c r="AH5" s="86" t="e">
        <f t="shared" si="112"/>
        <v>#N/A</v>
      </c>
      <c r="AI5" s="86" t="e">
        <f t="shared" si="112"/>
        <v>#N/A</v>
      </c>
      <c r="AJ5" s="86" t="e">
        <f t="shared" si="112"/>
        <v>#N/A</v>
      </c>
      <c r="AK5" s="86" t="e">
        <f t="shared" si="112"/>
        <v>#N/A</v>
      </c>
      <c r="AL5" s="86" t="e">
        <f t="shared" si="112"/>
        <v>#N/A</v>
      </c>
      <c r="AM5" s="86" t="e">
        <f t="shared" si="112"/>
        <v>#N/A</v>
      </c>
      <c r="AN5" s="87" t="e">
        <f t="shared" si="41"/>
        <v>#N/A</v>
      </c>
      <c r="AO5" s="86" t="e">
        <f t="shared" ref="AO5:AZ5" si="113">AO52+AO42</f>
        <v>#N/A</v>
      </c>
      <c r="AP5" s="86" t="e">
        <f t="shared" si="113"/>
        <v>#N/A</v>
      </c>
      <c r="AQ5" s="86" t="e">
        <f t="shared" si="113"/>
        <v>#N/A</v>
      </c>
      <c r="AR5" s="86" t="e">
        <f t="shared" si="113"/>
        <v>#N/A</v>
      </c>
      <c r="AS5" s="86" t="e">
        <f t="shared" si="113"/>
        <v>#N/A</v>
      </c>
      <c r="AT5" s="86" t="e">
        <f t="shared" si="113"/>
        <v>#N/A</v>
      </c>
      <c r="AU5" s="86" t="e">
        <f t="shared" si="113"/>
        <v>#N/A</v>
      </c>
      <c r="AV5" s="86" t="e">
        <f t="shared" si="113"/>
        <v>#N/A</v>
      </c>
      <c r="AW5" s="86" t="e">
        <f t="shared" si="113"/>
        <v>#N/A</v>
      </c>
      <c r="AX5" s="86" t="e">
        <f t="shared" si="113"/>
        <v>#N/A</v>
      </c>
      <c r="AY5" s="86" t="e">
        <f t="shared" si="113"/>
        <v>#N/A</v>
      </c>
      <c r="AZ5" s="86" t="e">
        <f t="shared" si="113"/>
        <v>#N/A</v>
      </c>
      <c r="BA5" s="87" t="e">
        <f t="shared" si="43"/>
        <v>#N/A</v>
      </c>
      <c r="BB5" s="86" t="e">
        <f t="shared" ref="BB5:BM5" si="114">BB52+BB42</f>
        <v>#N/A</v>
      </c>
      <c r="BC5" s="86" t="e">
        <f t="shared" si="114"/>
        <v>#N/A</v>
      </c>
      <c r="BD5" s="86" t="e">
        <f t="shared" si="114"/>
        <v>#N/A</v>
      </c>
      <c r="BE5" s="86" t="e">
        <f t="shared" si="114"/>
        <v>#N/A</v>
      </c>
      <c r="BF5" s="86" t="e">
        <f t="shared" si="114"/>
        <v>#N/A</v>
      </c>
      <c r="BG5" s="86" t="e">
        <f t="shared" si="114"/>
        <v>#N/A</v>
      </c>
      <c r="BH5" s="86" t="e">
        <f t="shared" si="114"/>
        <v>#N/A</v>
      </c>
      <c r="BI5" s="86" t="e">
        <f t="shared" si="114"/>
        <v>#N/A</v>
      </c>
      <c r="BJ5" s="86" t="e">
        <f t="shared" si="114"/>
        <v>#N/A</v>
      </c>
      <c r="BK5" s="86" t="e">
        <f t="shared" si="114"/>
        <v>#N/A</v>
      </c>
      <c r="BL5" s="86" t="e">
        <f t="shared" si="114"/>
        <v>#N/A</v>
      </c>
      <c r="BM5" s="86" t="e">
        <f t="shared" si="114"/>
        <v>#N/A</v>
      </c>
      <c r="BN5" s="87" t="e">
        <f t="shared" si="45"/>
        <v>#N/A</v>
      </c>
      <c r="BO5" s="86" t="e">
        <f t="shared" ref="BO5:BZ5" si="115">BO52+BO42</f>
        <v>#N/A</v>
      </c>
      <c r="BP5" s="86" t="e">
        <f t="shared" si="115"/>
        <v>#N/A</v>
      </c>
      <c r="BQ5" s="86" t="e">
        <f t="shared" si="115"/>
        <v>#N/A</v>
      </c>
      <c r="BR5" s="86" t="e">
        <f t="shared" si="115"/>
        <v>#N/A</v>
      </c>
      <c r="BS5" s="86" t="e">
        <f t="shared" si="115"/>
        <v>#N/A</v>
      </c>
      <c r="BT5" s="86" t="e">
        <f t="shared" si="115"/>
        <v>#N/A</v>
      </c>
      <c r="BU5" s="86" t="e">
        <f t="shared" si="115"/>
        <v>#N/A</v>
      </c>
      <c r="BV5" s="86" t="e">
        <f t="shared" si="115"/>
        <v>#N/A</v>
      </c>
      <c r="BW5" s="86" t="e">
        <f t="shared" si="115"/>
        <v>#N/A</v>
      </c>
      <c r="BX5" s="86" t="e">
        <f t="shared" si="115"/>
        <v>#N/A</v>
      </c>
      <c r="BY5" s="86" t="e">
        <f t="shared" si="115"/>
        <v>#N/A</v>
      </c>
      <c r="BZ5" s="86" t="e">
        <f t="shared" si="115"/>
        <v>#N/A</v>
      </c>
      <c r="CA5" s="87" t="e">
        <f t="shared" si="47"/>
        <v>#N/A</v>
      </c>
      <c r="CB5" s="86" t="e">
        <f t="shared" ref="CB5:CM5" si="116">CB52+CB42</f>
        <v>#N/A</v>
      </c>
      <c r="CC5" s="86" t="e">
        <f t="shared" si="116"/>
        <v>#N/A</v>
      </c>
      <c r="CD5" s="86" t="e">
        <f t="shared" si="116"/>
        <v>#N/A</v>
      </c>
      <c r="CE5" s="86" t="e">
        <f t="shared" si="116"/>
        <v>#N/A</v>
      </c>
      <c r="CF5" s="86" t="e">
        <f t="shared" si="116"/>
        <v>#N/A</v>
      </c>
      <c r="CG5" s="86" t="e">
        <f t="shared" si="116"/>
        <v>#N/A</v>
      </c>
      <c r="CH5" s="86" t="e">
        <f t="shared" si="116"/>
        <v>#N/A</v>
      </c>
      <c r="CI5" s="86" t="e">
        <f t="shared" si="116"/>
        <v>#N/A</v>
      </c>
      <c r="CJ5" s="86" t="e">
        <f t="shared" si="116"/>
        <v>#N/A</v>
      </c>
      <c r="CK5" s="86" t="e">
        <f t="shared" si="116"/>
        <v>#N/A</v>
      </c>
      <c r="CL5" s="86" t="e">
        <f t="shared" si="116"/>
        <v>#N/A</v>
      </c>
      <c r="CM5" s="86" t="e">
        <f t="shared" si="116"/>
        <v>#N/A</v>
      </c>
      <c r="CN5" s="87" t="e">
        <f t="shared" si="49"/>
        <v>#N/A</v>
      </c>
      <c r="CO5" s="86" t="e">
        <f t="shared" ref="CO5:CZ5" si="117">CO52+CO42</f>
        <v>#N/A</v>
      </c>
      <c r="CP5" s="86" t="e">
        <f t="shared" si="117"/>
        <v>#N/A</v>
      </c>
      <c r="CQ5" s="86" t="e">
        <f t="shared" si="117"/>
        <v>#N/A</v>
      </c>
      <c r="CR5" s="86" t="e">
        <f t="shared" si="117"/>
        <v>#N/A</v>
      </c>
      <c r="CS5" s="86" t="e">
        <f t="shared" si="117"/>
        <v>#N/A</v>
      </c>
      <c r="CT5" s="86" t="e">
        <f t="shared" si="117"/>
        <v>#N/A</v>
      </c>
      <c r="CU5" s="86" t="e">
        <f t="shared" si="117"/>
        <v>#N/A</v>
      </c>
      <c r="CV5" s="86" t="e">
        <f t="shared" si="117"/>
        <v>#N/A</v>
      </c>
      <c r="CW5" s="86" t="e">
        <f t="shared" si="117"/>
        <v>#N/A</v>
      </c>
      <c r="CX5" s="86" t="e">
        <f t="shared" si="117"/>
        <v>#N/A</v>
      </c>
      <c r="CY5" s="86" t="e">
        <f t="shared" si="117"/>
        <v>#N/A</v>
      </c>
      <c r="CZ5" s="86" t="e">
        <f t="shared" si="117"/>
        <v>#N/A</v>
      </c>
      <c r="DA5" s="87" t="e">
        <f t="shared" si="51"/>
        <v>#N/A</v>
      </c>
      <c r="DB5" s="86" t="e">
        <f t="shared" ref="DB5:DM5" si="118">DB52+DB42</f>
        <v>#N/A</v>
      </c>
      <c r="DC5" s="86" t="e">
        <f t="shared" si="118"/>
        <v>#N/A</v>
      </c>
      <c r="DD5" s="86" t="e">
        <f t="shared" si="118"/>
        <v>#N/A</v>
      </c>
      <c r="DE5" s="86" t="e">
        <f t="shared" si="118"/>
        <v>#N/A</v>
      </c>
      <c r="DF5" s="86" t="e">
        <f t="shared" si="118"/>
        <v>#N/A</v>
      </c>
      <c r="DG5" s="86" t="e">
        <f t="shared" si="118"/>
        <v>#N/A</v>
      </c>
      <c r="DH5" s="86" t="e">
        <f t="shared" si="118"/>
        <v>#N/A</v>
      </c>
      <c r="DI5" s="86" t="e">
        <f t="shared" si="118"/>
        <v>#N/A</v>
      </c>
      <c r="DJ5" s="86" t="e">
        <f t="shared" si="118"/>
        <v>#N/A</v>
      </c>
      <c r="DK5" s="86" t="e">
        <f t="shared" si="118"/>
        <v>#N/A</v>
      </c>
      <c r="DL5" s="86" t="e">
        <f t="shared" si="118"/>
        <v>#N/A</v>
      </c>
      <c r="DM5" s="86" t="e">
        <f t="shared" si="118"/>
        <v>#N/A</v>
      </c>
      <c r="DN5" s="87" t="e">
        <f t="shared" si="53"/>
        <v>#N/A</v>
      </c>
      <c r="DO5" s="86" t="e">
        <f t="shared" ref="DO5:DZ5" si="119">DO52+DO42</f>
        <v>#N/A</v>
      </c>
      <c r="DP5" s="86" t="e">
        <f t="shared" si="119"/>
        <v>#N/A</v>
      </c>
      <c r="DQ5" s="86" t="e">
        <f t="shared" si="119"/>
        <v>#N/A</v>
      </c>
      <c r="DR5" s="86" t="e">
        <f t="shared" si="119"/>
        <v>#N/A</v>
      </c>
      <c r="DS5" s="86" t="e">
        <f t="shared" si="119"/>
        <v>#N/A</v>
      </c>
      <c r="DT5" s="86" t="e">
        <f t="shared" si="119"/>
        <v>#N/A</v>
      </c>
      <c r="DU5" s="86" t="e">
        <f t="shared" si="119"/>
        <v>#N/A</v>
      </c>
      <c r="DV5" s="86" t="e">
        <f t="shared" si="119"/>
        <v>#N/A</v>
      </c>
      <c r="DW5" s="86" t="e">
        <f t="shared" si="119"/>
        <v>#N/A</v>
      </c>
      <c r="DX5" s="86" t="e">
        <f t="shared" si="119"/>
        <v>#N/A</v>
      </c>
      <c r="DY5" s="86" t="e">
        <f t="shared" si="119"/>
        <v>#N/A</v>
      </c>
      <c r="DZ5" s="86" t="e">
        <f t="shared" si="119"/>
        <v>#N/A</v>
      </c>
      <c r="EA5" s="87" t="e">
        <f t="shared" si="55"/>
        <v>#N/A</v>
      </c>
      <c r="EB5" s="86" t="e">
        <f t="shared" ref="EB5:EM5" si="120">EB52+EB42</f>
        <v>#N/A</v>
      </c>
      <c r="EC5" s="86" t="e">
        <f t="shared" si="120"/>
        <v>#N/A</v>
      </c>
      <c r="ED5" s="86" t="e">
        <f t="shared" si="120"/>
        <v>#N/A</v>
      </c>
      <c r="EE5" s="86" t="e">
        <f t="shared" si="120"/>
        <v>#N/A</v>
      </c>
      <c r="EF5" s="86" t="e">
        <f t="shared" si="120"/>
        <v>#N/A</v>
      </c>
      <c r="EG5" s="86" t="e">
        <f t="shared" si="120"/>
        <v>#N/A</v>
      </c>
      <c r="EH5" s="86" t="e">
        <f t="shared" si="120"/>
        <v>#N/A</v>
      </c>
      <c r="EI5" s="86" t="e">
        <f t="shared" si="120"/>
        <v>#N/A</v>
      </c>
      <c r="EJ5" s="86" t="e">
        <f t="shared" si="120"/>
        <v>#N/A</v>
      </c>
      <c r="EK5" s="86" t="e">
        <f t="shared" si="120"/>
        <v>#N/A</v>
      </c>
      <c r="EL5" s="86" t="e">
        <f t="shared" si="120"/>
        <v>#N/A</v>
      </c>
      <c r="EM5" s="86" t="e">
        <f t="shared" si="120"/>
        <v>#N/A</v>
      </c>
      <c r="EN5" s="87" t="e">
        <f t="shared" si="57"/>
        <v>#N/A</v>
      </c>
      <c r="EO5" s="86" t="e">
        <f t="shared" ref="EO5:EZ5" si="121">EO52+EO42</f>
        <v>#N/A</v>
      </c>
      <c r="EP5" s="86" t="e">
        <f t="shared" si="121"/>
        <v>#N/A</v>
      </c>
      <c r="EQ5" s="86" t="e">
        <f t="shared" si="121"/>
        <v>#N/A</v>
      </c>
      <c r="ER5" s="86" t="e">
        <f t="shared" si="121"/>
        <v>#N/A</v>
      </c>
      <c r="ES5" s="86" t="e">
        <f t="shared" si="121"/>
        <v>#N/A</v>
      </c>
      <c r="ET5" s="86" t="e">
        <f t="shared" si="121"/>
        <v>#N/A</v>
      </c>
      <c r="EU5" s="86" t="e">
        <f t="shared" si="121"/>
        <v>#N/A</v>
      </c>
      <c r="EV5" s="86" t="e">
        <f t="shared" si="121"/>
        <v>#N/A</v>
      </c>
      <c r="EW5" s="86" t="e">
        <f t="shared" si="121"/>
        <v>#N/A</v>
      </c>
      <c r="EX5" s="86" t="e">
        <f t="shared" si="121"/>
        <v>#N/A</v>
      </c>
      <c r="EY5" s="86" t="e">
        <f t="shared" si="121"/>
        <v>#N/A</v>
      </c>
      <c r="EZ5" s="86" t="e">
        <f t="shared" si="121"/>
        <v>#N/A</v>
      </c>
      <c r="FA5" s="87" t="e">
        <f t="shared" si="59"/>
        <v>#N/A</v>
      </c>
      <c r="FB5" s="86" t="e">
        <f t="shared" ref="FB5:FM5" si="122">FB52+FB42</f>
        <v>#N/A</v>
      </c>
      <c r="FC5" s="86" t="e">
        <f t="shared" si="122"/>
        <v>#N/A</v>
      </c>
      <c r="FD5" s="86" t="e">
        <f t="shared" si="122"/>
        <v>#N/A</v>
      </c>
      <c r="FE5" s="86" t="e">
        <f t="shared" si="122"/>
        <v>#N/A</v>
      </c>
      <c r="FF5" s="86" t="e">
        <f t="shared" si="122"/>
        <v>#N/A</v>
      </c>
      <c r="FG5" s="86" t="e">
        <f t="shared" si="122"/>
        <v>#N/A</v>
      </c>
      <c r="FH5" s="86" t="e">
        <f t="shared" si="122"/>
        <v>#N/A</v>
      </c>
      <c r="FI5" s="86" t="e">
        <f t="shared" si="122"/>
        <v>#N/A</v>
      </c>
      <c r="FJ5" s="86" t="e">
        <f t="shared" si="122"/>
        <v>#N/A</v>
      </c>
      <c r="FK5" s="86" t="e">
        <f t="shared" si="122"/>
        <v>#N/A</v>
      </c>
      <c r="FL5" s="86" t="e">
        <f t="shared" si="122"/>
        <v>#N/A</v>
      </c>
      <c r="FM5" s="86" t="e">
        <f t="shared" si="122"/>
        <v>#N/A</v>
      </c>
      <c r="FN5" s="87" t="e">
        <f t="shared" si="61"/>
        <v>#N/A</v>
      </c>
      <c r="FO5" s="86" t="e">
        <f t="shared" ref="FO5:FZ5" si="123">FO52+FO42</f>
        <v>#N/A</v>
      </c>
      <c r="FP5" s="86" t="e">
        <f t="shared" si="123"/>
        <v>#N/A</v>
      </c>
      <c r="FQ5" s="86" t="e">
        <f t="shared" si="123"/>
        <v>#N/A</v>
      </c>
      <c r="FR5" s="86" t="e">
        <f t="shared" si="123"/>
        <v>#N/A</v>
      </c>
      <c r="FS5" s="86" t="e">
        <f t="shared" si="123"/>
        <v>#N/A</v>
      </c>
      <c r="FT5" s="86" t="e">
        <f t="shared" si="123"/>
        <v>#N/A</v>
      </c>
      <c r="FU5" s="86" t="e">
        <f t="shared" si="123"/>
        <v>#N/A</v>
      </c>
      <c r="FV5" s="86" t="e">
        <f t="shared" si="123"/>
        <v>#N/A</v>
      </c>
      <c r="FW5" s="86" t="e">
        <f t="shared" si="123"/>
        <v>#N/A</v>
      </c>
      <c r="FX5" s="86" t="e">
        <f t="shared" si="123"/>
        <v>#N/A</v>
      </c>
      <c r="FY5" s="86" t="e">
        <f t="shared" si="123"/>
        <v>#N/A</v>
      </c>
      <c r="FZ5" s="86" t="e">
        <f t="shared" si="123"/>
        <v>#N/A</v>
      </c>
      <c r="GA5" s="87" t="e">
        <f t="shared" si="63"/>
        <v>#N/A</v>
      </c>
      <c r="GB5" s="86" t="e">
        <f t="shared" ref="GB5:GM5" si="124">GB52+GB42</f>
        <v>#N/A</v>
      </c>
      <c r="GC5" s="86" t="e">
        <f t="shared" si="124"/>
        <v>#N/A</v>
      </c>
      <c r="GD5" s="86" t="e">
        <f t="shared" si="124"/>
        <v>#N/A</v>
      </c>
      <c r="GE5" s="86" t="e">
        <f t="shared" si="124"/>
        <v>#N/A</v>
      </c>
      <c r="GF5" s="86" t="e">
        <f t="shared" si="124"/>
        <v>#N/A</v>
      </c>
      <c r="GG5" s="86" t="e">
        <f t="shared" si="124"/>
        <v>#N/A</v>
      </c>
      <c r="GH5" s="86" t="e">
        <f t="shared" si="124"/>
        <v>#N/A</v>
      </c>
      <c r="GI5" s="86" t="e">
        <f t="shared" si="124"/>
        <v>#N/A</v>
      </c>
      <c r="GJ5" s="86" t="e">
        <f t="shared" si="124"/>
        <v>#N/A</v>
      </c>
      <c r="GK5" s="86" t="e">
        <f t="shared" si="124"/>
        <v>#N/A</v>
      </c>
      <c r="GL5" s="86" t="e">
        <f t="shared" si="124"/>
        <v>#N/A</v>
      </c>
      <c r="GM5" s="86" t="e">
        <f t="shared" si="124"/>
        <v>#N/A</v>
      </c>
      <c r="GN5" s="87" t="e">
        <f t="shared" si="65"/>
        <v>#N/A</v>
      </c>
      <c r="GO5" s="86" t="e">
        <f t="shared" ref="GO5:GZ5" si="125">GO52+GO42</f>
        <v>#N/A</v>
      </c>
      <c r="GP5" s="86" t="e">
        <f t="shared" si="125"/>
        <v>#N/A</v>
      </c>
      <c r="GQ5" s="86" t="e">
        <f t="shared" si="125"/>
        <v>#N/A</v>
      </c>
      <c r="GR5" s="86" t="e">
        <f t="shared" si="125"/>
        <v>#N/A</v>
      </c>
      <c r="GS5" s="86" t="e">
        <f t="shared" si="125"/>
        <v>#N/A</v>
      </c>
      <c r="GT5" s="86" t="e">
        <f t="shared" si="125"/>
        <v>#N/A</v>
      </c>
      <c r="GU5" s="86" t="e">
        <f t="shared" si="125"/>
        <v>#N/A</v>
      </c>
      <c r="GV5" s="86" t="e">
        <f t="shared" si="125"/>
        <v>#N/A</v>
      </c>
      <c r="GW5" s="86" t="e">
        <f t="shared" si="125"/>
        <v>#N/A</v>
      </c>
      <c r="GX5" s="86" t="e">
        <f t="shared" si="125"/>
        <v>#N/A</v>
      </c>
      <c r="GY5" s="86" t="e">
        <f t="shared" si="125"/>
        <v>#N/A</v>
      </c>
      <c r="GZ5" s="86" t="e">
        <f t="shared" si="125"/>
        <v>#N/A</v>
      </c>
      <c r="HA5" s="87" t="e">
        <f t="shared" si="67"/>
        <v>#N/A</v>
      </c>
      <c r="HB5" s="86" t="e">
        <f t="shared" ref="HB5:HM5" si="126">HB52+HB42</f>
        <v>#N/A</v>
      </c>
      <c r="HC5" s="86" t="e">
        <f t="shared" si="126"/>
        <v>#N/A</v>
      </c>
      <c r="HD5" s="86" t="e">
        <f t="shared" si="126"/>
        <v>#N/A</v>
      </c>
      <c r="HE5" s="86" t="e">
        <f t="shared" si="126"/>
        <v>#N/A</v>
      </c>
      <c r="HF5" s="86" t="e">
        <f t="shared" si="126"/>
        <v>#N/A</v>
      </c>
      <c r="HG5" s="86" t="e">
        <f t="shared" si="126"/>
        <v>#N/A</v>
      </c>
      <c r="HH5" s="86" t="e">
        <f t="shared" si="126"/>
        <v>#N/A</v>
      </c>
      <c r="HI5" s="86" t="e">
        <f t="shared" si="126"/>
        <v>#N/A</v>
      </c>
      <c r="HJ5" s="86" t="e">
        <f t="shared" si="126"/>
        <v>#N/A</v>
      </c>
      <c r="HK5" s="86" t="e">
        <f t="shared" si="126"/>
        <v>#N/A</v>
      </c>
      <c r="HL5" s="86" t="e">
        <f t="shared" si="126"/>
        <v>#N/A</v>
      </c>
      <c r="HM5" s="86" t="e">
        <f t="shared" si="126"/>
        <v>#N/A</v>
      </c>
      <c r="HN5" s="87" t="e">
        <f t="shared" si="69"/>
        <v>#N/A</v>
      </c>
      <c r="HO5" s="86" t="e">
        <f t="shared" ref="HO5:HZ5" si="127">HO52+HO42</f>
        <v>#N/A</v>
      </c>
      <c r="HP5" s="86" t="e">
        <f t="shared" si="127"/>
        <v>#N/A</v>
      </c>
      <c r="HQ5" s="86" t="e">
        <f t="shared" si="127"/>
        <v>#N/A</v>
      </c>
      <c r="HR5" s="86" t="e">
        <f t="shared" si="127"/>
        <v>#N/A</v>
      </c>
      <c r="HS5" s="86" t="e">
        <f t="shared" si="127"/>
        <v>#N/A</v>
      </c>
      <c r="HT5" s="86" t="e">
        <f t="shared" si="127"/>
        <v>#N/A</v>
      </c>
      <c r="HU5" s="86" t="e">
        <f t="shared" si="127"/>
        <v>#N/A</v>
      </c>
      <c r="HV5" s="86" t="e">
        <f t="shared" si="127"/>
        <v>#N/A</v>
      </c>
      <c r="HW5" s="86" t="e">
        <f t="shared" si="127"/>
        <v>#N/A</v>
      </c>
      <c r="HX5" s="86" t="e">
        <f t="shared" si="127"/>
        <v>#N/A</v>
      </c>
      <c r="HY5" s="86" t="e">
        <f t="shared" si="127"/>
        <v>#N/A</v>
      </c>
      <c r="HZ5" s="86" t="e">
        <f t="shared" si="127"/>
        <v>#N/A</v>
      </c>
      <c r="IA5" s="87" t="e">
        <f t="shared" si="71"/>
        <v>#N/A</v>
      </c>
      <c r="IB5" s="86" t="e">
        <f t="shared" ref="IB5:IM5" si="128">IB52+IB42</f>
        <v>#N/A</v>
      </c>
      <c r="IC5" s="86" t="e">
        <f t="shared" si="128"/>
        <v>#N/A</v>
      </c>
      <c r="ID5" s="86" t="e">
        <f t="shared" si="128"/>
        <v>#N/A</v>
      </c>
      <c r="IE5" s="86" t="e">
        <f t="shared" si="128"/>
        <v>#N/A</v>
      </c>
      <c r="IF5" s="86" t="e">
        <f t="shared" si="128"/>
        <v>#N/A</v>
      </c>
      <c r="IG5" s="86" t="e">
        <f t="shared" si="128"/>
        <v>#N/A</v>
      </c>
      <c r="IH5" s="86" t="e">
        <f t="shared" si="128"/>
        <v>#N/A</v>
      </c>
      <c r="II5" s="86" t="e">
        <f t="shared" si="128"/>
        <v>#N/A</v>
      </c>
      <c r="IJ5" s="86" t="e">
        <f t="shared" si="128"/>
        <v>#N/A</v>
      </c>
      <c r="IK5" s="86" t="e">
        <f t="shared" si="128"/>
        <v>#N/A</v>
      </c>
      <c r="IL5" s="86" t="e">
        <f t="shared" si="128"/>
        <v>#N/A</v>
      </c>
      <c r="IM5" s="86" t="e">
        <f t="shared" si="128"/>
        <v>#N/A</v>
      </c>
      <c r="IN5" s="87" t="e">
        <f t="shared" si="73"/>
        <v>#N/A</v>
      </c>
      <c r="IO5" s="86" t="e">
        <f t="shared" ref="IO5:IZ5" si="129">IO52+IO42</f>
        <v>#N/A</v>
      </c>
      <c r="IP5" s="86" t="e">
        <f t="shared" si="129"/>
        <v>#N/A</v>
      </c>
      <c r="IQ5" s="86" t="e">
        <f t="shared" si="129"/>
        <v>#N/A</v>
      </c>
      <c r="IR5" s="86" t="e">
        <f t="shared" si="129"/>
        <v>#N/A</v>
      </c>
      <c r="IS5" s="86" t="e">
        <f t="shared" si="129"/>
        <v>#N/A</v>
      </c>
      <c r="IT5" s="86" t="e">
        <f t="shared" si="129"/>
        <v>#N/A</v>
      </c>
      <c r="IU5" s="86" t="e">
        <f t="shared" si="129"/>
        <v>#N/A</v>
      </c>
      <c r="IV5" s="86" t="e">
        <f t="shared" si="129"/>
        <v>#N/A</v>
      </c>
      <c r="IW5" s="86" t="e">
        <f t="shared" si="129"/>
        <v>#N/A</v>
      </c>
      <c r="IX5" s="86" t="e">
        <f t="shared" si="129"/>
        <v>#N/A</v>
      </c>
      <c r="IY5" s="86" t="e">
        <f t="shared" si="129"/>
        <v>#N/A</v>
      </c>
      <c r="IZ5" s="86" t="e">
        <f t="shared" si="129"/>
        <v>#N/A</v>
      </c>
      <c r="JA5" s="87" t="e">
        <f t="shared" si="75"/>
        <v>#N/A</v>
      </c>
      <c r="JB5" s="86" t="e">
        <f t="shared" ref="JB5:JM5" si="130">JB52+JB42</f>
        <v>#N/A</v>
      </c>
      <c r="JC5" s="86" t="e">
        <f t="shared" si="130"/>
        <v>#N/A</v>
      </c>
      <c r="JD5" s="86" t="e">
        <f t="shared" si="130"/>
        <v>#N/A</v>
      </c>
      <c r="JE5" s="86" t="e">
        <f t="shared" si="130"/>
        <v>#N/A</v>
      </c>
      <c r="JF5" s="86" t="e">
        <f t="shared" si="130"/>
        <v>#N/A</v>
      </c>
      <c r="JG5" s="86" t="e">
        <f t="shared" si="130"/>
        <v>#N/A</v>
      </c>
      <c r="JH5" s="86" t="e">
        <f t="shared" si="130"/>
        <v>#N/A</v>
      </c>
      <c r="JI5" s="86" t="e">
        <f t="shared" si="130"/>
        <v>#N/A</v>
      </c>
      <c r="JJ5" s="86" t="e">
        <f t="shared" si="130"/>
        <v>#N/A</v>
      </c>
      <c r="JK5" s="86" t="e">
        <f t="shared" si="130"/>
        <v>#N/A</v>
      </c>
      <c r="JL5" s="86" t="e">
        <f t="shared" si="130"/>
        <v>#N/A</v>
      </c>
      <c r="JM5" s="86" t="e">
        <f t="shared" si="130"/>
        <v>#N/A</v>
      </c>
      <c r="JN5" s="87" t="e">
        <f t="shared" si="77"/>
        <v>#N/A</v>
      </c>
      <c r="JO5" s="86" t="e">
        <f t="shared" ref="JO5:JZ5" si="131">JO52+JO42</f>
        <v>#N/A</v>
      </c>
      <c r="JP5" s="86" t="e">
        <f t="shared" si="131"/>
        <v>#N/A</v>
      </c>
      <c r="JQ5" s="86" t="e">
        <f t="shared" si="131"/>
        <v>#N/A</v>
      </c>
      <c r="JR5" s="86" t="e">
        <f t="shared" si="131"/>
        <v>#N/A</v>
      </c>
      <c r="JS5" s="86" t="e">
        <f t="shared" si="131"/>
        <v>#N/A</v>
      </c>
      <c r="JT5" s="86" t="e">
        <f t="shared" si="131"/>
        <v>#N/A</v>
      </c>
      <c r="JU5" s="86" t="e">
        <f t="shared" si="131"/>
        <v>#N/A</v>
      </c>
      <c r="JV5" s="86" t="e">
        <f t="shared" si="131"/>
        <v>#N/A</v>
      </c>
      <c r="JW5" s="86" t="e">
        <f t="shared" si="131"/>
        <v>#N/A</v>
      </c>
      <c r="JX5" s="86" t="e">
        <f t="shared" si="131"/>
        <v>#N/A</v>
      </c>
      <c r="JY5" s="86" t="e">
        <f t="shared" si="131"/>
        <v>#N/A</v>
      </c>
      <c r="JZ5" s="86" t="e">
        <f t="shared" si="131"/>
        <v>#N/A</v>
      </c>
      <c r="KA5" s="87" t="e">
        <f t="shared" si="79"/>
        <v>#N/A</v>
      </c>
      <c r="KB5" s="86" t="e">
        <f t="shared" ref="KB5:KM5" si="132">KB52+KB42</f>
        <v>#N/A</v>
      </c>
      <c r="KC5" s="86" t="e">
        <f t="shared" si="132"/>
        <v>#N/A</v>
      </c>
      <c r="KD5" s="86" t="e">
        <f t="shared" si="132"/>
        <v>#N/A</v>
      </c>
      <c r="KE5" s="86" t="e">
        <f t="shared" si="132"/>
        <v>#N/A</v>
      </c>
      <c r="KF5" s="86" t="e">
        <f t="shared" si="132"/>
        <v>#N/A</v>
      </c>
      <c r="KG5" s="86" t="e">
        <f t="shared" si="132"/>
        <v>#N/A</v>
      </c>
      <c r="KH5" s="86" t="e">
        <f t="shared" si="132"/>
        <v>#N/A</v>
      </c>
      <c r="KI5" s="86" t="e">
        <f t="shared" si="132"/>
        <v>#N/A</v>
      </c>
      <c r="KJ5" s="86" t="e">
        <f t="shared" si="132"/>
        <v>#N/A</v>
      </c>
      <c r="KK5" s="86" t="e">
        <f t="shared" si="132"/>
        <v>#N/A</v>
      </c>
      <c r="KL5" s="86" t="e">
        <f t="shared" si="132"/>
        <v>#N/A</v>
      </c>
      <c r="KM5" s="86" t="e">
        <f t="shared" si="132"/>
        <v>#N/A</v>
      </c>
      <c r="KN5" s="87" t="e">
        <f t="shared" si="81"/>
        <v>#N/A</v>
      </c>
      <c r="KO5" s="86" t="e">
        <f t="shared" ref="KO5:KZ5" si="133">KO52+KO42</f>
        <v>#N/A</v>
      </c>
      <c r="KP5" s="86" t="e">
        <f t="shared" si="133"/>
        <v>#N/A</v>
      </c>
      <c r="KQ5" s="86" t="e">
        <f t="shared" si="133"/>
        <v>#N/A</v>
      </c>
      <c r="KR5" s="86" t="e">
        <f t="shared" si="133"/>
        <v>#N/A</v>
      </c>
      <c r="KS5" s="86" t="e">
        <f t="shared" si="133"/>
        <v>#N/A</v>
      </c>
      <c r="KT5" s="86" t="e">
        <f t="shared" si="133"/>
        <v>#N/A</v>
      </c>
      <c r="KU5" s="86" t="e">
        <f t="shared" si="133"/>
        <v>#N/A</v>
      </c>
      <c r="KV5" s="86" t="e">
        <f t="shared" si="133"/>
        <v>#N/A</v>
      </c>
      <c r="KW5" s="86" t="e">
        <f t="shared" si="133"/>
        <v>#N/A</v>
      </c>
      <c r="KX5" s="86" t="e">
        <f t="shared" si="133"/>
        <v>#N/A</v>
      </c>
      <c r="KY5" s="86" t="e">
        <f t="shared" si="133"/>
        <v>#N/A</v>
      </c>
      <c r="KZ5" s="86" t="e">
        <f t="shared" si="133"/>
        <v>#N/A</v>
      </c>
      <c r="LA5" s="87" t="e">
        <f t="shared" si="83"/>
        <v>#N/A</v>
      </c>
      <c r="LB5" s="86" t="e">
        <f t="shared" ref="LB5:LM5" si="134">LB52+LB42</f>
        <v>#N/A</v>
      </c>
      <c r="LC5" s="86" t="e">
        <f t="shared" si="134"/>
        <v>#N/A</v>
      </c>
      <c r="LD5" s="86" t="e">
        <f t="shared" si="134"/>
        <v>#N/A</v>
      </c>
      <c r="LE5" s="86" t="e">
        <f t="shared" si="134"/>
        <v>#N/A</v>
      </c>
      <c r="LF5" s="86" t="e">
        <f t="shared" si="134"/>
        <v>#N/A</v>
      </c>
      <c r="LG5" s="86" t="e">
        <f t="shared" si="134"/>
        <v>#N/A</v>
      </c>
      <c r="LH5" s="86" t="e">
        <f t="shared" si="134"/>
        <v>#N/A</v>
      </c>
      <c r="LI5" s="86" t="e">
        <f t="shared" si="134"/>
        <v>#N/A</v>
      </c>
      <c r="LJ5" s="86" t="e">
        <f t="shared" si="134"/>
        <v>#N/A</v>
      </c>
      <c r="LK5" s="86" t="e">
        <f t="shared" si="134"/>
        <v>#N/A</v>
      </c>
      <c r="LL5" s="86" t="e">
        <f t="shared" si="134"/>
        <v>#N/A</v>
      </c>
      <c r="LM5" s="86" t="e">
        <f t="shared" si="134"/>
        <v>#N/A</v>
      </c>
      <c r="LN5" s="87" t="e">
        <f t="shared" si="85"/>
        <v>#N/A</v>
      </c>
      <c r="LO5" s="86" t="e">
        <f t="shared" ref="LO5:LZ5" si="135">LO52+LO42</f>
        <v>#N/A</v>
      </c>
      <c r="LP5" s="86" t="e">
        <f t="shared" si="135"/>
        <v>#N/A</v>
      </c>
      <c r="LQ5" s="86" t="e">
        <f t="shared" si="135"/>
        <v>#N/A</v>
      </c>
      <c r="LR5" s="86" t="e">
        <f t="shared" si="135"/>
        <v>#N/A</v>
      </c>
      <c r="LS5" s="86" t="e">
        <f t="shared" si="135"/>
        <v>#N/A</v>
      </c>
      <c r="LT5" s="86" t="e">
        <f t="shared" si="135"/>
        <v>#N/A</v>
      </c>
      <c r="LU5" s="86" t="e">
        <f t="shared" si="135"/>
        <v>#N/A</v>
      </c>
      <c r="LV5" s="86" t="e">
        <f t="shared" si="135"/>
        <v>#N/A</v>
      </c>
      <c r="LW5" s="86" t="e">
        <f t="shared" si="135"/>
        <v>#N/A</v>
      </c>
      <c r="LX5" s="86" t="e">
        <f t="shared" si="135"/>
        <v>#N/A</v>
      </c>
      <c r="LY5" s="86" t="e">
        <f t="shared" si="135"/>
        <v>#N/A</v>
      </c>
      <c r="LZ5" s="86" t="e">
        <f t="shared" si="135"/>
        <v>#N/A</v>
      </c>
      <c r="MA5" s="87" t="e">
        <f t="shared" si="87"/>
        <v>#N/A</v>
      </c>
      <c r="MB5" s="86" t="e">
        <f t="shared" ref="MB5:MM5" si="136">MB52+MB42</f>
        <v>#N/A</v>
      </c>
      <c r="MC5" s="86" t="e">
        <f t="shared" si="136"/>
        <v>#N/A</v>
      </c>
      <c r="MD5" s="86" t="e">
        <f t="shared" si="136"/>
        <v>#N/A</v>
      </c>
      <c r="ME5" s="86" t="e">
        <f t="shared" si="136"/>
        <v>#N/A</v>
      </c>
      <c r="MF5" s="86" t="e">
        <f t="shared" si="136"/>
        <v>#N/A</v>
      </c>
      <c r="MG5" s="86" t="e">
        <f t="shared" si="136"/>
        <v>#N/A</v>
      </c>
      <c r="MH5" s="86" t="e">
        <f t="shared" si="136"/>
        <v>#N/A</v>
      </c>
      <c r="MI5" s="86" t="e">
        <f t="shared" si="136"/>
        <v>#N/A</v>
      </c>
      <c r="MJ5" s="86" t="e">
        <f t="shared" si="136"/>
        <v>#N/A</v>
      </c>
      <c r="MK5" s="86" t="e">
        <f t="shared" si="136"/>
        <v>#N/A</v>
      </c>
      <c r="ML5" s="86" t="e">
        <f t="shared" si="136"/>
        <v>#N/A</v>
      </c>
      <c r="MM5" s="86" t="e">
        <f t="shared" si="136"/>
        <v>#N/A</v>
      </c>
      <c r="MN5" s="87" t="e">
        <f t="shared" si="89"/>
        <v>#N/A</v>
      </c>
      <c r="MO5" s="86" t="e">
        <f t="shared" ref="MO5:MZ5" si="137">MO52+MO42</f>
        <v>#N/A</v>
      </c>
      <c r="MP5" s="86" t="e">
        <f t="shared" si="137"/>
        <v>#N/A</v>
      </c>
      <c r="MQ5" s="86" t="e">
        <f t="shared" si="137"/>
        <v>#N/A</v>
      </c>
      <c r="MR5" s="86" t="e">
        <f t="shared" si="137"/>
        <v>#N/A</v>
      </c>
      <c r="MS5" s="86" t="e">
        <f t="shared" si="137"/>
        <v>#N/A</v>
      </c>
      <c r="MT5" s="86" t="e">
        <f t="shared" si="137"/>
        <v>#N/A</v>
      </c>
      <c r="MU5" s="86" t="e">
        <f t="shared" si="137"/>
        <v>#N/A</v>
      </c>
      <c r="MV5" s="86" t="e">
        <f t="shared" si="137"/>
        <v>#N/A</v>
      </c>
      <c r="MW5" s="86" t="e">
        <f t="shared" si="137"/>
        <v>#N/A</v>
      </c>
      <c r="MX5" s="86" t="e">
        <f t="shared" si="137"/>
        <v>#N/A</v>
      </c>
      <c r="MY5" s="86" t="e">
        <f t="shared" si="137"/>
        <v>#N/A</v>
      </c>
      <c r="MZ5" s="86" t="e">
        <f t="shared" si="137"/>
        <v>#N/A</v>
      </c>
      <c r="NA5" s="87" t="e">
        <f t="shared" si="91"/>
        <v>#N/A</v>
      </c>
      <c r="NB5" s="86" t="e">
        <f t="shared" ref="NB5:NM5" si="138">NB52+NB42</f>
        <v>#N/A</v>
      </c>
      <c r="NC5" s="86" t="e">
        <f t="shared" si="138"/>
        <v>#N/A</v>
      </c>
      <c r="ND5" s="86" t="e">
        <f t="shared" si="138"/>
        <v>#N/A</v>
      </c>
      <c r="NE5" s="86" t="e">
        <f t="shared" si="138"/>
        <v>#N/A</v>
      </c>
      <c r="NF5" s="86" t="e">
        <f t="shared" si="138"/>
        <v>#N/A</v>
      </c>
      <c r="NG5" s="86" t="e">
        <f t="shared" si="138"/>
        <v>#N/A</v>
      </c>
      <c r="NH5" s="86" t="e">
        <f t="shared" si="138"/>
        <v>#N/A</v>
      </c>
      <c r="NI5" s="86" t="e">
        <f t="shared" si="138"/>
        <v>#N/A</v>
      </c>
      <c r="NJ5" s="86" t="e">
        <f t="shared" si="138"/>
        <v>#N/A</v>
      </c>
      <c r="NK5" s="86" t="e">
        <f t="shared" si="138"/>
        <v>#N/A</v>
      </c>
      <c r="NL5" s="86" t="e">
        <f t="shared" si="138"/>
        <v>#N/A</v>
      </c>
      <c r="NM5" s="86" t="e">
        <f t="shared" si="138"/>
        <v>#N/A</v>
      </c>
      <c r="NN5" s="87" t="e">
        <f t="shared" si="93"/>
        <v>#N/A</v>
      </c>
      <c r="NO5" s="86" t="e">
        <f t="shared" ref="NO5:NZ5" si="139">NO52+NO42</f>
        <v>#N/A</v>
      </c>
      <c r="NP5" s="86" t="e">
        <f t="shared" si="139"/>
        <v>#N/A</v>
      </c>
      <c r="NQ5" s="86" t="e">
        <f t="shared" si="139"/>
        <v>#N/A</v>
      </c>
      <c r="NR5" s="86" t="e">
        <f t="shared" si="139"/>
        <v>#N/A</v>
      </c>
      <c r="NS5" s="86" t="e">
        <f t="shared" si="139"/>
        <v>#N/A</v>
      </c>
      <c r="NT5" s="86" t="e">
        <f t="shared" si="139"/>
        <v>#N/A</v>
      </c>
      <c r="NU5" s="86" t="e">
        <f t="shared" si="139"/>
        <v>#N/A</v>
      </c>
      <c r="NV5" s="86" t="e">
        <f t="shared" si="139"/>
        <v>#N/A</v>
      </c>
      <c r="NW5" s="86" t="e">
        <f t="shared" si="139"/>
        <v>#N/A</v>
      </c>
      <c r="NX5" s="86" t="e">
        <f t="shared" si="139"/>
        <v>#N/A</v>
      </c>
      <c r="NY5" s="86" t="e">
        <f t="shared" si="139"/>
        <v>#N/A</v>
      </c>
      <c r="NZ5" s="86" t="e">
        <f t="shared" si="139"/>
        <v>#N/A</v>
      </c>
      <c r="OA5" s="87" t="e">
        <f t="shared" si="95"/>
        <v>#N/A</v>
      </c>
      <c r="OB5" s="86" t="e">
        <f t="shared" ref="OB5:OM5" si="140">OB52+OB42</f>
        <v>#N/A</v>
      </c>
      <c r="OC5" s="86" t="e">
        <f t="shared" si="140"/>
        <v>#N/A</v>
      </c>
      <c r="OD5" s="86" t="e">
        <f t="shared" si="140"/>
        <v>#N/A</v>
      </c>
      <c r="OE5" s="86" t="e">
        <f t="shared" si="140"/>
        <v>#N/A</v>
      </c>
      <c r="OF5" s="86" t="e">
        <f t="shared" si="140"/>
        <v>#N/A</v>
      </c>
      <c r="OG5" s="86" t="e">
        <f t="shared" si="140"/>
        <v>#N/A</v>
      </c>
      <c r="OH5" s="86" t="e">
        <f t="shared" si="140"/>
        <v>#N/A</v>
      </c>
      <c r="OI5" s="86" t="e">
        <f t="shared" si="140"/>
        <v>#N/A</v>
      </c>
      <c r="OJ5" s="86" t="e">
        <f t="shared" si="140"/>
        <v>#N/A</v>
      </c>
      <c r="OK5" s="86" t="e">
        <f t="shared" si="140"/>
        <v>#N/A</v>
      </c>
      <c r="OL5" s="86" t="e">
        <f t="shared" si="140"/>
        <v>#N/A</v>
      </c>
      <c r="OM5" s="86" t="e">
        <f t="shared" si="140"/>
        <v>#N/A</v>
      </c>
      <c r="ON5" s="87" t="e">
        <f t="shared" si="97"/>
        <v>#N/A</v>
      </c>
      <c r="OO5" s="86" t="e">
        <f t="shared" ref="OO5:OZ5" si="141">OO52+OO42</f>
        <v>#N/A</v>
      </c>
      <c r="OP5" s="86" t="e">
        <f t="shared" si="141"/>
        <v>#N/A</v>
      </c>
      <c r="OQ5" s="86" t="e">
        <f t="shared" si="141"/>
        <v>#N/A</v>
      </c>
      <c r="OR5" s="86" t="e">
        <f t="shared" si="141"/>
        <v>#N/A</v>
      </c>
      <c r="OS5" s="86" t="e">
        <f t="shared" si="141"/>
        <v>#N/A</v>
      </c>
      <c r="OT5" s="86" t="e">
        <f t="shared" si="141"/>
        <v>#N/A</v>
      </c>
      <c r="OU5" s="86" t="e">
        <f t="shared" si="141"/>
        <v>#N/A</v>
      </c>
      <c r="OV5" s="86" t="e">
        <f t="shared" si="141"/>
        <v>#N/A</v>
      </c>
      <c r="OW5" s="86" t="e">
        <f t="shared" si="141"/>
        <v>#N/A</v>
      </c>
      <c r="OX5" s="86" t="e">
        <f t="shared" si="141"/>
        <v>#N/A</v>
      </c>
      <c r="OY5" s="86" t="e">
        <f t="shared" si="141"/>
        <v>#N/A</v>
      </c>
      <c r="OZ5" s="86" t="e">
        <f t="shared" si="141"/>
        <v>#N/A</v>
      </c>
      <c r="PA5" s="87" t="e">
        <f t="shared" si="99"/>
        <v>#N/A</v>
      </c>
      <c r="PB5" s="86" t="e">
        <f t="shared" ref="PB5:PM5" si="142">PB52+PB42</f>
        <v>#N/A</v>
      </c>
      <c r="PC5" s="86" t="e">
        <f t="shared" si="142"/>
        <v>#N/A</v>
      </c>
      <c r="PD5" s="86" t="e">
        <f t="shared" si="142"/>
        <v>#N/A</v>
      </c>
      <c r="PE5" s="86" t="e">
        <f t="shared" si="142"/>
        <v>#N/A</v>
      </c>
      <c r="PF5" s="86" t="e">
        <f t="shared" si="142"/>
        <v>#N/A</v>
      </c>
      <c r="PG5" s="86" t="e">
        <f t="shared" si="142"/>
        <v>#N/A</v>
      </c>
      <c r="PH5" s="86" t="e">
        <f t="shared" si="142"/>
        <v>#N/A</v>
      </c>
      <c r="PI5" s="86" t="e">
        <f t="shared" si="142"/>
        <v>#N/A</v>
      </c>
      <c r="PJ5" s="86" t="e">
        <f t="shared" si="142"/>
        <v>#N/A</v>
      </c>
      <c r="PK5" s="86" t="e">
        <f t="shared" si="142"/>
        <v>#N/A</v>
      </c>
      <c r="PL5" s="86" t="e">
        <f t="shared" si="142"/>
        <v>#N/A</v>
      </c>
      <c r="PM5" s="86" t="e">
        <f t="shared" si="142"/>
        <v>#N/A</v>
      </c>
      <c r="PN5" s="87" t="e">
        <f t="shared" si="101"/>
        <v>#N/A</v>
      </c>
      <c r="PO5" s="86" t="e">
        <f t="shared" ref="PO5:PZ5" si="143">PO52+PO42</f>
        <v>#N/A</v>
      </c>
      <c r="PP5" s="86" t="e">
        <f t="shared" si="143"/>
        <v>#N/A</v>
      </c>
      <c r="PQ5" s="86" t="e">
        <f t="shared" si="143"/>
        <v>#N/A</v>
      </c>
      <c r="PR5" s="86" t="e">
        <f t="shared" si="143"/>
        <v>#N/A</v>
      </c>
      <c r="PS5" s="86" t="e">
        <f t="shared" si="143"/>
        <v>#N/A</v>
      </c>
      <c r="PT5" s="86" t="e">
        <f t="shared" si="143"/>
        <v>#N/A</v>
      </c>
      <c r="PU5" s="86" t="e">
        <f t="shared" si="143"/>
        <v>#N/A</v>
      </c>
      <c r="PV5" s="86" t="e">
        <f t="shared" si="143"/>
        <v>#N/A</v>
      </c>
      <c r="PW5" s="86" t="e">
        <f t="shared" si="143"/>
        <v>#N/A</v>
      </c>
      <c r="PX5" s="86" t="e">
        <f t="shared" si="143"/>
        <v>#N/A</v>
      </c>
      <c r="PY5" s="86" t="e">
        <f t="shared" si="143"/>
        <v>#N/A</v>
      </c>
      <c r="PZ5" s="86" t="e">
        <f t="shared" si="143"/>
        <v>#N/A</v>
      </c>
      <c r="QA5" s="87" t="e">
        <f t="shared" si="103"/>
        <v>#N/A</v>
      </c>
      <c r="QB5" s="86" t="e">
        <f t="shared" ref="QB5:QM5" si="144">QB52+QB42</f>
        <v>#N/A</v>
      </c>
      <c r="QC5" s="86" t="e">
        <f t="shared" si="144"/>
        <v>#N/A</v>
      </c>
      <c r="QD5" s="86" t="e">
        <f t="shared" si="144"/>
        <v>#N/A</v>
      </c>
      <c r="QE5" s="86" t="e">
        <f t="shared" si="144"/>
        <v>#N/A</v>
      </c>
      <c r="QF5" s="86" t="e">
        <f t="shared" si="144"/>
        <v>#N/A</v>
      </c>
      <c r="QG5" s="86" t="e">
        <f t="shared" si="144"/>
        <v>#N/A</v>
      </c>
      <c r="QH5" s="86" t="e">
        <f t="shared" si="144"/>
        <v>#N/A</v>
      </c>
      <c r="QI5" s="86" t="e">
        <f t="shared" si="144"/>
        <v>#N/A</v>
      </c>
      <c r="QJ5" s="86" t="e">
        <f t="shared" si="144"/>
        <v>#N/A</v>
      </c>
      <c r="QK5" s="86" t="e">
        <f t="shared" si="144"/>
        <v>#N/A</v>
      </c>
      <c r="QL5" s="86" t="e">
        <f t="shared" si="144"/>
        <v>#N/A</v>
      </c>
      <c r="QM5" s="86" t="e">
        <f t="shared" si="144"/>
        <v>#N/A</v>
      </c>
      <c r="QN5" s="87" t="e">
        <f t="shared" si="105"/>
        <v>#N/A</v>
      </c>
      <c r="QO5" s="86" t="e">
        <f t="shared" ref="QO5:QZ5" si="145">QO52+QO42</f>
        <v>#N/A</v>
      </c>
      <c r="QP5" s="86" t="e">
        <f t="shared" si="145"/>
        <v>#N/A</v>
      </c>
      <c r="QQ5" s="86" t="e">
        <f t="shared" si="145"/>
        <v>#N/A</v>
      </c>
      <c r="QR5" s="86" t="e">
        <f t="shared" si="145"/>
        <v>#N/A</v>
      </c>
      <c r="QS5" s="86" t="e">
        <f t="shared" si="145"/>
        <v>#N/A</v>
      </c>
      <c r="QT5" s="86" t="e">
        <f t="shared" si="145"/>
        <v>#N/A</v>
      </c>
      <c r="QU5" s="86" t="e">
        <f t="shared" si="145"/>
        <v>#N/A</v>
      </c>
      <c r="QV5" s="86" t="e">
        <f t="shared" si="145"/>
        <v>#N/A</v>
      </c>
      <c r="QW5" s="86" t="e">
        <f t="shared" si="145"/>
        <v>#N/A</v>
      </c>
      <c r="QX5" s="86" t="e">
        <f t="shared" si="145"/>
        <v>#N/A</v>
      </c>
      <c r="QY5" s="86" t="e">
        <f t="shared" si="145"/>
        <v>#N/A</v>
      </c>
      <c r="QZ5" s="86" t="e">
        <f t="shared" si="145"/>
        <v>#N/A</v>
      </c>
      <c r="RA5" s="87" t="e">
        <f t="shared" si="107"/>
        <v>#N/A</v>
      </c>
      <c r="RB5" s="86" t="e">
        <f t="shared" ref="RB5:RM5" si="146">RB52+RB42</f>
        <v>#N/A</v>
      </c>
      <c r="RC5" s="86" t="e">
        <f t="shared" si="146"/>
        <v>#N/A</v>
      </c>
      <c r="RD5" s="86" t="e">
        <f t="shared" si="146"/>
        <v>#N/A</v>
      </c>
      <c r="RE5" s="86" t="e">
        <f t="shared" si="146"/>
        <v>#N/A</v>
      </c>
      <c r="RF5" s="86" t="e">
        <f t="shared" si="146"/>
        <v>#N/A</v>
      </c>
      <c r="RG5" s="86" t="e">
        <f t="shared" si="146"/>
        <v>#N/A</v>
      </c>
      <c r="RH5" s="86" t="e">
        <f t="shared" si="146"/>
        <v>#N/A</v>
      </c>
      <c r="RI5" s="86" t="e">
        <f t="shared" si="146"/>
        <v>#N/A</v>
      </c>
      <c r="RJ5" s="86" t="e">
        <f t="shared" si="146"/>
        <v>#N/A</v>
      </c>
      <c r="RK5" s="86" t="e">
        <f t="shared" si="146"/>
        <v>#N/A</v>
      </c>
      <c r="RL5" s="86" t="e">
        <f t="shared" si="146"/>
        <v>#N/A</v>
      </c>
      <c r="RM5" s="86" t="e">
        <f t="shared" si="146"/>
        <v>#N/A</v>
      </c>
      <c r="RN5" s="87" t="e">
        <f t="shared" si="109"/>
        <v>#N/A</v>
      </c>
    </row>
    <row r="6" spans="1:482" outlineLevel="1" x14ac:dyDescent="0.3">
      <c r="A6" s="78" t="s">
        <v>233</v>
      </c>
      <c r="B6" s="86" t="e">
        <f t="shared" ref="B6:BM6" si="147">B56</f>
        <v>#N/A</v>
      </c>
      <c r="C6" s="86" t="e">
        <f t="shared" si="147"/>
        <v>#N/A</v>
      </c>
      <c r="D6" s="86" t="e">
        <f t="shared" si="147"/>
        <v>#N/A</v>
      </c>
      <c r="E6" s="86" t="e">
        <f t="shared" si="147"/>
        <v>#N/A</v>
      </c>
      <c r="F6" s="86" t="e">
        <f t="shared" si="147"/>
        <v>#N/A</v>
      </c>
      <c r="G6" s="86" t="e">
        <f t="shared" si="147"/>
        <v>#N/A</v>
      </c>
      <c r="H6" s="86" t="e">
        <f t="shared" si="147"/>
        <v>#N/A</v>
      </c>
      <c r="I6" s="86" t="e">
        <f t="shared" si="147"/>
        <v>#N/A</v>
      </c>
      <c r="J6" s="86" t="e">
        <f t="shared" si="147"/>
        <v>#N/A</v>
      </c>
      <c r="K6" s="86" t="e">
        <f t="shared" si="147"/>
        <v>#N/A</v>
      </c>
      <c r="L6" s="86" t="e">
        <f t="shared" si="147"/>
        <v>#N/A</v>
      </c>
      <c r="M6" s="86" t="e">
        <f t="shared" si="147"/>
        <v>#N/A</v>
      </c>
      <c r="N6" s="87" t="e">
        <f t="shared" si="147"/>
        <v>#N/A</v>
      </c>
      <c r="O6" s="86" t="e">
        <f t="shared" si="147"/>
        <v>#N/A</v>
      </c>
      <c r="P6" s="86" t="e">
        <f t="shared" si="147"/>
        <v>#N/A</v>
      </c>
      <c r="Q6" s="86" t="e">
        <f t="shared" si="147"/>
        <v>#N/A</v>
      </c>
      <c r="R6" s="86" t="e">
        <f t="shared" si="147"/>
        <v>#N/A</v>
      </c>
      <c r="S6" s="86" t="e">
        <f t="shared" si="147"/>
        <v>#N/A</v>
      </c>
      <c r="T6" s="86" t="e">
        <f t="shared" si="147"/>
        <v>#N/A</v>
      </c>
      <c r="U6" s="86" t="e">
        <f t="shared" si="147"/>
        <v>#N/A</v>
      </c>
      <c r="V6" s="86" t="e">
        <f t="shared" si="147"/>
        <v>#N/A</v>
      </c>
      <c r="W6" s="86" t="e">
        <f t="shared" si="147"/>
        <v>#N/A</v>
      </c>
      <c r="X6" s="86" t="e">
        <f t="shared" si="147"/>
        <v>#N/A</v>
      </c>
      <c r="Y6" s="86" t="e">
        <f t="shared" si="147"/>
        <v>#N/A</v>
      </c>
      <c r="Z6" s="86" t="e">
        <f t="shared" si="147"/>
        <v>#N/A</v>
      </c>
      <c r="AA6" s="87" t="e">
        <f t="shared" si="147"/>
        <v>#N/A</v>
      </c>
      <c r="AB6" s="86" t="e">
        <f t="shared" si="147"/>
        <v>#N/A</v>
      </c>
      <c r="AC6" s="86" t="e">
        <f t="shared" si="147"/>
        <v>#N/A</v>
      </c>
      <c r="AD6" s="86" t="e">
        <f t="shared" si="147"/>
        <v>#N/A</v>
      </c>
      <c r="AE6" s="86" t="e">
        <f t="shared" si="147"/>
        <v>#N/A</v>
      </c>
      <c r="AF6" s="86" t="e">
        <f t="shared" si="147"/>
        <v>#N/A</v>
      </c>
      <c r="AG6" s="86" t="e">
        <f t="shared" si="147"/>
        <v>#N/A</v>
      </c>
      <c r="AH6" s="86" t="e">
        <f t="shared" si="147"/>
        <v>#N/A</v>
      </c>
      <c r="AI6" s="86" t="e">
        <f t="shared" si="147"/>
        <v>#N/A</v>
      </c>
      <c r="AJ6" s="86" t="e">
        <f t="shared" si="147"/>
        <v>#N/A</v>
      </c>
      <c r="AK6" s="86" t="e">
        <f t="shared" si="147"/>
        <v>#N/A</v>
      </c>
      <c r="AL6" s="86" t="e">
        <f t="shared" si="147"/>
        <v>#N/A</v>
      </c>
      <c r="AM6" s="86" t="e">
        <f t="shared" si="147"/>
        <v>#N/A</v>
      </c>
      <c r="AN6" s="87" t="e">
        <f t="shared" si="147"/>
        <v>#N/A</v>
      </c>
      <c r="AO6" s="86" t="e">
        <f t="shared" si="147"/>
        <v>#N/A</v>
      </c>
      <c r="AP6" s="86" t="e">
        <f t="shared" si="147"/>
        <v>#N/A</v>
      </c>
      <c r="AQ6" s="86" t="e">
        <f t="shared" si="147"/>
        <v>#N/A</v>
      </c>
      <c r="AR6" s="86" t="e">
        <f t="shared" si="147"/>
        <v>#N/A</v>
      </c>
      <c r="AS6" s="86" t="e">
        <f t="shared" si="147"/>
        <v>#N/A</v>
      </c>
      <c r="AT6" s="86" t="e">
        <f t="shared" si="147"/>
        <v>#N/A</v>
      </c>
      <c r="AU6" s="86" t="e">
        <f t="shared" si="147"/>
        <v>#N/A</v>
      </c>
      <c r="AV6" s="86" t="e">
        <f t="shared" si="147"/>
        <v>#N/A</v>
      </c>
      <c r="AW6" s="86" t="e">
        <f t="shared" si="147"/>
        <v>#N/A</v>
      </c>
      <c r="AX6" s="86" t="e">
        <f t="shared" si="147"/>
        <v>#N/A</v>
      </c>
      <c r="AY6" s="86" t="e">
        <f t="shared" si="147"/>
        <v>#N/A</v>
      </c>
      <c r="AZ6" s="86" t="e">
        <f t="shared" si="147"/>
        <v>#N/A</v>
      </c>
      <c r="BA6" s="87" t="e">
        <f t="shared" si="147"/>
        <v>#N/A</v>
      </c>
      <c r="BB6" s="86" t="e">
        <f t="shared" si="147"/>
        <v>#N/A</v>
      </c>
      <c r="BC6" s="86" t="e">
        <f t="shared" si="147"/>
        <v>#N/A</v>
      </c>
      <c r="BD6" s="86" t="e">
        <f t="shared" si="147"/>
        <v>#N/A</v>
      </c>
      <c r="BE6" s="86" t="e">
        <f t="shared" si="147"/>
        <v>#N/A</v>
      </c>
      <c r="BF6" s="86" t="e">
        <f t="shared" si="147"/>
        <v>#N/A</v>
      </c>
      <c r="BG6" s="86" t="e">
        <f t="shared" si="147"/>
        <v>#N/A</v>
      </c>
      <c r="BH6" s="86" t="e">
        <f t="shared" si="147"/>
        <v>#N/A</v>
      </c>
      <c r="BI6" s="86" t="e">
        <f t="shared" si="147"/>
        <v>#N/A</v>
      </c>
      <c r="BJ6" s="86" t="e">
        <f t="shared" si="147"/>
        <v>#N/A</v>
      </c>
      <c r="BK6" s="86" t="e">
        <f t="shared" si="147"/>
        <v>#N/A</v>
      </c>
      <c r="BL6" s="86" t="e">
        <f t="shared" si="147"/>
        <v>#N/A</v>
      </c>
      <c r="BM6" s="86" t="e">
        <f t="shared" si="147"/>
        <v>#N/A</v>
      </c>
      <c r="BN6" s="87" t="e">
        <f t="shared" ref="BN6:DY6" si="148">BN56</f>
        <v>#N/A</v>
      </c>
      <c r="BO6" s="86" t="e">
        <f t="shared" si="148"/>
        <v>#N/A</v>
      </c>
      <c r="BP6" s="86" t="e">
        <f t="shared" si="148"/>
        <v>#N/A</v>
      </c>
      <c r="BQ6" s="86" t="e">
        <f t="shared" si="148"/>
        <v>#N/A</v>
      </c>
      <c r="BR6" s="86" t="e">
        <f t="shared" si="148"/>
        <v>#N/A</v>
      </c>
      <c r="BS6" s="86" t="e">
        <f t="shared" si="148"/>
        <v>#N/A</v>
      </c>
      <c r="BT6" s="86" t="e">
        <f t="shared" si="148"/>
        <v>#N/A</v>
      </c>
      <c r="BU6" s="86" t="e">
        <f t="shared" si="148"/>
        <v>#N/A</v>
      </c>
      <c r="BV6" s="86" t="e">
        <f t="shared" si="148"/>
        <v>#N/A</v>
      </c>
      <c r="BW6" s="86" t="e">
        <f t="shared" si="148"/>
        <v>#N/A</v>
      </c>
      <c r="BX6" s="86" t="e">
        <f t="shared" si="148"/>
        <v>#N/A</v>
      </c>
      <c r="BY6" s="86" t="e">
        <f t="shared" si="148"/>
        <v>#N/A</v>
      </c>
      <c r="BZ6" s="86" t="e">
        <f t="shared" si="148"/>
        <v>#N/A</v>
      </c>
      <c r="CA6" s="87" t="e">
        <f t="shared" si="148"/>
        <v>#N/A</v>
      </c>
      <c r="CB6" s="86" t="e">
        <f t="shared" si="148"/>
        <v>#N/A</v>
      </c>
      <c r="CC6" s="86" t="e">
        <f t="shared" si="148"/>
        <v>#N/A</v>
      </c>
      <c r="CD6" s="86" t="e">
        <f t="shared" si="148"/>
        <v>#N/A</v>
      </c>
      <c r="CE6" s="86" t="e">
        <f t="shared" si="148"/>
        <v>#N/A</v>
      </c>
      <c r="CF6" s="86" t="e">
        <f t="shared" si="148"/>
        <v>#N/A</v>
      </c>
      <c r="CG6" s="86" t="e">
        <f t="shared" si="148"/>
        <v>#N/A</v>
      </c>
      <c r="CH6" s="86" t="e">
        <f t="shared" si="148"/>
        <v>#N/A</v>
      </c>
      <c r="CI6" s="86" t="e">
        <f t="shared" si="148"/>
        <v>#N/A</v>
      </c>
      <c r="CJ6" s="86" t="e">
        <f t="shared" si="148"/>
        <v>#N/A</v>
      </c>
      <c r="CK6" s="86" t="e">
        <f t="shared" si="148"/>
        <v>#N/A</v>
      </c>
      <c r="CL6" s="86" t="e">
        <f t="shared" si="148"/>
        <v>#N/A</v>
      </c>
      <c r="CM6" s="86" t="e">
        <f t="shared" si="148"/>
        <v>#N/A</v>
      </c>
      <c r="CN6" s="87" t="e">
        <f t="shared" si="148"/>
        <v>#N/A</v>
      </c>
      <c r="CO6" s="86" t="e">
        <f t="shared" si="148"/>
        <v>#N/A</v>
      </c>
      <c r="CP6" s="86" t="e">
        <f t="shared" si="148"/>
        <v>#N/A</v>
      </c>
      <c r="CQ6" s="86" t="e">
        <f t="shared" si="148"/>
        <v>#N/A</v>
      </c>
      <c r="CR6" s="86" t="e">
        <f t="shared" si="148"/>
        <v>#N/A</v>
      </c>
      <c r="CS6" s="86" t="e">
        <f t="shared" si="148"/>
        <v>#N/A</v>
      </c>
      <c r="CT6" s="86" t="e">
        <f t="shared" si="148"/>
        <v>#N/A</v>
      </c>
      <c r="CU6" s="86" t="e">
        <f t="shared" si="148"/>
        <v>#N/A</v>
      </c>
      <c r="CV6" s="86" t="e">
        <f t="shared" si="148"/>
        <v>#N/A</v>
      </c>
      <c r="CW6" s="86" t="e">
        <f t="shared" si="148"/>
        <v>#N/A</v>
      </c>
      <c r="CX6" s="86" t="e">
        <f t="shared" si="148"/>
        <v>#N/A</v>
      </c>
      <c r="CY6" s="86" t="e">
        <f t="shared" si="148"/>
        <v>#N/A</v>
      </c>
      <c r="CZ6" s="86" t="e">
        <f t="shared" si="148"/>
        <v>#N/A</v>
      </c>
      <c r="DA6" s="87" t="e">
        <f t="shared" si="148"/>
        <v>#N/A</v>
      </c>
      <c r="DB6" s="86" t="e">
        <f t="shared" si="148"/>
        <v>#N/A</v>
      </c>
      <c r="DC6" s="86" t="e">
        <f t="shared" si="148"/>
        <v>#N/A</v>
      </c>
      <c r="DD6" s="86" t="e">
        <f t="shared" si="148"/>
        <v>#N/A</v>
      </c>
      <c r="DE6" s="86" t="e">
        <f t="shared" si="148"/>
        <v>#N/A</v>
      </c>
      <c r="DF6" s="86" t="e">
        <f t="shared" si="148"/>
        <v>#N/A</v>
      </c>
      <c r="DG6" s="86" t="e">
        <f t="shared" si="148"/>
        <v>#N/A</v>
      </c>
      <c r="DH6" s="86" t="e">
        <f t="shared" si="148"/>
        <v>#N/A</v>
      </c>
      <c r="DI6" s="86" t="e">
        <f t="shared" si="148"/>
        <v>#N/A</v>
      </c>
      <c r="DJ6" s="86" t="e">
        <f t="shared" si="148"/>
        <v>#N/A</v>
      </c>
      <c r="DK6" s="86" t="e">
        <f t="shared" si="148"/>
        <v>#N/A</v>
      </c>
      <c r="DL6" s="86" t="e">
        <f t="shared" si="148"/>
        <v>#N/A</v>
      </c>
      <c r="DM6" s="86" t="e">
        <f t="shared" si="148"/>
        <v>#N/A</v>
      </c>
      <c r="DN6" s="87" t="e">
        <f t="shared" si="148"/>
        <v>#N/A</v>
      </c>
      <c r="DO6" s="86" t="e">
        <f t="shared" si="148"/>
        <v>#N/A</v>
      </c>
      <c r="DP6" s="86" t="e">
        <f t="shared" si="148"/>
        <v>#N/A</v>
      </c>
      <c r="DQ6" s="86" t="e">
        <f t="shared" si="148"/>
        <v>#N/A</v>
      </c>
      <c r="DR6" s="86" t="e">
        <f t="shared" si="148"/>
        <v>#N/A</v>
      </c>
      <c r="DS6" s="86" t="e">
        <f t="shared" si="148"/>
        <v>#N/A</v>
      </c>
      <c r="DT6" s="86" t="e">
        <f t="shared" si="148"/>
        <v>#N/A</v>
      </c>
      <c r="DU6" s="86" t="e">
        <f t="shared" si="148"/>
        <v>#N/A</v>
      </c>
      <c r="DV6" s="86" t="e">
        <f t="shared" si="148"/>
        <v>#N/A</v>
      </c>
      <c r="DW6" s="86" t="e">
        <f t="shared" si="148"/>
        <v>#N/A</v>
      </c>
      <c r="DX6" s="86" t="e">
        <f t="shared" si="148"/>
        <v>#N/A</v>
      </c>
      <c r="DY6" s="86" t="e">
        <f t="shared" si="148"/>
        <v>#N/A</v>
      </c>
      <c r="DZ6" s="86" t="e">
        <f t="shared" ref="DZ6:GK6" si="149">DZ56</f>
        <v>#N/A</v>
      </c>
      <c r="EA6" s="87" t="e">
        <f t="shared" si="149"/>
        <v>#N/A</v>
      </c>
      <c r="EB6" s="86" t="e">
        <f t="shared" si="149"/>
        <v>#N/A</v>
      </c>
      <c r="EC6" s="86" t="e">
        <f t="shared" si="149"/>
        <v>#N/A</v>
      </c>
      <c r="ED6" s="86" t="e">
        <f t="shared" si="149"/>
        <v>#N/A</v>
      </c>
      <c r="EE6" s="86" t="e">
        <f t="shared" si="149"/>
        <v>#N/A</v>
      </c>
      <c r="EF6" s="86" t="e">
        <f t="shared" si="149"/>
        <v>#N/A</v>
      </c>
      <c r="EG6" s="86" t="e">
        <f t="shared" si="149"/>
        <v>#N/A</v>
      </c>
      <c r="EH6" s="86" t="e">
        <f t="shared" si="149"/>
        <v>#N/A</v>
      </c>
      <c r="EI6" s="86" t="e">
        <f t="shared" si="149"/>
        <v>#N/A</v>
      </c>
      <c r="EJ6" s="86" t="e">
        <f t="shared" si="149"/>
        <v>#N/A</v>
      </c>
      <c r="EK6" s="86" t="e">
        <f t="shared" si="149"/>
        <v>#N/A</v>
      </c>
      <c r="EL6" s="86" t="e">
        <f t="shared" si="149"/>
        <v>#N/A</v>
      </c>
      <c r="EM6" s="86" t="e">
        <f t="shared" si="149"/>
        <v>#N/A</v>
      </c>
      <c r="EN6" s="87" t="e">
        <f t="shared" si="149"/>
        <v>#N/A</v>
      </c>
      <c r="EO6" s="86" t="e">
        <f t="shared" si="149"/>
        <v>#N/A</v>
      </c>
      <c r="EP6" s="86" t="e">
        <f t="shared" si="149"/>
        <v>#N/A</v>
      </c>
      <c r="EQ6" s="86" t="e">
        <f t="shared" si="149"/>
        <v>#N/A</v>
      </c>
      <c r="ER6" s="86" t="e">
        <f t="shared" si="149"/>
        <v>#N/A</v>
      </c>
      <c r="ES6" s="86" t="e">
        <f t="shared" si="149"/>
        <v>#N/A</v>
      </c>
      <c r="ET6" s="86" t="e">
        <f t="shared" si="149"/>
        <v>#N/A</v>
      </c>
      <c r="EU6" s="86" t="e">
        <f t="shared" si="149"/>
        <v>#N/A</v>
      </c>
      <c r="EV6" s="86" t="e">
        <f t="shared" si="149"/>
        <v>#N/A</v>
      </c>
      <c r="EW6" s="86" t="e">
        <f t="shared" si="149"/>
        <v>#N/A</v>
      </c>
      <c r="EX6" s="86" t="e">
        <f t="shared" si="149"/>
        <v>#N/A</v>
      </c>
      <c r="EY6" s="86" t="e">
        <f t="shared" si="149"/>
        <v>#N/A</v>
      </c>
      <c r="EZ6" s="86" t="e">
        <f t="shared" si="149"/>
        <v>#N/A</v>
      </c>
      <c r="FA6" s="87" t="e">
        <f t="shared" si="149"/>
        <v>#N/A</v>
      </c>
      <c r="FB6" s="86" t="e">
        <f t="shared" si="149"/>
        <v>#N/A</v>
      </c>
      <c r="FC6" s="86" t="e">
        <f t="shared" si="149"/>
        <v>#N/A</v>
      </c>
      <c r="FD6" s="86" t="e">
        <f t="shared" si="149"/>
        <v>#N/A</v>
      </c>
      <c r="FE6" s="86" t="e">
        <f t="shared" si="149"/>
        <v>#N/A</v>
      </c>
      <c r="FF6" s="86" t="e">
        <f t="shared" si="149"/>
        <v>#N/A</v>
      </c>
      <c r="FG6" s="86" t="e">
        <f t="shared" si="149"/>
        <v>#N/A</v>
      </c>
      <c r="FH6" s="86" t="e">
        <f t="shared" si="149"/>
        <v>#N/A</v>
      </c>
      <c r="FI6" s="86" t="e">
        <f t="shared" si="149"/>
        <v>#N/A</v>
      </c>
      <c r="FJ6" s="86" t="e">
        <f t="shared" si="149"/>
        <v>#N/A</v>
      </c>
      <c r="FK6" s="86" t="e">
        <f t="shared" si="149"/>
        <v>#N/A</v>
      </c>
      <c r="FL6" s="86" t="e">
        <f t="shared" si="149"/>
        <v>#N/A</v>
      </c>
      <c r="FM6" s="86" t="e">
        <f t="shared" si="149"/>
        <v>#N/A</v>
      </c>
      <c r="FN6" s="87" t="e">
        <f t="shared" si="149"/>
        <v>#N/A</v>
      </c>
      <c r="FO6" s="86" t="e">
        <f t="shared" si="149"/>
        <v>#N/A</v>
      </c>
      <c r="FP6" s="86" t="e">
        <f t="shared" si="149"/>
        <v>#N/A</v>
      </c>
      <c r="FQ6" s="86" t="e">
        <f t="shared" si="149"/>
        <v>#N/A</v>
      </c>
      <c r="FR6" s="86" t="e">
        <f t="shared" si="149"/>
        <v>#N/A</v>
      </c>
      <c r="FS6" s="86" t="e">
        <f t="shared" si="149"/>
        <v>#N/A</v>
      </c>
      <c r="FT6" s="86" t="e">
        <f t="shared" si="149"/>
        <v>#N/A</v>
      </c>
      <c r="FU6" s="86" t="e">
        <f t="shared" si="149"/>
        <v>#N/A</v>
      </c>
      <c r="FV6" s="86" t="e">
        <f t="shared" si="149"/>
        <v>#N/A</v>
      </c>
      <c r="FW6" s="86" t="e">
        <f t="shared" si="149"/>
        <v>#N/A</v>
      </c>
      <c r="FX6" s="86" t="e">
        <f t="shared" si="149"/>
        <v>#N/A</v>
      </c>
      <c r="FY6" s="86" t="e">
        <f t="shared" si="149"/>
        <v>#N/A</v>
      </c>
      <c r="FZ6" s="86" t="e">
        <f t="shared" si="149"/>
        <v>#N/A</v>
      </c>
      <c r="GA6" s="87" t="e">
        <f t="shared" si="149"/>
        <v>#N/A</v>
      </c>
      <c r="GB6" s="86" t="e">
        <f t="shared" si="149"/>
        <v>#N/A</v>
      </c>
      <c r="GC6" s="86" t="e">
        <f t="shared" si="149"/>
        <v>#N/A</v>
      </c>
      <c r="GD6" s="86" t="e">
        <f t="shared" si="149"/>
        <v>#N/A</v>
      </c>
      <c r="GE6" s="86" t="e">
        <f t="shared" si="149"/>
        <v>#N/A</v>
      </c>
      <c r="GF6" s="86" t="e">
        <f t="shared" si="149"/>
        <v>#N/A</v>
      </c>
      <c r="GG6" s="86" t="e">
        <f t="shared" si="149"/>
        <v>#N/A</v>
      </c>
      <c r="GH6" s="86" t="e">
        <f t="shared" si="149"/>
        <v>#N/A</v>
      </c>
      <c r="GI6" s="86" t="e">
        <f t="shared" si="149"/>
        <v>#N/A</v>
      </c>
      <c r="GJ6" s="86" t="e">
        <f t="shared" si="149"/>
        <v>#N/A</v>
      </c>
      <c r="GK6" s="86" t="e">
        <f t="shared" si="149"/>
        <v>#N/A</v>
      </c>
      <c r="GL6" s="86" t="e">
        <f t="shared" ref="GL6:IW6" si="150">GL56</f>
        <v>#N/A</v>
      </c>
      <c r="GM6" s="86" t="e">
        <f t="shared" si="150"/>
        <v>#N/A</v>
      </c>
      <c r="GN6" s="87" t="e">
        <f t="shared" si="150"/>
        <v>#N/A</v>
      </c>
      <c r="GO6" s="86" t="e">
        <f t="shared" si="150"/>
        <v>#N/A</v>
      </c>
      <c r="GP6" s="86" t="e">
        <f t="shared" si="150"/>
        <v>#N/A</v>
      </c>
      <c r="GQ6" s="86" t="e">
        <f t="shared" si="150"/>
        <v>#N/A</v>
      </c>
      <c r="GR6" s="86" t="e">
        <f t="shared" si="150"/>
        <v>#N/A</v>
      </c>
      <c r="GS6" s="86" t="e">
        <f t="shared" si="150"/>
        <v>#N/A</v>
      </c>
      <c r="GT6" s="86" t="e">
        <f t="shared" si="150"/>
        <v>#N/A</v>
      </c>
      <c r="GU6" s="86" t="e">
        <f t="shared" si="150"/>
        <v>#N/A</v>
      </c>
      <c r="GV6" s="86" t="e">
        <f t="shared" si="150"/>
        <v>#N/A</v>
      </c>
      <c r="GW6" s="86" t="e">
        <f t="shared" si="150"/>
        <v>#N/A</v>
      </c>
      <c r="GX6" s="86" t="e">
        <f t="shared" si="150"/>
        <v>#N/A</v>
      </c>
      <c r="GY6" s="86" t="e">
        <f t="shared" si="150"/>
        <v>#N/A</v>
      </c>
      <c r="GZ6" s="86" t="e">
        <f t="shared" si="150"/>
        <v>#N/A</v>
      </c>
      <c r="HA6" s="87" t="e">
        <f t="shared" si="150"/>
        <v>#N/A</v>
      </c>
      <c r="HB6" s="86" t="e">
        <f t="shared" si="150"/>
        <v>#N/A</v>
      </c>
      <c r="HC6" s="86" t="e">
        <f t="shared" si="150"/>
        <v>#N/A</v>
      </c>
      <c r="HD6" s="86" t="e">
        <f t="shared" si="150"/>
        <v>#N/A</v>
      </c>
      <c r="HE6" s="86" t="e">
        <f t="shared" si="150"/>
        <v>#N/A</v>
      </c>
      <c r="HF6" s="86" t="e">
        <f t="shared" si="150"/>
        <v>#N/A</v>
      </c>
      <c r="HG6" s="86" t="e">
        <f t="shared" si="150"/>
        <v>#N/A</v>
      </c>
      <c r="HH6" s="86" t="e">
        <f t="shared" si="150"/>
        <v>#N/A</v>
      </c>
      <c r="HI6" s="86" t="e">
        <f t="shared" si="150"/>
        <v>#N/A</v>
      </c>
      <c r="HJ6" s="86" t="e">
        <f t="shared" si="150"/>
        <v>#N/A</v>
      </c>
      <c r="HK6" s="86" t="e">
        <f t="shared" si="150"/>
        <v>#N/A</v>
      </c>
      <c r="HL6" s="86" t="e">
        <f t="shared" si="150"/>
        <v>#N/A</v>
      </c>
      <c r="HM6" s="86" t="e">
        <f t="shared" si="150"/>
        <v>#N/A</v>
      </c>
      <c r="HN6" s="87" t="e">
        <f t="shared" si="150"/>
        <v>#N/A</v>
      </c>
      <c r="HO6" s="86" t="e">
        <f t="shared" si="150"/>
        <v>#N/A</v>
      </c>
      <c r="HP6" s="86" t="e">
        <f t="shared" si="150"/>
        <v>#N/A</v>
      </c>
      <c r="HQ6" s="86" t="e">
        <f t="shared" si="150"/>
        <v>#N/A</v>
      </c>
      <c r="HR6" s="86" t="e">
        <f t="shared" si="150"/>
        <v>#N/A</v>
      </c>
      <c r="HS6" s="86" t="e">
        <f t="shared" si="150"/>
        <v>#N/A</v>
      </c>
      <c r="HT6" s="86" t="e">
        <f t="shared" si="150"/>
        <v>#N/A</v>
      </c>
      <c r="HU6" s="86" t="e">
        <f t="shared" si="150"/>
        <v>#N/A</v>
      </c>
      <c r="HV6" s="86" t="e">
        <f t="shared" si="150"/>
        <v>#N/A</v>
      </c>
      <c r="HW6" s="86" t="e">
        <f t="shared" si="150"/>
        <v>#N/A</v>
      </c>
      <c r="HX6" s="86" t="e">
        <f t="shared" si="150"/>
        <v>#N/A</v>
      </c>
      <c r="HY6" s="86" t="e">
        <f t="shared" si="150"/>
        <v>#N/A</v>
      </c>
      <c r="HZ6" s="86" t="e">
        <f t="shared" si="150"/>
        <v>#N/A</v>
      </c>
      <c r="IA6" s="87" t="e">
        <f t="shared" si="150"/>
        <v>#N/A</v>
      </c>
      <c r="IB6" s="86" t="e">
        <f t="shared" si="150"/>
        <v>#N/A</v>
      </c>
      <c r="IC6" s="86" t="e">
        <f t="shared" si="150"/>
        <v>#N/A</v>
      </c>
      <c r="ID6" s="86" t="e">
        <f t="shared" si="150"/>
        <v>#N/A</v>
      </c>
      <c r="IE6" s="86" t="e">
        <f t="shared" si="150"/>
        <v>#N/A</v>
      </c>
      <c r="IF6" s="86" t="e">
        <f t="shared" si="150"/>
        <v>#N/A</v>
      </c>
      <c r="IG6" s="86" t="e">
        <f t="shared" si="150"/>
        <v>#N/A</v>
      </c>
      <c r="IH6" s="86" t="e">
        <f t="shared" si="150"/>
        <v>#N/A</v>
      </c>
      <c r="II6" s="86" t="e">
        <f t="shared" si="150"/>
        <v>#N/A</v>
      </c>
      <c r="IJ6" s="86" t="e">
        <f t="shared" si="150"/>
        <v>#N/A</v>
      </c>
      <c r="IK6" s="86" t="e">
        <f t="shared" si="150"/>
        <v>#N/A</v>
      </c>
      <c r="IL6" s="86" t="e">
        <f t="shared" si="150"/>
        <v>#N/A</v>
      </c>
      <c r="IM6" s="86" t="e">
        <f t="shared" si="150"/>
        <v>#N/A</v>
      </c>
      <c r="IN6" s="87" t="e">
        <f t="shared" si="150"/>
        <v>#N/A</v>
      </c>
      <c r="IO6" s="86" t="e">
        <f t="shared" si="150"/>
        <v>#N/A</v>
      </c>
      <c r="IP6" s="86" t="e">
        <f t="shared" si="150"/>
        <v>#N/A</v>
      </c>
      <c r="IQ6" s="86" t="e">
        <f t="shared" si="150"/>
        <v>#N/A</v>
      </c>
      <c r="IR6" s="86" t="e">
        <f t="shared" si="150"/>
        <v>#N/A</v>
      </c>
      <c r="IS6" s="86" t="e">
        <f t="shared" si="150"/>
        <v>#N/A</v>
      </c>
      <c r="IT6" s="86" t="e">
        <f t="shared" si="150"/>
        <v>#N/A</v>
      </c>
      <c r="IU6" s="86" t="e">
        <f t="shared" si="150"/>
        <v>#N/A</v>
      </c>
      <c r="IV6" s="86" t="e">
        <f t="shared" si="150"/>
        <v>#N/A</v>
      </c>
      <c r="IW6" s="86" t="e">
        <f t="shared" si="150"/>
        <v>#N/A</v>
      </c>
      <c r="IX6" s="86" t="e">
        <f t="shared" ref="IX6:LI6" si="151">IX56</f>
        <v>#N/A</v>
      </c>
      <c r="IY6" s="86" t="e">
        <f t="shared" si="151"/>
        <v>#N/A</v>
      </c>
      <c r="IZ6" s="86" t="e">
        <f t="shared" si="151"/>
        <v>#N/A</v>
      </c>
      <c r="JA6" s="87" t="e">
        <f t="shared" si="151"/>
        <v>#N/A</v>
      </c>
      <c r="JB6" s="86" t="e">
        <f t="shared" si="151"/>
        <v>#N/A</v>
      </c>
      <c r="JC6" s="86" t="e">
        <f t="shared" si="151"/>
        <v>#N/A</v>
      </c>
      <c r="JD6" s="86" t="e">
        <f t="shared" si="151"/>
        <v>#N/A</v>
      </c>
      <c r="JE6" s="86" t="e">
        <f t="shared" si="151"/>
        <v>#N/A</v>
      </c>
      <c r="JF6" s="86" t="e">
        <f t="shared" si="151"/>
        <v>#N/A</v>
      </c>
      <c r="JG6" s="86" t="e">
        <f t="shared" si="151"/>
        <v>#N/A</v>
      </c>
      <c r="JH6" s="86" t="e">
        <f t="shared" si="151"/>
        <v>#N/A</v>
      </c>
      <c r="JI6" s="86" t="e">
        <f t="shared" si="151"/>
        <v>#N/A</v>
      </c>
      <c r="JJ6" s="86" t="e">
        <f t="shared" si="151"/>
        <v>#N/A</v>
      </c>
      <c r="JK6" s="86" t="e">
        <f t="shared" si="151"/>
        <v>#N/A</v>
      </c>
      <c r="JL6" s="86" t="e">
        <f t="shared" si="151"/>
        <v>#N/A</v>
      </c>
      <c r="JM6" s="86" t="e">
        <f t="shared" si="151"/>
        <v>#N/A</v>
      </c>
      <c r="JN6" s="87" t="e">
        <f t="shared" si="151"/>
        <v>#N/A</v>
      </c>
      <c r="JO6" s="86" t="e">
        <f t="shared" si="151"/>
        <v>#N/A</v>
      </c>
      <c r="JP6" s="86" t="e">
        <f t="shared" si="151"/>
        <v>#N/A</v>
      </c>
      <c r="JQ6" s="86" t="e">
        <f t="shared" si="151"/>
        <v>#N/A</v>
      </c>
      <c r="JR6" s="86" t="e">
        <f t="shared" si="151"/>
        <v>#N/A</v>
      </c>
      <c r="JS6" s="86" t="e">
        <f t="shared" si="151"/>
        <v>#N/A</v>
      </c>
      <c r="JT6" s="86" t="e">
        <f t="shared" si="151"/>
        <v>#N/A</v>
      </c>
      <c r="JU6" s="86" t="e">
        <f t="shared" si="151"/>
        <v>#N/A</v>
      </c>
      <c r="JV6" s="86" t="e">
        <f t="shared" si="151"/>
        <v>#N/A</v>
      </c>
      <c r="JW6" s="86" t="e">
        <f t="shared" si="151"/>
        <v>#N/A</v>
      </c>
      <c r="JX6" s="86" t="e">
        <f t="shared" si="151"/>
        <v>#N/A</v>
      </c>
      <c r="JY6" s="86" t="e">
        <f t="shared" si="151"/>
        <v>#N/A</v>
      </c>
      <c r="JZ6" s="86" t="e">
        <f t="shared" si="151"/>
        <v>#N/A</v>
      </c>
      <c r="KA6" s="87" t="e">
        <f t="shared" si="151"/>
        <v>#N/A</v>
      </c>
      <c r="KB6" s="86" t="e">
        <f t="shared" si="151"/>
        <v>#N/A</v>
      </c>
      <c r="KC6" s="86" t="e">
        <f t="shared" si="151"/>
        <v>#N/A</v>
      </c>
      <c r="KD6" s="86" t="e">
        <f t="shared" si="151"/>
        <v>#N/A</v>
      </c>
      <c r="KE6" s="86" t="e">
        <f t="shared" si="151"/>
        <v>#N/A</v>
      </c>
      <c r="KF6" s="86" t="e">
        <f t="shared" si="151"/>
        <v>#N/A</v>
      </c>
      <c r="KG6" s="86" t="e">
        <f t="shared" si="151"/>
        <v>#N/A</v>
      </c>
      <c r="KH6" s="86" t="e">
        <f t="shared" si="151"/>
        <v>#N/A</v>
      </c>
      <c r="KI6" s="86" t="e">
        <f t="shared" si="151"/>
        <v>#N/A</v>
      </c>
      <c r="KJ6" s="86" t="e">
        <f t="shared" si="151"/>
        <v>#N/A</v>
      </c>
      <c r="KK6" s="86" t="e">
        <f t="shared" si="151"/>
        <v>#N/A</v>
      </c>
      <c r="KL6" s="86" t="e">
        <f t="shared" si="151"/>
        <v>#N/A</v>
      </c>
      <c r="KM6" s="86" t="e">
        <f t="shared" si="151"/>
        <v>#N/A</v>
      </c>
      <c r="KN6" s="87" t="e">
        <f t="shared" si="151"/>
        <v>#N/A</v>
      </c>
      <c r="KO6" s="86" t="e">
        <f t="shared" si="151"/>
        <v>#N/A</v>
      </c>
      <c r="KP6" s="86" t="e">
        <f t="shared" si="151"/>
        <v>#N/A</v>
      </c>
      <c r="KQ6" s="86" t="e">
        <f t="shared" si="151"/>
        <v>#N/A</v>
      </c>
      <c r="KR6" s="86" t="e">
        <f t="shared" si="151"/>
        <v>#N/A</v>
      </c>
      <c r="KS6" s="86" t="e">
        <f t="shared" si="151"/>
        <v>#N/A</v>
      </c>
      <c r="KT6" s="86" t="e">
        <f t="shared" si="151"/>
        <v>#N/A</v>
      </c>
      <c r="KU6" s="86" t="e">
        <f t="shared" si="151"/>
        <v>#N/A</v>
      </c>
      <c r="KV6" s="86" t="e">
        <f t="shared" si="151"/>
        <v>#N/A</v>
      </c>
      <c r="KW6" s="86" t="e">
        <f t="shared" si="151"/>
        <v>#N/A</v>
      </c>
      <c r="KX6" s="86" t="e">
        <f t="shared" si="151"/>
        <v>#N/A</v>
      </c>
      <c r="KY6" s="86" t="e">
        <f t="shared" si="151"/>
        <v>#N/A</v>
      </c>
      <c r="KZ6" s="86" t="e">
        <f t="shared" si="151"/>
        <v>#N/A</v>
      </c>
      <c r="LA6" s="87" t="e">
        <f t="shared" si="151"/>
        <v>#N/A</v>
      </c>
      <c r="LB6" s="86" t="e">
        <f t="shared" si="151"/>
        <v>#N/A</v>
      </c>
      <c r="LC6" s="86" t="e">
        <f t="shared" si="151"/>
        <v>#N/A</v>
      </c>
      <c r="LD6" s="86" t="e">
        <f t="shared" si="151"/>
        <v>#N/A</v>
      </c>
      <c r="LE6" s="86" t="e">
        <f t="shared" si="151"/>
        <v>#N/A</v>
      </c>
      <c r="LF6" s="86" t="e">
        <f t="shared" si="151"/>
        <v>#N/A</v>
      </c>
      <c r="LG6" s="86" t="e">
        <f t="shared" si="151"/>
        <v>#N/A</v>
      </c>
      <c r="LH6" s="86" t="e">
        <f t="shared" si="151"/>
        <v>#N/A</v>
      </c>
      <c r="LI6" s="86" t="e">
        <f t="shared" si="151"/>
        <v>#N/A</v>
      </c>
      <c r="LJ6" s="86" t="e">
        <f t="shared" ref="LJ6:NU6" si="152">LJ56</f>
        <v>#N/A</v>
      </c>
      <c r="LK6" s="86" t="e">
        <f t="shared" si="152"/>
        <v>#N/A</v>
      </c>
      <c r="LL6" s="86" t="e">
        <f t="shared" si="152"/>
        <v>#N/A</v>
      </c>
      <c r="LM6" s="86" t="e">
        <f t="shared" si="152"/>
        <v>#N/A</v>
      </c>
      <c r="LN6" s="87" t="e">
        <f t="shared" si="152"/>
        <v>#N/A</v>
      </c>
      <c r="LO6" s="86" t="e">
        <f t="shared" si="152"/>
        <v>#N/A</v>
      </c>
      <c r="LP6" s="86" t="e">
        <f t="shared" si="152"/>
        <v>#N/A</v>
      </c>
      <c r="LQ6" s="86" t="e">
        <f t="shared" si="152"/>
        <v>#N/A</v>
      </c>
      <c r="LR6" s="86" t="e">
        <f t="shared" si="152"/>
        <v>#N/A</v>
      </c>
      <c r="LS6" s="86" t="e">
        <f t="shared" si="152"/>
        <v>#N/A</v>
      </c>
      <c r="LT6" s="86" t="e">
        <f t="shared" si="152"/>
        <v>#N/A</v>
      </c>
      <c r="LU6" s="86" t="e">
        <f t="shared" si="152"/>
        <v>#N/A</v>
      </c>
      <c r="LV6" s="86" t="e">
        <f t="shared" si="152"/>
        <v>#N/A</v>
      </c>
      <c r="LW6" s="86" t="e">
        <f t="shared" si="152"/>
        <v>#N/A</v>
      </c>
      <c r="LX6" s="86" t="e">
        <f t="shared" si="152"/>
        <v>#N/A</v>
      </c>
      <c r="LY6" s="86" t="e">
        <f t="shared" si="152"/>
        <v>#N/A</v>
      </c>
      <c r="LZ6" s="86" t="e">
        <f t="shared" si="152"/>
        <v>#N/A</v>
      </c>
      <c r="MA6" s="87" t="e">
        <f t="shared" si="152"/>
        <v>#N/A</v>
      </c>
      <c r="MB6" s="86" t="e">
        <f t="shared" si="152"/>
        <v>#N/A</v>
      </c>
      <c r="MC6" s="86" t="e">
        <f t="shared" si="152"/>
        <v>#N/A</v>
      </c>
      <c r="MD6" s="86" t="e">
        <f t="shared" si="152"/>
        <v>#N/A</v>
      </c>
      <c r="ME6" s="86" t="e">
        <f t="shared" si="152"/>
        <v>#N/A</v>
      </c>
      <c r="MF6" s="86" t="e">
        <f t="shared" si="152"/>
        <v>#N/A</v>
      </c>
      <c r="MG6" s="86" t="e">
        <f t="shared" si="152"/>
        <v>#N/A</v>
      </c>
      <c r="MH6" s="86" t="e">
        <f t="shared" si="152"/>
        <v>#N/A</v>
      </c>
      <c r="MI6" s="86" t="e">
        <f t="shared" si="152"/>
        <v>#N/A</v>
      </c>
      <c r="MJ6" s="86" t="e">
        <f t="shared" si="152"/>
        <v>#N/A</v>
      </c>
      <c r="MK6" s="86" t="e">
        <f t="shared" si="152"/>
        <v>#N/A</v>
      </c>
      <c r="ML6" s="86" t="e">
        <f t="shared" si="152"/>
        <v>#N/A</v>
      </c>
      <c r="MM6" s="86" t="e">
        <f t="shared" si="152"/>
        <v>#N/A</v>
      </c>
      <c r="MN6" s="87" t="e">
        <f t="shared" si="152"/>
        <v>#N/A</v>
      </c>
      <c r="MO6" s="86" t="e">
        <f t="shared" si="152"/>
        <v>#N/A</v>
      </c>
      <c r="MP6" s="86" t="e">
        <f t="shared" si="152"/>
        <v>#N/A</v>
      </c>
      <c r="MQ6" s="86" t="e">
        <f t="shared" si="152"/>
        <v>#N/A</v>
      </c>
      <c r="MR6" s="86" t="e">
        <f t="shared" si="152"/>
        <v>#N/A</v>
      </c>
      <c r="MS6" s="86" t="e">
        <f t="shared" si="152"/>
        <v>#N/A</v>
      </c>
      <c r="MT6" s="86" t="e">
        <f t="shared" si="152"/>
        <v>#N/A</v>
      </c>
      <c r="MU6" s="86" t="e">
        <f t="shared" si="152"/>
        <v>#N/A</v>
      </c>
      <c r="MV6" s="86" t="e">
        <f t="shared" si="152"/>
        <v>#N/A</v>
      </c>
      <c r="MW6" s="86" t="e">
        <f t="shared" si="152"/>
        <v>#N/A</v>
      </c>
      <c r="MX6" s="86" t="e">
        <f t="shared" si="152"/>
        <v>#N/A</v>
      </c>
      <c r="MY6" s="86" t="e">
        <f t="shared" si="152"/>
        <v>#N/A</v>
      </c>
      <c r="MZ6" s="86" t="e">
        <f t="shared" si="152"/>
        <v>#N/A</v>
      </c>
      <c r="NA6" s="87" t="e">
        <f t="shared" si="152"/>
        <v>#N/A</v>
      </c>
      <c r="NB6" s="86" t="e">
        <f t="shared" si="152"/>
        <v>#N/A</v>
      </c>
      <c r="NC6" s="86" t="e">
        <f t="shared" si="152"/>
        <v>#N/A</v>
      </c>
      <c r="ND6" s="86" t="e">
        <f t="shared" si="152"/>
        <v>#N/A</v>
      </c>
      <c r="NE6" s="86" t="e">
        <f t="shared" si="152"/>
        <v>#N/A</v>
      </c>
      <c r="NF6" s="86" t="e">
        <f t="shared" si="152"/>
        <v>#N/A</v>
      </c>
      <c r="NG6" s="86" t="e">
        <f t="shared" si="152"/>
        <v>#N/A</v>
      </c>
      <c r="NH6" s="86" t="e">
        <f t="shared" si="152"/>
        <v>#N/A</v>
      </c>
      <c r="NI6" s="86" t="e">
        <f t="shared" si="152"/>
        <v>#N/A</v>
      </c>
      <c r="NJ6" s="86" t="e">
        <f t="shared" si="152"/>
        <v>#N/A</v>
      </c>
      <c r="NK6" s="86" t="e">
        <f t="shared" si="152"/>
        <v>#N/A</v>
      </c>
      <c r="NL6" s="86" t="e">
        <f t="shared" si="152"/>
        <v>#N/A</v>
      </c>
      <c r="NM6" s="86" t="e">
        <f t="shared" si="152"/>
        <v>#N/A</v>
      </c>
      <c r="NN6" s="87" t="e">
        <f t="shared" si="152"/>
        <v>#N/A</v>
      </c>
      <c r="NO6" s="86" t="e">
        <f t="shared" si="152"/>
        <v>#N/A</v>
      </c>
      <c r="NP6" s="86" t="e">
        <f t="shared" si="152"/>
        <v>#N/A</v>
      </c>
      <c r="NQ6" s="86" t="e">
        <f t="shared" si="152"/>
        <v>#N/A</v>
      </c>
      <c r="NR6" s="86" t="e">
        <f t="shared" si="152"/>
        <v>#N/A</v>
      </c>
      <c r="NS6" s="86" t="e">
        <f t="shared" si="152"/>
        <v>#N/A</v>
      </c>
      <c r="NT6" s="86" t="e">
        <f t="shared" si="152"/>
        <v>#N/A</v>
      </c>
      <c r="NU6" s="86" t="e">
        <f t="shared" si="152"/>
        <v>#N/A</v>
      </c>
      <c r="NV6" s="86" t="e">
        <f t="shared" ref="NV6:QG6" si="153">NV56</f>
        <v>#N/A</v>
      </c>
      <c r="NW6" s="86" t="e">
        <f t="shared" si="153"/>
        <v>#N/A</v>
      </c>
      <c r="NX6" s="86" t="e">
        <f t="shared" si="153"/>
        <v>#N/A</v>
      </c>
      <c r="NY6" s="86" t="e">
        <f t="shared" si="153"/>
        <v>#N/A</v>
      </c>
      <c r="NZ6" s="86" t="e">
        <f t="shared" si="153"/>
        <v>#N/A</v>
      </c>
      <c r="OA6" s="87" t="e">
        <f t="shared" si="153"/>
        <v>#N/A</v>
      </c>
      <c r="OB6" s="86" t="e">
        <f t="shared" si="153"/>
        <v>#N/A</v>
      </c>
      <c r="OC6" s="86" t="e">
        <f t="shared" si="153"/>
        <v>#N/A</v>
      </c>
      <c r="OD6" s="86" t="e">
        <f t="shared" si="153"/>
        <v>#N/A</v>
      </c>
      <c r="OE6" s="86" t="e">
        <f t="shared" si="153"/>
        <v>#N/A</v>
      </c>
      <c r="OF6" s="86" t="e">
        <f t="shared" si="153"/>
        <v>#N/A</v>
      </c>
      <c r="OG6" s="86" t="e">
        <f t="shared" si="153"/>
        <v>#N/A</v>
      </c>
      <c r="OH6" s="86" t="e">
        <f t="shared" si="153"/>
        <v>#N/A</v>
      </c>
      <c r="OI6" s="86" t="e">
        <f t="shared" si="153"/>
        <v>#N/A</v>
      </c>
      <c r="OJ6" s="86" t="e">
        <f t="shared" si="153"/>
        <v>#N/A</v>
      </c>
      <c r="OK6" s="86" t="e">
        <f t="shared" si="153"/>
        <v>#N/A</v>
      </c>
      <c r="OL6" s="86" t="e">
        <f t="shared" si="153"/>
        <v>#N/A</v>
      </c>
      <c r="OM6" s="86" t="e">
        <f t="shared" si="153"/>
        <v>#N/A</v>
      </c>
      <c r="ON6" s="87" t="e">
        <f t="shared" si="153"/>
        <v>#N/A</v>
      </c>
      <c r="OO6" s="86" t="e">
        <f t="shared" si="153"/>
        <v>#N/A</v>
      </c>
      <c r="OP6" s="86" t="e">
        <f t="shared" si="153"/>
        <v>#N/A</v>
      </c>
      <c r="OQ6" s="86" t="e">
        <f t="shared" si="153"/>
        <v>#N/A</v>
      </c>
      <c r="OR6" s="86" t="e">
        <f t="shared" si="153"/>
        <v>#N/A</v>
      </c>
      <c r="OS6" s="86" t="e">
        <f t="shared" si="153"/>
        <v>#N/A</v>
      </c>
      <c r="OT6" s="86" t="e">
        <f t="shared" si="153"/>
        <v>#N/A</v>
      </c>
      <c r="OU6" s="86" t="e">
        <f t="shared" si="153"/>
        <v>#N/A</v>
      </c>
      <c r="OV6" s="86" t="e">
        <f t="shared" si="153"/>
        <v>#N/A</v>
      </c>
      <c r="OW6" s="86" t="e">
        <f t="shared" si="153"/>
        <v>#N/A</v>
      </c>
      <c r="OX6" s="86" t="e">
        <f t="shared" si="153"/>
        <v>#N/A</v>
      </c>
      <c r="OY6" s="86" t="e">
        <f t="shared" si="153"/>
        <v>#N/A</v>
      </c>
      <c r="OZ6" s="86" t="e">
        <f t="shared" si="153"/>
        <v>#N/A</v>
      </c>
      <c r="PA6" s="87" t="e">
        <f t="shared" si="153"/>
        <v>#N/A</v>
      </c>
      <c r="PB6" s="86" t="e">
        <f t="shared" si="153"/>
        <v>#N/A</v>
      </c>
      <c r="PC6" s="86" t="e">
        <f t="shared" si="153"/>
        <v>#N/A</v>
      </c>
      <c r="PD6" s="86" t="e">
        <f t="shared" si="153"/>
        <v>#N/A</v>
      </c>
      <c r="PE6" s="86" t="e">
        <f t="shared" si="153"/>
        <v>#N/A</v>
      </c>
      <c r="PF6" s="86" t="e">
        <f t="shared" si="153"/>
        <v>#N/A</v>
      </c>
      <c r="PG6" s="86" t="e">
        <f t="shared" si="153"/>
        <v>#N/A</v>
      </c>
      <c r="PH6" s="86" t="e">
        <f t="shared" si="153"/>
        <v>#N/A</v>
      </c>
      <c r="PI6" s="86" t="e">
        <f t="shared" si="153"/>
        <v>#N/A</v>
      </c>
      <c r="PJ6" s="86" t="e">
        <f t="shared" si="153"/>
        <v>#N/A</v>
      </c>
      <c r="PK6" s="86" t="e">
        <f t="shared" si="153"/>
        <v>#N/A</v>
      </c>
      <c r="PL6" s="86" t="e">
        <f t="shared" si="153"/>
        <v>#N/A</v>
      </c>
      <c r="PM6" s="86" t="e">
        <f t="shared" si="153"/>
        <v>#N/A</v>
      </c>
      <c r="PN6" s="87" t="e">
        <f t="shared" si="153"/>
        <v>#N/A</v>
      </c>
      <c r="PO6" s="86" t="e">
        <f t="shared" si="153"/>
        <v>#N/A</v>
      </c>
      <c r="PP6" s="86" t="e">
        <f t="shared" si="153"/>
        <v>#N/A</v>
      </c>
      <c r="PQ6" s="86" t="e">
        <f t="shared" si="153"/>
        <v>#N/A</v>
      </c>
      <c r="PR6" s="86" t="e">
        <f t="shared" si="153"/>
        <v>#N/A</v>
      </c>
      <c r="PS6" s="86" t="e">
        <f t="shared" si="153"/>
        <v>#N/A</v>
      </c>
      <c r="PT6" s="86" t="e">
        <f t="shared" si="153"/>
        <v>#N/A</v>
      </c>
      <c r="PU6" s="86" t="e">
        <f t="shared" si="153"/>
        <v>#N/A</v>
      </c>
      <c r="PV6" s="86" t="e">
        <f t="shared" si="153"/>
        <v>#N/A</v>
      </c>
      <c r="PW6" s="86" t="e">
        <f t="shared" si="153"/>
        <v>#N/A</v>
      </c>
      <c r="PX6" s="86" t="e">
        <f t="shared" si="153"/>
        <v>#N/A</v>
      </c>
      <c r="PY6" s="86" t="e">
        <f t="shared" si="153"/>
        <v>#N/A</v>
      </c>
      <c r="PZ6" s="86" t="e">
        <f t="shared" si="153"/>
        <v>#N/A</v>
      </c>
      <c r="QA6" s="87" t="e">
        <f t="shared" si="153"/>
        <v>#N/A</v>
      </c>
      <c r="QB6" s="86" t="e">
        <f t="shared" si="153"/>
        <v>#N/A</v>
      </c>
      <c r="QC6" s="86" t="e">
        <f t="shared" si="153"/>
        <v>#N/A</v>
      </c>
      <c r="QD6" s="86" t="e">
        <f t="shared" si="153"/>
        <v>#N/A</v>
      </c>
      <c r="QE6" s="86" t="e">
        <f t="shared" si="153"/>
        <v>#N/A</v>
      </c>
      <c r="QF6" s="86" t="e">
        <f t="shared" si="153"/>
        <v>#N/A</v>
      </c>
      <c r="QG6" s="86" t="e">
        <f t="shared" si="153"/>
        <v>#N/A</v>
      </c>
      <c r="QH6" s="86" t="e">
        <f t="shared" ref="QH6:RN6" si="154">QH56</f>
        <v>#N/A</v>
      </c>
      <c r="QI6" s="86" t="e">
        <f t="shared" si="154"/>
        <v>#N/A</v>
      </c>
      <c r="QJ6" s="86" t="e">
        <f t="shared" si="154"/>
        <v>#N/A</v>
      </c>
      <c r="QK6" s="86" t="e">
        <f t="shared" si="154"/>
        <v>#N/A</v>
      </c>
      <c r="QL6" s="86" t="e">
        <f t="shared" si="154"/>
        <v>#N/A</v>
      </c>
      <c r="QM6" s="86" t="e">
        <f t="shared" si="154"/>
        <v>#N/A</v>
      </c>
      <c r="QN6" s="87" t="e">
        <f t="shared" si="154"/>
        <v>#N/A</v>
      </c>
      <c r="QO6" s="86" t="e">
        <f t="shared" si="154"/>
        <v>#N/A</v>
      </c>
      <c r="QP6" s="86" t="e">
        <f t="shared" si="154"/>
        <v>#N/A</v>
      </c>
      <c r="QQ6" s="86" t="e">
        <f t="shared" si="154"/>
        <v>#N/A</v>
      </c>
      <c r="QR6" s="86" t="e">
        <f t="shared" si="154"/>
        <v>#N/A</v>
      </c>
      <c r="QS6" s="86" t="e">
        <f t="shared" si="154"/>
        <v>#N/A</v>
      </c>
      <c r="QT6" s="86" t="e">
        <f t="shared" si="154"/>
        <v>#N/A</v>
      </c>
      <c r="QU6" s="86" t="e">
        <f t="shared" si="154"/>
        <v>#N/A</v>
      </c>
      <c r="QV6" s="86" t="e">
        <f t="shared" si="154"/>
        <v>#N/A</v>
      </c>
      <c r="QW6" s="86" t="e">
        <f t="shared" si="154"/>
        <v>#N/A</v>
      </c>
      <c r="QX6" s="86" t="e">
        <f t="shared" si="154"/>
        <v>#N/A</v>
      </c>
      <c r="QY6" s="86" t="e">
        <f t="shared" si="154"/>
        <v>#N/A</v>
      </c>
      <c r="QZ6" s="86" t="e">
        <f t="shared" si="154"/>
        <v>#N/A</v>
      </c>
      <c r="RA6" s="87" t="e">
        <f t="shared" si="154"/>
        <v>#N/A</v>
      </c>
      <c r="RB6" s="86" t="e">
        <f t="shared" si="154"/>
        <v>#N/A</v>
      </c>
      <c r="RC6" s="86" t="e">
        <f t="shared" si="154"/>
        <v>#N/A</v>
      </c>
      <c r="RD6" s="86" t="e">
        <f t="shared" si="154"/>
        <v>#N/A</v>
      </c>
      <c r="RE6" s="86" t="e">
        <f t="shared" si="154"/>
        <v>#N/A</v>
      </c>
      <c r="RF6" s="86" t="e">
        <f t="shared" si="154"/>
        <v>#N/A</v>
      </c>
      <c r="RG6" s="86" t="e">
        <f t="shared" si="154"/>
        <v>#N/A</v>
      </c>
      <c r="RH6" s="86" t="e">
        <f t="shared" si="154"/>
        <v>#N/A</v>
      </c>
      <c r="RI6" s="86" t="e">
        <f t="shared" si="154"/>
        <v>#N/A</v>
      </c>
      <c r="RJ6" s="86" t="e">
        <f t="shared" si="154"/>
        <v>#N/A</v>
      </c>
      <c r="RK6" s="86" t="e">
        <f t="shared" si="154"/>
        <v>#N/A</v>
      </c>
      <c r="RL6" s="86" t="e">
        <f t="shared" si="154"/>
        <v>#N/A</v>
      </c>
      <c r="RM6" s="86" t="e">
        <f t="shared" si="154"/>
        <v>#N/A</v>
      </c>
      <c r="RN6" s="87" t="e">
        <f t="shared" si="154"/>
        <v>#N/A</v>
      </c>
    </row>
    <row r="7" spans="1:482" outlineLevel="1" x14ac:dyDescent="0.3">
      <c r="A7" s="78" t="s">
        <v>234</v>
      </c>
      <c r="B7" s="86" t="e">
        <f>B56+B42</f>
        <v>#N/A</v>
      </c>
      <c r="C7" s="86" t="e">
        <f t="shared" ref="C7:M7" si="155">B7+C5</f>
        <v>#N/A</v>
      </c>
      <c r="D7" s="86" t="e">
        <f t="shared" si="155"/>
        <v>#N/A</v>
      </c>
      <c r="E7" s="86" t="e">
        <f t="shared" si="155"/>
        <v>#N/A</v>
      </c>
      <c r="F7" s="86" t="e">
        <f t="shared" si="155"/>
        <v>#N/A</v>
      </c>
      <c r="G7" s="86" t="e">
        <f t="shared" si="155"/>
        <v>#N/A</v>
      </c>
      <c r="H7" s="86" t="e">
        <f t="shared" si="155"/>
        <v>#N/A</v>
      </c>
      <c r="I7" s="86" t="e">
        <f t="shared" si="155"/>
        <v>#N/A</v>
      </c>
      <c r="J7" s="86" t="e">
        <f t="shared" si="155"/>
        <v>#N/A</v>
      </c>
      <c r="K7" s="86" t="e">
        <f t="shared" si="155"/>
        <v>#N/A</v>
      </c>
      <c r="L7" s="86" t="e">
        <f t="shared" si="155"/>
        <v>#N/A</v>
      </c>
      <c r="M7" s="86" t="e">
        <f t="shared" si="155"/>
        <v>#N/A</v>
      </c>
      <c r="N7" s="87" t="e">
        <f>M7</f>
        <v>#N/A</v>
      </c>
      <c r="O7" s="86" t="e">
        <f>M7+O5</f>
        <v>#N/A</v>
      </c>
      <c r="P7" s="86" t="e">
        <f t="shared" ref="P7:Z7" si="156">O7+P5</f>
        <v>#N/A</v>
      </c>
      <c r="Q7" s="86" t="e">
        <f t="shared" si="156"/>
        <v>#N/A</v>
      </c>
      <c r="R7" s="86" t="e">
        <f t="shared" si="156"/>
        <v>#N/A</v>
      </c>
      <c r="S7" s="86" t="e">
        <f t="shared" si="156"/>
        <v>#N/A</v>
      </c>
      <c r="T7" s="86" t="e">
        <f t="shared" si="156"/>
        <v>#N/A</v>
      </c>
      <c r="U7" s="86" t="e">
        <f t="shared" si="156"/>
        <v>#N/A</v>
      </c>
      <c r="V7" s="86" t="e">
        <f t="shared" si="156"/>
        <v>#N/A</v>
      </c>
      <c r="W7" s="86" t="e">
        <f t="shared" si="156"/>
        <v>#N/A</v>
      </c>
      <c r="X7" s="86" t="e">
        <f t="shared" si="156"/>
        <v>#N/A</v>
      </c>
      <c r="Y7" s="86" t="e">
        <f t="shared" si="156"/>
        <v>#N/A</v>
      </c>
      <c r="Z7" s="86" t="e">
        <f t="shared" si="156"/>
        <v>#N/A</v>
      </c>
      <c r="AA7" s="87" t="e">
        <f>Z7</f>
        <v>#N/A</v>
      </c>
      <c r="AB7" s="86" t="e">
        <f>Z7+AB5</f>
        <v>#N/A</v>
      </c>
      <c r="AC7" s="86" t="e">
        <f t="shared" ref="AC7:AM7" si="157">AB7+AC5</f>
        <v>#N/A</v>
      </c>
      <c r="AD7" s="86" t="e">
        <f t="shared" si="157"/>
        <v>#N/A</v>
      </c>
      <c r="AE7" s="86" t="e">
        <f t="shared" si="157"/>
        <v>#N/A</v>
      </c>
      <c r="AF7" s="86" t="e">
        <f t="shared" si="157"/>
        <v>#N/A</v>
      </c>
      <c r="AG7" s="86" t="e">
        <f t="shared" si="157"/>
        <v>#N/A</v>
      </c>
      <c r="AH7" s="86" t="e">
        <f t="shared" si="157"/>
        <v>#N/A</v>
      </c>
      <c r="AI7" s="86" t="e">
        <f t="shared" si="157"/>
        <v>#N/A</v>
      </c>
      <c r="AJ7" s="86" t="e">
        <f t="shared" si="157"/>
        <v>#N/A</v>
      </c>
      <c r="AK7" s="86" t="e">
        <f t="shared" si="157"/>
        <v>#N/A</v>
      </c>
      <c r="AL7" s="86" t="e">
        <f t="shared" si="157"/>
        <v>#N/A</v>
      </c>
      <c r="AM7" s="86" t="e">
        <f t="shared" si="157"/>
        <v>#N/A</v>
      </c>
      <c r="AN7" s="87" t="e">
        <f>AM7</f>
        <v>#N/A</v>
      </c>
      <c r="AO7" s="86" t="e">
        <f>AM7+AO5</f>
        <v>#N/A</v>
      </c>
      <c r="AP7" s="86" t="e">
        <f t="shared" ref="AP7:AZ7" si="158">AO7+AP5</f>
        <v>#N/A</v>
      </c>
      <c r="AQ7" s="86" t="e">
        <f t="shared" si="158"/>
        <v>#N/A</v>
      </c>
      <c r="AR7" s="86" t="e">
        <f t="shared" si="158"/>
        <v>#N/A</v>
      </c>
      <c r="AS7" s="86" t="e">
        <f t="shared" si="158"/>
        <v>#N/A</v>
      </c>
      <c r="AT7" s="86" t="e">
        <f t="shared" si="158"/>
        <v>#N/A</v>
      </c>
      <c r="AU7" s="86" t="e">
        <f t="shared" si="158"/>
        <v>#N/A</v>
      </c>
      <c r="AV7" s="86" t="e">
        <f t="shared" si="158"/>
        <v>#N/A</v>
      </c>
      <c r="AW7" s="86" t="e">
        <f t="shared" si="158"/>
        <v>#N/A</v>
      </c>
      <c r="AX7" s="86" t="e">
        <f t="shared" si="158"/>
        <v>#N/A</v>
      </c>
      <c r="AY7" s="86" t="e">
        <f t="shared" si="158"/>
        <v>#N/A</v>
      </c>
      <c r="AZ7" s="86" t="e">
        <f t="shared" si="158"/>
        <v>#N/A</v>
      </c>
      <c r="BA7" s="87" t="e">
        <f>AZ7</f>
        <v>#N/A</v>
      </c>
      <c r="BB7" s="86" t="e">
        <f>AZ7+BB5</f>
        <v>#N/A</v>
      </c>
      <c r="BC7" s="86" t="e">
        <f t="shared" ref="BC7:BM7" si="159">BB7+BC5</f>
        <v>#N/A</v>
      </c>
      <c r="BD7" s="86" t="e">
        <f t="shared" si="159"/>
        <v>#N/A</v>
      </c>
      <c r="BE7" s="86" t="e">
        <f t="shared" si="159"/>
        <v>#N/A</v>
      </c>
      <c r="BF7" s="86" t="e">
        <f t="shared" si="159"/>
        <v>#N/A</v>
      </c>
      <c r="BG7" s="86" t="e">
        <f t="shared" si="159"/>
        <v>#N/A</v>
      </c>
      <c r="BH7" s="86" t="e">
        <f t="shared" si="159"/>
        <v>#N/A</v>
      </c>
      <c r="BI7" s="86" t="e">
        <f t="shared" si="159"/>
        <v>#N/A</v>
      </c>
      <c r="BJ7" s="86" t="e">
        <f t="shared" si="159"/>
        <v>#N/A</v>
      </c>
      <c r="BK7" s="86" t="e">
        <f t="shared" si="159"/>
        <v>#N/A</v>
      </c>
      <c r="BL7" s="86" t="e">
        <f t="shared" si="159"/>
        <v>#N/A</v>
      </c>
      <c r="BM7" s="86" t="e">
        <f t="shared" si="159"/>
        <v>#N/A</v>
      </c>
      <c r="BN7" s="87" t="e">
        <f>BM7</f>
        <v>#N/A</v>
      </c>
      <c r="BO7" s="86" t="e">
        <f>BM7+BO5</f>
        <v>#N/A</v>
      </c>
      <c r="BP7" s="86" t="e">
        <f t="shared" ref="BP7:BZ7" si="160">BO7+BP5</f>
        <v>#N/A</v>
      </c>
      <c r="BQ7" s="86" t="e">
        <f t="shared" si="160"/>
        <v>#N/A</v>
      </c>
      <c r="BR7" s="86" t="e">
        <f t="shared" si="160"/>
        <v>#N/A</v>
      </c>
      <c r="BS7" s="86" t="e">
        <f t="shared" si="160"/>
        <v>#N/A</v>
      </c>
      <c r="BT7" s="86" t="e">
        <f t="shared" si="160"/>
        <v>#N/A</v>
      </c>
      <c r="BU7" s="86" t="e">
        <f t="shared" si="160"/>
        <v>#N/A</v>
      </c>
      <c r="BV7" s="86" t="e">
        <f t="shared" si="160"/>
        <v>#N/A</v>
      </c>
      <c r="BW7" s="86" t="e">
        <f t="shared" si="160"/>
        <v>#N/A</v>
      </c>
      <c r="BX7" s="86" t="e">
        <f t="shared" si="160"/>
        <v>#N/A</v>
      </c>
      <c r="BY7" s="86" t="e">
        <f t="shared" si="160"/>
        <v>#N/A</v>
      </c>
      <c r="BZ7" s="86" t="e">
        <f t="shared" si="160"/>
        <v>#N/A</v>
      </c>
      <c r="CA7" s="87" t="e">
        <f>BZ7</f>
        <v>#N/A</v>
      </c>
      <c r="CB7" s="86" t="e">
        <f>BZ7+CB5</f>
        <v>#N/A</v>
      </c>
      <c r="CC7" s="86" t="e">
        <f t="shared" ref="CC7:CM7" si="161">CB7+CC5</f>
        <v>#N/A</v>
      </c>
      <c r="CD7" s="86" t="e">
        <f t="shared" si="161"/>
        <v>#N/A</v>
      </c>
      <c r="CE7" s="86" t="e">
        <f t="shared" si="161"/>
        <v>#N/A</v>
      </c>
      <c r="CF7" s="86" t="e">
        <f t="shared" si="161"/>
        <v>#N/A</v>
      </c>
      <c r="CG7" s="86" t="e">
        <f t="shared" si="161"/>
        <v>#N/A</v>
      </c>
      <c r="CH7" s="86" t="e">
        <f t="shared" si="161"/>
        <v>#N/A</v>
      </c>
      <c r="CI7" s="86" t="e">
        <f t="shared" si="161"/>
        <v>#N/A</v>
      </c>
      <c r="CJ7" s="86" t="e">
        <f t="shared" si="161"/>
        <v>#N/A</v>
      </c>
      <c r="CK7" s="86" t="e">
        <f t="shared" si="161"/>
        <v>#N/A</v>
      </c>
      <c r="CL7" s="86" t="e">
        <f t="shared" si="161"/>
        <v>#N/A</v>
      </c>
      <c r="CM7" s="86" t="e">
        <f t="shared" si="161"/>
        <v>#N/A</v>
      </c>
      <c r="CN7" s="87" t="e">
        <f>CM7</f>
        <v>#N/A</v>
      </c>
      <c r="CO7" s="86" t="e">
        <f>CM7+CO5</f>
        <v>#N/A</v>
      </c>
      <c r="CP7" s="86" t="e">
        <f t="shared" ref="CP7:CZ7" si="162">CO7+CP5</f>
        <v>#N/A</v>
      </c>
      <c r="CQ7" s="86" t="e">
        <f t="shared" si="162"/>
        <v>#N/A</v>
      </c>
      <c r="CR7" s="86" t="e">
        <f t="shared" si="162"/>
        <v>#N/A</v>
      </c>
      <c r="CS7" s="86" t="e">
        <f t="shared" si="162"/>
        <v>#N/A</v>
      </c>
      <c r="CT7" s="86" t="e">
        <f t="shared" si="162"/>
        <v>#N/A</v>
      </c>
      <c r="CU7" s="86" t="e">
        <f t="shared" si="162"/>
        <v>#N/A</v>
      </c>
      <c r="CV7" s="86" t="e">
        <f t="shared" si="162"/>
        <v>#N/A</v>
      </c>
      <c r="CW7" s="86" t="e">
        <f t="shared" si="162"/>
        <v>#N/A</v>
      </c>
      <c r="CX7" s="86" t="e">
        <f t="shared" si="162"/>
        <v>#N/A</v>
      </c>
      <c r="CY7" s="86" t="e">
        <f t="shared" si="162"/>
        <v>#N/A</v>
      </c>
      <c r="CZ7" s="86" t="e">
        <f t="shared" si="162"/>
        <v>#N/A</v>
      </c>
      <c r="DA7" s="87" t="e">
        <f>CZ7</f>
        <v>#N/A</v>
      </c>
      <c r="DB7" s="86" t="e">
        <f>CZ7+DB5</f>
        <v>#N/A</v>
      </c>
      <c r="DC7" s="86" t="e">
        <f t="shared" ref="DC7:DM7" si="163">DB7+DC5</f>
        <v>#N/A</v>
      </c>
      <c r="DD7" s="86" t="e">
        <f t="shared" si="163"/>
        <v>#N/A</v>
      </c>
      <c r="DE7" s="86" t="e">
        <f t="shared" si="163"/>
        <v>#N/A</v>
      </c>
      <c r="DF7" s="86" t="e">
        <f t="shared" si="163"/>
        <v>#N/A</v>
      </c>
      <c r="DG7" s="86" t="e">
        <f t="shared" si="163"/>
        <v>#N/A</v>
      </c>
      <c r="DH7" s="86" t="e">
        <f t="shared" si="163"/>
        <v>#N/A</v>
      </c>
      <c r="DI7" s="86" t="e">
        <f t="shared" si="163"/>
        <v>#N/A</v>
      </c>
      <c r="DJ7" s="86" t="e">
        <f t="shared" si="163"/>
        <v>#N/A</v>
      </c>
      <c r="DK7" s="86" t="e">
        <f t="shared" si="163"/>
        <v>#N/A</v>
      </c>
      <c r="DL7" s="86" t="e">
        <f t="shared" si="163"/>
        <v>#N/A</v>
      </c>
      <c r="DM7" s="86" t="e">
        <f t="shared" si="163"/>
        <v>#N/A</v>
      </c>
      <c r="DN7" s="87" t="e">
        <f>DM7</f>
        <v>#N/A</v>
      </c>
      <c r="DO7" s="86" t="e">
        <f>DM7+DO5</f>
        <v>#N/A</v>
      </c>
      <c r="DP7" s="86" t="e">
        <f t="shared" ref="DP7:DZ7" si="164">DO7+DP5</f>
        <v>#N/A</v>
      </c>
      <c r="DQ7" s="86" t="e">
        <f t="shared" si="164"/>
        <v>#N/A</v>
      </c>
      <c r="DR7" s="86" t="e">
        <f t="shared" si="164"/>
        <v>#N/A</v>
      </c>
      <c r="DS7" s="86" t="e">
        <f t="shared" si="164"/>
        <v>#N/A</v>
      </c>
      <c r="DT7" s="86" t="e">
        <f t="shared" si="164"/>
        <v>#N/A</v>
      </c>
      <c r="DU7" s="86" t="e">
        <f t="shared" si="164"/>
        <v>#N/A</v>
      </c>
      <c r="DV7" s="86" t="e">
        <f t="shared" si="164"/>
        <v>#N/A</v>
      </c>
      <c r="DW7" s="86" t="e">
        <f t="shared" si="164"/>
        <v>#N/A</v>
      </c>
      <c r="DX7" s="86" t="e">
        <f t="shared" si="164"/>
        <v>#N/A</v>
      </c>
      <c r="DY7" s="86" t="e">
        <f t="shared" si="164"/>
        <v>#N/A</v>
      </c>
      <c r="DZ7" s="86" t="e">
        <f t="shared" si="164"/>
        <v>#N/A</v>
      </c>
      <c r="EA7" s="87" t="e">
        <f>DZ7</f>
        <v>#N/A</v>
      </c>
      <c r="EB7" s="86" t="e">
        <f>DZ7+EB5</f>
        <v>#N/A</v>
      </c>
      <c r="EC7" s="86" t="e">
        <f t="shared" ref="EC7:EM7" si="165">EB7+EC5</f>
        <v>#N/A</v>
      </c>
      <c r="ED7" s="86" t="e">
        <f t="shared" si="165"/>
        <v>#N/A</v>
      </c>
      <c r="EE7" s="86" t="e">
        <f t="shared" si="165"/>
        <v>#N/A</v>
      </c>
      <c r="EF7" s="86" t="e">
        <f t="shared" si="165"/>
        <v>#N/A</v>
      </c>
      <c r="EG7" s="86" t="e">
        <f t="shared" si="165"/>
        <v>#N/A</v>
      </c>
      <c r="EH7" s="86" t="e">
        <f t="shared" si="165"/>
        <v>#N/A</v>
      </c>
      <c r="EI7" s="86" t="e">
        <f t="shared" si="165"/>
        <v>#N/A</v>
      </c>
      <c r="EJ7" s="86" t="e">
        <f t="shared" si="165"/>
        <v>#N/A</v>
      </c>
      <c r="EK7" s="86" t="e">
        <f t="shared" si="165"/>
        <v>#N/A</v>
      </c>
      <c r="EL7" s="86" t="e">
        <f t="shared" si="165"/>
        <v>#N/A</v>
      </c>
      <c r="EM7" s="86" t="e">
        <f t="shared" si="165"/>
        <v>#N/A</v>
      </c>
      <c r="EN7" s="87" t="e">
        <f>EM7</f>
        <v>#N/A</v>
      </c>
      <c r="EO7" s="86" t="e">
        <f>EM7+EO5</f>
        <v>#N/A</v>
      </c>
      <c r="EP7" s="86" t="e">
        <f t="shared" ref="EP7:EZ7" si="166">EO7+EP5</f>
        <v>#N/A</v>
      </c>
      <c r="EQ7" s="86" t="e">
        <f t="shared" si="166"/>
        <v>#N/A</v>
      </c>
      <c r="ER7" s="86" t="e">
        <f t="shared" si="166"/>
        <v>#N/A</v>
      </c>
      <c r="ES7" s="86" t="e">
        <f t="shared" si="166"/>
        <v>#N/A</v>
      </c>
      <c r="ET7" s="86" t="e">
        <f t="shared" si="166"/>
        <v>#N/A</v>
      </c>
      <c r="EU7" s="86" t="e">
        <f t="shared" si="166"/>
        <v>#N/A</v>
      </c>
      <c r="EV7" s="86" t="e">
        <f t="shared" si="166"/>
        <v>#N/A</v>
      </c>
      <c r="EW7" s="86" t="e">
        <f t="shared" si="166"/>
        <v>#N/A</v>
      </c>
      <c r="EX7" s="86" t="e">
        <f t="shared" si="166"/>
        <v>#N/A</v>
      </c>
      <c r="EY7" s="86" t="e">
        <f t="shared" si="166"/>
        <v>#N/A</v>
      </c>
      <c r="EZ7" s="86" t="e">
        <f t="shared" si="166"/>
        <v>#N/A</v>
      </c>
      <c r="FA7" s="87" t="e">
        <f>EZ7</f>
        <v>#N/A</v>
      </c>
      <c r="FB7" s="86" t="e">
        <f>EZ7+FB5</f>
        <v>#N/A</v>
      </c>
      <c r="FC7" s="86" t="e">
        <f t="shared" ref="FC7:FM7" si="167">FB7+FC5</f>
        <v>#N/A</v>
      </c>
      <c r="FD7" s="86" t="e">
        <f t="shared" si="167"/>
        <v>#N/A</v>
      </c>
      <c r="FE7" s="86" t="e">
        <f t="shared" si="167"/>
        <v>#N/A</v>
      </c>
      <c r="FF7" s="86" t="e">
        <f t="shared" si="167"/>
        <v>#N/A</v>
      </c>
      <c r="FG7" s="86" t="e">
        <f t="shared" si="167"/>
        <v>#N/A</v>
      </c>
      <c r="FH7" s="86" t="e">
        <f t="shared" si="167"/>
        <v>#N/A</v>
      </c>
      <c r="FI7" s="86" t="e">
        <f t="shared" si="167"/>
        <v>#N/A</v>
      </c>
      <c r="FJ7" s="86" t="e">
        <f t="shared" si="167"/>
        <v>#N/A</v>
      </c>
      <c r="FK7" s="86" t="e">
        <f t="shared" si="167"/>
        <v>#N/A</v>
      </c>
      <c r="FL7" s="86" t="e">
        <f t="shared" si="167"/>
        <v>#N/A</v>
      </c>
      <c r="FM7" s="86" t="e">
        <f t="shared" si="167"/>
        <v>#N/A</v>
      </c>
      <c r="FN7" s="87" t="e">
        <f>FM7</f>
        <v>#N/A</v>
      </c>
      <c r="FO7" s="86" t="e">
        <f>FM7+FO5</f>
        <v>#N/A</v>
      </c>
      <c r="FP7" s="86" t="e">
        <f t="shared" ref="FP7:FZ7" si="168">FO7+FP5</f>
        <v>#N/A</v>
      </c>
      <c r="FQ7" s="86" t="e">
        <f t="shared" si="168"/>
        <v>#N/A</v>
      </c>
      <c r="FR7" s="86" t="e">
        <f t="shared" si="168"/>
        <v>#N/A</v>
      </c>
      <c r="FS7" s="86" t="e">
        <f t="shared" si="168"/>
        <v>#N/A</v>
      </c>
      <c r="FT7" s="86" t="e">
        <f t="shared" si="168"/>
        <v>#N/A</v>
      </c>
      <c r="FU7" s="86" t="e">
        <f t="shared" si="168"/>
        <v>#N/A</v>
      </c>
      <c r="FV7" s="86" t="e">
        <f t="shared" si="168"/>
        <v>#N/A</v>
      </c>
      <c r="FW7" s="86" t="e">
        <f t="shared" si="168"/>
        <v>#N/A</v>
      </c>
      <c r="FX7" s="86" t="e">
        <f t="shared" si="168"/>
        <v>#N/A</v>
      </c>
      <c r="FY7" s="86" t="e">
        <f t="shared" si="168"/>
        <v>#N/A</v>
      </c>
      <c r="FZ7" s="86" t="e">
        <f t="shared" si="168"/>
        <v>#N/A</v>
      </c>
      <c r="GA7" s="87" t="e">
        <f>FZ7</f>
        <v>#N/A</v>
      </c>
      <c r="GB7" s="86" t="e">
        <f>FZ7+GB5</f>
        <v>#N/A</v>
      </c>
      <c r="GC7" s="86" t="e">
        <f t="shared" ref="GC7:GM7" si="169">GB7+GC5</f>
        <v>#N/A</v>
      </c>
      <c r="GD7" s="86" t="e">
        <f t="shared" si="169"/>
        <v>#N/A</v>
      </c>
      <c r="GE7" s="86" t="e">
        <f t="shared" si="169"/>
        <v>#N/A</v>
      </c>
      <c r="GF7" s="86" t="e">
        <f t="shared" si="169"/>
        <v>#N/A</v>
      </c>
      <c r="GG7" s="86" t="e">
        <f t="shared" si="169"/>
        <v>#N/A</v>
      </c>
      <c r="GH7" s="86" t="e">
        <f t="shared" si="169"/>
        <v>#N/A</v>
      </c>
      <c r="GI7" s="86" t="e">
        <f t="shared" si="169"/>
        <v>#N/A</v>
      </c>
      <c r="GJ7" s="86" t="e">
        <f t="shared" si="169"/>
        <v>#N/A</v>
      </c>
      <c r="GK7" s="86" t="e">
        <f t="shared" si="169"/>
        <v>#N/A</v>
      </c>
      <c r="GL7" s="86" t="e">
        <f t="shared" si="169"/>
        <v>#N/A</v>
      </c>
      <c r="GM7" s="86" t="e">
        <f t="shared" si="169"/>
        <v>#N/A</v>
      </c>
      <c r="GN7" s="87" t="e">
        <f>GM7</f>
        <v>#N/A</v>
      </c>
      <c r="GO7" s="86" t="e">
        <f>GM7+GO5</f>
        <v>#N/A</v>
      </c>
      <c r="GP7" s="86" t="e">
        <f t="shared" ref="GP7:GZ7" si="170">GO7+GP5</f>
        <v>#N/A</v>
      </c>
      <c r="GQ7" s="86" t="e">
        <f t="shared" si="170"/>
        <v>#N/A</v>
      </c>
      <c r="GR7" s="86" t="e">
        <f t="shared" si="170"/>
        <v>#N/A</v>
      </c>
      <c r="GS7" s="86" t="e">
        <f t="shared" si="170"/>
        <v>#N/A</v>
      </c>
      <c r="GT7" s="86" t="e">
        <f t="shared" si="170"/>
        <v>#N/A</v>
      </c>
      <c r="GU7" s="86" t="e">
        <f t="shared" si="170"/>
        <v>#N/A</v>
      </c>
      <c r="GV7" s="86" t="e">
        <f t="shared" si="170"/>
        <v>#N/A</v>
      </c>
      <c r="GW7" s="86" t="e">
        <f t="shared" si="170"/>
        <v>#N/A</v>
      </c>
      <c r="GX7" s="86" t="e">
        <f t="shared" si="170"/>
        <v>#N/A</v>
      </c>
      <c r="GY7" s="86" t="e">
        <f t="shared" si="170"/>
        <v>#N/A</v>
      </c>
      <c r="GZ7" s="86" t="e">
        <f t="shared" si="170"/>
        <v>#N/A</v>
      </c>
      <c r="HA7" s="87" t="e">
        <f>GZ7</f>
        <v>#N/A</v>
      </c>
      <c r="HB7" s="86" t="e">
        <f>GZ7+HB5</f>
        <v>#N/A</v>
      </c>
      <c r="HC7" s="86" t="e">
        <f t="shared" ref="HC7:HM7" si="171">HB7+HC5</f>
        <v>#N/A</v>
      </c>
      <c r="HD7" s="86" t="e">
        <f t="shared" si="171"/>
        <v>#N/A</v>
      </c>
      <c r="HE7" s="86" t="e">
        <f t="shared" si="171"/>
        <v>#N/A</v>
      </c>
      <c r="HF7" s="86" t="e">
        <f t="shared" si="171"/>
        <v>#N/A</v>
      </c>
      <c r="HG7" s="86" t="e">
        <f t="shared" si="171"/>
        <v>#N/A</v>
      </c>
      <c r="HH7" s="86" t="e">
        <f t="shared" si="171"/>
        <v>#N/A</v>
      </c>
      <c r="HI7" s="86" t="e">
        <f t="shared" si="171"/>
        <v>#N/A</v>
      </c>
      <c r="HJ7" s="86" t="e">
        <f t="shared" si="171"/>
        <v>#N/A</v>
      </c>
      <c r="HK7" s="86" t="e">
        <f t="shared" si="171"/>
        <v>#N/A</v>
      </c>
      <c r="HL7" s="86" t="e">
        <f t="shared" si="171"/>
        <v>#N/A</v>
      </c>
      <c r="HM7" s="86" t="e">
        <f t="shared" si="171"/>
        <v>#N/A</v>
      </c>
      <c r="HN7" s="87" t="e">
        <f>HM7</f>
        <v>#N/A</v>
      </c>
      <c r="HO7" s="86" t="e">
        <f>HM7+HO5</f>
        <v>#N/A</v>
      </c>
      <c r="HP7" s="86" t="e">
        <f t="shared" ref="HP7:HZ7" si="172">HO7+HP5</f>
        <v>#N/A</v>
      </c>
      <c r="HQ7" s="86" t="e">
        <f t="shared" si="172"/>
        <v>#N/A</v>
      </c>
      <c r="HR7" s="86" t="e">
        <f t="shared" si="172"/>
        <v>#N/A</v>
      </c>
      <c r="HS7" s="86" t="e">
        <f t="shared" si="172"/>
        <v>#N/A</v>
      </c>
      <c r="HT7" s="86" t="e">
        <f t="shared" si="172"/>
        <v>#N/A</v>
      </c>
      <c r="HU7" s="86" t="e">
        <f t="shared" si="172"/>
        <v>#N/A</v>
      </c>
      <c r="HV7" s="86" t="e">
        <f t="shared" si="172"/>
        <v>#N/A</v>
      </c>
      <c r="HW7" s="86" t="e">
        <f t="shared" si="172"/>
        <v>#N/A</v>
      </c>
      <c r="HX7" s="86" t="e">
        <f t="shared" si="172"/>
        <v>#N/A</v>
      </c>
      <c r="HY7" s="86" t="e">
        <f t="shared" si="172"/>
        <v>#N/A</v>
      </c>
      <c r="HZ7" s="86" t="e">
        <f t="shared" si="172"/>
        <v>#N/A</v>
      </c>
      <c r="IA7" s="87" t="e">
        <f>HZ7</f>
        <v>#N/A</v>
      </c>
      <c r="IB7" s="86" t="e">
        <f>HZ7+IB5</f>
        <v>#N/A</v>
      </c>
      <c r="IC7" s="86" t="e">
        <f t="shared" ref="IC7:IM7" si="173">IB7+IC5</f>
        <v>#N/A</v>
      </c>
      <c r="ID7" s="86" t="e">
        <f t="shared" si="173"/>
        <v>#N/A</v>
      </c>
      <c r="IE7" s="86" t="e">
        <f t="shared" si="173"/>
        <v>#N/A</v>
      </c>
      <c r="IF7" s="86" t="e">
        <f t="shared" si="173"/>
        <v>#N/A</v>
      </c>
      <c r="IG7" s="86" t="e">
        <f t="shared" si="173"/>
        <v>#N/A</v>
      </c>
      <c r="IH7" s="86" t="e">
        <f t="shared" si="173"/>
        <v>#N/A</v>
      </c>
      <c r="II7" s="86" t="e">
        <f t="shared" si="173"/>
        <v>#N/A</v>
      </c>
      <c r="IJ7" s="86" t="e">
        <f t="shared" si="173"/>
        <v>#N/A</v>
      </c>
      <c r="IK7" s="86" t="e">
        <f t="shared" si="173"/>
        <v>#N/A</v>
      </c>
      <c r="IL7" s="86" t="e">
        <f t="shared" si="173"/>
        <v>#N/A</v>
      </c>
      <c r="IM7" s="86" t="e">
        <f t="shared" si="173"/>
        <v>#N/A</v>
      </c>
      <c r="IN7" s="87" t="e">
        <f>IM7</f>
        <v>#N/A</v>
      </c>
      <c r="IO7" s="86" t="e">
        <f>IM7+IO5</f>
        <v>#N/A</v>
      </c>
      <c r="IP7" s="86" t="e">
        <f t="shared" ref="IP7:IZ7" si="174">IO7+IP5</f>
        <v>#N/A</v>
      </c>
      <c r="IQ7" s="86" t="e">
        <f t="shared" si="174"/>
        <v>#N/A</v>
      </c>
      <c r="IR7" s="86" t="e">
        <f t="shared" si="174"/>
        <v>#N/A</v>
      </c>
      <c r="IS7" s="86" t="e">
        <f t="shared" si="174"/>
        <v>#N/A</v>
      </c>
      <c r="IT7" s="86" t="e">
        <f t="shared" si="174"/>
        <v>#N/A</v>
      </c>
      <c r="IU7" s="86" t="e">
        <f t="shared" si="174"/>
        <v>#N/A</v>
      </c>
      <c r="IV7" s="86" t="e">
        <f t="shared" si="174"/>
        <v>#N/A</v>
      </c>
      <c r="IW7" s="86" t="e">
        <f t="shared" si="174"/>
        <v>#N/A</v>
      </c>
      <c r="IX7" s="86" t="e">
        <f t="shared" si="174"/>
        <v>#N/A</v>
      </c>
      <c r="IY7" s="86" t="e">
        <f t="shared" si="174"/>
        <v>#N/A</v>
      </c>
      <c r="IZ7" s="86" t="e">
        <f t="shared" si="174"/>
        <v>#N/A</v>
      </c>
      <c r="JA7" s="87" t="e">
        <f>IZ7</f>
        <v>#N/A</v>
      </c>
      <c r="JB7" s="86" t="e">
        <f>IZ7+JB5</f>
        <v>#N/A</v>
      </c>
      <c r="JC7" s="86" t="e">
        <f t="shared" ref="JC7:JM7" si="175">JB7+JC5</f>
        <v>#N/A</v>
      </c>
      <c r="JD7" s="86" t="e">
        <f t="shared" si="175"/>
        <v>#N/A</v>
      </c>
      <c r="JE7" s="86" t="e">
        <f t="shared" si="175"/>
        <v>#N/A</v>
      </c>
      <c r="JF7" s="86" t="e">
        <f t="shared" si="175"/>
        <v>#N/A</v>
      </c>
      <c r="JG7" s="86" t="e">
        <f t="shared" si="175"/>
        <v>#N/A</v>
      </c>
      <c r="JH7" s="86" t="e">
        <f t="shared" si="175"/>
        <v>#N/A</v>
      </c>
      <c r="JI7" s="86" t="e">
        <f t="shared" si="175"/>
        <v>#N/A</v>
      </c>
      <c r="JJ7" s="86" t="e">
        <f t="shared" si="175"/>
        <v>#N/A</v>
      </c>
      <c r="JK7" s="86" t="e">
        <f t="shared" si="175"/>
        <v>#N/A</v>
      </c>
      <c r="JL7" s="86" t="e">
        <f t="shared" si="175"/>
        <v>#N/A</v>
      </c>
      <c r="JM7" s="86" t="e">
        <f t="shared" si="175"/>
        <v>#N/A</v>
      </c>
      <c r="JN7" s="87" t="e">
        <f>JM7</f>
        <v>#N/A</v>
      </c>
      <c r="JO7" s="86" t="e">
        <f>JM7+JO5</f>
        <v>#N/A</v>
      </c>
      <c r="JP7" s="86" t="e">
        <f t="shared" ref="JP7:JZ7" si="176">JO7+JP5</f>
        <v>#N/A</v>
      </c>
      <c r="JQ7" s="86" t="e">
        <f t="shared" si="176"/>
        <v>#N/A</v>
      </c>
      <c r="JR7" s="86" t="e">
        <f t="shared" si="176"/>
        <v>#N/A</v>
      </c>
      <c r="JS7" s="86" t="e">
        <f t="shared" si="176"/>
        <v>#N/A</v>
      </c>
      <c r="JT7" s="86" t="e">
        <f t="shared" si="176"/>
        <v>#N/A</v>
      </c>
      <c r="JU7" s="86" t="e">
        <f t="shared" si="176"/>
        <v>#N/A</v>
      </c>
      <c r="JV7" s="86" t="e">
        <f t="shared" si="176"/>
        <v>#N/A</v>
      </c>
      <c r="JW7" s="86" t="e">
        <f t="shared" si="176"/>
        <v>#N/A</v>
      </c>
      <c r="JX7" s="86" t="e">
        <f t="shared" si="176"/>
        <v>#N/A</v>
      </c>
      <c r="JY7" s="86" t="e">
        <f t="shared" si="176"/>
        <v>#N/A</v>
      </c>
      <c r="JZ7" s="86" t="e">
        <f t="shared" si="176"/>
        <v>#N/A</v>
      </c>
      <c r="KA7" s="87" t="e">
        <f>JZ7</f>
        <v>#N/A</v>
      </c>
      <c r="KB7" s="86" t="e">
        <f>JZ7+KB5</f>
        <v>#N/A</v>
      </c>
      <c r="KC7" s="86" t="e">
        <f t="shared" ref="KC7:KM7" si="177">KB7+KC5</f>
        <v>#N/A</v>
      </c>
      <c r="KD7" s="86" t="e">
        <f t="shared" si="177"/>
        <v>#N/A</v>
      </c>
      <c r="KE7" s="86" t="e">
        <f t="shared" si="177"/>
        <v>#N/A</v>
      </c>
      <c r="KF7" s="86" t="e">
        <f t="shared" si="177"/>
        <v>#N/A</v>
      </c>
      <c r="KG7" s="86" t="e">
        <f t="shared" si="177"/>
        <v>#N/A</v>
      </c>
      <c r="KH7" s="86" t="e">
        <f t="shared" si="177"/>
        <v>#N/A</v>
      </c>
      <c r="KI7" s="86" t="e">
        <f t="shared" si="177"/>
        <v>#N/A</v>
      </c>
      <c r="KJ7" s="86" t="e">
        <f t="shared" si="177"/>
        <v>#N/A</v>
      </c>
      <c r="KK7" s="86" t="e">
        <f t="shared" si="177"/>
        <v>#N/A</v>
      </c>
      <c r="KL7" s="86" t="e">
        <f t="shared" si="177"/>
        <v>#N/A</v>
      </c>
      <c r="KM7" s="86" t="e">
        <f t="shared" si="177"/>
        <v>#N/A</v>
      </c>
      <c r="KN7" s="87" t="e">
        <f>KM7</f>
        <v>#N/A</v>
      </c>
      <c r="KO7" s="86" t="e">
        <f>KM7+KO5</f>
        <v>#N/A</v>
      </c>
      <c r="KP7" s="86" t="e">
        <f t="shared" ref="KP7:KZ7" si="178">KO7+KP5</f>
        <v>#N/A</v>
      </c>
      <c r="KQ7" s="86" t="e">
        <f t="shared" si="178"/>
        <v>#N/A</v>
      </c>
      <c r="KR7" s="86" t="e">
        <f t="shared" si="178"/>
        <v>#N/A</v>
      </c>
      <c r="KS7" s="86" t="e">
        <f t="shared" si="178"/>
        <v>#N/A</v>
      </c>
      <c r="KT7" s="86" t="e">
        <f t="shared" si="178"/>
        <v>#N/A</v>
      </c>
      <c r="KU7" s="86" t="e">
        <f t="shared" si="178"/>
        <v>#N/A</v>
      </c>
      <c r="KV7" s="86" t="e">
        <f t="shared" si="178"/>
        <v>#N/A</v>
      </c>
      <c r="KW7" s="86" t="e">
        <f t="shared" si="178"/>
        <v>#N/A</v>
      </c>
      <c r="KX7" s="86" t="e">
        <f t="shared" si="178"/>
        <v>#N/A</v>
      </c>
      <c r="KY7" s="86" t="e">
        <f t="shared" si="178"/>
        <v>#N/A</v>
      </c>
      <c r="KZ7" s="86" t="e">
        <f t="shared" si="178"/>
        <v>#N/A</v>
      </c>
      <c r="LA7" s="87" t="e">
        <f>KZ7</f>
        <v>#N/A</v>
      </c>
      <c r="LB7" s="86" t="e">
        <f>KZ7+LB5</f>
        <v>#N/A</v>
      </c>
      <c r="LC7" s="86" t="e">
        <f t="shared" ref="LC7:LM7" si="179">LB7+LC5</f>
        <v>#N/A</v>
      </c>
      <c r="LD7" s="86" t="e">
        <f t="shared" si="179"/>
        <v>#N/A</v>
      </c>
      <c r="LE7" s="86" t="e">
        <f t="shared" si="179"/>
        <v>#N/A</v>
      </c>
      <c r="LF7" s="86" t="e">
        <f t="shared" si="179"/>
        <v>#N/A</v>
      </c>
      <c r="LG7" s="86" t="e">
        <f t="shared" si="179"/>
        <v>#N/A</v>
      </c>
      <c r="LH7" s="86" t="e">
        <f t="shared" si="179"/>
        <v>#N/A</v>
      </c>
      <c r="LI7" s="86" t="e">
        <f t="shared" si="179"/>
        <v>#N/A</v>
      </c>
      <c r="LJ7" s="86" t="e">
        <f t="shared" si="179"/>
        <v>#N/A</v>
      </c>
      <c r="LK7" s="86" t="e">
        <f t="shared" si="179"/>
        <v>#N/A</v>
      </c>
      <c r="LL7" s="86" t="e">
        <f t="shared" si="179"/>
        <v>#N/A</v>
      </c>
      <c r="LM7" s="86" t="e">
        <f t="shared" si="179"/>
        <v>#N/A</v>
      </c>
      <c r="LN7" s="87" t="e">
        <f>LM7</f>
        <v>#N/A</v>
      </c>
      <c r="LO7" s="86" t="e">
        <f>LM7+LO5</f>
        <v>#N/A</v>
      </c>
      <c r="LP7" s="86" t="e">
        <f t="shared" ref="LP7:LZ7" si="180">LO7+LP5</f>
        <v>#N/A</v>
      </c>
      <c r="LQ7" s="86" t="e">
        <f t="shared" si="180"/>
        <v>#N/A</v>
      </c>
      <c r="LR7" s="86" t="e">
        <f t="shared" si="180"/>
        <v>#N/A</v>
      </c>
      <c r="LS7" s="86" t="e">
        <f t="shared" si="180"/>
        <v>#N/A</v>
      </c>
      <c r="LT7" s="86" t="e">
        <f t="shared" si="180"/>
        <v>#N/A</v>
      </c>
      <c r="LU7" s="86" t="e">
        <f t="shared" si="180"/>
        <v>#N/A</v>
      </c>
      <c r="LV7" s="86" t="e">
        <f t="shared" si="180"/>
        <v>#N/A</v>
      </c>
      <c r="LW7" s="86" t="e">
        <f t="shared" si="180"/>
        <v>#N/A</v>
      </c>
      <c r="LX7" s="86" t="e">
        <f t="shared" si="180"/>
        <v>#N/A</v>
      </c>
      <c r="LY7" s="86" t="e">
        <f t="shared" si="180"/>
        <v>#N/A</v>
      </c>
      <c r="LZ7" s="86" t="e">
        <f t="shared" si="180"/>
        <v>#N/A</v>
      </c>
      <c r="MA7" s="87" t="e">
        <f>LZ7</f>
        <v>#N/A</v>
      </c>
      <c r="MB7" s="86" t="e">
        <f>LZ7+MB5</f>
        <v>#N/A</v>
      </c>
      <c r="MC7" s="86" t="e">
        <f t="shared" ref="MC7:MM7" si="181">MB7+MC5</f>
        <v>#N/A</v>
      </c>
      <c r="MD7" s="86" t="e">
        <f t="shared" si="181"/>
        <v>#N/A</v>
      </c>
      <c r="ME7" s="86" t="e">
        <f t="shared" si="181"/>
        <v>#N/A</v>
      </c>
      <c r="MF7" s="86" t="e">
        <f t="shared" si="181"/>
        <v>#N/A</v>
      </c>
      <c r="MG7" s="86" t="e">
        <f t="shared" si="181"/>
        <v>#N/A</v>
      </c>
      <c r="MH7" s="86" t="e">
        <f t="shared" si="181"/>
        <v>#N/A</v>
      </c>
      <c r="MI7" s="86" t="e">
        <f t="shared" si="181"/>
        <v>#N/A</v>
      </c>
      <c r="MJ7" s="86" t="e">
        <f t="shared" si="181"/>
        <v>#N/A</v>
      </c>
      <c r="MK7" s="86" t="e">
        <f t="shared" si="181"/>
        <v>#N/A</v>
      </c>
      <c r="ML7" s="86" t="e">
        <f t="shared" si="181"/>
        <v>#N/A</v>
      </c>
      <c r="MM7" s="86" t="e">
        <f t="shared" si="181"/>
        <v>#N/A</v>
      </c>
      <c r="MN7" s="87" t="e">
        <f>MM7</f>
        <v>#N/A</v>
      </c>
      <c r="MO7" s="86" t="e">
        <f>MM7+MO5</f>
        <v>#N/A</v>
      </c>
      <c r="MP7" s="86" t="e">
        <f t="shared" ref="MP7:MZ7" si="182">MO7+MP5</f>
        <v>#N/A</v>
      </c>
      <c r="MQ7" s="86" t="e">
        <f t="shared" si="182"/>
        <v>#N/A</v>
      </c>
      <c r="MR7" s="86" t="e">
        <f t="shared" si="182"/>
        <v>#N/A</v>
      </c>
      <c r="MS7" s="86" t="e">
        <f t="shared" si="182"/>
        <v>#N/A</v>
      </c>
      <c r="MT7" s="86" t="e">
        <f t="shared" si="182"/>
        <v>#N/A</v>
      </c>
      <c r="MU7" s="86" t="e">
        <f t="shared" si="182"/>
        <v>#N/A</v>
      </c>
      <c r="MV7" s="86" t="e">
        <f t="shared" si="182"/>
        <v>#N/A</v>
      </c>
      <c r="MW7" s="86" t="e">
        <f t="shared" si="182"/>
        <v>#N/A</v>
      </c>
      <c r="MX7" s="86" t="e">
        <f t="shared" si="182"/>
        <v>#N/A</v>
      </c>
      <c r="MY7" s="86" t="e">
        <f t="shared" si="182"/>
        <v>#N/A</v>
      </c>
      <c r="MZ7" s="86" t="e">
        <f t="shared" si="182"/>
        <v>#N/A</v>
      </c>
      <c r="NA7" s="87" t="e">
        <f>MZ7</f>
        <v>#N/A</v>
      </c>
      <c r="NB7" s="86" t="e">
        <f>MZ7+NB5</f>
        <v>#N/A</v>
      </c>
      <c r="NC7" s="86" t="e">
        <f t="shared" ref="NC7:NM7" si="183">NB7+NC5</f>
        <v>#N/A</v>
      </c>
      <c r="ND7" s="86" t="e">
        <f t="shared" si="183"/>
        <v>#N/A</v>
      </c>
      <c r="NE7" s="86" t="e">
        <f t="shared" si="183"/>
        <v>#N/A</v>
      </c>
      <c r="NF7" s="86" t="e">
        <f t="shared" si="183"/>
        <v>#N/A</v>
      </c>
      <c r="NG7" s="86" t="e">
        <f t="shared" si="183"/>
        <v>#N/A</v>
      </c>
      <c r="NH7" s="86" t="e">
        <f t="shared" si="183"/>
        <v>#N/A</v>
      </c>
      <c r="NI7" s="86" t="e">
        <f t="shared" si="183"/>
        <v>#N/A</v>
      </c>
      <c r="NJ7" s="86" t="e">
        <f t="shared" si="183"/>
        <v>#N/A</v>
      </c>
      <c r="NK7" s="86" t="e">
        <f t="shared" si="183"/>
        <v>#N/A</v>
      </c>
      <c r="NL7" s="86" t="e">
        <f t="shared" si="183"/>
        <v>#N/A</v>
      </c>
      <c r="NM7" s="86" t="e">
        <f t="shared" si="183"/>
        <v>#N/A</v>
      </c>
      <c r="NN7" s="87" t="e">
        <f>NM7</f>
        <v>#N/A</v>
      </c>
      <c r="NO7" s="86" t="e">
        <f>NM7+NO5</f>
        <v>#N/A</v>
      </c>
      <c r="NP7" s="86" t="e">
        <f t="shared" ref="NP7:NZ7" si="184">NO7+NP5</f>
        <v>#N/A</v>
      </c>
      <c r="NQ7" s="86" t="e">
        <f t="shared" si="184"/>
        <v>#N/A</v>
      </c>
      <c r="NR7" s="86" t="e">
        <f t="shared" si="184"/>
        <v>#N/A</v>
      </c>
      <c r="NS7" s="86" t="e">
        <f t="shared" si="184"/>
        <v>#N/A</v>
      </c>
      <c r="NT7" s="86" t="e">
        <f t="shared" si="184"/>
        <v>#N/A</v>
      </c>
      <c r="NU7" s="86" t="e">
        <f t="shared" si="184"/>
        <v>#N/A</v>
      </c>
      <c r="NV7" s="86" t="e">
        <f t="shared" si="184"/>
        <v>#N/A</v>
      </c>
      <c r="NW7" s="86" t="e">
        <f t="shared" si="184"/>
        <v>#N/A</v>
      </c>
      <c r="NX7" s="86" t="e">
        <f t="shared" si="184"/>
        <v>#N/A</v>
      </c>
      <c r="NY7" s="86" t="e">
        <f t="shared" si="184"/>
        <v>#N/A</v>
      </c>
      <c r="NZ7" s="86" t="e">
        <f t="shared" si="184"/>
        <v>#N/A</v>
      </c>
      <c r="OA7" s="87" t="e">
        <f>NZ7</f>
        <v>#N/A</v>
      </c>
      <c r="OB7" s="86" t="e">
        <f>NZ7+OB5</f>
        <v>#N/A</v>
      </c>
      <c r="OC7" s="86" t="e">
        <f t="shared" ref="OC7:OM7" si="185">OB7+OC5</f>
        <v>#N/A</v>
      </c>
      <c r="OD7" s="86" t="e">
        <f t="shared" si="185"/>
        <v>#N/A</v>
      </c>
      <c r="OE7" s="86" t="e">
        <f t="shared" si="185"/>
        <v>#N/A</v>
      </c>
      <c r="OF7" s="86" t="e">
        <f t="shared" si="185"/>
        <v>#N/A</v>
      </c>
      <c r="OG7" s="86" t="e">
        <f t="shared" si="185"/>
        <v>#N/A</v>
      </c>
      <c r="OH7" s="86" t="e">
        <f t="shared" si="185"/>
        <v>#N/A</v>
      </c>
      <c r="OI7" s="86" t="e">
        <f t="shared" si="185"/>
        <v>#N/A</v>
      </c>
      <c r="OJ7" s="86" t="e">
        <f t="shared" si="185"/>
        <v>#N/A</v>
      </c>
      <c r="OK7" s="86" t="e">
        <f t="shared" si="185"/>
        <v>#N/A</v>
      </c>
      <c r="OL7" s="86" t="e">
        <f t="shared" si="185"/>
        <v>#N/A</v>
      </c>
      <c r="OM7" s="86" t="e">
        <f t="shared" si="185"/>
        <v>#N/A</v>
      </c>
      <c r="ON7" s="87" t="e">
        <f>OM7</f>
        <v>#N/A</v>
      </c>
      <c r="OO7" s="86" t="e">
        <f>OM7+OO5</f>
        <v>#N/A</v>
      </c>
      <c r="OP7" s="86" t="e">
        <f t="shared" ref="OP7:OZ7" si="186">OO7+OP5</f>
        <v>#N/A</v>
      </c>
      <c r="OQ7" s="86" t="e">
        <f t="shared" si="186"/>
        <v>#N/A</v>
      </c>
      <c r="OR7" s="86" t="e">
        <f t="shared" si="186"/>
        <v>#N/A</v>
      </c>
      <c r="OS7" s="86" t="e">
        <f t="shared" si="186"/>
        <v>#N/A</v>
      </c>
      <c r="OT7" s="86" t="e">
        <f t="shared" si="186"/>
        <v>#N/A</v>
      </c>
      <c r="OU7" s="86" t="e">
        <f t="shared" si="186"/>
        <v>#N/A</v>
      </c>
      <c r="OV7" s="86" t="e">
        <f t="shared" si="186"/>
        <v>#N/A</v>
      </c>
      <c r="OW7" s="86" t="e">
        <f t="shared" si="186"/>
        <v>#N/A</v>
      </c>
      <c r="OX7" s="86" t="e">
        <f t="shared" si="186"/>
        <v>#N/A</v>
      </c>
      <c r="OY7" s="86" t="e">
        <f t="shared" si="186"/>
        <v>#N/A</v>
      </c>
      <c r="OZ7" s="86" t="e">
        <f t="shared" si="186"/>
        <v>#N/A</v>
      </c>
      <c r="PA7" s="87" t="e">
        <f>OZ7</f>
        <v>#N/A</v>
      </c>
      <c r="PB7" s="86" t="e">
        <f>OZ7+PB5</f>
        <v>#N/A</v>
      </c>
      <c r="PC7" s="86" t="e">
        <f t="shared" ref="PC7:PM7" si="187">PB7+PC5</f>
        <v>#N/A</v>
      </c>
      <c r="PD7" s="86" t="e">
        <f t="shared" si="187"/>
        <v>#N/A</v>
      </c>
      <c r="PE7" s="86" t="e">
        <f t="shared" si="187"/>
        <v>#N/A</v>
      </c>
      <c r="PF7" s="86" t="e">
        <f t="shared" si="187"/>
        <v>#N/A</v>
      </c>
      <c r="PG7" s="86" t="e">
        <f t="shared" si="187"/>
        <v>#N/A</v>
      </c>
      <c r="PH7" s="86" t="e">
        <f t="shared" si="187"/>
        <v>#N/A</v>
      </c>
      <c r="PI7" s="86" t="e">
        <f t="shared" si="187"/>
        <v>#N/A</v>
      </c>
      <c r="PJ7" s="86" t="e">
        <f t="shared" si="187"/>
        <v>#N/A</v>
      </c>
      <c r="PK7" s="86" t="e">
        <f t="shared" si="187"/>
        <v>#N/A</v>
      </c>
      <c r="PL7" s="86" t="e">
        <f t="shared" si="187"/>
        <v>#N/A</v>
      </c>
      <c r="PM7" s="86" t="e">
        <f t="shared" si="187"/>
        <v>#N/A</v>
      </c>
      <c r="PN7" s="87" t="e">
        <f>PM7</f>
        <v>#N/A</v>
      </c>
      <c r="PO7" s="86" t="e">
        <f>PM7+PO5</f>
        <v>#N/A</v>
      </c>
      <c r="PP7" s="86" t="e">
        <f t="shared" ref="PP7:PZ7" si="188">PO7+PP5</f>
        <v>#N/A</v>
      </c>
      <c r="PQ7" s="86" t="e">
        <f t="shared" si="188"/>
        <v>#N/A</v>
      </c>
      <c r="PR7" s="86" t="e">
        <f t="shared" si="188"/>
        <v>#N/A</v>
      </c>
      <c r="PS7" s="86" t="e">
        <f t="shared" si="188"/>
        <v>#N/A</v>
      </c>
      <c r="PT7" s="86" t="e">
        <f t="shared" si="188"/>
        <v>#N/A</v>
      </c>
      <c r="PU7" s="86" t="e">
        <f t="shared" si="188"/>
        <v>#N/A</v>
      </c>
      <c r="PV7" s="86" t="e">
        <f t="shared" si="188"/>
        <v>#N/A</v>
      </c>
      <c r="PW7" s="86" t="e">
        <f t="shared" si="188"/>
        <v>#N/A</v>
      </c>
      <c r="PX7" s="86" t="e">
        <f t="shared" si="188"/>
        <v>#N/A</v>
      </c>
      <c r="PY7" s="86" t="e">
        <f t="shared" si="188"/>
        <v>#N/A</v>
      </c>
      <c r="PZ7" s="86" t="e">
        <f t="shared" si="188"/>
        <v>#N/A</v>
      </c>
      <c r="QA7" s="87" t="e">
        <f>PZ7</f>
        <v>#N/A</v>
      </c>
      <c r="QB7" s="86" t="e">
        <f>PZ7+QB5</f>
        <v>#N/A</v>
      </c>
      <c r="QC7" s="86" t="e">
        <f t="shared" ref="QC7:QM7" si="189">QB7+QC5</f>
        <v>#N/A</v>
      </c>
      <c r="QD7" s="86" t="e">
        <f t="shared" si="189"/>
        <v>#N/A</v>
      </c>
      <c r="QE7" s="86" t="e">
        <f t="shared" si="189"/>
        <v>#N/A</v>
      </c>
      <c r="QF7" s="86" t="e">
        <f t="shared" si="189"/>
        <v>#N/A</v>
      </c>
      <c r="QG7" s="86" t="e">
        <f t="shared" si="189"/>
        <v>#N/A</v>
      </c>
      <c r="QH7" s="86" t="e">
        <f t="shared" si="189"/>
        <v>#N/A</v>
      </c>
      <c r="QI7" s="86" t="e">
        <f t="shared" si="189"/>
        <v>#N/A</v>
      </c>
      <c r="QJ7" s="86" t="e">
        <f t="shared" si="189"/>
        <v>#N/A</v>
      </c>
      <c r="QK7" s="86" t="e">
        <f t="shared" si="189"/>
        <v>#N/A</v>
      </c>
      <c r="QL7" s="86" t="e">
        <f t="shared" si="189"/>
        <v>#N/A</v>
      </c>
      <c r="QM7" s="86" t="e">
        <f t="shared" si="189"/>
        <v>#N/A</v>
      </c>
      <c r="QN7" s="87" t="e">
        <f>QM7</f>
        <v>#N/A</v>
      </c>
      <c r="QO7" s="86" t="e">
        <f>QM7+QO5</f>
        <v>#N/A</v>
      </c>
      <c r="QP7" s="86" t="e">
        <f t="shared" ref="QP7:QZ7" si="190">QO7+QP5</f>
        <v>#N/A</v>
      </c>
      <c r="QQ7" s="86" t="e">
        <f t="shared" si="190"/>
        <v>#N/A</v>
      </c>
      <c r="QR7" s="86" t="e">
        <f t="shared" si="190"/>
        <v>#N/A</v>
      </c>
      <c r="QS7" s="86" t="e">
        <f t="shared" si="190"/>
        <v>#N/A</v>
      </c>
      <c r="QT7" s="86" t="e">
        <f t="shared" si="190"/>
        <v>#N/A</v>
      </c>
      <c r="QU7" s="86" t="e">
        <f t="shared" si="190"/>
        <v>#N/A</v>
      </c>
      <c r="QV7" s="86" t="e">
        <f t="shared" si="190"/>
        <v>#N/A</v>
      </c>
      <c r="QW7" s="86" t="e">
        <f t="shared" si="190"/>
        <v>#N/A</v>
      </c>
      <c r="QX7" s="86" t="e">
        <f t="shared" si="190"/>
        <v>#N/A</v>
      </c>
      <c r="QY7" s="86" t="e">
        <f t="shared" si="190"/>
        <v>#N/A</v>
      </c>
      <c r="QZ7" s="86" t="e">
        <f t="shared" si="190"/>
        <v>#N/A</v>
      </c>
      <c r="RA7" s="87" t="e">
        <f>QZ7</f>
        <v>#N/A</v>
      </c>
      <c r="RB7" s="86" t="e">
        <f>QZ7+RB5</f>
        <v>#N/A</v>
      </c>
      <c r="RC7" s="86" t="e">
        <f t="shared" ref="RC7:RM7" si="191">RB7+RC5</f>
        <v>#N/A</v>
      </c>
      <c r="RD7" s="86" t="e">
        <f t="shared" si="191"/>
        <v>#N/A</v>
      </c>
      <c r="RE7" s="86" t="e">
        <f t="shared" si="191"/>
        <v>#N/A</v>
      </c>
      <c r="RF7" s="86" t="e">
        <f t="shared" si="191"/>
        <v>#N/A</v>
      </c>
      <c r="RG7" s="86" t="e">
        <f t="shared" si="191"/>
        <v>#N/A</v>
      </c>
      <c r="RH7" s="86" t="e">
        <f t="shared" si="191"/>
        <v>#N/A</v>
      </c>
      <c r="RI7" s="86" t="e">
        <f t="shared" si="191"/>
        <v>#N/A</v>
      </c>
      <c r="RJ7" s="86" t="e">
        <f t="shared" si="191"/>
        <v>#N/A</v>
      </c>
      <c r="RK7" s="86" t="e">
        <f t="shared" si="191"/>
        <v>#N/A</v>
      </c>
      <c r="RL7" s="86" t="e">
        <f t="shared" si="191"/>
        <v>#N/A</v>
      </c>
      <c r="RM7" s="86" t="e">
        <f t="shared" si="191"/>
        <v>#N/A</v>
      </c>
      <c r="RN7" s="87" t="e">
        <f>RM7</f>
        <v>#N/A</v>
      </c>
    </row>
    <row r="8" spans="1:482" outlineLevel="1" x14ac:dyDescent="0.3">
      <c r="A8" s="78" t="s">
        <v>235</v>
      </c>
      <c r="B8" s="86" t="e">
        <f>B43</f>
        <v>#N/A</v>
      </c>
      <c r="C8" s="86" t="e">
        <f>C43</f>
        <v>#N/A</v>
      </c>
      <c r="D8" s="86" t="e">
        <f t="shared" ref="D8:M8" si="192">D43</f>
        <v>#N/A</v>
      </c>
      <c r="E8" s="86" t="e">
        <f t="shared" si="192"/>
        <v>#N/A</v>
      </c>
      <c r="F8" s="86" t="e">
        <f t="shared" si="192"/>
        <v>#N/A</v>
      </c>
      <c r="G8" s="86" t="e">
        <f t="shared" si="192"/>
        <v>#N/A</v>
      </c>
      <c r="H8" s="86" t="e">
        <f t="shared" si="192"/>
        <v>#N/A</v>
      </c>
      <c r="I8" s="86" t="e">
        <f t="shared" si="192"/>
        <v>#N/A</v>
      </c>
      <c r="J8" s="86" t="e">
        <f t="shared" si="192"/>
        <v>#N/A</v>
      </c>
      <c r="K8" s="86" t="e">
        <f t="shared" si="192"/>
        <v>#N/A</v>
      </c>
      <c r="L8" s="86" t="e">
        <f t="shared" si="192"/>
        <v>#N/A</v>
      </c>
      <c r="M8" s="86" t="e">
        <f t="shared" si="192"/>
        <v>#N/A</v>
      </c>
      <c r="N8" s="87" t="e">
        <f t="shared" si="37"/>
        <v>#N/A</v>
      </c>
      <c r="O8" s="86" t="e">
        <f t="shared" ref="O8:Z8" si="193">O43</f>
        <v>#N/A</v>
      </c>
      <c r="P8" s="86" t="e">
        <f t="shared" si="193"/>
        <v>#N/A</v>
      </c>
      <c r="Q8" s="86" t="e">
        <f t="shared" si="193"/>
        <v>#N/A</v>
      </c>
      <c r="R8" s="86" t="e">
        <f t="shared" si="193"/>
        <v>#N/A</v>
      </c>
      <c r="S8" s="86" t="e">
        <f t="shared" si="193"/>
        <v>#N/A</v>
      </c>
      <c r="T8" s="86" t="e">
        <f t="shared" si="193"/>
        <v>#N/A</v>
      </c>
      <c r="U8" s="86" t="e">
        <f t="shared" si="193"/>
        <v>#N/A</v>
      </c>
      <c r="V8" s="86" t="e">
        <f t="shared" si="193"/>
        <v>#N/A</v>
      </c>
      <c r="W8" s="86" t="e">
        <f t="shared" si="193"/>
        <v>#N/A</v>
      </c>
      <c r="X8" s="86" t="e">
        <f t="shared" si="193"/>
        <v>#N/A</v>
      </c>
      <c r="Y8" s="86" t="e">
        <f t="shared" si="193"/>
        <v>#N/A</v>
      </c>
      <c r="Z8" s="86" t="e">
        <f t="shared" si="193"/>
        <v>#N/A</v>
      </c>
      <c r="AA8" s="87" t="e">
        <f t="shared" si="39"/>
        <v>#N/A</v>
      </c>
      <c r="AB8" s="86" t="e">
        <f t="shared" ref="AB8:AM8" si="194">AB43</f>
        <v>#N/A</v>
      </c>
      <c r="AC8" s="86" t="e">
        <f t="shared" si="194"/>
        <v>#N/A</v>
      </c>
      <c r="AD8" s="86" t="e">
        <f t="shared" si="194"/>
        <v>#N/A</v>
      </c>
      <c r="AE8" s="86" t="e">
        <f t="shared" si="194"/>
        <v>#N/A</v>
      </c>
      <c r="AF8" s="86" t="e">
        <f t="shared" si="194"/>
        <v>#N/A</v>
      </c>
      <c r="AG8" s="86" t="e">
        <f t="shared" si="194"/>
        <v>#N/A</v>
      </c>
      <c r="AH8" s="86" t="e">
        <f t="shared" si="194"/>
        <v>#N/A</v>
      </c>
      <c r="AI8" s="86" t="e">
        <f t="shared" si="194"/>
        <v>#N/A</v>
      </c>
      <c r="AJ8" s="86" t="e">
        <f t="shared" si="194"/>
        <v>#N/A</v>
      </c>
      <c r="AK8" s="86" t="e">
        <f t="shared" si="194"/>
        <v>#N/A</v>
      </c>
      <c r="AL8" s="86" t="e">
        <f t="shared" si="194"/>
        <v>#N/A</v>
      </c>
      <c r="AM8" s="86" t="e">
        <f t="shared" si="194"/>
        <v>#N/A</v>
      </c>
      <c r="AN8" s="87" t="e">
        <f t="shared" si="41"/>
        <v>#N/A</v>
      </c>
      <c r="AO8" s="86" t="e">
        <f t="shared" ref="AO8:AZ8" si="195">AO43</f>
        <v>#N/A</v>
      </c>
      <c r="AP8" s="86" t="e">
        <f t="shared" si="195"/>
        <v>#N/A</v>
      </c>
      <c r="AQ8" s="86" t="e">
        <f t="shared" si="195"/>
        <v>#N/A</v>
      </c>
      <c r="AR8" s="86" t="e">
        <f t="shared" si="195"/>
        <v>#N/A</v>
      </c>
      <c r="AS8" s="86" t="e">
        <f t="shared" si="195"/>
        <v>#N/A</v>
      </c>
      <c r="AT8" s="86" t="e">
        <f t="shared" si="195"/>
        <v>#N/A</v>
      </c>
      <c r="AU8" s="86" t="e">
        <f t="shared" si="195"/>
        <v>#N/A</v>
      </c>
      <c r="AV8" s="86" t="e">
        <f t="shared" si="195"/>
        <v>#N/A</v>
      </c>
      <c r="AW8" s="86" t="e">
        <f t="shared" si="195"/>
        <v>#N/A</v>
      </c>
      <c r="AX8" s="86" t="e">
        <f t="shared" si="195"/>
        <v>#N/A</v>
      </c>
      <c r="AY8" s="86" t="e">
        <f t="shared" si="195"/>
        <v>#N/A</v>
      </c>
      <c r="AZ8" s="86" t="e">
        <f t="shared" si="195"/>
        <v>#N/A</v>
      </c>
      <c r="BA8" s="87" t="e">
        <f t="shared" si="43"/>
        <v>#N/A</v>
      </c>
      <c r="BB8" s="86" t="e">
        <f t="shared" ref="BB8:BM8" si="196">BB43</f>
        <v>#N/A</v>
      </c>
      <c r="BC8" s="86" t="e">
        <f t="shared" si="196"/>
        <v>#N/A</v>
      </c>
      <c r="BD8" s="86" t="e">
        <f t="shared" si="196"/>
        <v>#N/A</v>
      </c>
      <c r="BE8" s="86" t="e">
        <f t="shared" si="196"/>
        <v>#N/A</v>
      </c>
      <c r="BF8" s="86" t="e">
        <f t="shared" si="196"/>
        <v>#N/A</v>
      </c>
      <c r="BG8" s="86" t="e">
        <f t="shared" si="196"/>
        <v>#N/A</v>
      </c>
      <c r="BH8" s="86" t="e">
        <f t="shared" si="196"/>
        <v>#N/A</v>
      </c>
      <c r="BI8" s="86" t="e">
        <f t="shared" si="196"/>
        <v>#N/A</v>
      </c>
      <c r="BJ8" s="86" t="e">
        <f t="shared" si="196"/>
        <v>#N/A</v>
      </c>
      <c r="BK8" s="86" t="e">
        <f t="shared" si="196"/>
        <v>#N/A</v>
      </c>
      <c r="BL8" s="86" t="e">
        <f t="shared" si="196"/>
        <v>#N/A</v>
      </c>
      <c r="BM8" s="86" t="e">
        <f t="shared" si="196"/>
        <v>#N/A</v>
      </c>
      <c r="BN8" s="87" t="e">
        <f t="shared" si="45"/>
        <v>#N/A</v>
      </c>
      <c r="BO8" s="86" t="e">
        <f t="shared" ref="BO8:BZ8" si="197">BO43</f>
        <v>#N/A</v>
      </c>
      <c r="BP8" s="86" t="e">
        <f t="shared" si="197"/>
        <v>#N/A</v>
      </c>
      <c r="BQ8" s="86" t="e">
        <f t="shared" si="197"/>
        <v>#N/A</v>
      </c>
      <c r="BR8" s="86" t="e">
        <f t="shared" si="197"/>
        <v>#N/A</v>
      </c>
      <c r="BS8" s="86" t="e">
        <f t="shared" si="197"/>
        <v>#N/A</v>
      </c>
      <c r="BT8" s="86" t="e">
        <f t="shared" si="197"/>
        <v>#N/A</v>
      </c>
      <c r="BU8" s="86" t="e">
        <f t="shared" si="197"/>
        <v>#N/A</v>
      </c>
      <c r="BV8" s="86" t="e">
        <f t="shared" si="197"/>
        <v>#N/A</v>
      </c>
      <c r="BW8" s="86" t="e">
        <f t="shared" si="197"/>
        <v>#N/A</v>
      </c>
      <c r="BX8" s="86" t="e">
        <f t="shared" si="197"/>
        <v>#N/A</v>
      </c>
      <c r="BY8" s="86" t="e">
        <f t="shared" si="197"/>
        <v>#N/A</v>
      </c>
      <c r="BZ8" s="86" t="e">
        <f t="shared" si="197"/>
        <v>#N/A</v>
      </c>
      <c r="CA8" s="87" t="e">
        <f t="shared" si="47"/>
        <v>#N/A</v>
      </c>
      <c r="CB8" s="86" t="e">
        <f t="shared" ref="CB8:CM8" si="198">CB43</f>
        <v>#N/A</v>
      </c>
      <c r="CC8" s="86" t="e">
        <f t="shared" si="198"/>
        <v>#N/A</v>
      </c>
      <c r="CD8" s="86" t="e">
        <f t="shared" si="198"/>
        <v>#N/A</v>
      </c>
      <c r="CE8" s="86" t="e">
        <f t="shared" si="198"/>
        <v>#N/A</v>
      </c>
      <c r="CF8" s="86" t="e">
        <f t="shared" si="198"/>
        <v>#N/A</v>
      </c>
      <c r="CG8" s="86" t="e">
        <f t="shared" si="198"/>
        <v>#N/A</v>
      </c>
      <c r="CH8" s="86" t="e">
        <f t="shared" si="198"/>
        <v>#N/A</v>
      </c>
      <c r="CI8" s="86" t="e">
        <f t="shared" si="198"/>
        <v>#N/A</v>
      </c>
      <c r="CJ8" s="86" t="e">
        <f t="shared" si="198"/>
        <v>#N/A</v>
      </c>
      <c r="CK8" s="86" t="e">
        <f t="shared" si="198"/>
        <v>#N/A</v>
      </c>
      <c r="CL8" s="86" t="e">
        <f t="shared" si="198"/>
        <v>#N/A</v>
      </c>
      <c r="CM8" s="86" t="e">
        <f t="shared" si="198"/>
        <v>#N/A</v>
      </c>
      <c r="CN8" s="87" t="e">
        <f t="shared" si="49"/>
        <v>#N/A</v>
      </c>
      <c r="CO8" s="86" t="e">
        <f t="shared" ref="CO8:CZ8" si="199">CO43</f>
        <v>#N/A</v>
      </c>
      <c r="CP8" s="86" t="e">
        <f t="shared" si="199"/>
        <v>#N/A</v>
      </c>
      <c r="CQ8" s="86" t="e">
        <f t="shared" si="199"/>
        <v>#N/A</v>
      </c>
      <c r="CR8" s="86" t="e">
        <f t="shared" si="199"/>
        <v>#N/A</v>
      </c>
      <c r="CS8" s="86" t="e">
        <f t="shared" si="199"/>
        <v>#N/A</v>
      </c>
      <c r="CT8" s="86" t="e">
        <f t="shared" si="199"/>
        <v>#N/A</v>
      </c>
      <c r="CU8" s="86" t="e">
        <f t="shared" si="199"/>
        <v>#N/A</v>
      </c>
      <c r="CV8" s="86" t="e">
        <f t="shared" si="199"/>
        <v>#N/A</v>
      </c>
      <c r="CW8" s="86" t="e">
        <f t="shared" si="199"/>
        <v>#N/A</v>
      </c>
      <c r="CX8" s="86" t="e">
        <f t="shared" si="199"/>
        <v>#N/A</v>
      </c>
      <c r="CY8" s="86" t="e">
        <f t="shared" si="199"/>
        <v>#N/A</v>
      </c>
      <c r="CZ8" s="86" t="e">
        <f t="shared" si="199"/>
        <v>#N/A</v>
      </c>
      <c r="DA8" s="87" t="e">
        <f t="shared" si="51"/>
        <v>#N/A</v>
      </c>
      <c r="DB8" s="86" t="e">
        <f t="shared" ref="DB8:DM8" si="200">DB43</f>
        <v>#N/A</v>
      </c>
      <c r="DC8" s="86" t="e">
        <f t="shared" si="200"/>
        <v>#N/A</v>
      </c>
      <c r="DD8" s="86" t="e">
        <f t="shared" si="200"/>
        <v>#N/A</v>
      </c>
      <c r="DE8" s="86" t="e">
        <f t="shared" si="200"/>
        <v>#N/A</v>
      </c>
      <c r="DF8" s="86" t="e">
        <f t="shared" si="200"/>
        <v>#N/A</v>
      </c>
      <c r="DG8" s="86" t="e">
        <f t="shared" si="200"/>
        <v>#N/A</v>
      </c>
      <c r="DH8" s="86" t="e">
        <f t="shared" si="200"/>
        <v>#N/A</v>
      </c>
      <c r="DI8" s="86" t="e">
        <f t="shared" si="200"/>
        <v>#N/A</v>
      </c>
      <c r="DJ8" s="86" t="e">
        <f t="shared" si="200"/>
        <v>#N/A</v>
      </c>
      <c r="DK8" s="86" t="e">
        <f t="shared" si="200"/>
        <v>#N/A</v>
      </c>
      <c r="DL8" s="86" t="e">
        <f t="shared" si="200"/>
        <v>#N/A</v>
      </c>
      <c r="DM8" s="86" t="e">
        <f t="shared" si="200"/>
        <v>#N/A</v>
      </c>
      <c r="DN8" s="87" t="e">
        <f t="shared" si="53"/>
        <v>#N/A</v>
      </c>
      <c r="DO8" s="86" t="e">
        <f t="shared" ref="DO8:DZ8" si="201">DO43</f>
        <v>#N/A</v>
      </c>
      <c r="DP8" s="86" t="e">
        <f t="shared" si="201"/>
        <v>#N/A</v>
      </c>
      <c r="DQ8" s="86" t="e">
        <f t="shared" si="201"/>
        <v>#N/A</v>
      </c>
      <c r="DR8" s="86" t="e">
        <f t="shared" si="201"/>
        <v>#N/A</v>
      </c>
      <c r="DS8" s="86" t="e">
        <f t="shared" si="201"/>
        <v>#N/A</v>
      </c>
      <c r="DT8" s="86" t="e">
        <f t="shared" si="201"/>
        <v>#N/A</v>
      </c>
      <c r="DU8" s="86" t="e">
        <f t="shared" si="201"/>
        <v>#N/A</v>
      </c>
      <c r="DV8" s="86" t="e">
        <f t="shared" si="201"/>
        <v>#N/A</v>
      </c>
      <c r="DW8" s="86" t="e">
        <f t="shared" si="201"/>
        <v>#N/A</v>
      </c>
      <c r="DX8" s="86" t="e">
        <f t="shared" si="201"/>
        <v>#N/A</v>
      </c>
      <c r="DY8" s="86" t="e">
        <f t="shared" si="201"/>
        <v>#N/A</v>
      </c>
      <c r="DZ8" s="86" t="e">
        <f t="shared" si="201"/>
        <v>#N/A</v>
      </c>
      <c r="EA8" s="87" t="e">
        <f t="shared" si="55"/>
        <v>#N/A</v>
      </c>
      <c r="EB8" s="86" t="e">
        <f t="shared" ref="EB8:EM8" si="202">EB43</f>
        <v>#N/A</v>
      </c>
      <c r="EC8" s="86" t="e">
        <f t="shared" si="202"/>
        <v>#N/A</v>
      </c>
      <c r="ED8" s="86" t="e">
        <f t="shared" si="202"/>
        <v>#N/A</v>
      </c>
      <c r="EE8" s="86" t="e">
        <f t="shared" si="202"/>
        <v>#N/A</v>
      </c>
      <c r="EF8" s="86" t="e">
        <f t="shared" si="202"/>
        <v>#N/A</v>
      </c>
      <c r="EG8" s="86" t="e">
        <f t="shared" si="202"/>
        <v>#N/A</v>
      </c>
      <c r="EH8" s="86" t="e">
        <f t="shared" si="202"/>
        <v>#N/A</v>
      </c>
      <c r="EI8" s="86" t="e">
        <f t="shared" si="202"/>
        <v>#N/A</v>
      </c>
      <c r="EJ8" s="86" t="e">
        <f t="shared" si="202"/>
        <v>#N/A</v>
      </c>
      <c r="EK8" s="86" t="e">
        <f t="shared" si="202"/>
        <v>#N/A</v>
      </c>
      <c r="EL8" s="86" t="e">
        <f t="shared" si="202"/>
        <v>#N/A</v>
      </c>
      <c r="EM8" s="86" t="e">
        <f t="shared" si="202"/>
        <v>#N/A</v>
      </c>
      <c r="EN8" s="87" t="e">
        <f t="shared" si="57"/>
        <v>#N/A</v>
      </c>
      <c r="EO8" s="86" t="e">
        <f t="shared" ref="EO8:EZ8" si="203">EO43</f>
        <v>#N/A</v>
      </c>
      <c r="EP8" s="86" t="e">
        <f t="shared" si="203"/>
        <v>#N/A</v>
      </c>
      <c r="EQ8" s="86" t="e">
        <f t="shared" si="203"/>
        <v>#N/A</v>
      </c>
      <c r="ER8" s="86" t="e">
        <f t="shared" si="203"/>
        <v>#N/A</v>
      </c>
      <c r="ES8" s="86" t="e">
        <f t="shared" si="203"/>
        <v>#N/A</v>
      </c>
      <c r="ET8" s="86" t="e">
        <f t="shared" si="203"/>
        <v>#N/A</v>
      </c>
      <c r="EU8" s="86" t="e">
        <f t="shared" si="203"/>
        <v>#N/A</v>
      </c>
      <c r="EV8" s="86" t="e">
        <f t="shared" si="203"/>
        <v>#N/A</v>
      </c>
      <c r="EW8" s="86" t="e">
        <f t="shared" si="203"/>
        <v>#N/A</v>
      </c>
      <c r="EX8" s="86" t="e">
        <f t="shared" si="203"/>
        <v>#N/A</v>
      </c>
      <c r="EY8" s="86" t="e">
        <f t="shared" si="203"/>
        <v>#N/A</v>
      </c>
      <c r="EZ8" s="86" t="e">
        <f t="shared" si="203"/>
        <v>#N/A</v>
      </c>
      <c r="FA8" s="87" t="e">
        <f t="shared" si="59"/>
        <v>#N/A</v>
      </c>
      <c r="FB8" s="86" t="e">
        <f t="shared" ref="FB8:FM8" si="204">FB43</f>
        <v>#N/A</v>
      </c>
      <c r="FC8" s="86" t="e">
        <f t="shared" si="204"/>
        <v>#N/A</v>
      </c>
      <c r="FD8" s="86" t="e">
        <f t="shared" si="204"/>
        <v>#N/A</v>
      </c>
      <c r="FE8" s="86" t="e">
        <f t="shared" si="204"/>
        <v>#N/A</v>
      </c>
      <c r="FF8" s="86" t="e">
        <f t="shared" si="204"/>
        <v>#N/A</v>
      </c>
      <c r="FG8" s="86" t="e">
        <f t="shared" si="204"/>
        <v>#N/A</v>
      </c>
      <c r="FH8" s="86" t="e">
        <f t="shared" si="204"/>
        <v>#N/A</v>
      </c>
      <c r="FI8" s="86" t="e">
        <f t="shared" si="204"/>
        <v>#N/A</v>
      </c>
      <c r="FJ8" s="86" t="e">
        <f t="shared" si="204"/>
        <v>#N/A</v>
      </c>
      <c r="FK8" s="86" t="e">
        <f t="shared" si="204"/>
        <v>#N/A</v>
      </c>
      <c r="FL8" s="86" t="e">
        <f t="shared" si="204"/>
        <v>#N/A</v>
      </c>
      <c r="FM8" s="86" t="e">
        <f t="shared" si="204"/>
        <v>#N/A</v>
      </c>
      <c r="FN8" s="87" t="e">
        <f t="shared" si="61"/>
        <v>#N/A</v>
      </c>
      <c r="FO8" s="86" t="e">
        <f t="shared" ref="FO8:FZ8" si="205">FO43</f>
        <v>#N/A</v>
      </c>
      <c r="FP8" s="86" t="e">
        <f t="shared" si="205"/>
        <v>#N/A</v>
      </c>
      <c r="FQ8" s="86" t="e">
        <f t="shared" si="205"/>
        <v>#N/A</v>
      </c>
      <c r="FR8" s="86" t="e">
        <f t="shared" si="205"/>
        <v>#N/A</v>
      </c>
      <c r="FS8" s="86" t="e">
        <f t="shared" si="205"/>
        <v>#N/A</v>
      </c>
      <c r="FT8" s="86" t="e">
        <f t="shared" si="205"/>
        <v>#N/A</v>
      </c>
      <c r="FU8" s="86" t="e">
        <f t="shared" si="205"/>
        <v>#N/A</v>
      </c>
      <c r="FV8" s="86" t="e">
        <f t="shared" si="205"/>
        <v>#N/A</v>
      </c>
      <c r="FW8" s="86" t="e">
        <f t="shared" si="205"/>
        <v>#N/A</v>
      </c>
      <c r="FX8" s="86" t="e">
        <f t="shared" si="205"/>
        <v>#N/A</v>
      </c>
      <c r="FY8" s="86" t="e">
        <f t="shared" si="205"/>
        <v>#N/A</v>
      </c>
      <c r="FZ8" s="86" t="e">
        <f t="shared" si="205"/>
        <v>#N/A</v>
      </c>
      <c r="GA8" s="87" t="e">
        <f t="shared" si="63"/>
        <v>#N/A</v>
      </c>
      <c r="GB8" s="86" t="e">
        <f t="shared" ref="GB8:GM8" si="206">GB43</f>
        <v>#N/A</v>
      </c>
      <c r="GC8" s="86" t="e">
        <f t="shared" si="206"/>
        <v>#N/A</v>
      </c>
      <c r="GD8" s="86" t="e">
        <f t="shared" si="206"/>
        <v>#N/A</v>
      </c>
      <c r="GE8" s="86" t="e">
        <f t="shared" si="206"/>
        <v>#N/A</v>
      </c>
      <c r="GF8" s="86" t="e">
        <f t="shared" si="206"/>
        <v>#N/A</v>
      </c>
      <c r="GG8" s="86" t="e">
        <f t="shared" si="206"/>
        <v>#N/A</v>
      </c>
      <c r="GH8" s="86" t="e">
        <f t="shared" si="206"/>
        <v>#N/A</v>
      </c>
      <c r="GI8" s="86" t="e">
        <f t="shared" si="206"/>
        <v>#N/A</v>
      </c>
      <c r="GJ8" s="86" t="e">
        <f t="shared" si="206"/>
        <v>#N/A</v>
      </c>
      <c r="GK8" s="86" t="e">
        <f t="shared" si="206"/>
        <v>#N/A</v>
      </c>
      <c r="GL8" s="86" t="e">
        <f t="shared" si="206"/>
        <v>#N/A</v>
      </c>
      <c r="GM8" s="86" t="e">
        <f t="shared" si="206"/>
        <v>#N/A</v>
      </c>
      <c r="GN8" s="87" t="e">
        <f t="shared" si="65"/>
        <v>#N/A</v>
      </c>
      <c r="GO8" s="86" t="e">
        <f t="shared" ref="GO8:GZ8" si="207">GO43</f>
        <v>#N/A</v>
      </c>
      <c r="GP8" s="86" t="e">
        <f t="shared" si="207"/>
        <v>#N/A</v>
      </c>
      <c r="GQ8" s="86" t="e">
        <f t="shared" si="207"/>
        <v>#N/A</v>
      </c>
      <c r="GR8" s="86" t="e">
        <f t="shared" si="207"/>
        <v>#N/A</v>
      </c>
      <c r="GS8" s="86" t="e">
        <f t="shared" si="207"/>
        <v>#N/A</v>
      </c>
      <c r="GT8" s="86" t="e">
        <f t="shared" si="207"/>
        <v>#N/A</v>
      </c>
      <c r="GU8" s="86" t="e">
        <f t="shared" si="207"/>
        <v>#N/A</v>
      </c>
      <c r="GV8" s="86" t="e">
        <f t="shared" si="207"/>
        <v>#N/A</v>
      </c>
      <c r="GW8" s="86" t="e">
        <f t="shared" si="207"/>
        <v>#N/A</v>
      </c>
      <c r="GX8" s="86" t="e">
        <f t="shared" si="207"/>
        <v>#N/A</v>
      </c>
      <c r="GY8" s="86" t="e">
        <f t="shared" si="207"/>
        <v>#N/A</v>
      </c>
      <c r="GZ8" s="86" t="e">
        <f t="shared" si="207"/>
        <v>#N/A</v>
      </c>
      <c r="HA8" s="87" t="e">
        <f t="shared" si="67"/>
        <v>#N/A</v>
      </c>
      <c r="HB8" s="86" t="e">
        <f t="shared" ref="HB8:HM8" si="208">HB43</f>
        <v>#N/A</v>
      </c>
      <c r="HC8" s="86" t="e">
        <f t="shared" si="208"/>
        <v>#N/A</v>
      </c>
      <c r="HD8" s="86" t="e">
        <f t="shared" si="208"/>
        <v>#N/A</v>
      </c>
      <c r="HE8" s="86" t="e">
        <f t="shared" si="208"/>
        <v>#N/A</v>
      </c>
      <c r="HF8" s="86" t="e">
        <f t="shared" si="208"/>
        <v>#N/A</v>
      </c>
      <c r="HG8" s="86" t="e">
        <f t="shared" si="208"/>
        <v>#N/A</v>
      </c>
      <c r="HH8" s="86" t="e">
        <f t="shared" si="208"/>
        <v>#N/A</v>
      </c>
      <c r="HI8" s="86" t="e">
        <f t="shared" si="208"/>
        <v>#N/A</v>
      </c>
      <c r="HJ8" s="86" t="e">
        <f t="shared" si="208"/>
        <v>#N/A</v>
      </c>
      <c r="HK8" s="86" t="e">
        <f t="shared" si="208"/>
        <v>#N/A</v>
      </c>
      <c r="HL8" s="86" t="e">
        <f t="shared" si="208"/>
        <v>#N/A</v>
      </c>
      <c r="HM8" s="86" t="e">
        <f t="shared" si="208"/>
        <v>#N/A</v>
      </c>
      <c r="HN8" s="87" t="e">
        <f t="shared" si="69"/>
        <v>#N/A</v>
      </c>
      <c r="HO8" s="86" t="e">
        <f t="shared" ref="HO8:HZ8" si="209">HO43</f>
        <v>#N/A</v>
      </c>
      <c r="HP8" s="86" t="e">
        <f t="shared" si="209"/>
        <v>#N/A</v>
      </c>
      <c r="HQ8" s="86" t="e">
        <f t="shared" si="209"/>
        <v>#N/A</v>
      </c>
      <c r="HR8" s="86" t="e">
        <f t="shared" si="209"/>
        <v>#N/A</v>
      </c>
      <c r="HS8" s="86" t="e">
        <f t="shared" si="209"/>
        <v>#N/A</v>
      </c>
      <c r="HT8" s="86" t="e">
        <f t="shared" si="209"/>
        <v>#N/A</v>
      </c>
      <c r="HU8" s="86" t="e">
        <f t="shared" si="209"/>
        <v>#N/A</v>
      </c>
      <c r="HV8" s="86" t="e">
        <f t="shared" si="209"/>
        <v>#N/A</v>
      </c>
      <c r="HW8" s="86" t="e">
        <f t="shared" si="209"/>
        <v>#N/A</v>
      </c>
      <c r="HX8" s="86" t="e">
        <f t="shared" si="209"/>
        <v>#N/A</v>
      </c>
      <c r="HY8" s="86" t="e">
        <f t="shared" si="209"/>
        <v>#N/A</v>
      </c>
      <c r="HZ8" s="86" t="e">
        <f t="shared" si="209"/>
        <v>#N/A</v>
      </c>
      <c r="IA8" s="87" t="e">
        <f t="shared" si="71"/>
        <v>#N/A</v>
      </c>
      <c r="IB8" s="86" t="e">
        <f t="shared" ref="IB8:IM8" si="210">IB43</f>
        <v>#N/A</v>
      </c>
      <c r="IC8" s="86" t="e">
        <f t="shared" si="210"/>
        <v>#N/A</v>
      </c>
      <c r="ID8" s="86" t="e">
        <f t="shared" si="210"/>
        <v>#N/A</v>
      </c>
      <c r="IE8" s="86" t="e">
        <f t="shared" si="210"/>
        <v>#N/A</v>
      </c>
      <c r="IF8" s="86" t="e">
        <f t="shared" si="210"/>
        <v>#N/A</v>
      </c>
      <c r="IG8" s="86" t="e">
        <f t="shared" si="210"/>
        <v>#N/A</v>
      </c>
      <c r="IH8" s="86" t="e">
        <f t="shared" si="210"/>
        <v>#N/A</v>
      </c>
      <c r="II8" s="86" t="e">
        <f t="shared" si="210"/>
        <v>#N/A</v>
      </c>
      <c r="IJ8" s="86" t="e">
        <f t="shared" si="210"/>
        <v>#N/A</v>
      </c>
      <c r="IK8" s="86" t="e">
        <f t="shared" si="210"/>
        <v>#N/A</v>
      </c>
      <c r="IL8" s="86" t="e">
        <f t="shared" si="210"/>
        <v>#N/A</v>
      </c>
      <c r="IM8" s="86" t="e">
        <f t="shared" si="210"/>
        <v>#N/A</v>
      </c>
      <c r="IN8" s="87" t="e">
        <f t="shared" si="73"/>
        <v>#N/A</v>
      </c>
      <c r="IO8" s="86" t="e">
        <f t="shared" ref="IO8:IZ8" si="211">IO43</f>
        <v>#N/A</v>
      </c>
      <c r="IP8" s="86" t="e">
        <f t="shared" si="211"/>
        <v>#N/A</v>
      </c>
      <c r="IQ8" s="86" t="e">
        <f t="shared" si="211"/>
        <v>#N/A</v>
      </c>
      <c r="IR8" s="86" t="e">
        <f t="shared" si="211"/>
        <v>#N/A</v>
      </c>
      <c r="IS8" s="86" t="e">
        <f t="shared" si="211"/>
        <v>#N/A</v>
      </c>
      <c r="IT8" s="86" t="e">
        <f t="shared" si="211"/>
        <v>#N/A</v>
      </c>
      <c r="IU8" s="86" t="e">
        <f t="shared" si="211"/>
        <v>#N/A</v>
      </c>
      <c r="IV8" s="86" t="e">
        <f t="shared" si="211"/>
        <v>#N/A</v>
      </c>
      <c r="IW8" s="86" t="e">
        <f t="shared" si="211"/>
        <v>#N/A</v>
      </c>
      <c r="IX8" s="86" t="e">
        <f t="shared" si="211"/>
        <v>#N/A</v>
      </c>
      <c r="IY8" s="86" t="e">
        <f t="shared" si="211"/>
        <v>#N/A</v>
      </c>
      <c r="IZ8" s="86" t="e">
        <f t="shared" si="211"/>
        <v>#N/A</v>
      </c>
      <c r="JA8" s="87" t="e">
        <f t="shared" si="75"/>
        <v>#N/A</v>
      </c>
      <c r="JB8" s="86" t="e">
        <f t="shared" ref="JB8:JM8" si="212">JB43</f>
        <v>#N/A</v>
      </c>
      <c r="JC8" s="86" t="e">
        <f t="shared" si="212"/>
        <v>#N/A</v>
      </c>
      <c r="JD8" s="86" t="e">
        <f t="shared" si="212"/>
        <v>#N/A</v>
      </c>
      <c r="JE8" s="86" t="e">
        <f t="shared" si="212"/>
        <v>#N/A</v>
      </c>
      <c r="JF8" s="86" t="e">
        <f t="shared" si="212"/>
        <v>#N/A</v>
      </c>
      <c r="JG8" s="86" t="e">
        <f t="shared" si="212"/>
        <v>#N/A</v>
      </c>
      <c r="JH8" s="86" t="e">
        <f t="shared" si="212"/>
        <v>#N/A</v>
      </c>
      <c r="JI8" s="86" t="e">
        <f t="shared" si="212"/>
        <v>#N/A</v>
      </c>
      <c r="JJ8" s="86" t="e">
        <f t="shared" si="212"/>
        <v>#N/A</v>
      </c>
      <c r="JK8" s="86" t="e">
        <f t="shared" si="212"/>
        <v>#N/A</v>
      </c>
      <c r="JL8" s="86" t="e">
        <f t="shared" si="212"/>
        <v>#N/A</v>
      </c>
      <c r="JM8" s="86" t="e">
        <f t="shared" si="212"/>
        <v>#N/A</v>
      </c>
      <c r="JN8" s="87" t="e">
        <f t="shared" si="77"/>
        <v>#N/A</v>
      </c>
      <c r="JO8" s="86" t="e">
        <f t="shared" ref="JO8:JZ8" si="213">JO43</f>
        <v>#N/A</v>
      </c>
      <c r="JP8" s="86" t="e">
        <f t="shared" si="213"/>
        <v>#N/A</v>
      </c>
      <c r="JQ8" s="86" t="e">
        <f t="shared" si="213"/>
        <v>#N/A</v>
      </c>
      <c r="JR8" s="86" t="e">
        <f t="shared" si="213"/>
        <v>#N/A</v>
      </c>
      <c r="JS8" s="86" t="e">
        <f t="shared" si="213"/>
        <v>#N/A</v>
      </c>
      <c r="JT8" s="86" t="e">
        <f t="shared" si="213"/>
        <v>#N/A</v>
      </c>
      <c r="JU8" s="86" t="e">
        <f t="shared" si="213"/>
        <v>#N/A</v>
      </c>
      <c r="JV8" s="86" t="e">
        <f t="shared" si="213"/>
        <v>#N/A</v>
      </c>
      <c r="JW8" s="86" t="e">
        <f t="shared" si="213"/>
        <v>#N/A</v>
      </c>
      <c r="JX8" s="86" t="e">
        <f t="shared" si="213"/>
        <v>#N/A</v>
      </c>
      <c r="JY8" s="86" t="e">
        <f t="shared" si="213"/>
        <v>#N/A</v>
      </c>
      <c r="JZ8" s="86" t="e">
        <f t="shared" si="213"/>
        <v>#N/A</v>
      </c>
      <c r="KA8" s="87" t="e">
        <f t="shared" si="79"/>
        <v>#N/A</v>
      </c>
      <c r="KB8" s="86" t="e">
        <f t="shared" ref="KB8:KM8" si="214">KB43</f>
        <v>#N/A</v>
      </c>
      <c r="KC8" s="86" t="e">
        <f t="shared" si="214"/>
        <v>#N/A</v>
      </c>
      <c r="KD8" s="86" t="e">
        <f t="shared" si="214"/>
        <v>#N/A</v>
      </c>
      <c r="KE8" s="86" t="e">
        <f t="shared" si="214"/>
        <v>#N/A</v>
      </c>
      <c r="KF8" s="86" t="e">
        <f t="shared" si="214"/>
        <v>#N/A</v>
      </c>
      <c r="KG8" s="86" t="e">
        <f t="shared" si="214"/>
        <v>#N/A</v>
      </c>
      <c r="KH8" s="86" t="e">
        <f t="shared" si="214"/>
        <v>#N/A</v>
      </c>
      <c r="KI8" s="86" t="e">
        <f t="shared" si="214"/>
        <v>#N/A</v>
      </c>
      <c r="KJ8" s="86" t="e">
        <f t="shared" si="214"/>
        <v>#N/A</v>
      </c>
      <c r="KK8" s="86" t="e">
        <f t="shared" si="214"/>
        <v>#N/A</v>
      </c>
      <c r="KL8" s="86" t="e">
        <f t="shared" si="214"/>
        <v>#N/A</v>
      </c>
      <c r="KM8" s="86" t="e">
        <f t="shared" si="214"/>
        <v>#N/A</v>
      </c>
      <c r="KN8" s="87" t="e">
        <f t="shared" si="81"/>
        <v>#N/A</v>
      </c>
      <c r="KO8" s="86" t="e">
        <f t="shared" ref="KO8:KZ8" si="215">KO43</f>
        <v>#N/A</v>
      </c>
      <c r="KP8" s="86" t="e">
        <f t="shared" si="215"/>
        <v>#N/A</v>
      </c>
      <c r="KQ8" s="86" t="e">
        <f t="shared" si="215"/>
        <v>#N/A</v>
      </c>
      <c r="KR8" s="86" t="e">
        <f t="shared" si="215"/>
        <v>#N/A</v>
      </c>
      <c r="KS8" s="86" t="e">
        <f t="shared" si="215"/>
        <v>#N/A</v>
      </c>
      <c r="KT8" s="86" t="e">
        <f t="shared" si="215"/>
        <v>#N/A</v>
      </c>
      <c r="KU8" s="86" t="e">
        <f t="shared" si="215"/>
        <v>#N/A</v>
      </c>
      <c r="KV8" s="86" t="e">
        <f t="shared" si="215"/>
        <v>#N/A</v>
      </c>
      <c r="KW8" s="86" t="e">
        <f t="shared" si="215"/>
        <v>#N/A</v>
      </c>
      <c r="KX8" s="86" t="e">
        <f t="shared" si="215"/>
        <v>#N/A</v>
      </c>
      <c r="KY8" s="86" t="e">
        <f t="shared" si="215"/>
        <v>#N/A</v>
      </c>
      <c r="KZ8" s="86" t="e">
        <f t="shared" si="215"/>
        <v>#N/A</v>
      </c>
      <c r="LA8" s="87" t="e">
        <f t="shared" si="83"/>
        <v>#N/A</v>
      </c>
      <c r="LB8" s="86" t="e">
        <f t="shared" ref="LB8:LM8" si="216">LB43</f>
        <v>#N/A</v>
      </c>
      <c r="LC8" s="86" t="e">
        <f t="shared" si="216"/>
        <v>#N/A</v>
      </c>
      <c r="LD8" s="86" t="e">
        <f t="shared" si="216"/>
        <v>#N/A</v>
      </c>
      <c r="LE8" s="86" t="e">
        <f t="shared" si="216"/>
        <v>#N/A</v>
      </c>
      <c r="LF8" s="86" t="e">
        <f t="shared" si="216"/>
        <v>#N/A</v>
      </c>
      <c r="LG8" s="86" t="e">
        <f t="shared" si="216"/>
        <v>#N/A</v>
      </c>
      <c r="LH8" s="86" t="e">
        <f t="shared" si="216"/>
        <v>#N/A</v>
      </c>
      <c r="LI8" s="86" t="e">
        <f t="shared" si="216"/>
        <v>#N/A</v>
      </c>
      <c r="LJ8" s="86" t="e">
        <f t="shared" si="216"/>
        <v>#N/A</v>
      </c>
      <c r="LK8" s="86" t="e">
        <f t="shared" si="216"/>
        <v>#N/A</v>
      </c>
      <c r="LL8" s="86" t="e">
        <f t="shared" si="216"/>
        <v>#N/A</v>
      </c>
      <c r="LM8" s="86" t="e">
        <f t="shared" si="216"/>
        <v>#N/A</v>
      </c>
      <c r="LN8" s="87" t="e">
        <f t="shared" si="85"/>
        <v>#N/A</v>
      </c>
      <c r="LO8" s="86" t="e">
        <f t="shared" ref="LO8:LZ8" si="217">LO43</f>
        <v>#N/A</v>
      </c>
      <c r="LP8" s="86" t="e">
        <f t="shared" si="217"/>
        <v>#N/A</v>
      </c>
      <c r="LQ8" s="86" t="e">
        <f t="shared" si="217"/>
        <v>#N/A</v>
      </c>
      <c r="LR8" s="86" t="e">
        <f t="shared" si="217"/>
        <v>#N/A</v>
      </c>
      <c r="LS8" s="86" t="e">
        <f t="shared" si="217"/>
        <v>#N/A</v>
      </c>
      <c r="LT8" s="86" t="e">
        <f t="shared" si="217"/>
        <v>#N/A</v>
      </c>
      <c r="LU8" s="86" t="e">
        <f t="shared" si="217"/>
        <v>#N/A</v>
      </c>
      <c r="LV8" s="86" t="e">
        <f t="shared" si="217"/>
        <v>#N/A</v>
      </c>
      <c r="LW8" s="86" t="e">
        <f t="shared" si="217"/>
        <v>#N/A</v>
      </c>
      <c r="LX8" s="86" t="e">
        <f t="shared" si="217"/>
        <v>#N/A</v>
      </c>
      <c r="LY8" s="86" t="e">
        <f t="shared" si="217"/>
        <v>#N/A</v>
      </c>
      <c r="LZ8" s="86" t="e">
        <f t="shared" si="217"/>
        <v>#N/A</v>
      </c>
      <c r="MA8" s="87" t="e">
        <f t="shared" si="87"/>
        <v>#N/A</v>
      </c>
      <c r="MB8" s="86" t="e">
        <f t="shared" ref="MB8:MM8" si="218">MB43</f>
        <v>#N/A</v>
      </c>
      <c r="MC8" s="86" t="e">
        <f t="shared" si="218"/>
        <v>#N/A</v>
      </c>
      <c r="MD8" s="86" t="e">
        <f t="shared" si="218"/>
        <v>#N/A</v>
      </c>
      <c r="ME8" s="86" t="e">
        <f t="shared" si="218"/>
        <v>#N/A</v>
      </c>
      <c r="MF8" s="86" t="e">
        <f t="shared" si="218"/>
        <v>#N/A</v>
      </c>
      <c r="MG8" s="86" t="e">
        <f t="shared" si="218"/>
        <v>#N/A</v>
      </c>
      <c r="MH8" s="86" t="e">
        <f t="shared" si="218"/>
        <v>#N/A</v>
      </c>
      <c r="MI8" s="86" t="e">
        <f t="shared" si="218"/>
        <v>#N/A</v>
      </c>
      <c r="MJ8" s="86" t="e">
        <f t="shared" si="218"/>
        <v>#N/A</v>
      </c>
      <c r="MK8" s="86" t="e">
        <f t="shared" si="218"/>
        <v>#N/A</v>
      </c>
      <c r="ML8" s="86" t="e">
        <f t="shared" si="218"/>
        <v>#N/A</v>
      </c>
      <c r="MM8" s="86" t="e">
        <f t="shared" si="218"/>
        <v>#N/A</v>
      </c>
      <c r="MN8" s="87" t="e">
        <f t="shared" si="89"/>
        <v>#N/A</v>
      </c>
      <c r="MO8" s="86" t="e">
        <f t="shared" ref="MO8:MZ8" si="219">MO43</f>
        <v>#N/A</v>
      </c>
      <c r="MP8" s="86" t="e">
        <f t="shared" si="219"/>
        <v>#N/A</v>
      </c>
      <c r="MQ8" s="86" t="e">
        <f t="shared" si="219"/>
        <v>#N/A</v>
      </c>
      <c r="MR8" s="86" t="e">
        <f t="shared" si="219"/>
        <v>#N/A</v>
      </c>
      <c r="MS8" s="86" t="e">
        <f t="shared" si="219"/>
        <v>#N/A</v>
      </c>
      <c r="MT8" s="86" t="e">
        <f t="shared" si="219"/>
        <v>#N/A</v>
      </c>
      <c r="MU8" s="86" t="e">
        <f t="shared" si="219"/>
        <v>#N/A</v>
      </c>
      <c r="MV8" s="86" t="e">
        <f t="shared" si="219"/>
        <v>#N/A</v>
      </c>
      <c r="MW8" s="86" t="e">
        <f t="shared" si="219"/>
        <v>#N/A</v>
      </c>
      <c r="MX8" s="86" t="e">
        <f t="shared" si="219"/>
        <v>#N/A</v>
      </c>
      <c r="MY8" s="86" t="e">
        <f t="shared" si="219"/>
        <v>#N/A</v>
      </c>
      <c r="MZ8" s="86" t="e">
        <f t="shared" si="219"/>
        <v>#N/A</v>
      </c>
      <c r="NA8" s="87" t="e">
        <f t="shared" si="91"/>
        <v>#N/A</v>
      </c>
      <c r="NB8" s="86" t="e">
        <f t="shared" ref="NB8:NM8" si="220">NB43</f>
        <v>#N/A</v>
      </c>
      <c r="NC8" s="86" t="e">
        <f t="shared" si="220"/>
        <v>#N/A</v>
      </c>
      <c r="ND8" s="86" t="e">
        <f t="shared" si="220"/>
        <v>#N/A</v>
      </c>
      <c r="NE8" s="86" t="e">
        <f t="shared" si="220"/>
        <v>#N/A</v>
      </c>
      <c r="NF8" s="86" t="e">
        <f t="shared" si="220"/>
        <v>#N/A</v>
      </c>
      <c r="NG8" s="86" t="e">
        <f t="shared" si="220"/>
        <v>#N/A</v>
      </c>
      <c r="NH8" s="86" t="e">
        <f t="shared" si="220"/>
        <v>#N/A</v>
      </c>
      <c r="NI8" s="86" t="e">
        <f t="shared" si="220"/>
        <v>#N/A</v>
      </c>
      <c r="NJ8" s="86" t="e">
        <f t="shared" si="220"/>
        <v>#N/A</v>
      </c>
      <c r="NK8" s="86" t="e">
        <f t="shared" si="220"/>
        <v>#N/A</v>
      </c>
      <c r="NL8" s="86" t="e">
        <f t="shared" si="220"/>
        <v>#N/A</v>
      </c>
      <c r="NM8" s="86" t="e">
        <f t="shared" si="220"/>
        <v>#N/A</v>
      </c>
      <c r="NN8" s="87" t="e">
        <f t="shared" si="93"/>
        <v>#N/A</v>
      </c>
      <c r="NO8" s="86" t="e">
        <f t="shared" ref="NO8:NZ8" si="221">NO43</f>
        <v>#N/A</v>
      </c>
      <c r="NP8" s="86" t="e">
        <f t="shared" si="221"/>
        <v>#N/A</v>
      </c>
      <c r="NQ8" s="86" t="e">
        <f t="shared" si="221"/>
        <v>#N/A</v>
      </c>
      <c r="NR8" s="86" t="e">
        <f t="shared" si="221"/>
        <v>#N/A</v>
      </c>
      <c r="NS8" s="86" t="e">
        <f t="shared" si="221"/>
        <v>#N/A</v>
      </c>
      <c r="NT8" s="86" t="e">
        <f t="shared" si="221"/>
        <v>#N/A</v>
      </c>
      <c r="NU8" s="86" t="e">
        <f t="shared" si="221"/>
        <v>#N/A</v>
      </c>
      <c r="NV8" s="86" t="e">
        <f t="shared" si="221"/>
        <v>#N/A</v>
      </c>
      <c r="NW8" s="86" t="e">
        <f t="shared" si="221"/>
        <v>#N/A</v>
      </c>
      <c r="NX8" s="86" t="e">
        <f t="shared" si="221"/>
        <v>#N/A</v>
      </c>
      <c r="NY8" s="86" t="e">
        <f t="shared" si="221"/>
        <v>#N/A</v>
      </c>
      <c r="NZ8" s="86" t="e">
        <f t="shared" si="221"/>
        <v>#N/A</v>
      </c>
      <c r="OA8" s="87" t="e">
        <f t="shared" si="95"/>
        <v>#N/A</v>
      </c>
      <c r="OB8" s="86" t="e">
        <f t="shared" ref="OB8:OM8" si="222">OB43</f>
        <v>#N/A</v>
      </c>
      <c r="OC8" s="86" t="e">
        <f t="shared" si="222"/>
        <v>#N/A</v>
      </c>
      <c r="OD8" s="86" t="e">
        <f t="shared" si="222"/>
        <v>#N/A</v>
      </c>
      <c r="OE8" s="86" t="e">
        <f t="shared" si="222"/>
        <v>#N/A</v>
      </c>
      <c r="OF8" s="86" t="e">
        <f t="shared" si="222"/>
        <v>#N/A</v>
      </c>
      <c r="OG8" s="86" t="e">
        <f t="shared" si="222"/>
        <v>#N/A</v>
      </c>
      <c r="OH8" s="86" t="e">
        <f t="shared" si="222"/>
        <v>#N/A</v>
      </c>
      <c r="OI8" s="86" t="e">
        <f t="shared" si="222"/>
        <v>#N/A</v>
      </c>
      <c r="OJ8" s="86" t="e">
        <f t="shared" si="222"/>
        <v>#N/A</v>
      </c>
      <c r="OK8" s="86" t="e">
        <f t="shared" si="222"/>
        <v>#N/A</v>
      </c>
      <c r="OL8" s="86" t="e">
        <f t="shared" si="222"/>
        <v>#N/A</v>
      </c>
      <c r="OM8" s="86" t="e">
        <f t="shared" si="222"/>
        <v>#N/A</v>
      </c>
      <c r="ON8" s="87" t="e">
        <f t="shared" si="97"/>
        <v>#N/A</v>
      </c>
      <c r="OO8" s="86" t="e">
        <f t="shared" ref="OO8:OZ8" si="223">OO43</f>
        <v>#N/A</v>
      </c>
      <c r="OP8" s="86" t="e">
        <f t="shared" si="223"/>
        <v>#N/A</v>
      </c>
      <c r="OQ8" s="86" t="e">
        <f t="shared" si="223"/>
        <v>#N/A</v>
      </c>
      <c r="OR8" s="86" t="e">
        <f t="shared" si="223"/>
        <v>#N/A</v>
      </c>
      <c r="OS8" s="86" t="e">
        <f t="shared" si="223"/>
        <v>#N/A</v>
      </c>
      <c r="OT8" s="86" t="e">
        <f t="shared" si="223"/>
        <v>#N/A</v>
      </c>
      <c r="OU8" s="86" t="e">
        <f t="shared" si="223"/>
        <v>#N/A</v>
      </c>
      <c r="OV8" s="86" t="e">
        <f t="shared" si="223"/>
        <v>#N/A</v>
      </c>
      <c r="OW8" s="86" t="e">
        <f t="shared" si="223"/>
        <v>#N/A</v>
      </c>
      <c r="OX8" s="86" t="e">
        <f t="shared" si="223"/>
        <v>#N/A</v>
      </c>
      <c r="OY8" s="86" t="e">
        <f t="shared" si="223"/>
        <v>#N/A</v>
      </c>
      <c r="OZ8" s="86" t="e">
        <f t="shared" si="223"/>
        <v>#N/A</v>
      </c>
      <c r="PA8" s="87" t="e">
        <f t="shared" ref="PA8:PA9" si="224">SUM(OO8:OZ8)</f>
        <v>#N/A</v>
      </c>
      <c r="PB8" s="86" t="e">
        <f t="shared" ref="PB8:PM8" si="225">PB43</f>
        <v>#N/A</v>
      </c>
      <c r="PC8" s="86" t="e">
        <f t="shared" si="225"/>
        <v>#N/A</v>
      </c>
      <c r="PD8" s="86" t="e">
        <f t="shared" si="225"/>
        <v>#N/A</v>
      </c>
      <c r="PE8" s="86" t="e">
        <f t="shared" si="225"/>
        <v>#N/A</v>
      </c>
      <c r="PF8" s="86" t="e">
        <f t="shared" si="225"/>
        <v>#N/A</v>
      </c>
      <c r="PG8" s="86" t="e">
        <f t="shared" si="225"/>
        <v>#N/A</v>
      </c>
      <c r="PH8" s="86" t="e">
        <f t="shared" si="225"/>
        <v>#N/A</v>
      </c>
      <c r="PI8" s="86" t="e">
        <f t="shared" si="225"/>
        <v>#N/A</v>
      </c>
      <c r="PJ8" s="86" t="e">
        <f t="shared" si="225"/>
        <v>#N/A</v>
      </c>
      <c r="PK8" s="86" t="e">
        <f t="shared" si="225"/>
        <v>#N/A</v>
      </c>
      <c r="PL8" s="86" t="e">
        <f t="shared" si="225"/>
        <v>#N/A</v>
      </c>
      <c r="PM8" s="86" t="e">
        <f t="shared" si="225"/>
        <v>#N/A</v>
      </c>
      <c r="PN8" s="87" t="e">
        <f t="shared" ref="PN8:PN9" si="226">SUM(PB8:PM8)</f>
        <v>#N/A</v>
      </c>
      <c r="PO8" s="86" t="e">
        <f t="shared" ref="PO8:PZ8" si="227">PO43</f>
        <v>#N/A</v>
      </c>
      <c r="PP8" s="86" t="e">
        <f t="shared" si="227"/>
        <v>#N/A</v>
      </c>
      <c r="PQ8" s="86" t="e">
        <f t="shared" si="227"/>
        <v>#N/A</v>
      </c>
      <c r="PR8" s="86" t="e">
        <f t="shared" si="227"/>
        <v>#N/A</v>
      </c>
      <c r="PS8" s="86" t="e">
        <f t="shared" si="227"/>
        <v>#N/A</v>
      </c>
      <c r="PT8" s="86" t="e">
        <f t="shared" si="227"/>
        <v>#N/A</v>
      </c>
      <c r="PU8" s="86" t="e">
        <f t="shared" si="227"/>
        <v>#N/A</v>
      </c>
      <c r="PV8" s="86" t="e">
        <f t="shared" si="227"/>
        <v>#N/A</v>
      </c>
      <c r="PW8" s="86" t="e">
        <f t="shared" si="227"/>
        <v>#N/A</v>
      </c>
      <c r="PX8" s="86" t="e">
        <f t="shared" si="227"/>
        <v>#N/A</v>
      </c>
      <c r="PY8" s="86" t="e">
        <f t="shared" si="227"/>
        <v>#N/A</v>
      </c>
      <c r="PZ8" s="86" t="e">
        <f t="shared" si="227"/>
        <v>#N/A</v>
      </c>
      <c r="QA8" s="87" t="e">
        <f t="shared" ref="QA8:QA9" si="228">SUM(PO8:PZ8)</f>
        <v>#N/A</v>
      </c>
      <c r="QB8" s="86" t="e">
        <f t="shared" ref="QB8:QM8" si="229">QB43</f>
        <v>#N/A</v>
      </c>
      <c r="QC8" s="86" t="e">
        <f t="shared" si="229"/>
        <v>#N/A</v>
      </c>
      <c r="QD8" s="86" t="e">
        <f t="shared" si="229"/>
        <v>#N/A</v>
      </c>
      <c r="QE8" s="86" t="e">
        <f t="shared" si="229"/>
        <v>#N/A</v>
      </c>
      <c r="QF8" s="86" t="e">
        <f t="shared" si="229"/>
        <v>#N/A</v>
      </c>
      <c r="QG8" s="86" t="e">
        <f t="shared" si="229"/>
        <v>#N/A</v>
      </c>
      <c r="QH8" s="86" t="e">
        <f t="shared" si="229"/>
        <v>#N/A</v>
      </c>
      <c r="QI8" s="86" t="e">
        <f t="shared" si="229"/>
        <v>#N/A</v>
      </c>
      <c r="QJ8" s="86" t="e">
        <f t="shared" si="229"/>
        <v>#N/A</v>
      </c>
      <c r="QK8" s="86" t="e">
        <f t="shared" si="229"/>
        <v>#N/A</v>
      </c>
      <c r="QL8" s="86" t="e">
        <f t="shared" si="229"/>
        <v>#N/A</v>
      </c>
      <c r="QM8" s="86" t="e">
        <f t="shared" si="229"/>
        <v>#N/A</v>
      </c>
      <c r="QN8" s="87" t="e">
        <f t="shared" ref="QN8:QN9" si="230">SUM(QB8:QM8)</f>
        <v>#N/A</v>
      </c>
      <c r="QO8" s="86" t="e">
        <f t="shared" ref="QO8:QZ8" si="231">QO43</f>
        <v>#N/A</v>
      </c>
      <c r="QP8" s="86" t="e">
        <f t="shared" si="231"/>
        <v>#N/A</v>
      </c>
      <c r="QQ8" s="86" t="e">
        <f t="shared" si="231"/>
        <v>#N/A</v>
      </c>
      <c r="QR8" s="86" t="e">
        <f t="shared" si="231"/>
        <v>#N/A</v>
      </c>
      <c r="QS8" s="86" t="e">
        <f t="shared" si="231"/>
        <v>#N/A</v>
      </c>
      <c r="QT8" s="86" t="e">
        <f t="shared" si="231"/>
        <v>#N/A</v>
      </c>
      <c r="QU8" s="86" t="e">
        <f t="shared" si="231"/>
        <v>#N/A</v>
      </c>
      <c r="QV8" s="86" t="e">
        <f t="shared" si="231"/>
        <v>#N/A</v>
      </c>
      <c r="QW8" s="86" t="e">
        <f t="shared" si="231"/>
        <v>#N/A</v>
      </c>
      <c r="QX8" s="86" t="e">
        <f t="shared" si="231"/>
        <v>#N/A</v>
      </c>
      <c r="QY8" s="86" t="e">
        <f t="shared" si="231"/>
        <v>#N/A</v>
      </c>
      <c r="QZ8" s="86" t="e">
        <f t="shared" si="231"/>
        <v>#N/A</v>
      </c>
      <c r="RA8" s="87" t="e">
        <f t="shared" ref="RA8:RA9" si="232">SUM(QO8:QZ8)</f>
        <v>#N/A</v>
      </c>
      <c r="RB8" s="86" t="e">
        <f t="shared" ref="RB8:RM8" si="233">RB43</f>
        <v>#N/A</v>
      </c>
      <c r="RC8" s="86" t="e">
        <f t="shared" si="233"/>
        <v>#N/A</v>
      </c>
      <c r="RD8" s="86" t="e">
        <f t="shared" si="233"/>
        <v>#N/A</v>
      </c>
      <c r="RE8" s="86" t="e">
        <f t="shared" si="233"/>
        <v>#N/A</v>
      </c>
      <c r="RF8" s="86" t="e">
        <f t="shared" si="233"/>
        <v>#N/A</v>
      </c>
      <c r="RG8" s="86" t="e">
        <f t="shared" si="233"/>
        <v>#N/A</v>
      </c>
      <c r="RH8" s="86" t="e">
        <f t="shared" si="233"/>
        <v>#N/A</v>
      </c>
      <c r="RI8" s="86" t="e">
        <f t="shared" si="233"/>
        <v>#N/A</v>
      </c>
      <c r="RJ8" s="86" t="e">
        <f t="shared" si="233"/>
        <v>#N/A</v>
      </c>
      <c r="RK8" s="86" t="e">
        <f t="shared" si="233"/>
        <v>#N/A</v>
      </c>
      <c r="RL8" s="86" t="e">
        <f t="shared" si="233"/>
        <v>#N/A</v>
      </c>
      <c r="RM8" s="86" t="e">
        <f t="shared" si="233"/>
        <v>#N/A</v>
      </c>
      <c r="RN8" s="87" t="e">
        <f t="shared" ref="RN8:RN9" si="234">SUM(RB8:RM8)</f>
        <v>#N/A</v>
      </c>
    </row>
    <row r="9" spans="1:482" outlineLevel="1" x14ac:dyDescent="0.3">
      <c r="A9" s="78" t="s">
        <v>236</v>
      </c>
      <c r="B9" s="86" t="e">
        <f>B8</f>
        <v>#N/A</v>
      </c>
      <c r="C9" s="86" t="e">
        <f>C8+(C10-B10)</f>
        <v>#N/A</v>
      </c>
      <c r="D9" s="86" t="e">
        <f t="shared" ref="D9:Z9" si="235">D8+(D10-C10)</f>
        <v>#N/A</v>
      </c>
      <c r="E9" s="86" t="e">
        <f t="shared" si="235"/>
        <v>#N/A</v>
      </c>
      <c r="F9" s="86" t="e">
        <f t="shared" si="235"/>
        <v>#N/A</v>
      </c>
      <c r="G9" s="86" t="e">
        <f t="shared" si="235"/>
        <v>#N/A</v>
      </c>
      <c r="H9" s="86" t="e">
        <f t="shared" si="235"/>
        <v>#N/A</v>
      </c>
      <c r="I9" s="86" t="e">
        <f t="shared" si="235"/>
        <v>#N/A</v>
      </c>
      <c r="J9" s="86" t="e">
        <f t="shared" si="235"/>
        <v>#N/A</v>
      </c>
      <c r="K9" s="86" t="e">
        <f t="shared" si="235"/>
        <v>#N/A</v>
      </c>
      <c r="L9" s="86" t="e">
        <f t="shared" si="235"/>
        <v>#N/A</v>
      </c>
      <c r="M9" s="86" t="e">
        <f t="shared" si="235"/>
        <v>#N/A</v>
      </c>
      <c r="N9" s="87" t="e">
        <f t="shared" si="37"/>
        <v>#N/A</v>
      </c>
      <c r="O9" s="86" t="e">
        <f>O8+(O10-M10)</f>
        <v>#N/A</v>
      </c>
      <c r="P9" s="86" t="e">
        <f t="shared" si="235"/>
        <v>#N/A</v>
      </c>
      <c r="Q9" s="86" t="e">
        <f t="shared" si="235"/>
        <v>#N/A</v>
      </c>
      <c r="R9" s="86" t="e">
        <f t="shared" si="235"/>
        <v>#N/A</v>
      </c>
      <c r="S9" s="86" t="e">
        <f t="shared" si="235"/>
        <v>#N/A</v>
      </c>
      <c r="T9" s="86" t="e">
        <f t="shared" si="235"/>
        <v>#N/A</v>
      </c>
      <c r="U9" s="86" t="e">
        <f t="shared" si="235"/>
        <v>#N/A</v>
      </c>
      <c r="V9" s="86" t="e">
        <f t="shared" si="235"/>
        <v>#N/A</v>
      </c>
      <c r="W9" s="86" t="e">
        <f t="shared" si="235"/>
        <v>#N/A</v>
      </c>
      <c r="X9" s="86" t="e">
        <f t="shared" si="235"/>
        <v>#N/A</v>
      </c>
      <c r="Y9" s="86" t="e">
        <f t="shared" si="235"/>
        <v>#N/A</v>
      </c>
      <c r="Z9" s="86" t="e">
        <f t="shared" si="235"/>
        <v>#N/A</v>
      </c>
      <c r="AA9" s="87" t="e">
        <f t="shared" si="39"/>
        <v>#N/A</v>
      </c>
      <c r="AB9" s="86" t="e">
        <f>AB8+(AB10-Z10)</f>
        <v>#N/A</v>
      </c>
      <c r="AC9" s="86" t="e">
        <f t="shared" ref="AC9:AM9" si="236">AC8+(AC10-AB10)</f>
        <v>#N/A</v>
      </c>
      <c r="AD9" s="86" t="e">
        <f t="shared" si="236"/>
        <v>#N/A</v>
      </c>
      <c r="AE9" s="86" t="e">
        <f t="shared" si="236"/>
        <v>#N/A</v>
      </c>
      <c r="AF9" s="86" t="e">
        <f t="shared" si="236"/>
        <v>#N/A</v>
      </c>
      <c r="AG9" s="86" t="e">
        <f t="shared" si="236"/>
        <v>#N/A</v>
      </c>
      <c r="AH9" s="86" t="e">
        <f t="shared" si="236"/>
        <v>#N/A</v>
      </c>
      <c r="AI9" s="86" t="e">
        <f t="shared" si="236"/>
        <v>#N/A</v>
      </c>
      <c r="AJ9" s="86" t="e">
        <f t="shared" si="236"/>
        <v>#N/A</v>
      </c>
      <c r="AK9" s="86" t="e">
        <f t="shared" si="236"/>
        <v>#N/A</v>
      </c>
      <c r="AL9" s="86" t="e">
        <f t="shared" si="236"/>
        <v>#N/A</v>
      </c>
      <c r="AM9" s="86" t="e">
        <f t="shared" si="236"/>
        <v>#N/A</v>
      </c>
      <c r="AN9" s="87" t="e">
        <f t="shared" si="41"/>
        <v>#N/A</v>
      </c>
      <c r="AO9" s="86" t="e">
        <f>AO8+(AO10-AM10)</f>
        <v>#N/A</v>
      </c>
      <c r="AP9" s="86" t="e">
        <f t="shared" ref="AP9:AZ9" si="237">AP8+(AP10-AO10)</f>
        <v>#N/A</v>
      </c>
      <c r="AQ9" s="86" t="e">
        <f t="shared" si="237"/>
        <v>#N/A</v>
      </c>
      <c r="AR9" s="86" t="e">
        <f t="shared" si="237"/>
        <v>#N/A</v>
      </c>
      <c r="AS9" s="86" t="e">
        <f t="shared" si="237"/>
        <v>#N/A</v>
      </c>
      <c r="AT9" s="86" t="e">
        <f t="shared" si="237"/>
        <v>#N/A</v>
      </c>
      <c r="AU9" s="86" t="e">
        <f t="shared" si="237"/>
        <v>#N/A</v>
      </c>
      <c r="AV9" s="86" t="e">
        <f t="shared" si="237"/>
        <v>#N/A</v>
      </c>
      <c r="AW9" s="86" t="e">
        <f t="shared" si="237"/>
        <v>#N/A</v>
      </c>
      <c r="AX9" s="86" t="e">
        <f t="shared" si="237"/>
        <v>#N/A</v>
      </c>
      <c r="AY9" s="86" t="e">
        <f t="shared" si="237"/>
        <v>#N/A</v>
      </c>
      <c r="AZ9" s="86" t="e">
        <f t="shared" si="237"/>
        <v>#N/A</v>
      </c>
      <c r="BA9" s="87" t="e">
        <f t="shared" si="43"/>
        <v>#N/A</v>
      </c>
      <c r="BB9" s="86" t="e">
        <f>BB8+(BB10-AZ10)</f>
        <v>#N/A</v>
      </c>
      <c r="BC9" s="86" t="e">
        <f t="shared" ref="BC9:BM9" si="238">BC8+(BC10-BB10)</f>
        <v>#N/A</v>
      </c>
      <c r="BD9" s="86" t="e">
        <f t="shared" si="238"/>
        <v>#N/A</v>
      </c>
      <c r="BE9" s="86" t="e">
        <f t="shared" si="238"/>
        <v>#N/A</v>
      </c>
      <c r="BF9" s="86" t="e">
        <f t="shared" si="238"/>
        <v>#N/A</v>
      </c>
      <c r="BG9" s="86" t="e">
        <f t="shared" si="238"/>
        <v>#N/A</v>
      </c>
      <c r="BH9" s="86" t="e">
        <f t="shared" si="238"/>
        <v>#N/A</v>
      </c>
      <c r="BI9" s="86" t="e">
        <f t="shared" si="238"/>
        <v>#N/A</v>
      </c>
      <c r="BJ9" s="86" t="e">
        <f t="shared" si="238"/>
        <v>#N/A</v>
      </c>
      <c r="BK9" s="86" t="e">
        <f t="shared" si="238"/>
        <v>#N/A</v>
      </c>
      <c r="BL9" s="86" t="e">
        <f t="shared" si="238"/>
        <v>#N/A</v>
      </c>
      <c r="BM9" s="86" t="e">
        <f t="shared" si="238"/>
        <v>#N/A</v>
      </c>
      <c r="BN9" s="87" t="e">
        <f t="shared" si="45"/>
        <v>#N/A</v>
      </c>
      <c r="BO9" s="86" t="e">
        <f>BO8+(BO10-BM10)</f>
        <v>#N/A</v>
      </c>
      <c r="BP9" s="86" t="e">
        <f t="shared" ref="BP9:BZ9" si="239">BP8+(BP10-BO10)</f>
        <v>#N/A</v>
      </c>
      <c r="BQ9" s="86" t="e">
        <f t="shared" si="239"/>
        <v>#N/A</v>
      </c>
      <c r="BR9" s="86" t="e">
        <f t="shared" si="239"/>
        <v>#N/A</v>
      </c>
      <c r="BS9" s="86" t="e">
        <f t="shared" si="239"/>
        <v>#N/A</v>
      </c>
      <c r="BT9" s="86" t="e">
        <f t="shared" si="239"/>
        <v>#N/A</v>
      </c>
      <c r="BU9" s="86" t="e">
        <f t="shared" si="239"/>
        <v>#N/A</v>
      </c>
      <c r="BV9" s="86" t="e">
        <f t="shared" si="239"/>
        <v>#N/A</v>
      </c>
      <c r="BW9" s="86" t="e">
        <f t="shared" si="239"/>
        <v>#N/A</v>
      </c>
      <c r="BX9" s="86" t="e">
        <f t="shared" si="239"/>
        <v>#N/A</v>
      </c>
      <c r="BY9" s="86" t="e">
        <f t="shared" si="239"/>
        <v>#N/A</v>
      </c>
      <c r="BZ9" s="86" t="e">
        <f t="shared" si="239"/>
        <v>#N/A</v>
      </c>
      <c r="CA9" s="87" t="e">
        <f t="shared" si="47"/>
        <v>#N/A</v>
      </c>
      <c r="CB9" s="86" t="e">
        <f>CB8+(CB10-BZ10)</f>
        <v>#N/A</v>
      </c>
      <c r="CC9" s="86" t="e">
        <f t="shared" ref="CC9:CM9" si="240">CC8+(CC10-CB10)</f>
        <v>#N/A</v>
      </c>
      <c r="CD9" s="86" t="e">
        <f t="shared" si="240"/>
        <v>#N/A</v>
      </c>
      <c r="CE9" s="86" t="e">
        <f t="shared" si="240"/>
        <v>#N/A</v>
      </c>
      <c r="CF9" s="86" t="e">
        <f t="shared" si="240"/>
        <v>#N/A</v>
      </c>
      <c r="CG9" s="86" t="e">
        <f t="shared" si="240"/>
        <v>#N/A</v>
      </c>
      <c r="CH9" s="86" t="e">
        <f t="shared" si="240"/>
        <v>#N/A</v>
      </c>
      <c r="CI9" s="86" t="e">
        <f t="shared" si="240"/>
        <v>#N/A</v>
      </c>
      <c r="CJ9" s="86" t="e">
        <f t="shared" si="240"/>
        <v>#N/A</v>
      </c>
      <c r="CK9" s="86" t="e">
        <f t="shared" si="240"/>
        <v>#N/A</v>
      </c>
      <c r="CL9" s="86" t="e">
        <f t="shared" si="240"/>
        <v>#N/A</v>
      </c>
      <c r="CM9" s="86" t="e">
        <f t="shared" si="240"/>
        <v>#N/A</v>
      </c>
      <c r="CN9" s="87" t="e">
        <f t="shared" si="49"/>
        <v>#N/A</v>
      </c>
      <c r="CO9" s="86" t="e">
        <f>CO8+(CO10-CM10)</f>
        <v>#N/A</v>
      </c>
      <c r="CP9" s="86" t="e">
        <f t="shared" ref="CP9:CZ9" si="241">CP8+(CP10-CO10)</f>
        <v>#N/A</v>
      </c>
      <c r="CQ9" s="86" t="e">
        <f t="shared" si="241"/>
        <v>#N/A</v>
      </c>
      <c r="CR9" s="86" t="e">
        <f t="shared" si="241"/>
        <v>#N/A</v>
      </c>
      <c r="CS9" s="86" t="e">
        <f t="shared" si="241"/>
        <v>#N/A</v>
      </c>
      <c r="CT9" s="86" t="e">
        <f t="shared" si="241"/>
        <v>#N/A</v>
      </c>
      <c r="CU9" s="86" t="e">
        <f t="shared" si="241"/>
        <v>#N/A</v>
      </c>
      <c r="CV9" s="86" t="e">
        <f t="shared" si="241"/>
        <v>#N/A</v>
      </c>
      <c r="CW9" s="86" t="e">
        <f t="shared" si="241"/>
        <v>#N/A</v>
      </c>
      <c r="CX9" s="86" t="e">
        <f t="shared" si="241"/>
        <v>#N/A</v>
      </c>
      <c r="CY9" s="86" t="e">
        <f t="shared" si="241"/>
        <v>#N/A</v>
      </c>
      <c r="CZ9" s="86" t="e">
        <f t="shared" si="241"/>
        <v>#N/A</v>
      </c>
      <c r="DA9" s="87" t="e">
        <f t="shared" si="51"/>
        <v>#N/A</v>
      </c>
      <c r="DB9" s="86" t="e">
        <f>DB8+(DB10-CZ10)</f>
        <v>#N/A</v>
      </c>
      <c r="DC9" s="86" t="e">
        <f t="shared" ref="DC9:DM9" si="242">DC8+(DC10-DB10)</f>
        <v>#N/A</v>
      </c>
      <c r="DD9" s="86" t="e">
        <f t="shared" si="242"/>
        <v>#N/A</v>
      </c>
      <c r="DE9" s="86" t="e">
        <f t="shared" si="242"/>
        <v>#N/A</v>
      </c>
      <c r="DF9" s="86" t="e">
        <f t="shared" si="242"/>
        <v>#N/A</v>
      </c>
      <c r="DG9" s="86" t="e">
        <f t="shared" si="242"/>
        <v>#N/A</v>
      </c>
      <c r="DH9" s="86" t="e">
        <f t="shared" si="242"/>
        <v>#N/A</v>
      </c>
      <c r="DI9" s="86" t="e">
        <f t="shared" si="242"/>
        <v>#N/A</v>
      </c>
      <c r="DJ9" s="86" t="e">
        <f t="shared" si="242"/>
        <v>#N/A</v>
      </c>
      <c r="DK9" s="86" t="e">
        <f t="shared" si="242"/>
        <v>#N/A</v>
      </c>
      <c r="DL9" s="86" t="e">
        <f t="shared" si="242"/>
        <v>#N/A</v>
      </c>
      <c r="DM9" s="86" t="e">
        <f t="shared" si="242"/>
        <v>#N/A</v>
      </c>
      <c r="DN9" s="87" t="e">
        <f t="shared" si="53"/>
        <v>#N/A</v>
      </c>
      <c r="DO9" s="86" t="e">
        <f>DO8+(DO10-DM10)</f>
        <v>#N/A</v>
      </c>
      <c r="DP9" s="86" t="e">
        <f t="shared" ref="DP9:DZ9" si="243">DP8+(DP10-DO10)</f>
        <v>#N/A</v>
      </c>
      <c r="DQ9" s="86" t="e">
        <f t="shared" si="243"/>
        <v>#N/A</v>
      </c>
      <c r="DR9" s="86" t="e">
        <f t="shared" si="243"/>
        <v>#N/A</v>
      </c>
      <c r="DS9" s="86" t="e">
        <f t="shared" si="243"/>
        <v>#N/A</v>
      </c>
      <c r="DT9" s="86" t="e">
        <f t="shared" si="243"/>
        <v>#N/A</v>
      </c>
      <c r="DU9" s="86" t="e">
        <f t="shared" si="243"/>
        <v>#N/A</v>
      </c>
      <c r="DV9" s="86" t="e">
        <f t="shared" si="243"/>
        <v>#N/A</v>
      </c>
      <c r="DW9" s="86" t="e">
        <f t="shared" si="243"/>
        <v>#N/A</v>
      </c>
      <c r="DX9" s="86" t="e">
        <f t="shared" si="243"/>
        <v>#N/A</v>
      </c>
      <c r="DY9" s="86" t="e">
        <f t="shared" si="243"/>
        <v>#N/A</v>
      </c>
      <c r="DZ9" s="86" t="e">
        <f t="shared" si="243"/>
        <v>#N/A</v>
      </c>
      <c r="EA9" s="87" t="e">
        <f t="shared" si="55"/>
        <v>#N/A</v>
      </c>
      <c r="EB9" s="86" t="e">
        <f>EB8+(EB10-DZ10)</f>
        <v>#N/A</v>
      </c>
      <c r="EC9" s="86" t="e">
        <f t="shared" ref="EC9:EM9" si="244">EC8+(EC10-EB10)</f>
        <v>#N/A</v>
      </c>
      <c r="ED9" s="86" t="e">
        <f t="shared" si="244"/>
        <v>#N/A</v>
      </c>
      <c r="EE9" s="86" t="e">
        <f t="shared" si="244"/>
        <v>#N/A</v>
      </c>
      <c r="EF9" s="86" t="e">
        <f t="shared" si="244"/>
        <v>#N/A</v>
      </c>
      <c r="EG9" s="86" t="e">
        <f t="shared" si="244"/>
        <v>#N/A</v>
      </c>
      <c r="EH9" s="86" t="e">
        <f t="shared" si="244"/>
        <v>#N/A</v>
      </c>
      <c r="EI9" s="86" t="e">
        <f t="shared" si="244"/>
        <v>#N/A</v>
      </c>
      <c r="EJ9" s="86" t="e">
        <f t="shared" si="244"/>
        <v>#N/A</v>
      </c>
      <c r="EK9" s="86" t="e">
        <f t="shared" si="244"/>
        <v>#N/A</v>
      </c>
      <c r="EL9" s="86" t="e">
        <f t="shared" si="244"/>
        <v>#N/A</v>
      </c>
      <c r="EM9" s="86" t="e">
        <f t="shared" si="244"/>
        <v>#N/A</v>
      </c>
      <c r="EN9" s="87" t="e">
        <f t="shared" si="57"/>
        <v>#N/A</v>
      </c>
      <c r="EO9" s="86" t="e">
        <f>EO8+(EO10-EM10)</f>
        <v>#N/A</v>
      </c>
      <c r="EP9" s="86" t="e">
        <f t="shared" ref="EP9:EZ9" si="245">EP8+(EP10-EO10)</f>
        <v>#N/A</v>
      </c>
      <c r="EQ9" s="86" t="e">
        <f t="shared" si="245"/>
        <v>#N/A</v>
      </c>
      <c r="ER9" s="86" t="e">
        <f t="shared" si="245"/>
        <v>#N/A</v>
      </c>
      <c r="ES9" s="86" t="e">
        <f t="shared" si="245"/>
        <v>#N/A</v>
      </c>
      <c r="ET9" s="86" t="e">
        <f t="shared" si="245"/>
        <v>#N/A</v>
      </c>
      <c r="EU9" s="86" t="e">
        <f t="shared" si="245"/>
        <v>#N/A</v>
      </c>
      <c r="EV9" s="86" t="e">
        <f t="shared" si="245"/>
        <v>#N/A</v>
      </c>
      <c r="EW9" s="86" t="e">
        <f t="shared" si="245"/>
        <v>#N/A</v>
      </c>
      <c r="EX9" s="86" t="e">
        <f t="shared" si="245"/>
        <v>#N/A</v>
      </c>
      <c r="EY9" s="86" t="e">
        <f t="shared" si="245"/>
        <v>#N/A</v>
      </c>
      <c r="EZ9" s="86" t="e">
        <f t="shared" si="245"/>
        <v>#N/A</v>
      </c>
      <c r="FA9" s="87" t="e">
        <f t="shared" si="59"/>
        <v>#N/A</v>
      </c>
      <c r="FB9" s="86" t="e">
        <f>FB8+(FB10-EZ10)</f>
        <v>#N/A</v>
      </c>
      <c r="FC9" s="86" t="e">
        <f t="shared" ref="FC9:FM9" si="246">FC8+(FC10-FB10)</f>
        <v>#N/A</v>
      </c>
      <c r="FD9" s="86" t="e">
        <f t="shared" si="246"/>
        <v>#N/A</v>
      </c>
      <c r="FE9" s="86" t="e">
        <f t="shared" si="246"/>
        <v>#N/A</v>
      </c>
      <c r="FF9" s="86" t="e">
        <f t="shared" si="246"/>
        <v>#N/A</v>
      </c>
      <c r="FG9" s="86" t="e">
        <f t="shared" si="246"/>
        <v>#N/A</v>
      </c>
      <c r="FH9" s="86" t="e">
        <f t="shared" si="246"/>
        <v>#N/A</v>
      </c>
      <c r="FI9" s="86" t="e">
        <f t="shared" si="246"/>
        <v>#N/A</v>
      </c>
      <c r="FJ9" s="86" t="e">
        <f t="shared" si="246"/>
        <v>#N/A</v>
      </c>
      <c r="FK9" s="86" t="e">
        <f t="shared" si="246"/>
        <v>#N/A</v>
      </c>
      <c r="FL9" s="86" t="e">
        <f t="shared" si="246"/>
        <v>#N/A</v>
      </c>
      <c r="FM9" s="86" t="e">
        <f t="shared" si="246"/>
        <v>#N/A</v>
      </c>
      <c r="FN9" s="87" t="e">
        <f t="shared" si="61"/>
        <v>#N/A</v>
      </c>
      <c r="FO9" s="86" t="e">
        <f>FO8+(FO10-FM10)</f>
        <v>#N/A</v>
      </c>
      <c r="FP9" s="86" t="e">
        <f t="shared" ref="FP9:FZ9" si="247">FP8+(FP10-FO10)</f>
        <v>#N/A</v>
      </c>
      <c r="FQ9" s="86" t="e">
        <f t="shared" si="247"/>
        <v>#N/A</v>
      </c>
      <c r="FR9" s="86" t="e">
        <f t="shared" si="247"/>
        <v>#N/A</v>
      </c>
      <c r="FS9" s="86" t="e">
        <f t="shared" si="247"/>
        <v>#N/A</v>
      </c>
      <c r="FT9" s="86" t="e">
        <f t="shared" si="247"/>
        <v>#N/A</v>
      </c>
      <c r="FU9" s="86" t="e">
        <f t="shared" si="247"/>
        <v>#N/A</v>
      </c>
      <c r="FV9" s="86" t="e">
        <f t="shared" si="247"/>
        <v>#N/A</v>
      </c>
      <c r="FW9" s="86" t="e">
        <f t="shared" si="247"/>
        <v>#N/A</v>
      </c>
      <c r="FX9" s="86" t="e">
        <f t="shared" si="247"/>
        <v>#N/A</v>
      </c>
      <c r="FY9" s="86" t="e">
        <f t="shared" si="247"/>
        <v>#N/A</v>
      </c>
      <c r="FZ9" s="86" t="e">
        <f t="shared" si="247"/>
        <v>#N/A</v>
      </c>
      <c r="GA9" s="87" t="e">
        <f t="shared" si="63"/>
        <v>#N/A</v>
      </c>
      <c r="GB9" s="86" t="e">
        <f>GB8+(GB10-FZ10)</f>
        <v>#N/A</v>
      </c>
      <c r="GC9" s="86" t="e">
        <f t="shared" ref="GC9:GM9" si="248">GC8+(GC10-GB10)</f>
        <v>#N/A</v>
      </c>
      <c r="GD9" s="86" t="e">
        <f t="shared" si="248"/>
        <v>#N/A</v>
      </c>
      <c r="GE9" s="86" t="e">
        <f t="shared" si="248"/>
        <v>#N/A</v>
      </c>
      <c r="GF9" s="86" t="e">
        <f t="shared" si="248"/>
        <v>#N/A</v>
      </c>
      <c r="GG9" s="86" t="e">
        <f t="shared" si="248"/>
        <v>#N/A</v>
      </c>
      <c r="GH9" s="86" t="e">
        <f t="shared" si="248"/>
        <v>#N/A</v>
      </c>
      <c r="GI9" s="86" t="e">
        <f t="shared" si="248"/>
        <v>#N/A</v>
      </c>
      <c r="GJ9" s="86" t="e">
        <f t="shared" si="248"/>
        <v>#N/A</v>
      </c>
      <c r="GK9" s="86" t="e">
        <f t="shared" si="248"/>
        <v>#N/A</v>
      </c>
      <c r="GL9" s="86" t="e">
        <f t="shared" si="248"/>
        <v>#N/A</v>
      </c>
      <c r="GM9" s="86" t="e">
        <f t="shared" si="248"/>
        <v>#N/A</v>
      </c>
      <c r="GN9" s="87" t="e">
        <f t="shared" si="65"/>
        <v>#N/A</v>
      </c>
      <c r="GO9" s="86" t="e">
        <f>GO8+(GO10-GM10)</f>
        <v>#N/A</v>
      </c>
      <c r="GP9" s="86" t="e">
        <f t="shared" ref="GP9:GZ9" si="249">GP8+(GP10-GO10)</f>
        <v>#N/A</v>
      </c>
      <c r="GQ9" s="86" t="e">
        <f t="shared" si="249"/>
        <v>#N/A</v>
      </c>
      <c r="GR9" s="86" t="e">
        <f t="shared" si="249"/>
        <v>#N/A</v>
      </c>
      <c r="GS9" s="86" t="e">
        <f t="shared" si="249"/>
        <v>#N/A</v>
      </c>
      <c r="GT9" s="86" t="e">
        <f t="shared" si="249"/>
        <v>#N/A</v>
      </c>
      <c r="GU9" s="86" t="e">
        <f t="shared" si="249"/>
        <v>#N/A</v>
      </c>
      <c r="GV9" s="86" t="e">
        <f t="shared" si="249"/>
        <v>#N/A</v>
      </c>
      <c r="GW9" s="86" t="e">
        <f t="shared" si="249"/>
        <v>#N/A</v>
      </c>
      <c r="GX9" s="86" t="e">
        <f t="shared" si="249"/>
        <v>#N/A</v>
      </c>
      <c r="GY9" s="86" t="e">
        <f t="shared" si="249"/>
        <v>#N/A</v>
      </c>
      <c r="GZ9" s="86" t="e">
        <f t="shared" si="249"/>
        <v>#N/A</v>
      </c>
      <c r="HA9" s="87" t="e">
        <f t="shared" si="67"/>
        <v>#N/A</v>
      </c>
      <c r="HB9" s="86" t="e">
        <f>HB8+(HB10-GZ10)</f>
        <v>#N/A</v>
      </c>
      <c r="HC9" s="86" t="e">
        <f t="shared" ref="HC9:HM9" si="250">HC8+(HC10-HB10)</f>
        <v>#N/A</v>
      </c>
      <c r="HD9" s="86" t="e">
        <f t="shared" si="250"/>
        <v>#N/A</v>
      </c>
      <c r="HE9" s="86" t="e">
        <f t="shared" si="250"/>
        <v>#N/A</v>
      </c>
      <c r="HF9" s="86" t="e">
        <f t="shared" si="250"/>
        <v>#N/A</v>
      </c>
      <c r="HG9" s="86" t="e">
        <f t="shared" si="250"/>
        <v>#N/A</v>
      </c>
      <c r="HH9" s="86" t="e">
        <f t="shared" si="250"/>
        <v>#N/A</v>
      </c>
      <c r="HI9" s="86" t="e">
        <f t="shared" si="250"/>
        <v>#N/A</v>
      </c>
      <c r="HJ9" s="86" t="e">
        <f t="shared" si="250"/>
        <v>#N/A</v>
      </c>
      <c r="HK9" s="86" t="e">
        <f t="shared" si="250"/>
        <v>#N/A</v>
      </c>
      <c r="HL9" s="86" t="e">
        <f t="shared" si="250"/>
        <v>#N/A</v>
      </c>
      <c r="HM9" s="86" t="e">
        <f t="shared" si="250"/>
        <v>#N/A</v>
      </c>
      <c r="HN9" s="87" t="e">
        <f t="shared" si="69"/>
        <v>#N/A</v>
      </c>
      <c r="HO9" s="86" t="e">
        <f>HO8+(HO10-HM10)</f>
        <v>#N/A</v>
      </c>
      <c r="HP9" s="86" t="e">
        <f t="shared" ref="HP9:HZ9" si="251">HP8+(HP10-HO10)</f>
        <v>#N/A</v>
      </c>
      <c r="HQ9" s="86" t="e">
        <f t="shared" si="251"/>
        <v>#N/A</v>
      </c>
      <c r="HR9" s="86" t="e">
        <f t="shared" si="251"/>
        <v>#N/A</v>
      </c>
      <c r="HS9" s="86" t="e">
        <f t="shared" si="251"/>
        <v>#N/A</v>
      </c>
      <c r="HT9" s="86" t="e">
        <f t="shared" si="251"/>
        <v>#N/A</v>
      </c>
      <c r="HU9" s="86" t="e">
        <f t="shared" si="251"/>
        <v>#N/A</v>
      </c>
      <c r="HV9" s="86" t="e">
        <f t="shared" si="251"/>
        <v>#N/A</v>
      </c>
      <c r="HW9" s="86" t="e">
        <f t="shared" si="251"/>
        <v>#N/A</v>
      </c>
      <c r="HX9" s="86" t="e">
        <f t="shared" si="251"/>
        <v>#N/A</v>
      </c>
      <c r="HY9" s="86" t="e">
        <f t="shared" si="251"/>
        <v>#N/A</v>
      </c>
      <c r="HZ9" s="86" t="e">
        <f t="shared" si="251"/>
        <v>#N/A</v>
      </c>
      <c r="IA9" s="87" t="e">
        <f t="shared" si="71"/>
        <v>#N/A</v>
      </c>
      <c r="IB9" s="86" t="e">
        <f>IB8+(IB10-HZ10)</f>
        <v>#N/A</v>
      </c>
      <c r="IC9" s="86" t="e">
        <f t="shared" ref="IC9:IM9" si="252">IC8+(IC10-IB10)</f>
        <v>#N/A</v>
      </c>
      <c r="ID9" s="86" t="e">
        <f t="shared" si="252"/>
        <v>#N/A</v>
      </c>
      <c r="IE9" s="86" t="e">
        <f t="shared" si="252"/>
        <v>#N/A</v>
      </c>
      <c r="IF9" s="86" t="e">
        <f t="shared" si="252"/>
        <v>#N/A</v>
      </c>
      <c r="IG9" s="86" t="e">
        <f t="shared" si="252"/>
        <v>#N/A</v>
      </c>
      <c r="IH9" s="86" t="e">
        <f t="shared" si="252"/>
        <v>#N/A</v>
      </c>
      <c r="II9" s="86" t="e">
        <f t="shared" si="252"/>
        <v>#N/A</v>
      </c>
      <c r="IJ9" s="86" t="e">
        <f t="shared" si="252"/>
        <v>#N/A</v>
      </c>
      <c r="IK9" s="86" t="e">
        <f t="shared" si="252"/>
        <v>#N/A</v>
      </c>
      <c r="IL9" s="86" t="e">
        <f t="shared" si="252"/>
        <v>#N/A</v>
      </c>
      <c r="IM9" s="86" t="e">
        <f t="shared" si="252"/>
        <v>#N/A</v>
      </c>
      <c r="IN9" s="87" t="e">
        <f t="shared" si="73"/>
        <v>#N/A</v>
      </c>
      <c r="IO9" s="86" t="e">
        <f>IO8+(IO10-IM10)</f>
        <v>#N/A</v>
      </c>
      <c r="IP9" s="86" t="e">
        <f t="shared" ref="IP9:IZ9" si="253">IP8+(IP10-IO10)</f>
        <v>#N/A</v>
      </c>
      <c r="IQ9" s="86" t="e">
        <f t="shared" si="253"/>
        <v>#N/A</v>
      </c>
      <c r="IR9" s="86" t="e">
        <f t="shared" si="253"/>
        <v>#N/A</v>
      </c>
      <c r="IS9" s="86" t="e">
        <f t="shared" si="253"/>
        <v>#N/A</v>
      </c>
      <c r="IT9" s="86" t="e">
        <f t="shared" si="253"/>
        <v>#N/A</v>
      </c>
      <c r="IU9" s="86" t="e">
        <f t="shared" si="253"/>
        <v>#N/A</v>
      </c>
      <c r="IV9" s="86" t="e">
        <f t="shared" si="253"/>
        <v>#N/A</v>
      </c>
      <c r="IW9" s="86" t="e">
        <f t="shared" si="253"/>
        <v>#N/A</v>
      </c>
      <c r="IX9" s="86" t="e">
        <f t="shared" si="253"/>
        <v>#N/A</v>
      </c>
      <c r="IY9" s="86" t="e">
        <f t="shared" si="253"/>
        <v>#N/A</v>
      </c>
      <c r="IZ9" s="86" t="e">
        <f t="shared" si="253"/>
        <v>#N/A</v>
      </c>
      <c r="JA9" s="87" t="e">
        <f t="shared" si="75"/>
        <v>#N/A</v>
      </c>
      <c r="JB9" s="86" t="e">
        <f>JB8+(JB10-IZ10)</f>
        <v>#N/A</v>
      </c>
      <c r="JC9" s="86" t="e">
        <f t="shared" ref="JC9:JM9" si="254">JC8+(JC10-JB10)</f>
        <v>#N/A</v>
      </c>
      <c r="JD9" s="86" t="e">
        <f t="shared" si="254"/>
        <v>#N/A</v>
      </c>
      <c r="JE9" s="86" t="e">
        <f t="shared" si="254"/>
        <v>#N/A</v>
      </c>
      <c r="JF9" s="86" t="e">
        <f t="shared" si="254"/>
        <v>#N/A</v>
      </c>
      <c r="JG9" s="86" t="e">
        <f t="shared" si="254"/>
        <v>#N/A</v>
      </c>
      <c r="JH9" s="86" t="e">
        <f t="shared" si="254"/>
        <v>#N/A</v>
      </c>
      <c r="JI9" s="86" t="e">
        <f t="shared" si="254"/>
        <v>#N/A</v>
      </c>
      <c r="JJ9" s="86" t="e">
        <f t="shared" si="254"/>
        <v>#N/A</v>
      </c>
      <c r="JK9" s="86" t="e">
        <f t="shared" si="254"/>
        <v>#N/A</v>
      </c>
      <c r="JL9" s="86" t="e">
        <f t="shared" si="254"/>
        <v>#N/A</v>
      </c>
      <c r="JM9" s="86" t="e">
        <f t="shared" si="254"/>
        <v>#N/A</v>
      </c>
      <c r="JN9" s="87" t="e">
        <f t="shared" si="77"/>
        <v>#N/A</v>
      </c>
      <c r="JO9" s="86" t="e">
        <f>JO8+(JO10-JM10)</f>
        <v>#N/A</v>
      </c>
      <c r="JP9" s="86" t="e">
        <f t="shared" ref="JP9:JZ9" si="255">JP8+(JP10-JO10)</f>
        <v>#N/A</v>
      </c>
      <c r="JQ9" s="86" t="e">
        <f t="shared" si="255"/>
        <v>#N/A</v>
      </c>
      <c r="JR9" s="86" t="e">
        <f t="shared" si="255"/>
        <v>#N/A</v>
      </c>
      <c r="JS9" s="86" t="e">
        <f t="shared" si="255"/>
        <v>#N/A</v>
      </c>
      <c r="JT9" s="86" t="e">
        <f t="shared" si="255"/>
        <v>#N/A</v>
      </c>
      <c r="JU9" s="86" t="e">
        <f t="shared" si="255"/>
        <v>#N/A</v>
      </c>
      <c r="JV9" s="86" t="e">
        <f t="shared" si="255"/>
        <v>#N/A</v>
      </c>
      <c r="JW9" s="86" t="e">
        <f t="shared" si="255"/>
        <v>#N/A</v>
      </c>
      <c r="JX9" s="86" t="e">
        <f t="shared" si="255"/>
        <v>#N/A</v>
      </c>
      <c r="JY9" s="86" t="e">
        <f t="shared" si="255"/>
        <v>#N/A</v>
      </c>
      <c r="JZ9" s="86" t="e">
        <f t="shared" si="255"/>
        <v>#N/A</v>
      </c>
      <c r="KA9" s="87" t="e">
        <f t="shared" si="79"/>
        <v>#N/A</v>
      </c>
      <c r="KB9" s="86" t="e">
        <f>KB8+(KB10-JZ10)</f>
        <v>#N/A</v>
      </c>
      <c r="KC9" s="86" t="e">
        <f t="shared" ref="KC9:KM9" si="256">KC8+(KC10-KB10)</f>
        <v>#N/A</v>
      </c>
      <c r="KD9" s="86" t="e">
        <f t="shared" si="256"/>
        <v>#N/A</v>
      </c>
      <c r="KE9" s="86" t="e">
        <f t="shared" si="256"/>
        <v>#N/A</v>
      </c>
      <c r="KF9" s="86" t="e">
        <f t="shared" si="256"/>
        <v>#N/A</v>
      </c>
      <c r="KG9" s="86" t="e">
        <f t="shared" si="256"/>
        <v>#N/A</v>
      </c>
      <c r="KH9" s="86" t="e">
        <f t="shared" si="256"/>
        <v>#N/A</v>
      </c>
      <c r="KI9" s="86" t="e">
        <f t="shared" si="256"/>
        <v>#N/A</v>
      </c>
      <c r="KJ9" s="86" t="e">
        <f t="shared" si="256"/>
        <v>#N/A</v>
      </c>
      <c r="KK9" s="86" t="e">
        <f t="shared" si="256"/>
        <v>#N/A</v>
      </c>
      <c r="KL9" s="86" t="e">
        <f t="shared" si="256"/>
        <v>#N/A</v>
      </c>
      <c r="KM9" s="86" t="e">
        <f t="shared" si="256"/>
        <v>#N/A</v>
      </c>
      <c r="KN9" s="87" t="e">
        <f t="shared" si="81"/>
        <v>#N/A</v>
      </c>
      <c r="KO9" s="86" t="e">
        <f>KO8+(KO10-KM10)</f>
        <v>#N/A</v>
      </c>
      <c r="KP9" s="86" t="e">
        <f t="shared" ref="KP9:KZ9" si="257">KP8+(KP10-KO10)</f>
        <v>#N/A</v>
      </c>
      <c r="KQ9" s="86" t="e">
        <f t="shared" si="257"/>
        <v>#N/A</v>
      </c>
      <c r="KR9" s="86" t="e">
        <f t="shared" si="257"/>
        <v>#N/A</v>
      </c>
      <c r="KS9" s="86" t="e">
        <f t="shared" si="257"/>
        <v>#N/A</v>
      </c>
      <c r="KT9" s="86" t="e">
        <f t="shared" si="257"/>
        <v>#N/A</v>
      </c>
      <c r="KU9" s="86" t="e">
        <f t="shared" si="257"/>
        <v>#N/A</v>
      </c>
      <c r="KV9" s="86" t="e">
        <f t="shared" si="257"/>
        <v>#N/A</v>
      </c>
      <c r="KW9" s="86" t="e">
        <f t="shared" si="257"/>
        <v>#N/A</v>
      </c>
      <c r="KX9" s="86" t="e">
        <f t="shared" si="257"/>
        <v>#N/A</v>
      </c>
      <c r="KY9" s="86" t="e">
        <f t="shared" si="257"/>
        <v>#N/A</v>
      </c>
      <c r="KZ9" s="86" t="e">
        <f t="shared" si="257"/>
        <v>#N/A</v>
      </c>
      <c r="LA9" s="87" t="e">
        <f t="shared" si="83"/>
        <v>#N/A</v>
      </c>
      <c r="LB9" s="86" t="e">
        <f>LB8+(LB10-KZ10)</f>
        <v>#N/A</v>
      </c>
      <c r="LC9" s="86" t="e">
        <f t="shared" ref="LC9:LM9" si="258">LC8+(LC10-LB10)</f>
        <v>#N/A</v>
      </c>
      <c r="LD9" s="86" t="e">
        <f t="shared" si="258"/>
        <v>#N/A</v>
      </c>
      <c r="LE9" s="86" t="e">
        <f t="shared" si="258"/>
        <v>#N/A</v>
      </c>
      <c r="LF9" s="86" t="e">
        <f t="shared" si="258"/>
        <v>#N/A</v>
      </c>
      <c r="LG9" s="86" t="e">
        <f t="shared" si="258"/>
        <v>#N/A</v>
      </c>
      <c r="LH9" s="86" t="e">
        <f t="shared" si="258"/>
        <v>#N/A</v>
      </c>
      <c r="LI9" s="86" t="e">
        <f t="shared" si="258"/>
        <v>#N/A</v>
      </c>
      <c r="LJ9" s="86" t="e">
        <f t="shared" si="258"/>
        <v>#N/A</v>
      </c>
      <c r="LK9" s="86" t="e">
        <f t="shared" si="258"/>
        <v>#N/A</v>
      </c>
      <c r="LL9" s="86" t="e">
        <f t="shared" si="258"/>
        <v>#N/A</v>
      </c>
      <c r="LM9" s="86" t="e">
        <f t="shared" si="258"/>
        <v>#N/A</v>
      </c>
      <c r="LN9" s="87" t="e">
        <f t="shared" si="85"/>
        <v>#N/A</v>
      </c>
      <c r="LO9" s="86" t="e">
        <f>LO8+(LO10-LM10)</f>
        <v>#N/A</v>
      </c>
      <c r="LP9" s="86" t="e">
        <f t="shared" ref="LP9:LZ9" si="259">LP8+(LP10-LO10)</f>
        <v>#N/A</v>
      </c>
      <c r="LQ9" s="86" t="e">
        <f t="shared" si="259"/>
        <v>#N/A</v>
      </c>
      <c r="LR9" s="86" t="e">
        <f t="shared" si="259"/>
        <v>#N/A</v>
      </c>
      <c r="LS9" s="86" t="e">
        <f t="shared" si="259"/>
        <v>#N/A</v>
      </c>
      <c r="LT9" s="86" t="e">
        <f t="shared" si="259"/>
        <v>#N/A</v>
      </c>
      <c r="LU9" s="86" t="e">
        <f t="shared" si="259"/>
        <v>#N/A</v>
      </c>
      <c r="LV9" s="86" t="e">
        <f t="shared" si="259"/>
        <v>#N/A</v>
      </c>
      <c r="LW9" s="86" t="e">
        <f t="shared" si="259"/>
        <v>#N/A</v>
      </c>
      <c r="LX9" s="86" t="e">
        <f t="shared" si="259"/>
        <v>#N/A</v>
      </c>
      <c r="LY9" s="86" t="e">
        <f t="shared" si="259"/>
        <v>#N/A</v>
      </c>
      <c r="LZ9" s="86" t="e">
        <f t="shared" si="259"/>
        <v>#N/A</v>
      </c>
      <c r="MA9" s="87" t="e">
        <f t="shared" si="87"/>
        <v>#N/A</v>
      </c>
      <c r="MB9" s="86" t="e">
        <f>MB8+(MB10-LZ10)</f>
        <v>#N/A</v>
      </c>
      <c r="MC9" s="86" t="e">
        <f t="shared" ref="MC9:MM9" si="260">MC8+(MC10-MB10)</f>
        <v>#N/A</v>
      </c>
      <c r="MD9" s="86" t="e">
        <f t="shared" si="260"/>
        <v>#N/A</v>
      </c>
      <c r="ME9" s="86" t="e">
        <f t="shared" si="260"/>
        <v>#N/A</v>
      </c>
      <c r="MF9" s="86" t="e">
        <f t="shared" si="260"/>
        <v>#N/A</v>
      </c>
      <c r="MG9" s="86" t="e">
        <f t="shared" si="260"/>
        <v>#N/A</v>
      </c>
      <c r="MH9" s="86" t="e">
        <f t="shared" si="260"/>
        <v>#N/A</v>
      </c>
      <c r="MI9" s="86" t="e">
        <f t="shared" si="260"/>
        <v>#N/A</v>
      </c>
      <c r="MJ9" s="86" t="e">
        <f t="shared" si="260"/>
        <v>#N/A</v>
      </c>
      <c r="MK9" s="86" t="e">
        <f t="shared" si="260"/>
        <v>#N/A</v>
      </c>
      <c r="ML9" s="86" t="e">
        <f t="shared" si="260"/>
        <v>#N/A</v>
      </c>
      <c r="MM9" s="86" t="e">
        <f t="shared" si="260"/>
        <v>#N/A</v>
      </c>
      <c r="MN9" s="87" t="e">
        <f t="shared" si="89"/>
        <v>#N/A</v>
      </c>
      <c r="MO9" s="86" t="e">
        <f>MO8+(MO10-MM10)</f>
        <v>#N/A</v>
      </c>
      <c r="MP9" s="86" t="e">
        <f t="shared" ref="MP9:MZ9" si="261">MP8+(MP10-MO10)</f>
        <v>#N/A</v>
      </c>
      <c r="MQ9" s="86" t="e">
        <f t="shared" si="261"/>
        <v>#N/A</v>
      </c>
      <c r="MR9" s="86" t="e">
        <f t="shared" si="261"/>
        <v>#N/A</v>
      </c>
      <c r="MS9" s="86" t="e">
        <f t="shared" si="261"/>
        <v>#N/A</v>
      </c>
      <c r="MT9" s="86" t="e">
        <f t="shared" si="261"/>
        <v>#N/A</v>
      </c>
      <c r="MU9" s="86" t="e">
        <f t="shared" si="261"/>
        <v>#N/A</v>
      </c>
      <c r="MV9" s="86" t="e">
        <f t="shared" si="261"/>
        <v>#N/A</v>
      </c>
      <c r="MW9" s="86" t="e">
        <f t="shared" si="261"/>
        <v>#N/A</v>
      </c>
      <c r="MX9" s="86" t="e">
        <f t="shared" si="261"/>
        <v>#N/A</v>
      </c>
      <c r="MY9" s="86" t="e">
        <f t="shared" si="261"/>
        <v>#N/A</v>
      </c>
      <c r="MZ9" s="86" t="e">
        <f t="shared" si="261"/>
        <v>#N/A</v>
      </c>
      <c r="NA9" s="87" t="e">
        <f t="shared" si="91"/>
        <v>#N/A</v>
      </c>
      <c r="NB9" s="86" t="e">
        <f>NB8+(NB10-MZ10)</f>
        <v>#N/A</v>
      </c>
      <c r="NC9" s="86" t="e">
        <f t="shared" ref="NC9:NM9" si="262">NC8+(NC10-NB10)</f>
        <v>#N/A</v>
      </c>
      <c r="ND9" s="86" t="e">
        <f t="shared" si="262"/>
        <v>#N/A</v>
      </c>
      <c r="NE9" s="86" t="e">
        <f t="shared" si="262"/>
        <v>#N/A</v>
      </c>
      <c r="NF9" s="86" t="e">
        <f t="shared" si="262"/>
        <v>#N/A</v>
      </c>
      <c r="NG9" s="86" t="e">
        <f t="shared" si="262"/>
        <v>#N/A</v>
      </c>
      <c r="NH9" s="86" t="e">
        <f t="shared" si="262"/>
        <v>#N/A</v>
      </c>
      <c r="NI9" s="86" t="e">
        <f t="shared" si="262"/>
        <v>#N/A</v>
      </c>
      <c r="NJ9" s="86" t="e">
        <f t="shared" si="262"/>
        <v>#N/A</v>
      </c>
      <c r="NK9" s="86" t="e">
        <f t="shared" si="262"/>
        <v>#N/A</v>
      </c>
      <c r="NL9" s="86" t="e">
        <f t="shared" si="262"/>
        <v>#N/A</v>
      </c>
      <c r="NM9" s="86" t="e">
        <f t="shared" si="262"/>
        <v>#N/A</v>
      </c>
      <c r="NN9" s="87" t="e">
        <f t="shared" si="93"/>
        <v>#N/A</v>
      </c>
      <c r="NO9" s="86" t="e">
        <f>NO8+(NO10-NM10)</f>
        <v>#N/A</v>
      </c>
      <c r="NP9" s="86" t="e">
        <f t="shared" ref="NP9:NZ9" si="263">NP8+(NP10-NO10)</f>
        <v>#N/A</v>
      </c>
      <c r="NQ9" s="86" t="e">
        <f t="shared" si="263"/>
        <v>#N/A</v>
      </c>
      <c r="NR9" s="86" t="e">
        <f t="shared" si="263"/>
        <v>#N/A</v>
      </c>
      <c r="NS9" s="86" t="e">
        <f t="shared" si="263"/>
        <v>#N/A</v>
      </c>
      <c r="NT9" s="86" t="e">
        <f t="shared" si="263"/>
        <v>#N/A</v>
      </c>
      <c r="NU9" s="86" t="e">
        <f t="shared" si="263"/>
        <v>#N/A</v>
      </c>
      <c r="NV9" s="86" t="e">
        <f t="shared" si="263"/>
        <v>#N/A</v>
      </c>
      <c r="NW9" s="86" t="e">
        <f t="shared" si="263"/>
        <v>#N/A</v>
      </c>
      <c r="NX9" s="86" t="e">
        <f t="shared" si="263"/>
        <v>#N/A</v>
      </c>
      <c r="NY9" s="86" t="e">
        <f t="shared" si="263"/>
        <v>#N/A</v>
      </c>
      <c r="NZ9" s="86" t="e">
        <f t="shared" si="263"/>
        <v>#N/A</v>
      </c>
      <c r="OA9" s="87" t="e">
        <f t="shared" si="95"/>
        <v>#N/A</v>
      </c>
      <c r="OB9" s="86" t="e">
        <f>OB8+(OB10-NZ10)</f>
        <v>#N/A</v>
      </c>
      <c r="OC9" s="86" t="e">
        <f t="shared" ref="OC9:OM9" si="264">OC8+(OC10-OB10)</f>
        <v>#N/A</v>
      </c>
      <c r="OD9" s="86" t="e">
        <f t="shared" si="264"/>
        <v>#N/A</v>
      </c>
      <c r="OE9" s="86" t="e">
        <f t="shared" si="264"/>
        <v>#N/A</v>
      </c>
      <c r="OF9" s="86" t="e">
        <f t="shared" si="264"/>
        <v>#N/A</v>
      </c>
      <c r="OG9" s="86" t="e">
        <f t="shared" si="264"/>
        <v>#N/A</v>
      </c>
      <c r="OH9" s="86" t="e">
        <f t="shared" si="264"/>
        <v>#N/A</v>
      </c>
      <c r="OI9" s="86" t="e">
        <f t="shared" si="264"/>
        <v>#N/A</v>
      </c>
      <c r="OJ9" s="86" t="e">
        <f t="shared" si="264"/>
        <v>#N/A</v>
      </c>
      <c r="OK9" s="86" t="e">
        <f t="shared" si="264"/>
        <v>#N/A</v>
      </c>
      <c r="OL9" s="86" t="e">
        <f t="shared" si="264"/>
        <v>#N/A</v>
      </c>
      <c r="OM9" s="86" t="e">
        <f t="shared" si="264"/>
        <v>#N/A</v>
      </c>
      <c r="ON9" s="87" t="e">
        <f t="shared" si="97"/>
        <v>#N/A</v>
      </c>
      <c r="OO9" s="86" t="e">
        <f>OO8+(OO10-OM10)</f>
        <v>#N/A</v>
      </c>
      <c r="OP9" s="86" t="e">
        <f t="shared" ref="OP9:OZ9" si="265">OP8+(OP10-OO10)</f>
        <v>#N/A</v>
      </c>
      <c r="OQ9" s="86" t="e">
        <f t="shared" si="265"/>
        <v>#N/A</v>
      </c>
      <c r="OR9" s="86" t="e">
        <f t="shared" si="265"/>
        <v>#N/A</v>
      </c>
      <c r="OS9" s="86" t="e">
        <f t="shared" si="265"/>
        <v>#N/A</v>
      </c>
      <c r="OT9" s="86" t="e">
        <f t="shared" si="265"/>
        <v>#N/A</v>
      </c>
      <c r="OU9" s="86" t="e">
        <f t="shared" si="265"/>
        <v>#N/A</v>
      </c>
      <c r="OV9" s="86" t="e">
        <f t="shared" si="265"/>
        <v>#N/A</v>
      </c>
      <c r="OW9" s="86" t="e">
        <f t="shared" si="265"/>
        <v>#N/A</v>
      </c>
      <c r="OX9" s="86" t="e">
        <f t="shared" si="265"/>
        <v>#N/A</v>
      </c>
      <c r="OY9" s="86" t="e">
        <f t="shared" si="265"/>
        <v>#N/A</v>
      </c>
      <c r="OZ9" s="86" t="e">
        <f t="shared" si="265"/>
        <v>#N/A</v>
      </c>
      <c r="PA9" s="87" t="e">
        <f t="shared" si="224"/>
        <v>#N/A</v>
      </c>
      <c r="PB9" s="86" t="e">
        <f>PB8+(PB10-OZ10)</f>
        <v>#N/A</v>
      </c>
      <c r="PC9" s="86" t="e">
        <f t="shared" ref="PC9:PM9" si="266">PC8+(PC10-PB10)</f>
        <v>#N/A</v>
      </c>
      <c r="PD9" s="86" t="e">
        <f t="shared" si="266"/>
        <v>#N/A</v>
      </c>
      <c r="PE9" s="86" t="e">
        <f t="shared" si="266"/>
        <v>#N/A</v>
      </c>
      <c r="PF9" s="86" t="e">
        <f t="shared" si="266"/>
        <v>#N/A</v>
      </c>
      <c r="PG9" s="86" t="e">
        <f t="shared" si="266"/>
        <v>#N/A</v>
      </c>
      <c r="PH9" s="86" t="e">
        <f t="shared" si="266"/>
        <v>#N/A</v>
      </c>
      <c r="PI9" s="86" t="e">
        <f t="shared" si="266"/>
        <v>#N/A</v>
      </c>
      <c r="PJ9" s="86" t="e">
        <f t="shared" si="266"/>
        <v>#N/A</v>
      </c>
      <c r="PK9" s="86" t="e">
        <f t="shared" si="266"/>
        <v>#N/A</v>
      </c>
      <c r="PL9" s="86" t="e">
        <f t="shared" si="266"/>
        <v>#N/A</v>
      </c>
      <c r="PM9" s="86" t="e">
        <f t="shared" si="266"/>
        <v>#N/A</v>
      </c>
      <c r="PN9" s="87" t="e">
        <f t="shared" si="226"/>
        <v>#N/A</v>
      </c>
      <c r="PO9" s="86" t="e">
        <f>PO8+(PO10-PM10)</f>
        <v>#N/A</v>
      </c>
      <c r="PP9" s="86" t="e">
        <f t="shared" ref="PP9:PZ9" si="267">PP8+(PP10-PO10)</f>
        <v>#N/A</v>
      </c>
      <c r="PQ9" s="86" t="e">
        <f t="shared" si="267"/>
        <v>#N/A</v>
      </c>
      <c r="PR9" s="86" t="e">
        <f t="shared" si="267"/>
        <v>#N/A</v>
      </c>
      <c r="PS9" s="86" t="e">
        <f t="shared" si="267"/>
        <v>#N/A</v>
      </c>
      <c r="PT9" s="86" t="e">
        <f t="shared" si="267"/>
        <v>#N/A</v>
      </c>
      <c r="PU9" s="86" t="e">
        <f t="shared" si="267"/>
        <v>#N/A</v>
      </c>
      <c r="PV9" s="86" t="e">
        <f t="shared" si="267"/>
        <v>#N/A</v>
      </c>
      <c r="PW9" s="86" t="e">
        <f t="shared" si="267"/>
        <v>#N/A</v>
      </c>
      <c r="PX9" s="86" t="e">
        <f t="shared" si="267"/>
        <v>#N/A</v>
      </c>
      <c r="PY9" s="86" t="e">
        <f t="shared" si="267"/>
        <v>#N/A</v>
      </c>
      <c r="PZ9" s="86" t="e">
        <f t="shared" si="267"/>
        <v>#N/A</v>
      </c>
      <c r="QA9" s="87" t="e">
        <f t="shared" si="228"/>
        <v>#N/A</v>
      </c>
      <c r="QB9" s="86" t="e">
        <f>QB8+(QB10-PZ10)</f>
        <v>#N/A</v>
      </c>
      <c r="QC9" s="86" t="e">
        <f t="shared" ref="QC9:QM9" si="268">QC8+(QC10-QB10)</f>
        <v>#N/A</v>
      </c>
      <c r="QD9" s="86" t="e">
        <f t="shared" si="268"/>
        <v>#N/A</v>
      </c>
      <c r="QE9" s="86" t="e">
        <f t="shared" si="268"/>
        <v>#N/A</v>
      </c>
      <c r="QF9" s="86" t="e">
        <f t="shared" si="268"/>
        <v>#N/A</v>
      </c>
      <c r="QG9" s="86" t="e">
        <f t="shared" si="268"/>
        <v>#N/A</v>
      </c>
      <c r="QH9" s="86" t="e">
        <f t="shared" si="268"/>
        <v>#N/A</v>
      </c>
      <c r="QI9" s="86" t="e">
        <f t="shared" si="268"/>
        <v>#N/A</v>
      </c>
      <c r="QJ9" s="86" t="e">
        <f t="shared" si="268"/>
        <v>#N/A</v>
      </c>
      <c r="QK9" s="86" t="e">
        <f t="shared" si="268"/>
        <v>#N/A</v>
      </c>
      <c r="QL9" s="86" t="e">
        <f t="shared" si="268"/>
        <v>#N/A</v>
      </c>
      <c r="QM9" s="86" t="e">
        <f t="shared" si="268"/>
        <v>#N/A</v>
      </c>
      <c r="QN9" s="87" t="e">
        <f t="shared" si="230"/>
        <v>#N/A</v>
      </c>
      <c r="QO9" s="86" t="e">
        <f>QO8+(QO10-QM10)</f>
        <v>#N/A</v>
      </c>
      <c r="QP9" s="86" t="e">
        <f t="shared" ref="QP9:QZ9" si="269">QP8+(QP10-QO10)</f>
        <v>#N/A</v>
      </c>
      <c r="QQ9" s="86" t="e">
        <f t="shared" si="269"/>
        <v>#N/A</v>
      </c>
      <c r="QR9" s="86" t="e">
        <f t="shared" si="269"/>
        <v>#N/A</v>
      </c>
      <c r="QS9" s="86" t="e">
        <f t="shared" si="269"/>
        <v>#N/A</v>
      </c>
      <c r="QT9" s="86" t="e">
        <f t="shared" si="269"/>
        <v>#N/A</v>
      </c>
      <c r="QU9" s="86" t="e">
        <f t="shared" si="269"/>
        <v>#N/A</v>
      </c>
      <c r="QV9" s="86" t="e">
        <f t="shared" si="269"/>
        <v>#N/A</v>
      </c>
      <c r="QW9" s="86" t="e">
        <f t="shared" si="269"/>
        <v>#N/A</v>
      </c>
      <c r="QX9" s="86" t="e">
        <f t="shared" si="269"/>
        <v>#N/A</v>
      </c>
      <c r="QY9" s="86" t="e">
        <f t="shared" si="269"/>
        <v>#N/A</v>
      </c>
      <c r="QZ9" s="86" t="e">
        <f t="shared" si="269"/>
        <v>#N/A</v>
      </c>
      <c r="RA9" s="87" t="e">
        <f t="shared" si="232"/>
        <v>#N/A</v>
      </c>
      <c r="RB9" s="86" t="e">
        <f>RB8+(RB10-QZ10)</f>
        <v>#N/A</v>
      </c>
      <c r="RC9" s="86" t="e">
        <f t="shared" ref="RC9:RM9" si="270">RC8+(RC10-RB10)</f>
        <v>#N/A</v>
      </c>
      <c r="RD9" s="86" t="e">
        <f t="shared" si="270"/>
        <v>#N/A</v>
      </c>
      <c r="RE9" s="86" t="e">
        <f t="shared" si="270"/>
        <v>#N/A</v>
      </c>
      <c r="RF9" s="86" t="e">
        <f t="shared" si="270"/>
        <v>#N/A</v>
      </c>
      <c r="RG9" s="86" t="e">
        <f t="shared" si="270"/>
        <v>#N/A</v>
      </c>
      <c r="RH9" s="86" t="e">
        <f t="shared" si="270"/>
        <v>#N/A</v>
      </c>
      <c r="RI9" s="86" t="e">
        <f t="shared" si="270"/>
        <v>#N/A</v>
      </c>
      <c r="RJ9" s="86" t="e">
        <f t="shared" si="270"/>
        <v>#N/A</v>
      </c>
      <c r="RK9" s="86" t="e">
        <f t="shared" si="270"/>
        <v>#N/A</v>
      </c>
      <c r="RL9" s="86" t="e">
        <f t="shared" si="270"/>
        <v>#N/A</v>
      </c>
      <c r="RM9" s="86" t="e">
        <f t="shared" si="270"/>
        <v>#N/A</v>
      </c>
      <c r="RN9" s="87" t="e">
        <f t="shared" si="234"/>
        <v>#N/A</v>
      </c>
    </row>
    <row r="10" spans="1:482" outlineLevel="1" x14ac:dyDescent="0.3">
      <c r="A10" s="78" t="s">
        <v>237</v>
      </c>
      <c r="B10" s="86" t="e">
        <f>B55</f>
        <v>#N/A</v>
      </c>
      <c r="C10" s="86" t="e">
        <f>C55</f>
        <v>#N/A</v>
      </c>
      <c r="D10" s="86" t="e">
        <f t="shared" ref="D10:M10" si="271">D55</f>
        <v>#N/A</v>
      </c>
      <c r="E10" s="86" t="e">
        <f t="shared" si="271"/>
        <v>#N/A</v>
      </c>
      <c r="F10" s="86" t="e">
        <f t="shared" si="271"/>
        <v>#N/A</v>
      </c>
      <c r="G10" s="86" t="e">
        <f t="shared" si="271"/>
        <v>#N/A</v>
      </c>
      <c r="H10" s="86" t="e">
        <f t="shared" si="271"/>
        <v>#N/A</v>
      </c>
      <c r="I10" s="86" t="e">
        <f t="shared" si="271"/>
        <v>#N/A</v>
      </c>
      <c r="J10" s="86" t="e">
        <f t="shared" si="271"/>
        <v>#N/A</v>
      </c>
      <c r="K10" s="86" t="e">
        <f t="shared" si="271"/>
        <v>#N/A</v>
      </c>
      <c r="L10" s="86" t="e">
        <f t="shared" si="271"/>
        <v>#N/A</v>
      </c>
      <c r="M10" s="86" t="e">
        <f t="shared" si="271"/>
        <v>#N/A</v>
      </c>
      <c r="N10" s="87" t="e">
        <f>M10</f>
        <v>#N/A</v>
      </c>
      <c r="O10" s="86" t="e">
        <f t="shared" ref="O10:Z10" si="272">O55</f>
        <v>#N/A</v>
      </c>
      <c r="P10" s="86" t="e">
        <f t="shared" si="272"/>
        <v>#N/A</v>
      </c>
      <c r="Q10" s="86" t="e">
        <f t="shared" si="272"/>
        <v>#N/A</v>
      </c>
      <c r="R10" s="86" t="e">
        <f t="shared" si="272"/>
        <v>#N/A</v>
      </c>
      <c r="S10" s="86" t="e">
        <f t="shared" si="272"/>
        <v>#N/A</v>
      </c>
      <c r="T10" s="86" t="e">
        <f t="shared" si="272"/>
        <v>#N/A</v>
      </c>
      <c r="U10" s="86" t="e">
        <f t="shared" si="272"/>
        <v>#N/A</v>
      </c>
      <c r="V10" s="86" t="e">
        <f t="shared" si="272"/>
        <v>#N/A</v>
      </c>
      <c r="W10" s="86" t="e">
        <f t="shared" si="272"/>
        <v>#N/A</v>
      </c>
      <c r="X10" s="86" t="e">
        <f t="shared" si="272"/>
        <v>#N/A</v>
      </c>
      <c r="Y10" s="86" t="e">
        <f t="shared" si="272"/>
        <v>#N/A</v>
      </c>
      <c r="Z10" s="86" t="e">
        <f t="shared" si="272"/>
        <v>#N/A</v>
      </c>
      <c r="AA10" s="87" t="e">
        <f>Z10</f>
        <v>#N/A</v>
      </c>
      <c r="AB10" s="86" t="e">
        <f t="shared" ref="AB10:AM10" si="273">AB55</f>
        <v>#N/A</v>
      </c>
      <c r="AC10" s="86" t="e">
        <f t="shared" si="273"/>
        <v>#N/A</v>
      </c>
      <c r="AD10" s="86" t="e">
        <f t="shared" si="273"/>
        <v>#N/A</v>
      </c>
      <c r="AE10" s="86" t="e">
        <f t="shared" si="273"/>
        <v>#N/A</v>
      </c>
      <c r="AF10" s="86" t="e">
        <f t="shared" si="273"/>
        <v>#N/A</v>
      </c>
      <c r="AG10" s="86" t="e">
        <f t="shared" si="273"/>
        <v>#N/A</v>
      </c>
      <c r="AH10" s="86" t="e">
        <f t="shared" si="273"/>
        <v>#N/A</v>
      </c>
      <c r="AI10" s="86" t="e">
        <f t="shared" si="273"/>
        <v>#N/A</v>
      </c>
      <c r="AJ10" s="86" t="e">
        <f t="shared" si="273"/>
        <v>#N/A</v>
      </c>
      <c r="AK10" s="86" t="e">
        <f t="shared" si="273"/>
        <v>#N/A</v>
      </c>
      <c r="AL10" s="86" t="e">
        <f t="shared" si="273"/>
        <v>#N/A</v>
      </c>
      <c r="AM10" s="86" t="e">
        <f t="shared" si="273"/>
        <v>#N/A</v>
      </c>
      <c r="AN10" s="87" t="e">
        <f>AM10</f>
        <v>#N/A</v>
      </c>
      <c r="AO10" s="86" t="e">
        <f t="shared" ref="AO10:AZ10" si="274">AO55</f>
        <v>#N/A</v>
      </c>
      <c r="AP10" s="86" t="e">
        <f t="shared" si="274"/>
        <v>#N/A</v>
      </c>
      <c r="AQ10" s="86" t="e">
        <f t="shared" si="274"/>
        <v>#N/A</v>
      </c>
      <c r="AR10" s="86" t="e">
        <f t="shared" si="274"/>
        <v>#N/A</v>
      </c>
      <c r="AS10" s="86" t="e">
        <f t="shared" si="274"/>
        <v>#N/A</v>
      </c>
      <c r="AT10" s="86" t="e">
        <f t="shared" si="274"/>
        <v>#N/A</v>
      </c>
      <c r="AU10" s="86" t="e">
        <f t="shared" si="274"/>
        <v>#N/A</v>
      </c>
      <c r="AV10" s="86" t="e">
        <f t="shared" si="274"/>
        <v>#N/A</v>
      </c>
      <c r="AW10" s="86" t="e">
        <f t="shared" si="274"/>
        <v>#N/A</v>
      </c>
      <c r="AX10" s="86" t="e">
        <f t="shared" si="274"/>
        <v>#N/A</v>
      </c>
      <c r="AY10" s="86" t="e">
        <f t="shared" si="274"/>
        <v>#N/A</v>
      </c>
      <c r="AZ10" s="86" t="e">
        <f t="shared" si="274"/>
        <v>#N/A</v>
      </c>
      <c r="BA10" s="87" t="e">
        <f>AZ10</f>
        <v>#N/A</v>
      </c>
      <c r="BB10" s="86" t="e">
        <f t="shared" ref="BB10:BM10" si="275">BB55</f>
        <v>#N/A</v>
      </c>
      <c r="BC10" s="86" t="e">
        <f t="shared" si="275"/>
        <v>#N/A</v>
      </c>
      <c r="BD10" s="86" t="e">
        <f t="shared" si="275"/>
        <v>#N/A</v>
      </c>
      <c r="BE10" s="86" t="e">
        <f t="shared" si="275"/>
        <v>#N/A</v>
      </c>
      <c r="BF10" s="86" t="e">
        <f t="shared" si="275"/>
        <v>#N/A</v>
      </c>
      <c r="BG10" s="86" t="e">
        <f t="shared" si="275"/>
        <v>#N/A</v>
      </c>
      <c r="BH10" s="86" t="e">
        <f t="shared" si="275"/>
        <v>#N/A</v>
      </c>
      <c r="BI10" s="86" t="e">
        <f t="shared" si="275"/>
        <v>#N/A</v>
      </c>
      <c r="BJ10" s="86" t="e">
        <f t="shared" si="275"/>
        <v>#N/A</v>
      </c>
      <c r="BK10" s="86" t="e">
        <f t="shared" si="275"/>
        <v>#N/A</v>
      </c>
      <c r="BL10" s="86" t="e">
        <f t="shared" si="275"/>
        <v>#N/A</v>
      </c>
      <c r="BM10" s="86" t="e">
        <f t="shared" si="275"/>
        <v>#N/A</v>
      </c>
      <c r="BN10" s="87" t="e">
        <f>BM10</f>
        <v>#N/A</v>
      </c>
      <c r="BO10" s="86" t="e">
        <f t="shared" ref="BO10:BZ10" si="276">BO55</f>
        <v>#N/A</v>
      </c>
      <c r="BP10" s="86" t="e">
        <f t="shared" si="276"/>
        <v>#N/A</v>
      </c>
      <c r="BQ10" s="86" t="e">
        <f t="shared" si="276"/>
        <v>#N/A</v>
      </c>
      <c r="BR10" s="86" t="e">
        <f t="shared" si="276"/>
        <v>#N/A</v>
      </c>
      <c r="BS10" s="86" t="e">
        <f t="shared" si="276"/>
        <v>#N/A</v>
      </c>
      <c r="BT10" s="86" t="e">
        <f t="shared" si="276"/>
        <v>#N/A</v>
      </c>
      <c r="BU10" s="86" t="e">
        <f t="shared" si="276"/>
        <v>#N/A</v>
      </c>
      <c r="BV10" s="86" t="e">
        <f t="shared" si="276"/>
        <v>#N/A</v>
      </c>
      <c r="BW10" s="86" t="e">
        <f t="shared" si="276"/>
        <v>#N/A</v>
      </c>
      <c r="BX10" s="86" t="e">
        <f t="shared" si="276"/>
        <v>#N/A</v>
      </c>
      <c r="BY10" s="86" t="e">
        <f t="shared" si="276"/>
        <v>#N/A</v>
      </c>
      <c r="BZ10" s="86" t="e">
        <f t="shared" si="276"/>
        <v>#N/A</v>
      </c>
      <c r="CA10" s="87" t="e">
        <f>BZ10</f>
        <v>#N/A</v>
      </c>
      <c r="CB10" s="86" t="e">
        <f t="shared" ref="CB10:CM10" si="277">CB55</f>
        <v>#N/A</v>
      </c>
      <c r="CC10" s="86" t="e">
        <f t="shared" si="277"/>
        <v>#N/A</v>
      </c>
      <c r="CD10" s="86" t="e">
        <f t="shared" si="277"/>
        <v>#N/A</v>
      </c>
      <c r="CE10" s="86" t="e">
        <f t="shared" si="277"/>
        <v>#N/A</v>
      </c>
      <c r="CF10" s="86" t="e">
        <f t="shared" si="277"/>
        <v>#N/A</v>
      </c>
      <c r="CG10" s="86" t="e">
        <f t="shared" si="277"/>
        <v>#N/A</v>
      </c>
      <c r="CH10" s="86" t="e">
        <f t="shared" si="277"/>
        <v>#N/A</v>
      </c>
      <c r="CI10" s="86" t="e">
        <f t="shared" si="277"/>
        <v>#N/A</v>
      </c>
      <c r="CJ10" s="86" t="e">
        <f t="shared" si="277"/>
        <v>#N/A</v>
      </c>
      <c r="CK10" s="86" t="e">
        <f t="shared" si="277"/>
        <v>#N/A</v>
      </c>
      <c r="CL10" s="86" t="e">
        <f t="shared" si="277"/>
        <v>#N/A</v>
      </c>
      <c r="CM10" s="86" t="e">
        <f t="shared" si="277"/>
        <v>#N/A</v>
      </c>
      <c r="CN10" s="87" t="e">
        <f>CM10</f>
        <v>#N/A</v>
      </c>
      <c r="CO10" s="86" t="e">
        <f t="shared" ref="CO10:CZ10" si="278">CO55</f>
        <v>#N/A</v>
      </c>
      <c r="CP10" s="86" t="e">
        <f t="shared" si="278"/>
        <v>#N/A</v>
      </c>
      <c r="CQ10" s="86" t="e">
        <f t="shared" si="278"/>
        <v>#N/A</v>
      </c>
      <c r="CR10" s="86" t="e">
        <f t="shared" si="278"/>
        <v>#N/A</v>
      </c>
      <c r="CS10" s="86" t="e">
        <f t="shared" si="278"/>
        <v>#N/A</v>
      </c>
      <c r="CT10" s="86" t="e">
        <f t="shared" si="278"/>
        <v>#N/A</v>
      </c>
      <c r="CU10" s="86" t="e">
        <f t="shared" si="278"/>
        <v>#N/A</v>
      </c>
      <c r="CV10" s="86" t="e">
        <f t="shared" si="278"/>
        <v>#N/A</v>
      </c>
      <c r="CW10" s="86" t="e">
        <f t="shared" si="278"/>
        <v>#N/A</v>
      </c>
      <c r="CX10" s="86" t="e">
        <f t="shared" si="278"/>
        <v>#N/A</v>
      </c>
      <c r="CY10" s="86" t="e">
        <f t="shared" si="278"/>
        <v>#N/A</v>
      </c>
      <c r="CZ10" s="86" t="e">
        <f t="shared" si="278"/>
        <v>#N/A</v>
      </c>
      <c r="DA10" s="87" t="e">
        <f>CZ10</f>
        <v>#N/A</v>
      </c>
      <c r="DB10" s="86" t="e">
        <f t="shared" ref="DB10:DM10" si="279">DB55</f>
        <v>#N/A</v>
      </c>
      <c r="DC10" s="86" t="e">
        <f t="shared" si="279"/>
        <v>#N/A</v>
      </c>
      <c r="DD10" s="86" t="e">
        <f t="shared" si="279"/>
        <v>#N/A</v>
      </c>
      <c r="DE10" s="86" t="e">
        <f t="shared" si="279"/>
        <v>#N/A</v>
      </c>
      <c r="DF10" s="86" t="e">
        <f t="shared" si="279"/>
        <v>#N/A</v>
      </c>
      <c r="DG10" s="86" t="e">
        <f t="shared" si="279"/>
        <v>#N/A</v>
      </c>
      <c r="DH10" s="86" t="e">
        <f t="shared" si="279"/>
        <v>#N/A</v>
      </c>
      <c r="DI10" s="86" t="e">
        <f t="shared" si="279"/>
        <v>#N/A</v>
      </c>
      <c r="DJ10" s="86" t="e">
        <f t="shared" si="279"/>
        <v>#N/A</v>
      </c>
      <c r="DK10" s="86" t="e">
        <f t="shared" si="279"/>
        <v>#N/A</v>
      </c>
      <c r="DL10" s="86" t="e">
        <f t="shared" si="279"/>
        <v>#N/A</v>
      </c>
      <c r="DM10" s="86" t="e">
        <f t="shared" si="279"/>
        <v>#N/A</v>
      </c>
      <c r="DN10" s="87" t="e">
        <f>DM10</f>
        <v>#N/A</v>
      </c>
      <c r="DO10" s="86" t="e">
        <f t="shared" ref="DO10:DZ10" si="280">DO55</f>
        <v>#N/A</v>
      </c>
      <c r="DP10" s="86" t="e">
        <f t="shared" si="280"/>
        <v>#N/A</v>
      </c>
      <c r="DQ10" s="86" t="e">
        <f t="shared" si="280"/>
        <v>#N/A</v>
      </c>
      <c r="DR10" s="86" t="e">
        <f t="shared" si="280"/>
        <v>#N/A</v>
      </c>
      <c r="DS10" s="86" t="e">
        <f t="shared" si="280"/>
        <v>#N/A</v>
      </c>
      <c r="DT10" s="86" t="e">
        <f t="shared" si="280"/>
        <v>#N/A</v>
      </c>
      <c r="DU10" s="86" t="e">
        <f t="shared" si="280"/>
        <v>#N/A</v>
      </c>
      <c r="DV10" s="86" t="e">
        <f t="shared" si="280"/>
        <v>#N/A</v>
      </c>
      <c r="DW10" s="86" t="e">
        <f t="shared" si="280"/>
        <v>#N/A</v>
      </c>
      <c r="DX10" s="86" t="e">
        <f t="shared" si="280"/>
        <v>#N/A</v>
      </c>
      <c r="DY10" s="86" t="e">
        <f t="shared" si="280"/>
        <v>#N/A</v>
      </c>
      <c r="DZ10" s="86" t="e">
        <f t="shared" si="280"/>
        <v>#N/A</v>
      </c>
      <c r="EA10" s="87" t="e">
        <f>DZ10</f>
        <v>#N/A</v>
      </c>
      <c r="EB10" s="86" t="e">
        <f t="shared" ref="EB10:EM10" si="281">EB55</f>
        <v>#N/A</v>
      </c>
      <c r="EC10" s="86" t="e">
        <f t="shared" si="281"/>
        <v>#N/A</v>
      </c>
      <c r="ED10" s="86" t="e">
        <f t="shared" si="281"/>
        <v>#N/A</v>
      </c>
      <c r="EE10" s="86" t="e">
        <f t="shared" si="281"/>
        <v>#N/A</v>
      </c>
      <c r="EF10" s="86" t="e">
        <f t="shared" si="281"/>
        <v>#N/A</v>
      </c>
      <c r="EG10" s="86" t="e">
        <f t="shared" si="281"/>
        <v>#N/A</v>
      </c>
      <c r="EH10" s="86" t="e">
        <f t="shared" si="281"/>
        <v>#N/A</v>
      </c>
      <c r="EI10" s="86" t="e">
        <f t="shared" si="281"/>
        <v>#N/A</v>
      </c>
      <c r="EJ10" s="86" t="e">
        <f t="shared" si="281"/>
        <v>#N/A</v>
      </c>
      <c r="EK10" s="86" t="e">
        <f t="shared" si="281"/>
        <v>#N/A</v>
      </c>
      <c r="EL10" s="86" t="e">
        <f t="shared" si="281"/>
        <v>#N/A</v>
      </c>
      <c r="EM10" s="86" t="e">
        <f t="shared" si="281"/>
        <v>#N/A</v>
      </c>
      <c r="EN10" s="87" t="e">
        <f>EM10</f>
        <v>#N/A</v>
      </c>
      <c r="EO10" s="86" t="e">
        <f t="shared" ref="EO10:EZ10" si="282">EO55</f>
        <v>#N/A</v>
      </c>
      <c r="EP10" s="86" t="e">
        <f t="shared" si="282"/>
        <v>#N/A</v>
      </c>
      <c r="EQ10" s="86" t="e">
        <f t="shared" si="282"/>
        <v>#N/A</v>
      </c>
      <c r="ER10" s="86" t="e">
        <f t="shared" si="282"/>
        <v>#N/A</v>
      </c>
      <c r="ES10" s="86" t="e">
        <f t="shared" si="282"/>
        <v>#N/A</v>
      </c>
      <c r="ET10" s="86" t="e">
        <f t="shared" si="282"/>
        <v>#N/A</v>
      </c>
      <c r="EU10" s="86" t="e">
        <f t="shared" si="282"/>
        <v>#N/A</v>
      </c>
      <c r="EV10" s="86" t="e">
        <f t="shared" si="282"/>
        <v>#N/A</v>
      </c>
      <c r="EW10" s="86" t="e">
        <f t="shared" si="282"/>
        <v>#N/A</v>
      </c>
      <c r="EX10" s="86" t="e">
        <f t="shared" si="282"/>
        <v>#N/A</v>
      </c>
      <c r="EY10" s="86" t="e">
        <f t="shared" si="282"/>
        <v>#N/A</v>
      </c>
      <c r="EZ10" s="86" t="e">
        <f t="shared" si="282"/>
        <v>#N/A</v>
      </c>
      <c r="FA10" s="87" t="e">
        <f>EZ10</f>
        <v>#N/A</v>
      </c>
      <c r="FB10" s="86" t="e">
        <f t="shared" ref="FB10:FM10" si="283">FB55</f>
        <v>#N/A</v>
      </c>
      <c r="FC10" s="86" t="e">
        <f t="shared" si="283"/>
        <v>#N/A</v>
      </c>
      <c r="FD10" s="86" t="e">
        <f t="shared" si="283"/>
        <v>#N/A</v>
      </c>
      <c r="FE10" s="86" t="e">
        <f t="shared" si="283"/>
        <v>#N/A</v>
      </c>
      <c r="FF10" s="86" t="e">
        <f t="shared" si="283"/>
        <v>#N/A</v>
      </c>
      <c r="FG10" s="86" t="e">
        <f t="shared" si="283"/>
        <v>#N/A</v>
      </c>
      <c r="FH10" s="86" t="e">
        <f t="shared" si="283"/>
        <v>#N/A</v>
      </c>
      <c r="FI10" s="86" t="e">
        <f t="shared" si="283"/>
        <v>#N/A</v>
      </c>
      <c r="FJ10" s="86" t="e">
        <f t="shared" si="283"/>
        <v>#N/A</v>
      </c>
      <c r="FK10" s="86" t="e">
        <f t="shared" si="283"/>
        <v>#N/A</v>
      </c>
      <c r="FL10" s="86" t="e">
        <f t="shared" si="283"/>
        <v>#N/A</v>
      </c>
      <c r="FM10" s="86" t="e">
        <f t="shared" si="283"/>
        <v>#N/A</v>
      </c>
      <c r="FN10" s="87" t="e">
        <f>FM10</f>
        <v>#N/A</v>
      </c>
      <c r="FO10" s="86" t="e">
        <f t="shared" ref="FO10:FZ10" si="284">FO55</f>
        <v>#N/A</v>
      </c>
      <c r="FP10" s="86" t="e">
        <f t="shared" si="284"/>
        <v>#N/A</v>
      </c>
      <c r="FQ10" s="86" t="e">
        <f t="shared" si="284"/>
        <v>#N/A</v>
      </c>
      <c r="FR10" s="86" t="e">
        <f t="shared" si="284"/>
        <v>#N/A</v>
      </c>
      <c r="FS10" s="86" t="e">
        <f t="shared" si="284"/>
        <v>#N/A</v>
      </c>
      <c r="FT10" s="86" t="e">
        <f t="shared" si="284"/>
        <v>#N/A</v>
      </c>
      <c r="FU10" s="86" t="e">
        <f t="shared" si="284"/>
        <v>#N/A</v>
      </c>
      <c r="FV10" s="86" t="e">
        <f t="shared" si="284"/>
        <v>#N/A</v>
      </c>
      <c r="FW10" s="86" t="e">
        <f t="shared" si="284"/>
        <v>#N/A</v>
      </c>
      <c r="FX10" s="86" t="e">
        <f t="shared" si="284"/>
        <v>#N/A</v>
      </c>
      <c r="FY10" s="86" t="e">
        <f t="shared" si="284"/>
        <v>#N/A</v>
      </c>
      <c r="FZ10" s="86" t="e">
        <f t="shared" si="284"/>
        <v>#N/A</v>
      </c>
      <c r="GA10" s="87" t="e">
        <f>FZ10</f>
        <v>#N/A</v>
      </c>
      <c r="GB10" s="86" t="e">
        <f t="shared" ref="GB10:GM10" si="285">GB55</f>
        <v>#N/A</v>
      </c>
      <c r="GC10" s="86" t="e">
        <f t="shared" si="285"/>
        <v>#N/A</v>
      </c>
      <c r="GD10" s="86" t="e">
        <f t="shared" si="285"/>
        <v>#N/A</v>
      </c>
      <c r="GE10" s="86" t="e">
        <f t="shared" si="285"/>
        <v>#N/A</v>
      </c>
      <c r="GF10" s="86" t="e">
        <f t="shared" si="285"/>
        <v>#N/A</v>
      </c>
      <c r="GG10" s="86" t="e">
        <f t="shared" si="285"/>
        <v>#N/A</v>
      </c>
      <c r="GH10" s="86" t="e">
        <f t="shared" si="285"/>
        <v>#N/A</v>
      </c>
      <c r="GI10" s="86" t="e">
        <f t="shared" si="285"/>
        <v>#N/A</v>
      </c>
      <c r="GJ10" s="86" t="e">
        <f t="shared" si="285"/>
        <v>#N/A</v>
      </c>
      <c r="GK10" s="86" t="e">
        <f t="shared" si="285"/>
        <v>#N/A</v>
      </c>
      <c r="GL10" s="86" t="e">
        <f t="shared" si="285"/>
        <v>#N/A</v>
      </c>
      <c r="GM10" s="86" t="e">
        <f t="shared" si="285"/>
        <v>#N/A</v>
      </c>
      <c r="GN10" s="87" t="e">
        <f>GM10</f>
        <v>#N/A</v>
      </c>
      <c r="GO10" s="86" t="e">
        <f t="shared" ref="GO10:GZ10" si="286">GO55</f>
        <v>#N/A</v>
      </c>
      <c r="GP10" s="86" t="e">
        <f t="shared" si="286"/>
        <v>#N/A</v>
      </c>
      <c r="GQ10" s="86" t="e">
        <f t="shared" si="286"/>
        <v>#N/A</v>
      </c>
      <c r="GR10" s="86" t="e">
        <f t="shared" si="286"/>
        <v>#N/A</v>
      </c>
      <c r="GS10" s="86" t="e">
        <f t="shared" si="286"/>
        <v>#N/A</v>
      </c>
      <c r="GT10" s="86" t="e">
        <f t="shared" si="286"/>
        <v>#N/A</v>
      </c>
      <c r="GU10" s="86" t="e">
        <f t="shared" si="286"/>
        <v>#N/A</v>
      </c>
      <c r="GV10" s="86" t="e">
        <f t="shared" si="286"/>
        <v>#N/A</v>
      </c>
      <c r="GW10" s="86" t="e">
        <f t="shared" si="286"/>
        <v>#N/A</v>
      </c>
      <c r="GX10" s="86" t="e">
        <f t="shared" si="286"/>
        <v>#N/A</v>
      </c>
      <c r="GY10" s="86" t="e">
        <f t="shared" si="286"/>
        <v>#N/A</v>
      </c>
      <c r="GZ10" s="86" t="e">
        <f t="shared" si="286"/>
        <v>#N/A</v>
      </c>
      <c r="HA10" s="87" t="e">
        <f>GZ10</f>
        <v>#N/A</v>
      </c>
      <c r="HB10" s="86" t="e">
        <f t="shared" ref="HB10:HM10" si="287">HB55</f>
        <v>#N/A</v>
      </c>
      <c r="HC10" s="86" t="e">
        <f t="shared" si="287"/>
        <v>#N/A</v>
      </c>
      <c r="HD10" s="86" t="e">
        <f t="shared" si="287"/>
        <v>#N/A</v>
      </c>
      <c r="HE10" s="86" t="e">
        <f t="shared" si="287"/>
        <v>#N/A</v>
      </c>
      <c r="HF10" s="86" t="e">
        <f t="shared" si="287"/>
        <v>#N/A</v>
      </c>
      <c r="HG10" s="86" t="e">
        <f t="shared" si="287"/>
        <v>#N/A</v>
      </c>
      <c r="HH10" s="86" t="e">
        <f t="shared" si="287"/>
        <v>#N/A</v>
      </c>
      <c r="HI10" s="86" t="e">
        <f t="shared" si="287"/>
        <v>#N/A</v>
      </c>
      <c r="HJ10" s="86" t="e">
        <f t="shared" si="287"/>
        <v>#N/A</v>
      </c>
      <c r="HK10" s="86" t="e">
        <f t="shared" si="287"/>
        <v>#N/A</v>
      </c>
      <c r="HL10" s="86" t="e">
        <f t="shared" si="287"/>
        <v>#N/A</v>
      </c>
      <c r="HM10" s="86" t="e">
        <f t="shared" si="287"/>
        <v>#N/A</v>
      </c>
      <c r="HN10" s="87" t="e">
        <f>HM10</f>
        <v>#N/A</v>
      </c>
      <c r="HO10" s="86" t="e">
        <f t="shared" ref="HO10:HZ10" si="288">HO55</f>
        <v>#N/A</v>
      </c>
      <c r="HP10" s="86" t="e">
        <f t="shared" si="288"/>
        <v>#N/A</v>
      </c>
      <c r="HQ10" s="86" t="e">
        <f t="shared" si="288"/>
        <v>#N/A</v>
      </c>
      <c r="HR10" s="86" t="e">
        <f t="shared" si="288"/>
        <v>#N/A</v>
      </c>
      <c r="HS10" s="86" t="e">
        <f t="shared" si="288"/>
        <v>#N/A</v>
      </c>
      <c r="HT10" s="86" t="e">
        <f t="shared" si="288"/>
        <v>#N/A</v>
      </c>
      <c r="HU10" s="86" t="e">
        <f t="shared" si="288"/>
        <v>#N/A</v>
      </c>
      <c r="HV10" s="86" t="e">
        <f t="shared" si="288"/>
        <v>#N/A</v>
      </c>
      <c r="HW10" s="86" t="e">
        <f t="shared" si="288"/>
        <v>#N/A</v>
      </c>
      <c r="HX10" s="86" t="e">
        <f t="shared" si="288"/>
        <v>#N/A</v>
      </c>
      <c r="HY10" s="86" t="e">
        <f t="shared" si="288"/>
        <v>#N/A</v>
      </c>
      <c r="HZ10" s="86" t="e">
        <f t="shared" si="288"/>
        <v>#N/A</v>
      </c>
      <c r="IA10" s="87" t="e">
        <f>HZ10</f>
        <v>#N/A</v>
      </c>
      <c r="IB10" s="86" t="e">
        <f t="shared" ref="IB10:IM10" si="289">IB55</f>
        <v>#N/A</v>
      </c>
      <c r="IC10" s="86" t="e">
        <f t="shared" si="289"/>
        <v>#N/A</v>
      </c>
      <c r="ID10" s="86" t="e">
        <f t="shared" si="289"/>
        <v>#N/A</v>
      </c>
      <c r="IE10" s="86" t="e">
        <f t="shared" si="289"/>
        <v>#N/A</v>
      </c>
      <c r="IF10" s="86" t="e">
        <f t="shared" si="289"/>
        <v>#N/A</v>
      </c>
      <c r="IG10" s="86" t="e">
        <f t="shared" si="289"/>
        <v>#N/A</v>
      </c>
      <c r="IH10" s="86" t="e">
        <f t="shared" si="289"/>
        <v>#N/A</v>
      </c>
      <c r="II10" s="86" t="e">
        <f t="shared" si="289"/>
        <v>#N/A</v>
      </c>
      <c r="IJ10" s="86" t="e">
        <f t="shared" si="289"/>
        <v>#N/A</v>
      </c>
      <c r="IK10" s="86" t="e">
        <f t="shared" si="289"/>
        <v>#N/A</v>
      </c>
      <c r="IL10" s="86" t="e">
        <f t="shared" si="289"/>
        <v>#N/A</v>
      </c>
      <c r="IM10" s="86" t="e">
        <f t="shared" si="289"/>
        <v>#N/A</v>
      </c>
      <c r="IN10" s="87" t="e">
        <f>IM10</f>
        <v>#N/A</v>
      </c>
      <c r="IO10" s="86" t="e">
        <f t="shared" ref="IO10:IZ10" si="290">IO55</f>
        <v>#N/A</v>
      </c>
      <c r="IP10" s="86" t="e">
        <f t="shared" si="290"/>
        <v>#N/A</v>
      </c>
      <c r="IQ10" s="86" t="e">
        <f t="shared" si="290"/>
        <v>#N/A</v>
      </c>
      <c r="IR10" s="86" t="e">
        <f t="shared" si="290"/>
        <v>#N/A</v>
      </c>
      <c r="IS10" s="86" t="e">
        <f t="shared" si="290"/>
        <v>#N/A</v>
      </c>
      <c r="IT10" s="86" t="e">
        <f t="shared" si="290"/>
        <v>#N/A</v>
      </c>
      <c r="IU10" s="86" t="e">
        <f t="shared" si="290"/>
        <v>#N/A</v>
      </c>
      <c r="IV10" s="86" t="e">
        <f t="shared" si="290"/>
        <v>#N/A</v>
      </c>
      <c r="IW10" s="86" t="e">
        <f t="shared" si="290"/>
        <v>#N/A</v>
      </c>
      <c r="IX10" s="86" t="e">
        <f t="shared" si="290"/>
        <v>#N/A</v>
      </c>
      <c r="IY10" s="86" t="e">
        <f t="shared" si="290"/>
        <v>#N/A</v>
      </c>
      <c r="IZ10" s="86" t="e">
        <f t="shared" si="290"/>
        <v>#N/A</v>
      </c>
      <c r="JA10" s="87" t="e">
        <f>IZ10</f>
        <v>#N/A</v>
      </c>
      <c r="JB10" s="86" t="e">
        <f t="shared" ref="JB10:JM10" si="291">JB55</f>
        <v>#N/A</v>
      </c>
      <c r="JC10" s="86" t="e">
        <f t="shared" si="291"/>
        <v>#N/A</v>
      </c>
      <c r="JD10" s="86" t="e">
        <f t="shared" si="291"/>
        <v>#N/A</v>
      </c>
      <c r="JE10" s="86" t="e">
        <f t="shared" si="291"/>
        <v>#N/A</v>
      </c>
      <c r="JF10" s="86" t="e">
        <f t="shared" si="291"/>
        <v>#N/A</v>
      </c>
      <c r="JG10" s="86" t="e">
        <f t="shared" si="291"/>
        <v>#N/A</v>
      </c>
      <c r="JH10" s="86" t="e">
        <f t="shared" si="291"/>
        <v>#N/A</v>
      </c>
      <c r="JI10" s="86" t="e">
        <f t="shared" si="291"/>
        <v>#N/A</v>
      </c>
      <c r="JJ10" s="86" t="e">
        <f t="shared" si="291"/>
        <v>#N/A</v>
      </c>
      <c r="JK10" s="86" t="e">
        <f t="shared" si="291"/>
        <v>#N/A</v>
      </c>
      <c r="JL10" s="86" t="e">
        <f t="shared" si="291"/>
        <v>#N/A</v>
      </c>
      <c r="JM10" s="86" t="e">
        <f t="shared" si="291"/>
        <v>#N/A</v>
      </c>
      <c r="JN10" s="87" t="e">
        <f>JM10</f>
        <v>#N/A</v>
      </c>
      <c r="JO10" s="86" t="e">
        <f t="shared" ref="JO10:JZ10" si="292">JO55</f>
        <v>#N/A</v>
      </c>
      <c r="JP10" s="86" t="e">
        <f t="shared" si="292"/>
        <v>#N/A</v>
      </c>
      <c r="JQ10" s="86" t="e">
        <f t="shared" si="292"/>
        <v>#N/A</v>
      </c>
      <c r="JR10" s="86" t="e">
        <f t="shared" si="292"/>
        <v>#N/A</v>
      </c>
      <c r="JS10" s="86" t="e">
        <f t="shared" si="292"/>
        <v>#N/A</v>
      </c>
      <c r="JT10" s="86" t="e">
        <f t="shared" si="292"/>
        <v>#N/A</v>
      </c>
      <c r="JU10" s="86" t="e">
        <f t="shared" si="292"/>
        <v>#N/A</v>
      </c>
      <c r="JV10" s="86" t="e">
        <f t="shared" si="292"/>
        <v>#N/A</v>
      </c>
      <c r="JW10" s="86" t="e">
        <f t="shared" si="292"/>
        <v>#N/A</v>
      </c>
      <c r="JX10" s="86" t="e">
        <f t="shared" si="292"/>
        <v>#N/A</v>
      </c>
      <c r="JY10" s="86" t="e">
        <f t="shared" si="292"/>
        <v>#N/A</v>
      </c>
      <c r="JZ10" s="86" t="e">
        <f t="shared" si="292"/>
        <v>#N/A</v>
      </c>
      <c r="KA10" s="87" t="e">
        <f>JZ10</f>
        <v>#N/A</v>
      </c>
      <c r="KB10" s="86" t="e">
        <f t="shared" ref="KB10:KM10" si="293">KB55</f>
        <v>#N/A</v>
      </c>
      <c r="KC10" s="86" t="e">
        <f t="shared" si="293"/>
        <v>#N/A</v>
      </c>
      <c r="KD10" s="86" t="e">
        <f t="shared" si="293"/>
        <v>#N/A</v>
      </c>
      <c r="KE10" s="86" t="e">
        <f t="shared" si="293"/>
        <v>#N/A</v>
      </c>
      <c r="KF10" s="86" t="e">
        <f t="shared" si="293"/>
        <v>#N/A</v>
      </c>
      <c r="KG10" s="86" t="e">
        <f t="shared" si="293"/>
        <v>#N/A</v>
      </c>
      <c r="KH10" s="86" t="e">
        <f t="shared" si="293"/>
        <v>#N/A</v>
      </c>
      <c r="KI10" s="86" t="e">
        <f t="shared" si="293"/>
        <v>#N/A</v>
      </c>
      <c r="KJ10" s="86" t="e">
        <f t="shared" si="293"/>
        <v>#N/A</v>
      </c>
      <c r="KK10" s="86" t="e">
        <f t="shared" si="293"/>
        <v>#N/A</v>
      </c>
      <c r="KL10" s="86" t="e">
        <f t="shared" si="293"/>
        <v>#N/A</v>
      </c>
      <c r="KM10" s="86" t="e">
        <f t="shared" si="293"/>
        <v>#N/A</v>
      </c>
      <c r="KN10" s="87" t="e">
        <f>KM10</f>
        <v>#N/A</v>
      </c>
      <c r="KO10" s="86" t="e">
        <f t="shared" ref="KO10:KZ10" si="294">KO55</f>
        <v>#N/A</v>
      </c>
      <c r="KP10" s="86" t="e">
        <f t="shared" si="294"/>
        <v>#N/A</v>
      </c>
      <c r="KQ10" s="86" t="e">
        <f t="shared" si="294"/>
        <v>#N/A</v>
      </c>
      <c r="KR10" s="86" t="e">
        <f t="shared" si="294"/>
        <v>#N/A</v>
      </c>
      <c r="KS10" s="86" t="e">
        <f t="shared" si="294"/>
        <v>#N/A</v>
      </c>
      <c r="KT10" s="86" t="e">
        <f t="shared" si="294"/>
        <v>#N/A</v>
      </c>
      <c r="KU10" s="86" t="e">
        <f t="shared" si="294"/>
        <v>#N/A</v>
      </c>
      <c r="KV10" s="86" t="e">
        <f t="shared" si="294"/>
        <v>#N/A</v>
      </c>
      <c r="KW10" s="86" t="e">
        <f t="shared" si="294"/>
        <v>#N/A</v>
      </c>
      <c r="KX10" s="86" t="e">
        <f t="shared" si="294"/>
        <v>#N/A</v>
      </c>
      <c r="KY10" s="86" t="e">
        <f t="shared" si="294"/>
        <v>#N/A</v>
      </c>
      <c r="KZ10" s="86" t="e">
        <f t="shared" si="294"/>
        <v>#N/A</v>
      </c>
      <c r="LA10" s="87" t="e">
        <f>KZ10</f>
        <v>#N/A</v>
      </c>
      <c r="LB10" s="86" t="e">
        <f t="shared" ref="LB10:LM10" si="295">LB55</f>
        <v>#N/A</v>
      </c>
      <c r="LC10" s="86" t="e">
        <f t="shared" si="295"/>
        <v>#N/A</v>
      </c>
      <c r="LD10" s="86" t="e">
        <f t="shared" si="295"/>
        <v>#N/A</v>
      </c>
      <c r="LE10" s="86" t="e">
        <f t="shared" si="295"/>
        <v>#N/A</v>
      </c>
      <c r="LF10" s="86" t="e">
        <f t="shared" si="295"/>
        <v>#N/A</v>
      </c>
      <c r="LG10" s="86" t="e">
        <f t="shared" si="295"/>
        <v>#N/A</v>
      </c>
      <c r="LH10" s="86" t="e">
        <f t="shared" si="295"/>
        <v>#N/A</v>
      </c>
      <c r="LI10" s="86" t="e">
        <f t="shared" si="295"/>
        <v>#N/A</v>
      </c>
      <c r="LJ10" s="86" t="e">
        <f t="shared" si="295"/>
        <v>#N/A</v>
      </c>
      <c r="LK10" s="86" t="e">
        <f t="shared" si="295"/>
        <v>#N/A</v>
      </c>
      <c r="LL10" s="86" t="e">
        <f t="shared" si="295"/>
        <v>#N/A</v>
      </c>
      <c r="LM10" s="86" t="e">
        <f t="shared" si="295"/>
        <v>#N/A</v>
      </c>
      <c r="LN10" s="87" t="e">
        <f>LM10</f>
        <v>#N/A</v>
      </c>
      <c r="LO10" s="86" t="e">
        <f t="shared" ref="LO10:LZ10" si="296">LO55</f>
        <v>#N/A</v>
      </c>
      <c r="LP10" s="86" t="e">
        <f t="shared" si="296"/>
        <v>#N/A</v>
      </c>
      <c r="LQ10" s="86" t="e">
        <f t="shared" si="296"/>
        <v>#N/A</v>
      </c>
      <c r="LR10" s="86" t="e">
        <f t="shared" si="296"/>
        <v>#N/A</v>
      </c>
      <c r="LS10" s="86" t="e">
        <f t="shared" si="296"/>
        <v>#N/A</v>
      </c>
      <c r="LT10" s="86" t="e">
        <f t="shared" si="296"/>
        <v>#N/A</v>
      </c>
      <c r="LU10" s="86" t="e">
        <f t="shared" si="296"/>
        <v>#N/A</v>
      </c>
      <c r="LV10" s="86" t="e">
        <f t="shared" si="296"/>
        <v>#N/A</v>
      </c>
      <c r="LW10" s="86" t="e">
        <f t="shared" si="296"/>
        <v>#N/A</v>
      </c>
      <c r="LX10" s="86" t="e">
        <f t="shared" si="296"/>
        <v>#N/A</v>
      </c>
      <c r="LY10" s="86" t="e">
        <f t="shared" si="296"/>
        <v>#N/A</v>
      </c>
      <c r="LZ10" s="86" t="e">
        <f t="shared" si="296"/>
        <v>#N/A</v>
      </c>
      <c r="MA10" s="87" t="e">
        <f>LZ10</f>
        <v>#N/A</v>
      </c>
      <c r="MB10" s="86" t="e">
        <f t="shared" ref="MB10:MM10" si="297">MB55</f>
        <v>#N/A</v>
      </c>
      <c r="MC10" s="86" t="e">
        <f t="shared" si="297"/>
        <v>#N/A</v>
      </c>
      <c r="MD10" s="86" t="e">
        <f t="shared" si="297"/>
        <v>#N/A</v>
      </c>
      <c r="ME10" s="86" t="e">
        <f t="shared" si="297"/>
        <v>#N/A</v>
      </c>
      <c r="MF10" s="86" t="e">
        <f t="shared" si="297"/>
        <v>#N/A</v>
      </c>
      <c r="MG10" s="86" t="e">
        <f t="shared" si="297"/>
        <v>#N/A</v>
      </c>
      <c r="MH10" s="86" t="e">
        <f t="shared" si="297"/>
        <v>#N/A</v>
      </c>
      <c r="MI10" s="86" t="e">
        <f t="shared" si="297"/>
        <v>#N/A</v>
      </c>
      <c r="MJ10" s="86" t="e">
        <f t="shared" si="297"/>
        <v>#N/A</v>
      </c>
      <c r="MK10" s="86" t="e">
        <f t="shared" si="297"/>
        <v>#N/A</v>
      </c>
      <c r="ML10" s="86" t="e">
        <f t="shared" si="297"/>
        <v>#N/A</v>
      </c>
      <c r="MM10" s="86" t="e">
        <f t="shared" si="297"/>
        <v>#N/A</v>
      </c>
      <c r="MN10" s="87" t="e">
        <f>MM10</f>
        <v>#N/A</v>
      </c>
      <c r="MO10" s="86" t="e">
        <f t="shared" ref="MO10:MZ10" si="298">MO55</f>
        <v>#N/A</v>
      </c>
      <c r="MP10" s="86" t="e">
        <f t="shared" si="298"/>
        <v>#N/A</v>
      </c>
      <c r="MQ10" s="86" t="e">
        <f t="shared" si="298"/>
        <v>#N/A</v>
      </c>
      <c r="MR10" s="86" t="e">
        <f t="shared" si="298"/>
        <v>#N/A</v>
      </c>
      <c r="MS10" s="86" t="e">
        <f t="shared" si="298"/>
        <v>#N/A</v>
      </c>
      <c r="MT10" s="86" t="e">
        <f t="shared" si="298"/>
        <v>#N/A</v>
      </c>
      <c r="MU10" s="86" t="e">
        <f t="shared" si="298"/>
        <v>#N/A</v>
      </c>
      <c r="MV10" s="86" t="e">
        <f t="shared" si="298"/>
        <v>#N/A</v>
      </c>
      <c r="MW10" s="86" t="e">
        <f t="shared" si="298"/>
        <v>#N/A</v>
      </c>
      <c r="MX10" s="86" t="e">
        <f t="shared" si="298"/>
        <v>#N/A</v>
      </c>
      <c r="MY10" s="86" t="e">
        <f t="shared" si="298"/>
        <v>#N/A</v>
      </c>
      <c r="MZ10" s="86" t="e">
        <f t="shared" si="298"/>
        <v>#N/A</v>
      </c>
      <c r="NA10" s="87" t="e">
        <f>MZ10</f>
        <v>#N/A</v>
      </c>
      <c r="NB10" s="86" t="e">
        <f t="shared" ref="NB10:NM10" si="299">NB55</f>
        <v>#N/A</v>
      </c>
      <c r="NC10" s="86" t="e">
        <f t="shared" si="299"/>
        <v>#N/A</v>
      </c>
      <c r="ND10" s="86" t="e">
        <f t="shared" si="299"/>
        <v>#N/A</v>
      </c>
      <c r="NE10" s="86" t="e">
        <f t="shared" si="299"/>
        <v>#N/A</v>
      </c>
      <c r="NF10" s="86" t="e">
        <f t="shared" si="299"/>
        <v>#N/A</v>
      </c>
      <c r="NG10" s="86" t="e">
        <f t="shared" si="299"/>
        <v>#N/A</v>
      </c>
      <c r="NH10" s="86" t="e">
        <f t="shared" si="299"/>
        <v>#N/A</v>
      </c>
      <c r="NI10" s="86" t="e">
        <f t="shared" si="299"/>
        <v>#N/A</v>
      </c>
      <c r="NJ10" s="86" t="e">
        <f t="shared" si="299"/>
        <v>#N/A</v>
      </c>
      <c r="NK10" s="86" t="e">
        <f t="shared" si="299"/>
        <v>#N/A</v>
      </c>
      <c r="NL10" s="86" t="e">
        <f t="shared" si="299"/>
        <v>#N/A</v>
      </c>
      <c r="NM10" s="86" t="e">
        <f t="shared" si="299"/>
        <v>#N/A</v>
      </c>
      <c r="NN10" s="87" t="e">
        <f>NM10</f>
        <v>#N/A</v>
      </c>
      <c r="NO10" s="86" t="e">
        <f t="shared" ref="NO10:NZ10" si="300">NO55</f>
        <v>#N/A</v>
      </c>
      <c r="NP10" s="86" t="e">
        <f t="shared" si="300"/>
        <v>#N/A</v>
      </c>
      <c r="NQ10" s="86" t="e">
        <f t="shared" si="300"/>
        <v>#N/A</v>
      </c>
      <c r="NR10" s="86" t="e">
        <f t="shared" si="300"/>
        <v>#N/A</v>
      </c>
      <c r="NS10" s="86" t="e">
        <f t="shared" si="300"/>
        <v>#N/A</v>
      </c>
      <c r="NT10" s="86" t="e">
        <f t="shared" si="300"/>
        <v>#N/A</v>
      </c>
      <c r="NU10" s="86" t="e">
        <f t="shared" si="300"/>
        <v>#N/A</v>
      </c>
      <c r="NV10" s="86" t="e">
        <f t="shared" si="300"/>
        <v>#N/A</v>
      </c>
      <c r="NW10" s="86" t="e">
        <f t="shared" si="300"/>
        <v>#N/A</v>
      </c>
      <c r="NX10" s="86" t="e">
        <f t="shared" si="300"/>
        <v>#N/A</v>
      </c>
      <c r="NY10" s="86" t="e">
        <f t="shared" si="300"/>
        <v>#N/A</v>
      </c>
      <c r="NZ10" s="86" t="e">
        <f t="shared" si="300"/>
        <v>#N/A</v>
      </c>
      <c r="OA10" s="87" t="e">
        <f>NZ10</f>
        <v>#N/A</v>
      </c>
      <c r="OB10" s="86" t="e">
        <f t="shared" ref="OB10:OM10" si="301">OB55</f>
        <v>#N/A</v>
      </c>
      <c r="OC10" s="86" t="e">
        <f t="shared" si="301"/>
        <v>#N/A</v>
      </c>
      <c r="OD10" s="86" t="e">
        <f t="shared" si="301"/>
        <v>#N/A</v>
      </c>
      <c r="OE10" s="86" t="e">
        <f t="shared" si="301"/>
        <v>#N/A</v>
      </c>
      <c r="OF10" s="86" t="e">
        <f t="shared" si="301"/>
        <v>#N/A</v>
      </c>
      <c r="OG10" s="86" t="e">
        <f t="shared" si="301"/>
        <v>#N/A</v>
      </c>
      <c r="OH10" s="86" t="e">
        <f t="shared" si="301"/>
        <v>#N/A</v>
      </c>
      <c r="OI10" s="86" t="e">
        <f t="shared" si="301"/>
        <v>#N/A</v>
      </c>
      <c r="OJ10" s="86" t="e">
        <f t="shared" si="301"/>
        <v>#N/A</v>
      </c>
      <c r="OK10" s="86" t="e">
        <f t="shared" si="301"/>
        <v>#N/A</v>
      </c>
      <c r="OL10" s="86" t="e">
        <f t="shared" si="301"/>
        <v>#N/A</v>
      </c>
      <c r="OM10" s="86" t="e">
        <f t="shared" si="301"/>
        <v>#N/A</v>
      </c>
      <c r="ON10" s="87" t="e">
        <f>OM10</f>
        <v>#N/A</v>
      </c>
      <c r="OO10" s="86" t="e">
        <f t="shared" ref="OO10:OZ10" si="302">OO55</f>
        <v>#N/A</v>
      </c>
      <c r="OP10" s="86" t="e">
        <f t="shared" si="302"/>
        <v>#N/A</v>
      </c>
      <c r="OQ10" s="86" t="e">
        <f t="shared" si="302"/>
        <v>#N/A</v>
      </c>
      <c r="OR10" s="86" t="e">
        <f t="shared" si="302"/>
        <v>#N/A</v>
      </c>
      <c r="OS10" s="86" t="e">
        <f t="shared" si="302"/>
        <v>#N/A</v>
      </c>
      <c r="OT10" s="86" t="e">
        <f t="shared" si="302"/>
        <v>#N/A</v>
      </c>
      <c r="OU10" s="86" t="e">
        <f t="shared" si="302"/>
        <v>#N/A</v>
      </c>
      <c r="OV10" s="86" t="e">
        <f t="shared" si="302"/>
        <v>#N/A</v>
      </c>
      <c r="OW10" s="86" t="e">
        <f t="shared" si="302"/>
        <v>#N/A</v>
      </c>
      <c r="OX10" s="86" t="e">
        <f t="shared" si="302"/>
        <v>#N/A</v>
      </c>
      <c r="OY10" s="86" t="e">
        <f t="shared" si="302"/>
        <v>#N/A</v>
      </c>
      <c r="OZ10" s="86" t="e">
        <f t="shared" si="302"/>
        <v>#N/A</v>
      </c>
      <c r="PA10" s="87" t="e">
        <f>OZ10</f>
        <v>#N/A</v>
      </c>
      <c r="PB10" s="86" t="e">
        <f t="shared" ref="PB10:PM10" si="303">PB55</f>
        <v>#N/A</v>
      </c>
      <c r="PC10" s="86" t="e">
        <f t="shared" si="303"/>
        <v>#N/A</v>
      </c>
      <c r="PD10" s="86" t="e">
        <f t="shared" si="303"/>
        <v>#N/A</v>
      </c>
      <c r="PE10" s="86" t="e">
        <f t="shared" si="303"/>
        <v>#N/A</v>
      </c>
      <c r="PF10" s="86" t="e">
        <f t="shared" si="303"/>
        <v>#N/A</v>
      </c>
      <c r="PG10" s="86" t="e">
        <f t="shared" si="303"/>
        <v>#N/A</v>
      </c>
      <c r="PH10" s="86" t="e">
        <f t="shared" si="303"/>
        <v>#N/A</v>
      </c>
      <c r="PI10" s="86" t="e">
        <f t="shared" si="303"/>
        <v>#N/A</v>
      </c>
      <c r="PJ10" s="86" t="e">
        <f t="shared" si="303"/>
        <v>#N/A</v>
      </c>
      <c r="PK10" s="86" t="e">
        <f t="shared" si="303"/>
        <v>#N/A</v>
      </c>
      <c r="PL10" s="86" t="e">
        <f t="shared" si="303"/>
        <v>#N/A</v>
      </c>
      <c r="PM10" s="86" t="e">
        <f t="shared" si="303"/>
        <v>#N/A</v>
      </c>
      <c r="PN10" s="87" t="e">
        <f>PM10</f>
        <v>#N/A</v>
      </c>
      <c r="PO10" s="86" t="e">
        <f t="shared" ref="PO10:PZ10" si="304">PO55</f>
        <v>#N/A</v>
      </c>
      <c r="PP10" s="86" t="e">
        <f t="shared" si="304"/>
        <v>#N/A</v>
      </c>
      <c r="PQ10" s="86" t="e">
        <f t="shared" si="304"/>
        <v>#N/A</v>
      </c>
      <c r="PR10" s="86" t="e">
        <f t="shared" si="304"/>
        <v>#N/A</v>
      </c>
      <c r="PS10" s="86" t="e">
        <f t="shared" si="304"/>
        <v>#N/A</v>
      </c>
      <c r="PT10" s="86" t="e">
        <f t="shared" si="304"/>
        <v>#N/A</v>
      </c>
      <c r="PU10" s="86" t="e">
        <f t="shared" si="304"/>
        <v>#N/A</v>
      </c>
      <c r="PV10" s="86" t="e">
        <f t="shared" si="304"/>
        <v>#N/A</v>
      </c>
      <c r="PW10" s="86" t="e">
        <f t="shared" si="304"/>
        <v>#N/A</v>
      </c>
      <c r="PX10" s="86" t="e">
        <f t="shared" si="304"/>
        <v>#N/A</v>
      </c>
      <c r="PY10" s="86" t="e">
        <f t="shared" si="304"/>
        <v>#N/A</v>
      </c>
      <c r="PZ10" s="86" t="e">
        <f t="shared" si="304"/>
        <v>#N/A</v>
      </c>
      <c r="QA10" s="87" t="e">
        <f>PZ10</f>
        <v>#N/A</v>
      </c>
      <c r="QB10" s="86" t="e">
        <f t="shared" ref="QB10:QM10" si="305">QB55</f>
        <v>#N/A</v>
      </c>
      <c r="QC10" s="86" t="e">
        <f t="shared" si="305"/>
        <v>#N/A</v>
      </c>
      <c r="QD10" s="86" t="e">
        <f t="shared" si="305"/>
        <v>#N/A</v>
      </c>
      <c r="QE10" s="86" t="e">
        <f t="shared" si="305"/>
        <v>#N/A</v>
      </c>
      <c r="QF10" s="86" t="e">
        <f t="shared" si="305"/>
        <v>#N/A</v>
      </c>
      <c r="QG10" s="86" t="e">
        <f t="shared" si="305"/>
        <v>#N/A</v>
      </c>
      <c r="QH10" s="86" t="e">
        <f t="shared" si="305"/>
        <v>#N/A</v>
      </c>
      <c r="QI10" s="86" t="e">
        <f t="shared" si="305"/>
        <v>#N/A</v>
      </c>
      <c r="QJ10" s="86" t="e">
        <f t="shared" si="305"/>
        <v>#N/A</v>
      </c>
      <c r="QK10" s="86" t="e">
        <f t="shared" si="305"/>
        <v>#N/A</v>
      </c>
      <c r="QL10" s="86" t="e">
        <f t="shared" si="305"/>
        <v>#N/A</v>
      </c>
      <c r="QM10" s="86" t="e">
        <f t="shared" si="305"/>
        <v>#N/A</v>
      </c>
      <c r="QN10" s="87" t="e">
        <f>QM10</f>
        <v>#N/A</v>
      </c>
      <c r="QO10" s="86" t="e">
        <f t="shared" ref="QO10:QZ10" si="306">QO55</f>
        <v>#N/A</v>
      </c>
      <c r="QP10" s="86" t="e">
        <f t="shared" si="306"/>
        <v>#N/A</v>
      </c>
      <c r="QQ10" s="86" t="e">
        <f t="shared" si="306"/>
        <v>#N/A</v>
      </c>
      <c r="QR10" s="86" t="e">
        <f t="shared" si="306"/>
        <v>#N/A</v>
      </c>
      <c r="QS10" s="86" t="e">
        <f t="shared" si="306"/>
        <v>#N/A</v>
      </c>
      <c r="QT10" s="86" t="e">
        <f t="shared" si="306"/>
        <v>#N/A</v>
      </c>
      <c r="QU10" s="86" t="e">
        <f t="shared" si="306"/>
        <v>#N/A</v>
      </c>
      <c r="QV10" s="86" t="e">
        <f t="shared" si="306"/>
        <v>#N/A</v>
      </c>
      <c r="QW10" s="86" t="e">
        <f t="shared" si="306"/>
        <v>#N/A</v>
      </c>
      <c r="QX10" s="86" t="e">
        <f t="shared" si="306"/>
        <v>#N/A</v>
      </c>
      <c r="QY10" s="86" t="e">
        <f t="shared" si="306"/>
        <v>#N/A</v>
      </c>
      <c r="QZ10" s="86" t="e">
        <f t="shared" si="306"/>
        <v>#N/A</v>
      </c>
      <c r="RA10" s="87" t="e">
        <f>QZ10</f>
        <v>#N/A</v>
      </c>
      <c r="RB10" s="86" t="e">
        <f t="shared" ref="RB10:RM10" si="307">RB55</f>
        <v>#N/A</v>
      </c>
      <c r="RC10" s="86" t="e">
        <f t="shared" si="307"/>
        <v>#N/A</v>
      </c>
      <c r="RD10" s="86" t="e">
        <f t="shared" si="307"/>
        <v>#N/A</v>
      </c>
      <c r="RE10" s="86" t="e">
        <f t="shared" si="307"/>
        <v>#N/A</v>
      </c>
      <c r="RF10" s="86" t="e">
        <f t="shared" si="307"/>
        <v>#N/A</v>
      </c>
      <c r="RG10" s="86" t="e">
        <f t="shared" si="307"/>
        <v>#N/A</v>
      </c>
      <c r="RH10" s="86" t="e">
        <f t="shared" si="307"/>
        <v>#N/A</v>
      </c>
      <c r="RI10" s="86" t="e">
        <f t="shared" si="307"/>
        <v>#N/A</v>
      </c>
      <c r="RJ10" s="86" t="e">
        <f t="shared" si="307"/>
        <v>#N/A</v>
      </c>
      <c r="RK10" s="86" t="e">
        <f t="shared" si="307"/>
        <v>#N/A</v>
      </c>
      <c r="RL10" s="86" t="e">
        <f t="shared" si="307"/>
        <v>#N/A</v>
      </c>
      <c r="RM10" s="86" t="e">
        <f t="shared" si="307"/>
        <v>#N/A</v>
      </c>
      <c r="RN10" s="87" t="e">
        <f>RM10</f>
        <v>#N/A</v>
      </c>
    </row>
    <row r="11" spans="1:482" outlineLevel="1" x14ac:dyDescent="0.3">
      <c r="A11" s="78" t="s">
        <v>153</v>
      </c>
      <c r="B11" s="86" t="e">
        <f>B61</f>
        <v>#N/A</v>
      </c>
      <c r="C11" s="86" t="e">
        <f t="shared" ref="C11:BN11" si="308">C61</f>
        <v>#N/A</v>
      </c>
      <c r="D11" s="86" t="e">
        <f t="shared" si="308"/>
        <v>#N/A</v>
      </c>
      <c r="E11" s="86" t="e">
        <f t="shared" si="308"/>
        <v>#N/A</v>
      </c>
      <c r="F11" s="86" t="e">
        <f t="shared" si="308"/>
        <v>#N/A</v>
      </c>
      <c r="G11" s="86" t="e">
        <f t="shared" si="308"/>
        <v>#N/A</v>
      </c>
      <c r="H11" s="86" t="e">
        <f t="shared" si="308"/>
        <v>#N/A</v>
      </c>
      <c r="I11" s="86" t="e">
        <f t="shared" si="308"/>
        <v>#N/A</v>
      </c>
      <c r="J11" s="86" t="e">
        <f t="shared" si="308"/>
        <v>#N/A</v>
      </c>
      <c r="K11" s="86" t="e">
        <f t="shared" si="308"/>
        <v>#N/A</v>
      </c>
      <c r="L11" s="86" t="e">
        <f t="shared" si="308"/>
        <v>#N/A</v>
      </c>
      <c r="M11" s="86" t="e">
        <f t="shared" si="308"/>
        <v>#N/A</v>
      </c>
      <c r="N11" s="87" t="e">
        <f>N61</f>
        <v>#N/A</v>
      </c>
      <c r="O11" s="86" t="e">
        <f t="shared" si="308"/>
        <v>#N/A</v>
      </c>
      <c r="P11" s="86" t="e">
        <f t="shared" si="308"/>
        <v>#N/A</v>
      </c>
      <c r="Q11" s="86" t="e">
        <f t="shared" si="308"/>
        <v>#N/A</v>
      </c>
      <c r="R11" s="86" t="e">
        <f t="shared" si="308"/>
        <v>#N/A</v>
      </c>
      <c r="S11" s="86" t="e">
        <f t="shared" si="308"/>
        <v>#N/A</v>
      </c>
      <c r="T11" s="86" t="e">
        <f t="shared" si="308"/>
        <v>#N/A</v>
      </c>
      <c r="U11" s="86" t="e">
        <f t="shared" si="308"/>
        <v>#N/A</v>
      </c>
      <c r="V11" s="86" t="e">
        <f t="shared" si="308"/>
        <v>#N/A</v>
      </c>
      <c r="W11" s="86" t="e">
        <f t="shared" si="308"/>
        <v>#N/A</v>
      </c>
      <c r="X11" s="86" t="e">
        <f t="shared" si="308"/>
        <v>#N/A</v>
      </c>
      <c r="Y11" s="86" t="e">
        <f t="shared" si="308"/>
        <v>#N/A</v>
      </c>
      <c r="Z11" s="86" t="e">
        <f t="shared" si="308"/>
        <v>#N/A</v>
      </c>
      <c r="AA11" s="87" t="e">
        <f t="shared" si="308"/>
        <v>#N/A</v>
      </c>
      <c r="AB11" s="86" t="e">
        <f t="shared" si="308"/>
        <v>#N/A</v>
      </c>
      <c r="AC11" s="86" t="e">
        <f t="shared" si="308"/>
        <v>#N/A</v>
      </c>
      <c r="AD11" s="86" t="e">
        <f t="shared" si="308"/>
        <v>#N/A</v>
      </c>
      <c r="AE11" s="86" t="e">
        <f t="shared" si="308"/>
        <v>#N/A</v>
      </c>
      <c r="AF11" s="86" t="e">
        <f t="shared" si="308"/>
        <v>#N/A</v>
      </c>
      <c r="AG11" s="86" t="e">
        <f t="shared" si="308"/>
        <v>#N/A</v>
      </c>
      <c r="AH11" s="86" t="e">
        <f t="shared" si="308"/>
        <v>#N/A</v>
      </c>
      <c r="AI11" s="86" t="e">
        <f t="shared" si="308"/>
        <v>#N/A</v>
      </c>
      <c r="AJ11" s="86" t="e">
        <f t="shared" si="308"/>
        <v>#N/A</v>
      </c>
      <c r="AK11" s="86" t="e">
        <f t="shared" si="308"/>
        <v>#N/A</v>
      </c>
      <c r="AL11" s="86" t="e">
        <f t="shared" si="308"/>
        <v>#N/A</v>
      </c>
      <c r="AM11" s="86" t="e">
        <f t="shared" si="308"/>
        <v>#N/A</v>
      </c>
      <c r="AN11" s="87" t="e">
        <f t="shared" si="308"/>
        <v>#N/A</v>
      </c>
      <c r="AO11" s="86" t="e">
        <f t="shared" si="308"/>
        <v>#N/A</v>
      </c>
      <c r="AP11" s="86" t="e">
        <f t="shared" si="308"/>
        <v>#N/A</v>
      </c>
      <c r="AQ11" s="86" t="e">
        <f t="shared" si="308"/>
        <v>#N/A</v>
      </c>
      <c r="AR11" s="86" t="e">
        <f t="shared" si="308"/>
        <v>#N/A</v>
      </c>
      <c r="AS11" s="86" t="e">
        <f t="shared" si="308"/>
        <v>#N/A</v>
      </c>
      <c r="AT11" s="86" t="e">
        <f t="shared" si="308"/>
        <v>#N/A</v>
      </c>
      <c r="AU11" s="86" t="e">
        <f t="shared" si="308"/>
        <v>#N/A</v>
      </c>
      <c r="AV11" s="86" t="e">
        <f t="shared" si="308"/>
        <v>#N/A</v>
      </c>
      <c r="AW11" s="86" t="e">
        <f t="shared" si="308"/>
        <v>#N/A</v>
      </c>
      <c r="AX11" s="86" t="e">
        <f t="shared" si="308"/>
        <v>#N/A</v>
      </c>
      <c r="AY11" s="86" t="e">
        <f t="shared" si="308"/>
        <v>#N/A</v>
      </c>
      <c r="AZ11" s="86" t="e">
        <f t="shared" si="308"/>
        <v>#N/A</v>
      </c>
      <c r="BA11" s="87" t="e">
        <f t="shared" si="308"/>
        <v>#N/A</v>
      </c>
      <c r="BB11" s="86" t="e">
        <f t="shared" si="308"/>
        <v>#N/A</v>
      </c>
      <c r="BC11" s="86" t="e">
        <f t="shared" si="308"/>
        <v>#N/A</v>
      </c>
      <c r="BD11" s="86" t="e">
        <f t="shared" si="308"/>
        <v>#N/A</v>
      </c>
      <c r="BE11" s="86" t="e">
        <f t="shared" si="308"/>
        <v>#N/A</v>
      </c>
      <c r="BF11" s="86" t="e">
        <f t="shared" si="308"/>
        <v>#N/A</v>
      </c>
      <c r="BG11" s="86" t="e">
        <f t="shared" si="308"/>
        <v>#N/A</v>
      </c>
      <c r="BH11" s="86" t="e">
        <f t="shared" si="308"/>
        <v>#N/A</v>
      </c>
      <c r="BI11" s="86" t="e">
        <f t="shared" si="308"/>
        <v>#N/A</v>
      </c>
      <c r="BJ11" s="86" t="e">
        <f t="shared" si="308"/>
        <v>#N/A</v>
      </c>
      <c r="BK11" s="86" t="e">
        <f t="shared" si="308"/>
        <v>#N/A</v>
      </c>
      <c r="BL11" s="86" t="e">
        <f t="shared" si="308"/>
        <v>#N/A</v>
      </c>
      <c r="BM11" s="86" t="e">
        <f t="shared" si="308"/>
        <v>#N/A</v>
      </c>
      <c r="BN11" s="87" t="e">
        <f t="shared" si="308"/>
        <v>#N/A</v>
      </c>
      <c r="BO11" s="86" t="e">
        <f t="shared" ref="BO11:DZ11" si="309">BO61</f>
        <v>#N/A</v>
      </c>
      <c r="BP11" s="86" t="e">
        <f t="shared" si="309"/>
        <v>#N/A</v>
      </c>
      <c r="BQ11" s="86" t="e">
        <f t="shared" si="309"/>
        <v>#N/A</v>
      </c>
      <c r="BR11" s="86" t="e">
        <f t="shared" si="309"/>
        <v>#N/A</v>
      </c>
      <c r="BS11" s="86" t="e">
        <f t="shared" si="309"/>
        <v>#N/A</v>
      </c>
      <c r="BT11" s="86" t="e">
        <f t="shared" si="309"/>
        <v>#N/A</v>
      </c>
      <c r="BU11" s="86" t="e">
        <f t="shared" si="309"/>
        <v>#N/A</v>
      </c>
      <c r="BV11" s="86" t="e">
        <f t="shared" si="309"/>
        <v>#N/A</v>
      </c>
      <c r="BW11" s="86" t="e">
        <f t="shared" si="309"/>
        <v>#N/A</v>
      </c>
      <c r="BX11" s="86" t="e">
        <f t="shared" si="309"/>
        <v>#N/A</v>
      </c>
      <c r="BY11" s="86" t="e">
        <f t="shared" si="309"/>
        <v>#N/A</v>
      </c>
      <c r="BZ11" s="86" t="e">
        <f t="shared" si="309"/>
        <v>#N/A</v>
      </c>
      <c r="CA11" s="87" t="e">
        <f t="shared" si="309"/>
        <v>#N/A</v>
      </c>
      <c r="CB11" s="86" t="e">
        <f t="shared" si="309"/>
        <v>#N/A</v>
      </c>
      <c r="CC11" s="86" t="e">
        <f t="shared" si="309"/>
        <v>#N/A</v>
      </c>
      <c r="CD11" s="86" t="e">
        <f t="shared" si="309"/>
        <v>#N/A</v>
      </c>
      <c r="CE11" s="86" t="e">
        <f t="shared" si="309"/>
        <v>#N/A</v>
      </c>
      <c r="CF11" s="86" t="e">
        <f t="shared" si="309"/>
        <v>#N/A</v>
      </c>
      <c r="CG11" s="86" t="e">
        <f t="shared" si="309"/>
        <v>#N/A</v>
      </c>
      <c r="CH11" s="86" t="e">
        <f t="shared" si="309"/>
        <v>#N/A</v>
      </c>
      <c r="CI11" s="86" t="e">
        <f t="shared" si="309"/>
        <v>#N/A</v>
      </c>
      <c r="CJ11" s="86" t="e">
        <f t="shared" si="309"/>
        <v>#N/A</v>
      </c>
      <c r="CK11" s="86" t="e">
        <f t="shared" si="309"/>
        <v>#N/A</v>
      </c>
      <c r="CL11" s="86" t="e">
        <f t="shared" si="309"/>
        <v>#N/A</v>
      </c>
      <c r="CM11" s="86" t="e">
        <f t="shared" si="309"/>
        <v>#N/A</v>
      </c>
      <c r="CN11" s="87" t="e">
        <f t="shared" si="309"/>
        <v>#N/A</v>
      </c>
      <c r="CO11" s="86" t="e">
        <f t="shared" si="309"/>
        <v>#N/A</v>
      </c>
      <c r="CP11" s="86" t="e">
        <f t="shared" si="309"/>
        <v>#N/A</v>
      </c>
      <c r="CQ11" s="86" t="e">
        <f t="shared" si="309"/>
        <v>#N/A</v>
      </c>
      <c r="CR11" s="86" t="e">
        <f t="shared" si="309"/>
        <v>#N/A</v>
      </c>
      <c r="CS11" s="86" t="e">
        <f t="shared" si="309"/>
        <v>#N/A</v>
      </c>
      <c r="CT11" s="86" t="e">
        <f t="shared" si="309"/>
        <v>#N/A</v>
      </c>
      <c r="CU11" s="86" t="e">
        <f t="shared" si="309"/>
        <v>#N/A</v>
      </c>
      <c r="CV11" s="86" t="e">
        <f t="shared" si="309"/>
        <v>#N/A</v>
      </c>
      <c r="CW11" s="86" t="e">
        <f t="shared" si="309"/>
        <v>#N/A</v>
      </c>
      <c r="CX11" s="86" t="e">
        <f t="shared" si="309"/>
        <v>#N/A</v>
      </c>
      <c r="CY11" s="86" t="e">
        <f t="shared" si="309"/>
        <v>#N/A</v>
      </c>
      <c r="CZ11" s="86" t="e">
        <f t="shared" si="309"/>
        <v>#N/A</v>
      </c>
      <c r="DA11" s="87" t="e">
        <f t="shared" si="309"/>
        <v>#N/A</v>
      </c>
      <c r="DB11" s="86" t="e">
        <f t="shared" si="309"/>
        <v>#N/A</v>
      </c>
      <c r="DC11" s="86" t="e">
        <f t="shared" si="309"/>
        <v>#N/A</v>
      </c>
      <c r="DD11" s="86" t="e">
        <f t="shared" si="309"/>
        <v>#N/A</v>
      </c>
      <c r="DE11" s="86" t="e">
        <f t="shared" si="309"/>
        <v>#N/A</v>
      </c>
      <c r="DF11" s="86" t="e">
        <f t="shared" si="309"/>
        <v>#N/A</v>
      </c>
      <c r="DG11" s="86" t="e">
        <f t="shared" si="309"/>
        <v>#N/A</v>
      </c>
      <c r="DH11" s="86" t="e">
        <f t="shared" si="309"/>
        <v>#N/A</v>
      </c>
      <c r="DI11" s="86" t="e">
        <f t="shared" si="309"/>
        <v>#N/A</v>
      </c>
      <c r="DJ11" s="86" t="e">
        <f t="shared" si="309"/>
        <v>#N/A</v>
      </c>
      <c r="DK11" s="86" t="e">
        <f t="shared" si="309"/>
        <v>#N/A</v>
      </c>
      <c r="DL11" s="86" t="e">
        <f t="shared" si="309"/>
        <v>#N/A</v>
      </c>
      <c r="DM11" s="86" t="e">
        <f t="shared" si="309"/>
        <v>#N/A</v>
      </c>
      <c r="DN11" s="87" t="e">
        <f t="shared" si="309"/>
        <v>#N/A</v>
      </c>
      <c r="DO11" s="86" t="e">
        <f t="shared" si="309"/>
        <v>#N/A</v>
      </c>
      <c r="DP11" s="86" t="e">
        <f t="shared" si="309"/>
        <v>#N/A</v>
      </c>
      <c r="DQ11" s="86" t="e">
        <f t="shared" si="309"/>
        <v>#N/A</v>
      </c>
      <c r="DR11" s="86" t="e">
        <f t="shared" si="309"/>
        <v>#N/A</v>
      </c>
      <c r="DS11" s="86" t="e">
        <f t="shared" si="309"/>
        <v>#N/A</v>
      </c>
      <c r="DT11" s="86" t="e">
        <f t="shared" si="309"/>
        <v>#N/A</v>
      </c>
      <c r="DU11" s="86" t="e">
        <f t="shared" si="309"/>
        <v>#N/A</v>
      </c>
      <c r="DV11" s="86" t="e">
        <f t="shared" si="309"/>
        <v>#N/A</v>
      </c>
      <c r="DW11" s="86" t="e">
        <f t="shared" si="309"/>
        <v>#N/A</v>
      </c>
      <c r="DX11" s="86" t="e">
        <f t="shared" si="309"/>
        <v>#N/A</v>
      </c>
      <c r="DY11" s="86" t="e">
        <f t="shared" si="309"/>
        <v>#N/A</v>
      </c>
      <c r="DZ11" s="86" t="e">
        <f t="shared" si="309"/>
        <v>#N/A</v>
      </c>
      <c r="EA11" s="87" t="e">
        <f t="shared" ref="EA11:GL11" si="310">EA61</f>
        <v>#N/A</v>
      </c>
      <c r="EB11" s="86" t="e">
        <f t="shared" si="310"/>
        <v>#N/A</v>
      </c>
      <c r="EC11" s="86" t="e">
        <f t="shared" si="310"/>
        <v>#N/A</v>
      </c>
      <c r="ED11" s="86" t="e">
        <f t="shared" si="310"/>
        <v>#N/A</v>
      </c>
      <c r="EE11" s="86" t="e">
        <f t="shared" si="310"/>
        <v>#N/A</v>
      </c>
      <c r="EF11" s="86" t="e">
        <f t="shared" si="310"/>
        <v>#N/A</v>
      </c>
      <c r="EG11" s="86" t="e">
        <f t="shared" si="310"/>
        <v>#N/A</v>
      </c>
      <c r="EH11" s="86" t="e">
        <f t="shared" si="310"/>
        <v>#N/A</v>
      </c>
      <c r="EI11" s="86" t="e">
        <f t="shared" si="310"/>
        <v>#N/A</v>
      </c>
      <c r="EJ11" s="86" t="e">
        <f t="shared" si="310"/>
        <v>#N/A</v>
      </c>
      <c r="EK11" s="86" t="e">
        <f t="shared" si="310"/>
        <v>#N/A</v>
      </c>
      <c r="EL11" s="86" t="e">
        <f t="shared" si="310"/>
        <v>#N/A</v>
      </c>
      <c r="EM11" s="86" t="e">
        <f t="shared" si="310"/>
        <v>#N/A</v>
      </c>
      <c r="EN11" s="87" t="e">
        <f t="shared" si="310"/>
        <v>#N/A</v>
      </c>
      <c r="EO11" s="86" t="e">
        <f t="shared" si="310"/>
        <v>#N/A</v>
      </c>
      <c r="EP11" s="86" t="e">
        <f t="shared" si="310"/>
        <v>#N/A</v>
      </c>
      <c r="EQ11" s="86" t="e">
        <f t="shared" si="310"/>
        <v>#N/A</v>
      </c>
      <c r="ER11" s="86" t="e">
        <f t="shared" si="310"/>
        <v>#N/A</v>
      </c>
      <c r="ES11" s="86" t="e">
        <f t="shared" si="310"/>
        <v>#N/A</v>
      </c>
      <c r="ET11" s="86" t="e">
        <f t="shared" si="310"/>
        <v>#N/A</v>
      </c>
      <c r="EU11" s="86" t="e">
        <f t="shared" si="310"/>
        <v>#N/A</v>
      </c>
      <c r="EV11" s="86" t="e">
        <f t="shared" si="310"/>
        <v>#N/A</v>
      </c>
      <c r="EW11" s="86" t="e">
        <f t="shared" si="310"/>
        <v>#N/A</v>
      </c>
      <c r="EX11" s="86" t="e">
        <f t="shared" si="310"/>
        <v>#N/A</v>
      </c>
      <c r="EY11" s="86" t="e">
        <f t="shared" si="310"/>
        <v>#N/A</v>
      </c>
      <c r="EZ11" s="86" t="e">
        <f t="shared" si="310"/>
        <v>#N/A</v>
      </c>
      <c r="FA11" s="87" t="e">
        <f t="shared" si="310"/>
        <v>#N/A</v>
      </c>
      <c r="FB11" s="86" t="e">
        <f t="shared" si="310"/>
        <v>#N/A</v>
      </c>
      <c r="FC11" s="86" t="e">
        <f t="shared" si="310"/>
        <v>#N/A</v>
      </c>
      <c r="FD11" s="86" t="e">
        <f t="shared" si="310"/>
        <v>#N/A</v>
      </c>
      <c r="FE11" s="86" t="e">
        <f t="shared" si="310"/>
        <v>#N/A</v>
      </c>
      <c r="FF11" s="86" t="e">
        <f t="shared" si="310"/>
        <v>#N/A</v>
      </c>
      <c r="FG11" s="86" t="e">
        <f t="shared" si="310"/>
        <v>#N/A</v>
      </c>
      <c r="FH11" s="86" t="e">
        <f t="shared" si="310"/>
        <v>#N/A</v>
      </c>
      <c r="FI11" s="86" t="e">
        <f t="shared" si="310"/>
        <v>#N/A</v>
      </c>
      <c r="FJ11" s="86" t="e">
        <f t="shared" si="310"/>
        <v>#N/A</v>
      </c>
      <c r="FK11" s="86" t="e">
        <f t="shared" si="310"/>
        <v>#N/A</v>
      </c>
      <c r="FL11" s="86" t="e">
        <f t="shared" si="310"/>
        <v>#N/A</v>
      </c>
      <c r="FM11" s="86" t="e">
        <f t="shared" si="310"/>
        <v>#N/A</v>
      </c>
      <c r="FN11" s="87" t="e">
        <f t="shared" si="310"/>
        <v>#N/A</v>
      </c>
      <c r="FO11" s="86" t="e">
        <f t="shared" si="310"/>
        <v>#N/A</v>
      </c>
      <c r="FP11" s="86" t="e">
        <f t="shared" si="310"/>
        <v>#N/A</v>
      </c>
      <c r="FQ11" s="86" t="e">
        <f t="shared" si="310"/>
        <v>#N/A</v>
      </c>
      <c r="FR11" s="86" t="e">
        <f t="shared" si="310"/>
        <v>#N/A</v>
      </c>
      <c r="FS11" s="86" t="e">
        <f t="shared" si="310"/>
        <v>#N/A</v>
      </c>
      <c r="FT11" s="86" t="e">
        <f t="shared" si="310"/>
        <v>#N/A</v>
      </c>
      <c r="FU11" s="86" t="e">
        <f t="shared" si="310"/>
        <v>#N/A</v>
      </c>
      <c r="FV11" s="86" t="e">
        <f t="shared" si="310"/>
        <v>#N/A</v>
      </c>
      <c r="FW11" s="86" t="e">
        <f t="shared" si="310"/>
        <v>#N/A</v>
      </c>
      <c r="FX11" s="86" t="e">
        <f t="shared" si="310"/>
        <v>#N/A</v>
      </c>
      <c r="FY11" s="86" t="e">
        <f t="shared" si="310"/>
        <v>#N/A</v>
      </c>
      <c r="FZ11" s="86" t="e">
        <f t="shared" si="310"/>
        <v>#N/A</v>
      </c>
      <c r="GA11" s="87" t="e">
        <f t="shared" si="310"/>
        <v>#N/A</v>
      </c>
      <c r="GB11" s="86" t="e">
        <f t="shared" si="310"/>
        <v>#N/A</v>
      </c>
      <c r="GC11" s="86" t="e">
        <f t="shared" si="310"/>
        <v>#N/A</v>
      </c>
      <c r="GD11" s="86" t="e">
        <f t="shared" si="310"/>
        <v>#N/A</v>
      </c>
      <c r="GE11" s="86" t="e">
        <f t="shared" si="310"/>
        <v>#N/A</v>
      </c>
      <c r="GF11" s="86" t="e">
        <f t="shared" si="310"/>
        <v>#N/A</v>
      </c>
      <c r="GG11" s="86" t="e">
        <f t="shared" si="310"/>
        <v>#N/A</v>
      </c>
      <c r="GH11" s="86" t="e">
        <f t="shared" si="310"/>
        <v>#N/A</v>
      </c>
      <c r="GI11" s="86" t="e">
        <f t="shared" si="310"/>
        <v>#N/A</v>
      </c>
      <c r="GJ11" s="86" t="e">
        <f t="shared" si="310"/>
        <v>#N/A</v>
      </c>
      <c r="GK11" s="86" t="e">
        <f t="shared" si="310"/>
        <v>#N/A</v>
      </c>
      <c r="GL11" s="86" t="e">
        <f t="shared" si="310"/>
        <v>#N/A</v>
      </c>
      <c r="GM11" s="86" t="e">
        <f t="shared" ref="GM11:IX11" si="311">GM61</f>
        <v>#N/A</v>
      </c>
      <c r="GN11" s="87" t="e">
        <f t="shared" si="311"/>
        <v>#N/A</v>
      </c>
      <c r="GO11" s="86" t="e">
        <f t="shared" si="311"/>
        <v>#N/A</v>
      </c>
      <c r="GP11" s="86" t="e">
        <f t="shared" si="311"/>
        <v>#N/A</v>
      </c>
      <c r="GQ11" s="86" t="e">
        <f t="shared" si="311"/>
        <v>#N/A</v>
      </c>
      <c r="GR11" s="86" t="e">
        <f t="shared" si="311"/>
        <v>#N/A</v>
      </c>
      <c r="GS11" s="86" t="e">
        <f t="shared" si="311"/>
        <v>#N/A</v>
      </c>
      <c r="GT11" s="86" t="e">
        <f t="shared" si="311"/>
        <v>#N/A</v>
      </c>
      <c r="GU11" s="86" t="e">
        <f t="shared" si="311"/>
        <v>#N/A</v>
      </c>
      <c r="GV11" s="86" t="e">
        <f t="shared" si="311"/>
        <v>#N/A</v>
      </c>
      <c r="GW11" s="86" t="e">
        <f t="shared" si="311"/>
        <v>#N/A</v>
      </c>
      <c r="GX11" s="86" t="e">
        <f t="shared" si="311"/>
        <v>#N/A</v>
      </c>
      <c r="GY11" s="86" t="e">
        <f t="shared" si="311"/>
        <v>#N/A</v>
      </c>
      <c r="GZ11" s="86" t="e">
        <f t="shared" si="311"/>
        <v>#N/A</v>
      </c>
      <c r="HA11" s="87" t="e">
        <f t="shared" si="311"/>
        <v>#N/A</v>
      </c>
      <c r="HB11" s="86" t="e">
        <f t="shared" si="311"/>
        <v>#N/A</v>
      </c>
      <c r="HC11" s="86" t="e">
        <f t="shared" si="311"/>
        <v>#N/A</v>
      </c>
      <c r="HD11" s="86" t="e">
        <f t="shared" si="311"/>
        <v>#N/A</v>
      </c>
      <c r="HE11" s="86" t="e">
        <f t="shared" si="311"/>
        <v>#N/A</v>
      </c>
      <c r="HF11" s="86" t="e">
        <f t="shared" si="311"/>
        <v>#N/A</v>
      </c>
      <c r="HG11" s="86" t="e">
        <f t="shared" si="311"/>
        <v>#N/A</v>
      </c>
      <c r="HH11" s="86" t="e">
        <f t="shared" si="311"/>
        <v>#N/A</v>
      </c>
      <c r="HI11" s="86" t="e">
        <f t="shared" si="311"/>
        <v>#N/A</v>
      </c>
      <c r="HJ11" s="86" t="e">
        <f t="shared" si="311"/>
        <v>#N/A</v>
      </c>
      <c r="HK11" s="86" t="e">
        <f t="shared" si="311"/>
        <v>#N/A</v>
      </c>
      <c r="HL11" s="86" t="e">
        <f t="shared" si="311"/>
        <v>#N/A</v>
      </c>
      <c r="HM11" s="86" t="e">
        <f t="shared" si="311"/>
        <v>#N/A</v>
      </c>
      <c r="HN11" s="87" t="e">
        <f t="shared" si="311"/>
        <v>#N/A</v>
      </c>
      <c r="HO11" s="86" t="e">
        <f t="shared" si="311"/>
        <v>#N/A</v>
      </c>
      <c r="HP11" s="86" t="e">
        <f t="shared" si="311"/>
        <v>#N/A</v>
      </c>
      <c r="HQ11" s="86" t="e">
        <f t="shared" si="311"/>
        <v>#N/A</v>
      </c>
      <c r="HR11" s="86" t="e">
        <f t="shared" si="311"/>
        <v>#N/A</v>
      </c>
      <c r="HS11" s="86" t="e">
        <f t="shared" si="311"/>
        <v>#N/A</v>
      </c>
      <c r="HT11" s="86" t="e">
        <f t="shared" si="311"/>
        <v>#N/A</v>
      </c>
      <c r="HU11" s="86" t="e">
        <f t="shared" si="311"/>
        <v>#N/A</v>
      </c>
      <c r="HV11" s="86" t="e">
        <f t="shared" si="311"/>
        <v>#N/A</v>
      </c>
      <c r="HW11" s="86" t="e">
        <f t="shared" si="311"/>
        <v>#N/A</v>
      </c>
      <c r="HX11" s="86" t="e">
        <f t="shared" si="311"/>
        <v>#N/A</v>
      </c>
      <c r="HY11" s="86" t="e">
        <f t="shared" si="311"/>
        <v>#N/A</v>
      </c>
      <c r="HZ11" s="86" t="e">
        <f t="shared" si="311"/>
        <v>#N/A</v>
      </c>
      <c r="IA11" s="87" t="e">
        <f t="shared" si="311"/>
        <v>#N/A</v>
      </c>
      <c r="IB11" s="86" t="e">
        <f t="shared" si="311"/>
        <v>#N/A</v>
      </c>
      <c r="IC11" s="86" t="e">
        <f t="shared" si="311"/>
        <v>#N/A</v>
      </c>
      <c r="ID11" s="86" t="e">
        <f t="shared" si="311"/>
        <v>#N/A</v>
      </c>
      <c r="IE11" s="86" t="e">
        <f t="shared" si="311"/>
        <v>#N/A</v>
      </c>
      <c r="IF11" s="86" t="e">
        <f t="shared" si="311"/>
        <v>#N/A</v>
      </c>
      <c r="IG11" s="86" t="e">
        <f t="shared" si="311"/>
        <v>#N/A</v>
      </c>
      <c r="IH11" s="86" t="e">
        <f t="shared" si="311"/>
        <v>#N/A</v>
      </c>
      <c r="II11" s="86" t="e">
        <f t="shared" si="311"/>
        <v>#N/A</v>
      </c>
      <c r="IJ11" s="86" t="e">
        <f t="shared" si="311"/>
        <v>#N/A</v>
      </c>
      <c r="IK11" s="86" t="e">
        <f t="shared" si="311"/>
        <v>#N/A</v>
      </c>
      <c r="IL11" s="86" t="e">
        <f t="shared" si="311"/>
        <v>#N/A</v>
      </c>
      <c r="IM11" s="86" t="e">
        <f t="shared" si="311"/>
        <v>#N/A</v>
      </c>
      <c r="IN11" s="87" t="e">
        <f t="shared" si="311"/>
        <v>#N/A</v>
      </c>
      <c r="IO11" s="86" t="e">
        <f t="shared" si="311"/>
        <v>#N/A</v>
      </c>
      <c r="IP11" s="86" t="e">
        <f t="shared" si="311"/>
        <v>#N/A</v>
      </c>
      <c r="IQ11" s="86" t="e">
        <f t="shared" si="311"/>
        <v>#N/A</v>
      </c>
      <c r="IR11" s="86" t="e">
        <f t="shared" si="311"/>
        <v>#N/A</v>
      </c>
      <c r="IS11" s="86" t="e">
        <f t="shared" si="311"/>
        <v>#N/A</v>
      </c>
      <c r="IT11" s="86" t="e">
        <f t="shared" si="311"/>
        <v>#N/A</v>
      </c>
      <c r="IU11" s="86" t="e">
        <f t="shared" si="311"/>
        <v>#N/A</v>
      </c>
      <c r="IV11" s="86" t="e">
        <f t="shared" si="311"/>
        <v>#N/A</v>
      </c>
      <c r="IW11" s="86" t="e">
        <f t="shared" si="311"/>
        <v>#N/A</v>
      </c>
      <c r="IX11" s="86" t="e">
        <f t="shared" si="311"/>
        <v>#N/A</v>
      </c>
      <c r="IY11" s="86" t="e">
        <f t="shared" ref="IY11:LJ11" si="312">IY61</f>
        <v>#N/A</v>
      </c>
      <c r="IZ11" s="86" t="e">
        <f t="shared" si="312"/>
        <v>#N/A</v>
      </c>
      <c r="JA11" s="87" t="e">
        <f t="shared" si="312"/>
        <v>#N/A</v>
      </c>
      <c r="JB11" s="86" t="e">
        <f t="shared" si="312"/>
        <v>#N/A</v>
      </c>
      <c r="JC11" s="86" t="e">
        <f t="shared" si="312"/>
        <v>#N/A</v>
      </c>
      <c r="JD11" s="86" t="e">
        <f t="shared" si="312"/>
        <v>#N/A</v>
      </c>
      <c r="JE11" s="86" t="e">
        <f t="shared" si="312"/>
        <v>#N/A</v>
      </c>
      <c r="JF11" s="86" t="e">
        <f t="shared" si="312"/>
        <v>#N/A</v>
      </c>
      <c r="JG11" s="86" t="e">
        <f t="shared" si="312"/>
        <v>#N/A</v>
      </c>
      <c r="JH11" s="86" t="e">
        <f t="shared" si="312"/>
        <v>#N/A</v>
      </c>
      <c r="JI11" s="86" t="e">
        <f t="shared" si="312"/>
        <v>#N/A</v>
      </c>
      <c r="JJ11" s="86" t="e">
        <f t="shared" si="312"/>
        <v>#N/A</v>
      </c>
      <c r="JK11" s="86" t="e">
        <f t="shared" si="312"/>
        <v>#N/A</v>
      </c>
      <c r="JL11" s="86" t="e">
        <f t="shared" si="312"/>
        <v>#N/A</v>
      </c>
      <c r="JM11" s="86" t="e">
        <f t="shared" si="312"/>
        <v>#N/A</v>
      </c>
      <c r="JN11" s="87" t="e">
        <f t="shared" si="312"/>
        <v>#N/A</v>
      </c>
      <c r="JO11" s="86" t="e">
        <f t="shared" si="312"/>
        <v>#N/A</v>
      </c>
      <c r="JP11" s="86" t="e">
        <f t="shared" si="312"/>
        <v>#N/A</v>
      </c>
      <c r="JQ11" s="86" t="e">
        <f t="shared" si="312"/>
        <v>#N/A</v>
      </c>
      <c r="JR11" s="86" t="e">
        <f t="shared" si="312"/>
        <v>#N/A</v>
      </c>
      <c r="JS11" s="86" t="e">
        <f t="shared" si="312"/>
        <v>#N/A</v>
      </c>
      <c r="JT11" s="86" t="e">
        <f t="shared" si="312"/>
        <v>#N/A</v>
      </c>
      <c r="JU11" s="86" t="e">
        <f t="shared" si="312"/>
        <v>#N/A</v>
      </c>
      <c r="JV11" s="86" t="e">
        <f t="shared" si="312"/>
        <v>#N/A</v>
      </c>
      <c r="JW11" s="86" t="e">
        <f t="shared" si="312"/>
        <v>#N/A</v>
      </c>
      <c r="JX11" s="86" t="e">
        <f t="shared" si="312"/>
        <v>#N/A</v>
      </c>
      <c r="JY11" s="86" t="e">
        <f t="shared" si="312"/>
        <v>#N/A</v>
      </c>
      <c r="JZ11" s="86" t="e">
        <f t="shared" si="312"/>
        <v>#N/A</v>
      </c>
      <c r="KA11" s="87" t="e">
        <f t="shared" si="312"/>
        <v>#N/A</v>
      </c>
      <c r="KB11" s="86" t="e">
        <f t="shared" si="312"/>
        <v>#N/A</v>
      </c>
      <c r="KC11" s="86" t="e">
        <f t="shared" si="312"/>
        <v>#N/A</v>
      </c>
      <c r="KD11" s="86" t="e">
        <f t="shared" si="312"/>
        <v>#N/A</v>
      </c>
      <c r="KE11" s="86" t="e">
        <f t="shared" si="312"/>
        <v>#N/A</v>
      </c>
      <c r="KF11" s="86" t="e">
        <f t="shared" si="312"/>
        <v>#N/A</v>
      </c>
      <c r="KG11" s="86" t="e">
        <f t="shared" si="312"/>
        <v>#N/A</v>
      </c>
      <c r="KH11" s="86" t="e">
        <f t="shared" si="312"/>
        <v>#N/A</v>
      </c>
      <c r="KI11" s="86" t="e">
        <f t="shared" si="312"/>
        <v>#N/A</v>
      </c>
      <c r="KJ11" s="86" t="e">
        <f t="shared" si="312"/>
        <v>#N/A</v>
      </c>
      <c r="KK11" s="86" t="e">
        <f t="shared" si="312"/>
        <v>#N/A</v>
      </c>
      <c r="KL11" s="86" t="e">
        <f t="shared" si="312"/>
        <v>#N/A</v>
      </c>
      <c r="KM11" s="86" t="e">
        <f t="shared" si="312"/>
        <v>#N/A</v>
      </c>
      <c r="KN11" s="87" t="e">
        <f t="shared" si="312"/>
        <v>#N/A</v>
      </c>
      <c r="KO11" s="86" t="e">
        <f t="shared" si="312"/>
        <v>#N/A</v>
      </c>
      <c r="KP11" s="86" t="e">
        <f t="shared" si="312"/>
        <v>#N/A</v>
      </c>
      <c r="KQ11" s="86" t="e">
        <f t="shared" si="312"/>
        <v>#N/A</v>
      </c>
      <c r="KR11" s="86" t="e">
        <f t="shared" si="312"/>
        <v>#N/A</v>
      </c>
      <c r="KS11" s="86" t="e">
        <f t="shared" si="312"/>
        <v>#N/A</v>
      </c>
      <c r="KT11" s="86" t="e">
        <f t="shared" si="312"/>
        <v>#N/A</v>
      </c>
      <c r="KU11" s="86" t="e">
        <f t="shared" si="312"/>
        <v>#N/A</v>
      </c>
      <c r="KV11" s="86" t="e">
        <f t="shared" si="312"/>
        <v>#N/A</v>
      </c>
      <c r="KW11" s="86" t="e">
        <f t="shared" si="312"/>
        <v>#N/A</v>
      </c>
      <c r="KX11" s="86" t="e">
        <f t="shared" si="312"/>
        <v>#N/A</v>
      </c>
      <c r="KY11" s="86" t="e">
        <f t="shared" si="312"/>
        <v>#N/A</v>
      </c>
      <c r="KZ11" s="86" t="e">
        <f t="shared" si="312"/>
        <v>#N/A</v>
      </c>
      <c r="LA11" s="87" t="e">
        <f t="shared" si="312"/>
        <v>#N/A</v>
      </c>
      <c r="LB11" s="86" t="e">
        <f t="shared" si="312"/>
        <v>#N/A</v>
      </c>
      <c r="LC11" s="86" t="e">
        <f t="shared" si="312"/>
        <v>#N/A</v>
      </c>
      <c r="LD11" s="86" t="e">
        <f t="shared" si="312"/>
        <v>#N/A</v>
      </c>
      <c r="LE11" s="86" t="e">
        <f t="shared" si="312"/>
        <v>#N/A</v>
      </c>
      <c r="LF11" s="86" t="e">
        <f t="shared" si="312"/>
        <v>#N/A</v>
      </c>
      <c r="LG11" s="86" t="e">
        <f t="shared" si="312"/>
        <v>#N/A</v>
      </c>
      <c r="LH11" s="86" t="e">
        <f t="shared" si="312"/>
        <v>#N/A</v>
      </c>
      <c r="LI11" s="86" t="e">
        <f t="shared" si="312"/>
        <v>#N/A</v>
      </c>
      <c r="LJ11" s="86" t="e">
        <f t="shared" si="312"/>
        <v>#N/A</v>
      </c>
      <c r="LK11" s="86" t="e">
        <f t="shared" ref="LK11:NV11" si="313">LK61</f>
        <v>#N/A</v>
      </c>
      <c r="LL11" s="86" t="e">
        <f t="shared" si="313"/>
        <v>#N/A</v>
      </c>
      <c r="LM11" s="86" t="e">
        <f t="shared" si="313"/>
        <v>#N/A</v>
      </c>
      <c r="LN11" s="87" t="e">
        <f t="shared" si="313"/>
        <v>#N/A</v>
      </c>
      <c r="LO11" s="86" t="e">
        <f t="shared" si="313"/>
        <v>#N/A</v>
      </c>
      <c r="LP11" s="86" t="e">
        <f t="shared" si="313"/>
        <v>#N/A</v>
      </c>
      <c r="LQ11" s="86" t="e">
        <f t="shared" si="313"/>
        <v>#N/A</v>
      </c>
      <c r="LR11" s="86" t="e">
        <f t="shared" si="313"/>
        <v>#N/A</v>
      </c>
      <c r="LS11" s="86" t="e">
        <f t="shared" si="313"/>
        <v>#N/A</v>
      </c>
      <c r="LT11" s="86" t="e">
        <f t="shared" si="313"/>
        <v>#N/A</v>
      </c>
      <c r="LU11" s="86" t="e">
        <f t="shared" si="313"/>
        <v>#N/A</v>
      </c>
      <c r="LV11" s="86" t="e">
        <f t="shared" si="313"/>
        <v>#N/A</v>
      </c>
      <c r="LW11" s="86" t="e">
        <f t="shared" si="313"/>
        <v>#N/A</v>
      </c>
      <c r="LX11" s="86" t="e">
        <f t="shared" si="313"/>
        <v>#N/A</v>
      </c>
      <c r="LY11" s="86" t="e">
        <f t="shared" si="313"/>
        <v>#N/A</v>
      </c>
      <c r="LZ11" s="86" t="e">
        <f t="shared" si="313"/>
        <v>#N/A</v>
      </c>
      <c r="MA11" s="87" t="e">
        <f t="shared" si="313"/>
        <v>#N/A</v>
      </c>
      <c r="MB11" s="86" t="e">
        <f t="shared" si="313"/>
        <v>#N/A</v>
      </c>
      <c r="MC11" s="86" t="e">
        <f t="shared" si="313"/>
        <v>#N/A</v>
      </c>
      <c r="MD11" s="86" t="e">
        <f t="shared" si="313"/>
        <v>#N/A</v>
      </c>
      <c r="ME11" s="86" t="e">
        <f t="shared" si="313"/>
        <v>#N/A</v>
      </c>
      <c r="MF11" s="86" t="e">
        <f t="shared" si="313"/>
        <v>#N/A</v>
      </c>
      <c r="MG11" s="86" t="e">
        <f t="shared" si="313"/>
        <v>#N/A</v>
      </c>
      <c r="MH11" s="86" t="e">
        <f t="shared" si="313"/>
        <v>#N/A</v>
      </c>
      <c r="MI11" s="86" t="e">
        <f t="shared" si="313"/>
        <v>#N/A</v>
      </c>
      <c r="MJ11" s="86" t="e">
        <f t="shared" si="313"/>
        <v>#N/A</v>
      </c>
      <c r="MK11" s="86" t="e">
        <f t="shared" si="313"/>
        <v>#N/A</v>
      </c>
      <c r="ML11" s="86" t="e">
        <f t="shared" si="313"/>
        <v>#N/A</v>
      </c>
      <c r="MM11" s="86" t="e">
        <f t="shared" si="313"/>
        <v>#N/A</v>
      </c>
      <c r="MN11" s="87" t="e">
        <f t="shared" si="313"/>
        <v>#N/A</v>
      </c>
      <c r="MO11" s="86" t="e">
        <f t="shared" si="313"/>
        <v>#N/A</v>
      </c>
      <c r="MP11" s="86" t="e">
        <f t="shared" si="313"/>
        <v>#N/A</v>
      </c>
      <c r="MQ11" s="86" t="e">
        <f t="shared" si="313"/>
        <v>#N/A</v>
      </c>
      <c r="MR11" s="86" t="e">
        <f t="shared" si="313"/>
        <v>#N/A</v>
      </c>
      <c r="MS11" s="86" t="e">
        <f t="shared" si="313"/>
        <v>#N/A</v>
      </c>
      <c r="MT11" s="86" t="e">
        <f t="shared" si="313"/>
        <v>#N/A</v>
      </c>
      <c r="MU11" s="86" t="e">
        <f t="shared" si="313"/>
        <v>#N/A</v>
      </c>
      <c r="MV11" s="86" t="e">
        <f t="shared" si="313"/>
        <v>#N/A</v>
      </c>
      <c r="MW11" s="86" t="e">
        <f t="shared" si="313"/>
        <v>#N/A</v>
      </c>
      <c r="MX11" s="86" t="e">
        <f t="shared" si="313"/>
        <v>#N/A</v>
      </c>
      <c r="MY11" s="86" t="e">
        <f t="shared" si="313"/>
        <v>#N/A</v>
      </c>
      <c r="MZ11" s="86" t="e">
        <f t="shared" si="313"/>
        <v>#N/A</v>
      </c>
      <c r="NA11" s="87" t="e">
        <f t="shared" si="313"/>
        <v>#N/A</v>
      </c>
      <c r="NB11" s="86" t="e">
        <f t="shared" si="313"/>
        <v>#N/A</v>
      </c>
      <c r="NC11" s="86" t="e">
        <f t="shared" si="313"/>
        <v>#N/A</v>
      </c>
      <c r="ND11" s="86" t="e">
        <f t="shared" si="313"/>
        <v>#N/A</v>
      </c>
      <c r="NE11" s="86" t="e">
        <f t="shared" si="313"/>
        <v>#N/A</v>
      </c>
      <c r="NF11" s="86" t="e">
        <f t="shared" si="313"/>
        <v>#N/A</v>
      </c>
      <c r="NG11" s="86" t="e">
        <f t="shared" si="313"/>
        <v>#N/A</v>
      </c>
      <c r="NH11" s="86" t="e">
        <f t="shared" si="313"/>
        <v>#N/A</v>
      </c>
      <c r="NI11" s="86" t="e">
        <f t="shared" si="313"/>
        <v>#N/A</v>
      </c>
      <c r="NJ11" s="86" t="e">
        <f t="shared" si="313"/>
        <v>#N/A</v>
      </c>
      <c r="NK11" s="86" t="e">
        <f t="shared" si="313"/>
        <v>#N/A</v>
      </c>
      <c r="NL11" s="86" t="e">
        <f t="shared" si="313"/>
        <v>#N/A</v>
      </c>
      <c r="NM11" s="86" t="e">
        <f t="shared" si="313"/>
        <v>#N/A</v>
      </c>
      <c r="NN11" s="87" t="e">
        <f t="shared" si="313"/>
        <v>#N/A</v>
      </c>
      <c r="NO11" s="86" t="e">
        <f t="shared" si="313"/>
        <v>#N/A</v>
      </c>
      <c r="NP11" s="86" t="e">
        <f t="shared" si="313"/>
        <v>#N/A</v>
      </c>
      <c r="NQ11" s="86" t="e">
        <f t="shared" si="313"/>
        <v>#N/A</v>
      </c>
      <c r="NR11" s="86" t="e">
        <f t="shared" si="313"/>
        <v>#N/A</v>
      </c>
      <c r="NS11" s="86" t="e">
        <f t="shared" si="313"/>
        <v>#N/A</v>
      </c>
      <c r="NT11" s="86" t="e">
        <f t="shared" si="313"/>
        <v>#N/A</v>
      </c>
      <c r="NU11" s="86" t="e">
        <f t="shared" si="313"/>
        <v>#N/A</v>
      </c>
      <c r="NV11" s="86" t="e">
        <f t="shared" si="313"/>
        <v>#N/A</v>
      </c>
      <c r="NW11" s="86" t="e">
        <f t="shared" ref="NW11:QH11" si="314">NW61</f>
        <v>#N/A</v>
      </c>
      <c r="NX11" s="86" t="e">
        <f t="shared" si="314"/>
        <v>#N/A</v>
      </c>
      <c r="NY11" s="86" t="e">
        <f t="shared" si="314"/>
        <v>#N/A</v>
      </c>
      <c r="NZ11" s="86" t="e">
        <f t="shared" si="314"/>
        <v>#N/A</v>
      </c>
      <c r="OA11" s="87" t="e">
        <f t="shared" si="314"/>
        <v>#N/A</v>
      </c>
      <c r="OB11" s="86" t="e">
        <f t="shared" si="314"/>
        <v>#N/A</v>
      </c>
      <c r="OC11" s="86" t="e">
        <f t="shared" si="314"/>
        <v>#N/A</v>
      </c>
      <c r="OD11" s="86" t="e">
        <f t="shared" si="314"/>
        <v>#N/A</v>
      </c>
      <c r="OE11" s="86" t="e">
        <f t="shared" si="314"/>
        <v>#N/A</v>
      </c>
      <c r="OF11" s="86" t="e">
        <f t="shared" si="314"/>
        <v>#N/A</v>
      </c>
      <c r="OG11" s="86" t="e">
        <f t="shared" si="314"/>
        <v>#N/A</v>
      </c>
      <c r="OH11" s="86" t="e">
        <f t="shared" si="314"/>
        <v>#N/A</v>
      </c>
      <c r="OI11" s="86" t="e">
        <f t="shared" si="314"/>
        <v>#N/A</v>
      </c>
      <c r="OJ11" s="86" t="e">
        <f t="shared" si="314"/>
        <v>#N/A</v>
      </c>
      <c r="OK11" s="86" t="e">
        <f t="shared" si="314"/>
        <v>#N/A</v>
      </c>
      <c r="OL11" s="86" t="e">
        <f t="shared" si="314"/>
        <v>#N/A</v>
      </c>
      <c r="OM11" s="86" t="e">
        <f t="shared" si="314"/>
        <v>#N/A</v>
      </c>
      <c r="ON11" s="87" t="e">
        <f t="shared" si="314"/>
        <v>#N/A</v>
      </c>
      <c r="OO11" s="86" t="e">
        <f t="shared" si="314"/>
        <v>#N/A</v>
      </c>
      <c r="OP11" s="86" t="e">
        <f t="shared" si="314"/>
        <v>#N/A</v>
      </c>
      <c r="OQ11" s="86" t="e">
        <f t="shared" si="314"/>
        <v>#N/A</v>
      </c>
      <c r="OR11" s="86" t="e">
        <f t="shared" si="314"/>
        <v>#N/A</v>
      </c>
      <c r="OS11" s="86" t="e">
        <f t="shared" si="314"/>
        <v>#N/A</v>
      </c>
      <c r="OT11" s="86" t="e">
        <f t="shared" si="314"/>
        <v>#N/A</v>
      </c>
      <c r="OU11" s="86" t="e">
        <f t="shared" si="314"/>
        <v>#N/A</v>
      </c>
      <c r="OV11" s="86" t="e">
        <f t="shared" si="314"/>
        <v>#N/A</v>
      </c>
      <c r="OW11" s="86" t="e">
        <f t="shared" si="314"/>
        <v>#N/A</v>
      </c>
      <c r="OX11" s="86" t="e">
        <f t="shared" si="314"/>
        <v>#N/A</v>
      </c>
      <c r="OY11" s="86" t="e">
        <f t="shared" si="314"/>
        <v>#N/A</v>
      </c>
      <c r="OZ11" s="86" t="e">
        <f t="shared" si="314"/>
        <v>#N/A</v>
      </c>
      <c r="PA11" s="87" t="e">
        <f t="shared" si="314"/>
        <v>#N/A</v>
      </c>
      <c r="PB11" s="86" t="e">
        <f t="shared" si="314"/>
        <v>#N/A</v>
      </c>
      <c r="PC11" s="86" t="e">
        <f t="shared" si="314"/>
        <v>#N/A</v>
      </c>
      <c r="PD11" s="86" t="e">
        <f t="shared" si="314"/>
        <v>#N/A</v>
      </c>
      <c r="PE11" s="86" t="e">
        <f t="shared" si="314"/>
        <v>#N/A</v>
      </c>
      <c r="PF11" s="86" t="e">
        <f t="shared" si="314"/>
        <v>#N/A</v>
      </c>
      <c r="PG11" s="86" t="e">
        <f t="shared" si="314"/>
        <v>#N/A</v>
      </c>
      <c r="PH11" s="86" t="e">
        <f t="shared" si="314"/>
        <v>#N/A</v>
      </c>
      <c r="PI11" s="86" t="e">
        <f t="shared" si="314"/>
        <v>#N/A</v>
      </c>
      <c r="PJ11" s="86" t="e">
        <f t="shared" si="314"/>
        <v>#N/A</v>
      </c>
      <c r="PK11" s="86" t="e">
        <f t="shared" si="314"/>
        <v>#N/A</v>
      </c>
      <c r="PL11" s="86" t="e">
        <f t="shared" si="314"/>
        <v>#N/A</v>
      </c>
      <c r="PM11" s="86" t="e">
        <f t="shared" si="314"/>
        <v>#N/A</v>
      </c>
      <c r="PN11" s="87" t="e">
        <f t="shared" si="314"/>
        <v>#N/A</v>
      </c>
      <c r="PO11" s="86" t="e">
        <f t="shared" si="314"/>
        <v>#N/A</v>
      </c>
      <c r="PP11" s="86" t="e">
        <f t="shared" si="314"/>
        <v>#N/A</v>
      </c>
      <c r="PQ11" s="86" t="e">
        <f t="shared" si="314"/>
        <v>#N/A</v>
      </c>
      <c r="PR11" s="86" t="e">
        <f t="shared" si="314"/>
        <v>#N/A</v>
      </c>
      <c r="PS11" s="86" t="e">
        <f t="shared" si="314"/>
        <v>#N/A</v>
      </c>
      <c r="PT11" s="86" t="e">
        <f t="shared" si="314"/>
        <v>#N/A</v>
      </c>
      <c r="PU11" s="86" t="e">
        <f t="shared" si="314"/>
        <v>#N/A</v>
      </c>
      <c r="PV11" s="86" t="e">
        <f t="shared" si="314"/>
        <v>#N/A</v>
      </c>
      <c r="PW11" s="86" t="e">
        <f t="shared" si="314"/>
        <v>#N/A</v>
      </c>
      <c r="PX11" s="86" t="e">
        <f t="shared" si="314"/>
        <v>#N/A</v>
      </c>
      <c r="PY11" s="86" t="e">
        <f t="shared" si="314"/>
        <v>#N/A</v>
      </c>
      <c r="PZ11" s="86" t="e">
        <f t="shared" si="314"/>
        <v>#N/A</v>
      </c>
      <c r="QA11" s="87" t="e">
        <f t="shared" si="314"/>
        <v>#N/A</v>
      </c>
      <c r="QB11" s="86" t="e">
        <f t="shared" si="314"/>
        <v>#N/A</v>
      </c>
      <c r="QC11" s="86" t="e">
        <f t="shared" si="314"/>
        <v>#N/A</v>
      </c>
      <c r="QD11" s="86" t="e">
        <f t="shared" si="314"/>
        <v>#N/A</v>
      </c>
      <c r="QE11" s="86" t="e">
        <f t="shared" si="314"/>
        <v>#N/A</v>
      </c>
      <c r="QF11" s="86" t="e">
        <f t="shared" si="314"/>
        <v>#N/A</v>
      </c>
      <c r="QG11" s="86" t="e">
        <f t="shared" si="314"/>
        <v>#N/A</v>
      </c>
      <c r="QH11" s="86" t="e">
        <f t="shared" si="314"/>
        <v>#N/A</v>
      </c>
      <c r="QI11" s="86" t="e">
        <f t="shared" ref="QI11:RN11" si="315">QI61</f>
        <v>#N/A</v>
      </c>
      <c r="QJ11" s="86" t="e">
        <f t="shared" si="315"/>
        <v>#N/A</v>
      </c>
      <c r="QK11" s="86" t="e">
        <f t="shared" si="315"/>
        <v>#N/A</v>
      </c>
      <c r="QL11" s="86" t="e">
        <f t="shared" si="315"/>
        <v>#N/A</v>
      </c>
      <c r="QM11" s="86" t="e">
        <f t="shared" si="315"/>
        <v>#N/A</v>
      </c>
      <c r="QN11" s="87" t="e">
        <f t="shared" si="315"/>
        <v>#N/A</v>
      </c>
      <c r="QO11" s="86" t="e">
        <f t="shared" si="315"/>
        <v>#N/A</v>
      </c>
      <c r="QP11" s="86" t="e">
        <f t="shared" si="315"/>
        <v>#N/A</v>
      </c>
      <c r="QQ11" s="86" t="e">
        <f t="shared" si="315"/>
        <v>#N/A</v>
      </c>
      <c r="QR11" s="86" t="e">
        <f t="shared" si="315"/>
        <v>#N/A</v>
      </c>
      <c r="QS11" s="86" t="e">
        <f t="shared" si="315"/>
        <v>#N/A</v>
      </c>
      <c r="QT11" s="86" t="e">
        <f t="shared" si="315"/>
        <v>#N/A</v>
      </c>
      <c r="QU11" s="86" t="e">
        <f t="shared" si="315"/>
        <v>#N/A</v>
      </c>
      <c r="QV11" s="86" t="e">
        <f t="shared" si="315"/>
        <v>#N/A</v>
      </c>
      <c r="QW11" s="86" t="e">
        <f t="shared" si="315"/>
        <v>#N/A</v>
      </c>
      <c r="QX11" s="86" t="e">
        <f t="shared" si="315"/>
        <v>#N/A</v>
      </c>
      <c r="QY11" s="86" t="e">
        <f t="shared" si="315"/>
        <v>#N/A</v>
      </c>
      <c r="QZ11" s="86" t="e">
        <f t="shared" si="315"/>
        <v>#N/A</v>
      </c>
      <c r="RA11" s="87" t="e">
        <f t="shared" si="315"/>
        <v>#N/A</v>
      </c>
      <c r="RB11" s="86" t="e">
        <f t="shared" si="315"/>
        <v>#N/A</v>
      </c>
      <c r="RC11" s="86" t="e">
        <f t="shared" si="315"/>
        <v>#N/A</v>
      </c>
      <c r="RD11" s="86" t="e">
        <f t="shared" si="315"/>
        <v>#N/A</v>
      </c>
      <c r="RE11" s="86" t="e">
        <f t="shared" si="315"/>
        <v>#N/A</v>
      </c>
      <c r="RF11" s="86" t="e">
        <f t="shared" si="315"/>
        <v>#N/A</v>
      </c>
      <c r="RG11" s="86" t="e">
        <f t="shared" si="315"/>
        <v>#N/A</v>
      </c>
      <c r="RH11" s="86" t="e">
        <f t="shared" si="315"/>
        <v>#N/A</v>
      </c>
      <c r="RI11" s="86" t="e">
        <f t="shared" si="315"/>
        <v>#N/A</v>
      </c>
      <c r="RJ11" s="86" t="e">
        <f t="shared" si="315"/>
        <v>#N/A</v>
      </c>
      <c r="RK11" s="86" t="e">
        <f t="shared" si="315"/>
        <v>#N/A</v>
      </c>
      <c r="RL11" s="86" t="e">
        <f t="shared" si="315"/>
        <v>#N/A</v>
      </c>
      <c r="RM11" s="86" t="e">
        <f t="shared" si="315"/>
        <v>#N/A</v>
      </c>
      <c r="RN11" s="87" t="e">
        <f t="shared" si="315"/>
        <v>#N/A</v>
      </c>
    </row>
    <row r="12" spans="1:482" outlineLevel="1" x14ac:dyDescent="0.3">
      <c r="A12" s="78" t="s">
        <v>238</v>
      </c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88" t="str">
        <f>IFERROR(N11/(Inputs!$B$11*(1-Inputs!$B$12)-Inputs!$B$27)-1,"")</f>
        <v/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8" t="e">
        <f>AA11/N11-1</f>
        <v>#N/A</v>
      </c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88" t="e">
        <f>AN11/AA11-1</f>
        <v>#N/A</v>
      </c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/>
      <c r="AZ12" s="79"/>
      <c r="BA12" s="88" t="e">
        <f>BA11/AN11-1</f>
        <v>#N/A</v>
      </c>
      <c r="BB12" s="79"/>
      <c r="BC12" s="79"/>
      <c r="BD12" s="79"/>
      <c r="BE12" s="79"/>
      <c r="BF12" s="79"/>
      <c r="BG12" s="79"/>
      <c r="BH12" s="79"/>
      <c r="BI12" s="79"/>
      <c r="BJ12" s="79"/>
      <c r="BK12" s="79"/>
      <c r="BL12" s="79"/>
      <c r="BM12" s="79"/>
      <c r="BN12" s="88" t="e">
        <f>BN11/BA11-1</f>
        <v>#N/A</v>
      </c>
      <c r="BO12" s="79"/>
      <c r="BP12" s="79"/>
      <c r="BQ12" s="79"/>
      <c r="BR12" s="79"/>
      <c r="BS12" s="79"/>
      <c r="BT12" s="79"/>
      <c r="BU12" s="79"/>
      <c r="BV12" s="79"/>
      <c r="BW12" s="79"/>
      <c r="BX12" s="79"/>
      <c r="BY12" s="79"/>
      <c r="BZ12" s="79"/>
      <c r="CA12" s="88" t="e">
        <f>CA11/BN11-1</f>
        <v>#N/A</v>
      </c>
      <c r="CB12" s="79"/>
      <c r="CC12" s="79"/>
      <c r="CD12" s="79"/>
      <c r="CE12" s="79"/>
      <c r="CF12" s="79"/>
      <c r="CG12" s="79"/>
      <c r="CH12" s="79"/>
      <c r="CI12" s="79"/>
      <c r="CJ12" s="79"/>
      <c r="CK12" s="79"/>
      <c r="CL12" s="79"/>
      <c r="CM12" s="79"/>
      <c r="CN12" s="88" t="e">
        <f>CN11/CA11-1</f>
        <v>#N/A</v>
      </c>
      <c r="CO12" s="79"/>
      <c r="CP12" s="79"/>
      <c r="CQ12" s="79"/>
      <c r="CR12" s="79"/>
      <c r="CS12" s="79"/>
      <c r="CT12" s="79"/>
      <c r="CU12" s="79"/>
      <c r="CV12" s="79"/>
      <c r="CW12" s="79"/>
      <c r="CX12" s="79"/>
      <c r="CY12" s="79"/>
      <c r="CZ12" s="79"/>
      <c r="DA12" s="88" t="e">
        <f>DA11/CN11-1</f>
        <v>#N/A</v>
      </c>
      <c r="DB12" s="79"/>
      <c r="DC12" s="79"/>
      <c r="DD12" s="79"/>
      <c r="DE12" s="79"/>
      <c r="DF12" s="79"/>
      <c r="DG12" s="79"/>
      <c r="DH12" s="79"/>
      <c r="DI12" s="79"/>
      <c r="DJ12" s="79"/>
      <c r="DK12" s="79"/>
      <c r="DL12" s="79"/>
      <c r="DM12" s="79"/>
      <c r="DN12" s="88" t="e">
        <f>DN11/DA11-1</f>
        <v>#N/A</v>
      </c>
      <c r="DO12" s="79"/>
      <c r="DP12" s="79"/>
      <c r="DQ12" s="79"/>
      <c r="DR12" s="79"/>
      <c r="DS12" s="79"/>
      <c r="DT12" s="79"/>
      <c r="DU12" s="79"/>
      <c r="DV12" s="79"/>
      <c r="DW12" s="79"/>
      <c r="DX12" s="79"/>
      <c r="DY12" s="79"/>
      <c r="DZ12" s="79"/>
      <c r="EA12" s="88" t="e">
        <f>EA11/DN11-1</f>
        <v>#N/A</v>
      </c>
      <c r="EB12" s="79"/>
      <c r="EC12" s="79"/>
      <c r="ED12" s="79"/>
      <c r="EE12" s="79"/>
      <c r="EF12" s="79"/>
      <c r="EG12" s="79"/>
      <c r="EH12" s="79"/>
      <c r="EI12" s="79"/>
      <c r="EJ12" s="79"/>
      <c r="EK12" s="79"/>
      <c r="EL12" s="79"/>
      <c r="EM12" s="79"/>
      <c r="EN12" s="88" t="e">
        <f>EN11/EA11-1</f>
        <v>#N/A</v>
      </c>
      <c r="EO12" s="79"/>
      <c r="EP12" s="79"/>
      <c r="EQ12" s="79"/>
      <c r="ER12" s="79"/>
      <c r="ES12" s="79"/>
      <c r="ET12" s="79"/>
      <c r="EU12" s="79"/>
      <c r="EV12" s="79"/>
      <c r="EW12" s="79"/>
      <c r="EX12" s="79"/>
      <c r="EY12" s="79"/>
      <c r="EZ12" s="79"/>
      <c r="FA12" s="88" t="e">
        <f>FA11/EN11-1</f>
        <v>#N/A</v>
      </c>
      <c r="FB12" s="79"/>
      <c r="FC12" s="79"/>
      <c r="FD12" s="79"/>
      <c r="FE12" s="79"/>
      <c r="FF12" s="79"/>
      <c r="FG12" s="79"/>
      <c r="FH12" s="79"/>
      <c r="FI12" s="79"/>
      <c r="FJ12" s="79"/>
      <c r="FK12" s="79"/>
      <c r="FL12" s="79"/>
      <c r="FM12" s="79"/>
      <c r="FN12" s="88" t="e">
        <f>FN11/FA11-1</f>
        <v>#N/A</v>
      </c>
      <c r="FO12" s="79"/>
      <c r="FP12" s="79"/>
      <c r="FQ12" s="79"/>
      <c r="FR12" s="79"/>
      <c r="FS12" s="79"/>
      <c r="FT12" s="79"/>
      <c r="FU12" s="79"/>
      <c r="FV12" s="79"/>
      <c r="FW12" s="79"/>
      <c r="FX12" s="79"/>
      <c r="FY12" s="79"/>
      <c r="FZ12" s="79"/>
      <c r="GA12" s="88" t="e">
        <f>GA11/FN11-1</f>
        <v>#N/A</v>
      </c>
      <c r="GB12" s="79"/>
      <c r="GC12" s="79"/>
      <c r="GD12" s="79"/>
      <c r="GE12" s="79"/>
      <c r="GF12" s="79"/>
      <c r="GG12" s="79"/>
      <c r="GH12" s="79"/>
      <c r="GI12" s="79"/>
      <c r="GJ12" s="79"/>
      <c r="GK12" s="79"/>
      <c r="GL12" s="79"/>
      <c r="GM12" s="79"/>
      <c r="GN12" s="88" t="e">
        <f>GN11/GA11-1</f>
        <v>#N/A</v>
      </c>
      <c r="GO12" s="79"/>
      <c r="GP12" s="79"/>
      <c r="GQ12" s="79"/>
      <c r="GR12" s="79"/>
      <c r="GS12" s="79"/>
      <c r="GT12" s="79"/>
      <c r="GU12" s="79"/>
      <c r="GV12" s="79"/>
      <c r="GW12" s="79"/>
      <c r="GX12" s="79"/>
      <c r="GY12" s="79"/>
      <c r="GZ12" s="79"/>
      <c r="HA12" s="88" t="e">
        <f>HA11/GN11-1</f>
        <v>#N/A</v>
      </c>
      <c r="HB12" s="79"/>
      <c r="HC12" s="79"/>
      <c r="HD12" s="79"/>
      <c r="HE12" s="79"/>
      <c r="HF12" s="79"/>
      <c r="HG12" s="79"/>
      <c r="HH12" s="79"/>
      <c r="HI12" s="79"/>
      <c r="HJ12" s="79"/>
      <c r="HK12" s="79"/>
      <c r="HL12" s="79"/>
      <c r="HM12" s="79"/>
      <c r="HN12" s="88" t="e">
        <f>HN11/HA11-1</f>
        <v>#N/A</v>
      </c>
      <c r="HO12" s="79"/>
      <c r="HP12" s="79"/>
      <c r="HQ12" s="79"/>
      <c r="HR12" s="79"/>
      <c r="HS12" s="79"/>
      <c r="HT12" s="79"/>
      <c r="HU12" s="79"/>
      <c r="HV12" s="79"/>
      <c r="HW12" s="79"/>
      <c r="HX12" s="79"/>
      <c r="HY12" s="79"/>
      <c r="HZ12" s="79"/>
      <c r="IA12" s="88" t="e">
        <f>IA11/HN11-1</f>
        <v>#N/A</v>
      </c>
      <c r="IB12" s="79"/>
      <c r="IC12" s="79"/>
      <c r="ID12" s="79"/>
      <c r="IE12" s="79"/>
      <c r="IF12" s="79"/>
      <c r="IG12" s="79"/>
      <c r="IH12" s="79"/>
      <c r="II12" s="79"/>
      <c r="IJ12" s="79"/>
      <c r="IK12" s="79"/>
      <c r="IL12" s="79"/>
      <c r="IM12" s="79"/>
      <c r="IN12" s="88" t="e">
        <f>IN11/IA11-1</f>
        <v>#N/A</v>
      </c>
      <c r="IO12" s="79"/>
      <c r="IP12" s="79"/>
      <c r="IQ12" s="79"/>
      <c r="IR12" s="79"/>
      <c r="IS12" s="79"/>
      <c r="IT12" s="79"/>
      <c r="IU12" s="79"/>
      <c r="IV12" s="79"/>
      <c r="IW12" s="79"/>
      <c r="IX12" s="79"/>
      <c r="IY12" s="79"/>
      <c r="IZ12" s="79"/>
      <c r="JA12" s="88" t="e">
        <f>JA11/IN11-1</f>
        <v>#N/A</v>
      </c>
      <c r="JB12" s="79"/>
      <c r="JC12" s="79"/>
      <c r="JD12" s="79"/>
      <c r="JE12" s="79"/>
      <c r="JF12" s="79"/>
      <c r="JG12" s="79"/>
      <c r="JH12" s="79"/>
      <c r="JI12" s="79"/>
      <c r="JJ12" s="79"/>
      <c r="JK12" s="79"/>
      <c r="JL12" s="79"/>
      <c r="JM12" s="79"/>
      <c r="JN12" s="88" t="e">
        <f>JN11/JA11-1</f>
        <v>#N/A</v>
      </c>
      <c r="JO12" s="79"/>
      <c r="JP12" s="79"/>
      <c r="JQ12" s="79"/>
      <c r="JR12" s="79"/>
      <c r="JS12" s="79"/>
      <c r="JT12" s="79"/>
      <c r="JU12" s="79"/>
      <c r="JV12" s="79"/>
      <c r="JW12" s="79"/>
      <c r="JX12" s="79"/>
      <c r="JY12" s="79"/>
      <c r="JZ12" s="79"/>
      <c r="KA12" s="88" t="e">
        <f>KA11/JN11-1</f>
        <v>#N/A</v>
      </c>
      <c r="KB12" s="79"/>
      <c r="KC12" s="79"/>
      <c r="KD12" s="79"/>
      <c r="KE12" s="79"/>
      <c r="KF12" s="79"/>
      <c r="KG12" s="79"/>
      <c r="KH12" s="79"/>
      <c r="KI12" s="79"/>
      <c r="KJ12" s="79"/>
      <c r="KK12" s="79"/>
      <c r="KL12" s="79"/>
      <c r="KM12" s="79"/>
      <c r="KN12" s="88" t="e">
        <f>KN11/KA11-1</f>
        <v>#N/A</v>
      </c>
      <c r="KO12" s="79"/>
      <c r="KP12" s="79"/>
      <c r="KQ12" s="79"/>
      <c r="KR12" s="79"/>
      <c r="KS12" s="79"/>
      <c r="KT12" s="79"/>
      <c r="KU12" s="79"/>
      <c r="KV12" s="79"/>
      <c r="KW12" s="79"/>
      <c r="KX12" s="79"/>
      <c r="KY12" s="79"/>
      <c r="KZ12" s="79"/>
      <c r="LA12" s="88" t="e">
        <f>LA11/KN11-1</f>
        <v>#N/A</v>
      </c>
      <c r="LB12" s="79"/>
      <c r="LC12" s="79"/>
      <c r="LD12" s="79"/>
      <c r="LE12" s="79"/>
      <c r="LF12" s="79"/>
      <c r="LG12" s="79"/>
      <c r="LH12" s="79"/>
      <c r="LI12" s="79"/>
      <c r="LJ12" s="79"/>
      <c r="LK12" s="79"/>
      <c r="LL12" s="79"/>
      <c r="LM12" s="79"/>
      <c r="LN12" s="88" t="e">
        <f>LN11/LA11-1</f>
        <v>#N/A</v>
      </c>
      <c r="LO12" s="79"/>
      <c r="LP12" s="79"/>
      <c r="LQ12" s="79"/>
      <c r="LR12" s="79"/>
      <c r="LS12" s="79"/>
      <c r="LT12" s="79"/>
      <c r="LU12" s="79"/>
      <c r="LV12" s="79"/>
      <c r="LW12" s="79"/>
      <c r="LX12" s="79"/>
      <c r="LY12" s="79"/>
      <c r="LZ12" s="79"/>
      <c r="MA12" s="88" t="e">
        <f>MA11/LN11-1</f>
        <v>#N/A</v>
      </c>
      <c r="MB12" s="79"/>
      <c r="MC12" s="79"/>
      <c r="MD12" s="79"/>
      <c r="ME12" s="79"/>
      <c r="MF12" s="79"/>
      <c r="MG12" s="79"/>
      <c r="MH12" s="79"/>
      <c r="MI12" s="79"/>
      <c r="MJ12" s="79"/>
      <c r="MK12" s="79"/>
      <c r="ML12" s="79"/>
      <c r="MM12" s="79"/>
      <c r="MN12" s="88" t="e">
        <f>MN11/MA11-1</f>
        <v>#N/A</v>
      </c>
      <c r="MO12" s="79"/>
      <c r="MP12" s="79"/>
      <c r="MQ12" s="79"/>
      <c r="MR12" s="79"/>
      <c r="MS12" s="79"/>
      <c r="MT12" s="79"/>
      <c r="MU12" s="79"/>
      <c r="MV12" s="79"/>
      <c r="MW12" s="79"/>
      <c r="MX12" s="79"/>
      <c r="MY12" s="79"/>
      <c r="MZ12" s="79"/>
      <c r="NA12" s="88" t="e">
        <f>NA11/MN11-1</f>
        <v>#N/A</v>
      </c>
      <c r="NB12" s="79"/>
      <c r="NC12" s="79"/>
      <c r="ND12" s="79"/>
      <c r="NE12" s="79"/>
      <c r="NF12" s="79"/>
      <c r="NG12" s="79"/>
      <c r="NH12" s="79"/>
      <c r="NI12" s="79"/>
      <c r="NJ12" s="79"/>
      <c r="NK12" s="79"/>
      <c r="NL12" s="79"/>
      <c r="NM12" s="79"/>
      <c r="NN12" s="88" t="e">
        <f>NN11/NA11-1</f>
        <v>#N/A</v>
      </c>
      <c r="NO12" s="79"/>
      <c r="NP12" s="79"/>
      <c r="NQ12" s="79"/>
      <c r="NR12" s="79"/>
      <c r="NS12" s="79"/>
      <c r="NT12" s="79"/>
      <c r="NU12" s="79"/>
      <c r="NV12" s="79"/>
      <c r="NW12" s="79"/>
      <c r="NX12" s="79"/>
      <c r="NY12" s="79"/>
      <c r="NZ12" s="79"/>
      <c r="OA12" s="88" t="e">
        <f>OA11/NN11-1</f>
        <v>#N/A</v>
      </c>
      <c r="OB12" s="79"/>
      <c r="OC12" s="79"/>
      <c r="OD12" s="79"/>
      <c r="OE12" s="79"/>
      <c r="OF12" s="79"/>
      <c r="OG12" s="79"/>
      <c r="OH12" s="79"/>
      <c r="OI12" s="79"/>
      <c r="OJ12" s="79"/>
      <c r="OK12" s="79"/>
      <c r="OL12" s="79"/>
      <c r="OM12" s="79"/>
      <c r="ON12" s="88" t="e">
        <f>ON11/OA11-1</f>
        <v>#N/A</v>
      </c>
      <c r="OO12" s="79"/>
      <c r="OP12" s="79"/>
      <c r="OQ12" s="79"/>
      <c r="OR12" s="79"/>
      <c r="OS12" s="79"/>
      <c r="OT12" s="79"/>
      <c r="OU12" s="79"/>
      <c r="OV12" s="79"/>
      <c r="OW12" s="79"/>
      <c r="OX12" s="79"/>
      <c r="OY12" s="79"/>
      <c r="OZ12" s="79"/>
      <c r="PA12" s="88" t="e">
        <f>PA11/ON11-1</f>
        <v>#N/A</v>
      </c>
      <c r="PB12" s="79"/>
      <c r="PC12" s="79"/>
      <c r="PD12" s="79"/>
      <c r="PE12" s="79"/>
      <c r="PF12" s="79"/>
      <c r="PG12" s="79"/>
      <c r="PH12" s="79"/>
      <c r="PI12" s="79"/>
      <c r="PJ12" s="79"/>
      <c r="PK12" s="79"/>
      <c r="PL12" s="79"/>
      <c r="PM12" s="79"/>
      <c r="PN12" s="88" t="e">
        <f>PN11/PA11-1</f>
        <v>#N/A</v>
      </c>
      <c r="PO12" s="79"/>
      <c r="PP12" s="79"/>
      <c r="PQ12" s="79"/>
      <c r="PR12" s="79"/>
      <c r="PS12" s="79"/>
      <c r="PT12" s="79"/>
      <c r="PU12" s="79"/>
      <c r="PV12" s="79"/>
      <c r="PW12" s="79"/>
      <c r="PX12" s="79"/>
      <c r="PY12" s="79"/>
      <c r="PZ12" s="79"/>
      <c r="QA12" s="88" t="e">
        <f>QA11/PN11-1</f>
        <v>#N/A</v>
      </c>
      <c r="QB12" s="79"/>
      <c r="QC12" s="79"/>
      <c r="QD12" s="79"/>
      <c r="QE12" s="79"/>
      <c r="QF12" s="79"/>
      <c r="QG12" s="79"/>
      <c r="QH12" s="79"/>
      <c r="QI12" s="79"/>
      <c r="QJ12" s="79"/>
      <c r="QK12" s="79"/>
      <c r="QL12" s="79"/>
      <c r="QM12" s="79"/>
      <c r="QN12" s="88" t="e">
        <f>QN11/QA11-1</f>
        <v>#N/A</v>
      </c>
      <c r="QO12" s="79"/>
      <c r="QP12" s="79"/>
      <c r="QQ12" s="79"/>
      <c r="QR12" s="79"/>
      <c r="QS12" s="79"/>
      <c r="QT12" s="79"/>
      <c r="QU12" s="79"/>
      <c r="QV12" s="79"/>
      <c r="QW12" s="79"/>
      <c r="QX12" s="79"/>
      <c r="QY12" s="79"/>
      <c r="QZ12" s="79"/>
      <c r="RA12" s="88" t="e">
        <f>RA11/QN11-1</f>
        <v>#N/A</v>
      </c>
      <c r="RB12" s="79"/>
      <c r="RC12" s="79"/>
      <c r="RD12" s="79"/>
      <c r="RE12" s="79"/>
      <c r="RF12" s="79"/>
      <c r="RG12" s="79"/>
      <c r="RH12" s="79"/>
      <c r="RI12" s="79"/>
      <c r="RJ12" s="79"/>
      <c r="RK12" s="79"/>
      <c r="RL12" s="79"/>
      <c r="RM12" s="79"/>
      <c r="RN12" s="88" t="e">
        <f>RN11/RA11-1</f>
        <v>#N/A</v>
      </c>
    </row>
    <row r="13" spans="1:482" outlineLevel="1" x14ac:dyDescent="0.3">
      <c r="A13" s="78" t="s">
        <v>239</v>
      </c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88" t="str">
        <f>IFERROR(IF((Inputs!$B$11*(1-Inputs!$B$12)-Inputs!$B$27+N7)&gt;0,N$5/(Inputs!$B$11*(1-Inputs!$B$12)-Inputs!$B$27+N7),""),"")</f>
        <v/>
      </c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88" t="str">
        <f>IFERROR(IF((Inputs!$B$11*(1-Inputs!$B$12)-Inputs!$B$27+AA7)&gt;0,AA$5/(Inputs!$B$11*(1-Inputs!$B$12)-Inputs!$B$27+AA7),""),"")</f>
        <v/>
      </c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88" t="str">
        <f>IFERROR(IF((Inputs!$B$11*(1-Inputs!$B$12)-Inputs!$B$27+AN7)&gt;0,AN$5/(Inputs!$B$11*(1-Inputs!$B$12)-Inputs!$B$27+AN7),""),"")</f>
        <v/>
      </c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88" t="str">
        <f>IFERROR(IF((Inputs!$B$11*(1-Inputs!$B$12)-Inputs!$B$27+BA7)&gt;0,BA$5/(Inputs!$B$11*(1-Inputs!$B$12)-Inputs!$B$27+BA7),""),"")</f>
        <v/>
      </c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79"/>
      <c r="BM13" s="79"/>
      <c r="BN13" s="88" t="str">
        <f>IFERROR(IF((Inputs!$B$11*(1-Inputs!$B$12)-Inputs!$B$27+BN7)&gt;0,BN$5/(Inputs!$B$11*(1-Inputs!$B$12)-Inputs!$B$27+BN7),""),"")</f>
        <v/>
      </c>
      <c r="BO13" s="79"/>
      <c r="BP13" s="79"/>
      <c r="BQ13" s="79"/>
      <c r="BR13" s="79"/>
      <c r="BS13" s="79"/>
      <c r="BT13" s="79"/>
      <c r="BU13" s="79"/>
      <c r="BV13" s="79"/>
      <c r="BW13" s="79"/>
      <c r="BX13" s="79"/>
      <c r="BY13" s="79"/>
      <c r="BZ13" s="79"/>
      <c r="CA13" s="88" t="str">
        <f>IFERROR(IF((Inputs!$B$11*(1-Inputs!$B$12)-Inputs!$B$27+CA7)&gt;0,CA$5/(Inputs!$B$11*(1-Inputs!$B$12)-Inputs!$B$27+CA7),""),"")</f>
        <v/>
      </c>
      <c r="CB13" s="79"/>
      <c r="CC13" s="79"/>
      <c r="CD13" s="79"/>
      <c r="CE13" s="79"/>
      <c r="CF13" s="79"/>
      <c r="CG13" s="79"/>
      <c r="CH13" s="79"/>
      <c r="CI13" s="79"/>
      <c r="CJ13" s="79"/>
      <c r="CK13" s="79"/>
      <c r="CL13" s="79"/>
      <c r="CM13" s="79"/>
      <c r="CN13" s="88" t="str">
        <f>IFERROR(IF((Inputs!$B$11*(1-Inputs!$B$12)-Inputs!$B$27+CN7)&gt;0,CN$5/(Inputs!$B$11*(1-Inputs!$B$12)-Inputs!$B$27+CN7),""),"")</f>
        <v/>
      </c>
      <c r="CO13" s="79"/>
      <c r="CP13" s="79"/>
      <c r="CQ13" s="79"/>
      <c r="CR13" s="79"/>
      <c r="CS13" s="79"/>
      <c r="CT13" s="79"/>
      <c r="CU13" s="79"/>
      <c r="CV13" s="79"/>
      <c r="CW13" s="79"/>
      <c r="CX13" s="79"/>
      <c r="CY13" s="79"/>
      <c r="CZ13" s="79"/>
      <c r="DA13" s="88" t="str">
        <f>IFERROR(IF((Inputs!$B$11*(1-Inputs!$B$12)-Inputs!$B$27+DA7)&gt;0,DA$5/(Inputs!$B$11*(1-Inputs!$B$12)-Inputs!$B$27+DA7),""),"")</f>
        <v/>
      </c>
      <c r="DB13" s="79"/>
      <c r="DC13" s="79"/>
      <c r="DD13" s="79"/>
      <c r="DE13" s="79"/>
      <c r="DF13" s="79"/>
      <c r="DG13" s="79"/>
      <c r="DH13" s="79"/>
      <c r="DI13" s="79"/>
      <c r="DJ13" s="79"/>
      <c r="DK13" s="79"/>
      <c r="DL13" s="79"/>
      <c r="DM13" s="79"/>
      <c r="DN13" s="88" t="str">
        <f>IFERROR(IF((Inputs!$B$11*(1-Inputs!$B$12)-Inputs!$B$27+DN7)&gt;0,DN$5/(Inputs!$B$11*(1-Inputs!$B$12)-Inputs!$B$27+DN7),""),"")</f>
        <v/>
      </c>
      <c r="DO13" s="79"/>
      <c r="DP13" s="79"/>
      <c r="DQ13" s="79"/>
      <c r="DR13" s="79"/>
      <c r="DS13" s="79"/>
      <c r="DT13" s="79"/>
      <c r="DU13" s="79"/>
      <c r="DV13" s="79"/>
      <c r="DW13" s="79"/>
      <c r="DX13" s="79"/>
      <c r="DY13" s="79"/>
      <c r="DZ13" s="79"/>
      <c r="EA13" s="88" t="str">
        <f>IFERROR(IF((Inputs!$B$11*(1-Inputs!$B$12)-Inputs!$B$27+EA7)&gt;0,EA$5/(Inputs!$B$11*(1-Inputs!$B$12)-Inputs!$B$27+EA7),""),"")</f>
        <v/>
      </c>
      <c r="EB13" s="79"/>
      <c r="EC13" s="79"/>
      <c r="ED13" s="79"/>
      <c r="EE13" s="79"/>
      <c r="EF13" s="79"/>
      <c r="EG13" s="79"/>
      <c r="EH13" s="79"/>
      <c r="EI13" s="79"/>
      <c r="EJ13" s="79"/>
      <c r="EK13" s="79"/>
      <c r="EL13" s="79"/>
      <c r="EM13" s="79"/>
      <c r="EN13" s="88" t="str">
        <f>IFERROR(IF((Inputs!$B$11*(1-Inputs!$B$12)-Inputs!$B$27+EN7)&gt;0,EN$5/(Inputs!$B$11*(1-Inputs!$B$12)-Inputs!$B$27+EN7),""),"")</f>
        <v/>
      </c>
      <c r="EO13" s="79"/>
      <c r="EP13" s="79"/>
      <c r="EQ13" s="79"/>
      <c r="ER13" s="79"/>
      <c r="ES13" s="79"/>
      <c r="ET13" s="79"/>
      <c r="EU13" s="79"/>
      <c r="EV13" s="79"/>
      <c r="EW13" s="79"/>
      <c r="EX13" s="79"/>
      <c r="EY13" s="79"/>
      <c r="EZ13" s="79"/>
      <c r="FA13" s="88" t="str">
        <f>IFERROR(IF((Inputs!$B$11*(1-Inputs!$B$12)-Inputs!$B$27+FA7)&gt;0,FA$5/(Inputs!$B$11*(1-Inputs!$B$12)-Inputs!$B$27+FA7),""),"")</f>
        <v/>
      </c>
      <c r="FB13" s="79"/>
      <c r="FC13" s="79"/>
      <c r="FD13" s="79"/>
      <c r="FE13" s="79"/>
      <c r="FF13" s="79"/>
      <c r="FG13" s="79"/>
      <c r="FH13" s="79"/>
      <c r="FI13" s="79"/>
      <c r="FJ13" s="79"/>
      <c r="FK13" s="79"/>
      <c r="FL13" s="79"/>
      <c r="FM13" s="79"/>
      <c r="FN13" s="88" t="str">
        <f>IFERROR(IF((Inputs!$B$11*(1-Inputs!$B$12)-Inputs!$B$27+FN7)&gt;0,FN$5/(Inputs!$B$11*(1-Inputs!$B$12)-Inputs!$B$27+FN7),""),"")</f>
        <v/>
      </c>
      <c r="FO13" s="79"/>
      <c r="FP13" s="79"/>
      <c r="FQ13" s="79"/>
      <c r="FR13" s="79"/>
      <c r="FS13" s="79"/>
      <c r="FT13" s="79"/>
      <c r="FU13" s="79"/>
      <c r="FV13" s="79"/>
      <c r="FW13" s="79"/>
      <c r="FX13" s="79"/>
      <c r="FY13" s="79"/>
      <c r="FZ13" s="79"/>
      <c r="GA13" s="88" t="str">
        <f>IFERROR(IF((Inputs!$B$11*(1-Inputs!$B$12)-Inputs!$B$27+GA7)&gt;0,GA$5/(Inputs!$B$11*(1-Inputs!$B$12)-Inputs!$B$27+GA7),""),"")</f>
        <v/>
      </c>
      <c r="GB13" s="79"/>
      <c r="GC13" s="79"/>
      <c r="GD13" s="79"/>
      <c r="GE13" s="79"/>
      <c r="GF13" s="79"/>
      <c r="GG13" s="79"/>
      <c r="GH13" s="79"/>
      <c r="GI13" s="79"/>
      <c r="GJ13" s="79"/>
      <c r="GK13" s="79"/>
      <c r="GL13" s="79"/>
      <c r="GM13" s="79"/>
      <c r="GN13" s="88" t="str">
        <f>IFERROR(IF((Inputs!$B$11*(1-Inputs!$B$12)-Inputs!$B$27+GN7)&gt;0,GN$5/(Inputs!$B$11*(1-Inputs!$B$12)-Inputs!$B$27+GN7),""),"")</f>
        <v/>
      </c>
      <c r="GO13" s="79"/>
      <c r="GP13" s="79"/>
      <c r="GQ13" s="79"/>
      <c r="GR13" s="79"/>
      <c r="GS13" s="79"/>
      <c r="GT13" s="79"/>
      <c r="GU13" s="79"/>
      <c r="GV13" s="79"/>
      <c r="GW13" s="79"/>
      <c r="GX13" s="79"/>
      <c r="GY13" s="79"/>
      <c r="GZ13" s="79"/>
      <c r="HA13" s="88" t="str">
        <f>IFERROR(IF((Inputs!$B$11*(1-Inputs!$B$12)-Inputs!$B$27+HA7)&gt;0,HA$5/(Inputs!$B$11*(1-Inputs!$B$12)-Inputs!$B$27+HA7),""),"")</f>
        <v/>
      </c>
      <c r="HB13" s="79"/>
      <c r="HC13" s="79"/>
      <c r="HD13" s="79"/>
      <c r="HE13" s="79"/>
      <c r="HF13" s="79"/>
      <c r="HG13" s="79"/>
      <c r="HH13" s="79"/>
      <c r="HI13" s="79"/>
      <c r="HJ13" s="79"/>
      <c r="HK13" s="79"/>
      <c r="HL13" s="79"/>
      <c r="HM13" s="79"/>
      <c r="HN13" s="88" t="str">
        <f>IFERROR(IF((Inputs!$B$11*(1-Inputs!$B$12)-Inputs!$B$27+HN7)&gt;0,HN$5/(Inputs!$B$11*(1-Inputs!$B$12)-Inputs!$B$27+HN7),""),"")</f>
        <v/>
      </c>
      <c r="HO13" s="79"/>
      <c r="HP13" s="79"/>
      <c r="HQ13" s="79"/>
      <c r="HR13" s="79"/>
      <c r="HS13" s="79"/>
      <c r="HT13" s="79"/>
      <c r="HU13" s="79"/>
      <c r="HV13" s="79"/>
      <c r="HW13" s="79"/>
      <c r="HX13" s="79"/>
      <c r="HY13" s="79"/>
      <c r="HZ13" s="79"/>
      <c r="IA13" s="88" t="str">
        <f>IFERROR(IF((Inputs!$B$11*(1-Inputs!$B$12)-Inputs!$B$27+IA7)&gt;0,IA$5/(Inputs!$B$11*(1-Inputs!$B$12)-Inputs!$B$27+IA7),""),"")</f>
        <v/>
      </c>
      <c r="IB13" s="79"/>
      <c r="IC13" s="79"/>
      <c r="ID13" s="79"/>
      <c r="IE13" s="79"/>
      <c r="IF13" s="79"/>
      <c r="IG13" s="79"/>
      <c r="IH13" s="79"/>
      <c r="II13" s="79"/>
      <c r="IJ13" s="79"/>
      <c r="IK13" s="79"/>
      <c r="IL13" s="79"/>
      <c r="IM13" s="79"/>
      <c r="IN13" s="88" t="str">
        <f>IFERROR(IF((Inputs!$B$11*(1-Inputs!$B$12)-Inputs!$B$27+IN7)&gt;0,IN$5/(Inputs!$B$11*(1-Inputs!$B$12)-Inputs!$B$27+IN7),""),"")</f>
        <v/>
      </c>
      <c r="IO13" s="79"/>
      <c r="IP13" s="79"/>
      <c r="IQ13" s="79"/>
      <c r="IR13" s="79"/>
      <c r="IS13" s="79"/>
      <c r="IT13" s="79"/>
      <c r="IU13" s="79"/>
      <c r="IV13" s="79"/>
      <c r="IW13" s="79"/>
      <c r="IX13" s="79"/>
      <c r="IY13" s="79"/>
      <c r="IZ13" s="79"/>
      <c r="JA13" s="88" t="str">
        <f>IFERROR(IF((Inputs!$B$11*(1-Inputs!$B$12)-Inputs!$B$27+JA7)&gt;0,JA$5/(Inputs!$B$11*(1-Inputs!$B$12)-Inputs!$B$27+JA7),""),"")</f>
        <v/>
      </c>
      <c r="JB13" s="79"/>
      <c r="JC13" s="79"/>
      <c r="JD13" s="79"/>
      <c r="JE13" s="79"/>
      <c r="JF13" s="79"/>
      <c r="JG13" s="79"/>
      <c r="JH13" s="79"/>
      <c r="JI13" s="79"/>
      <c r="JJ13" s="79"/>
      <c r="JK13" s="79"/>
      <c r="JL13" s="79"/>
      <c r="JM13" s="79"/>
      <c r="JN13" s="88" t="str">
        <f>IFERROR(IF((Inputs!$B$11*(1-Inputs!$B$12)-Inputs!$B$27+JN7)&gt;0,JN$5/(Inputs!$B$11*(1-Inputs!$B$12)-Inputs!$B$27+JN7),""),"")</f>
        <v/>
      </c>
      <c r="JO13" s="79"/>
      <c r="JP13" s="79"/>
      <c r="JQ13" s="79"/>
      <c r="JR13" s="79"/>
      <c r="JS13" s="79"/>
      <c r="JT13" s="79"/>
      <c r="JU13" s="79"/>
      <c r="JV13" s="79"/>
      <c r="JW13" s="79"/>
      <c r="JX13" s="79"/>
      <c r="JY13" s="79"/>
      <c r="JZ13" s="79"/>
      <c r="KA13" s="88" t="str">
        <f>IFERROR(IF((Inputs!$B$11*(1-Inputs!$B$12)-Inputs!$B$27+KA7)&gt;0,KA$5/(Inputs!$B$11*(1-Inputs!$B$12)-Inputs!$B$27+KA7),""),"")</f>
        <v/>
      </c>
      <c r="KB13" s="79"/>
      <c r="KC13" s="79"/>
      <c r="KD13" s="79"/>
      <c r="KE13" s="79"/>
      <c r="KF13" s="79"/>
      <c r="KG13" s="79"/>
      <c r="KH13" s="79"/>
      <c r="KI13" s="79"/>
      <c r="KJ13" s="79"/>
      <c r="KK13" s="79"/>
      <c r="KL13" s="79"/>
      <c r="KM13" s="79"/>
      <c r="KN13" s="88" t="str">
        <f>IFERROR(IF((Inputs!$B$11*(1-Inputs!$B$12)-Inputs!$B$27+KN7)&gt;0,KN$5/(Inputs!$B$11*(1-Inputs!$B$12)-Inputs!$B$27+KN7),""),"")</f>
        <v/>
      </c>
      <c r="KO13" s="79"/>
      <c r="KP13" s="79"/>
      <c r="KQ13" s="79"/>
      <c r="KR13" s="79"/>
      <c r="KS13" s="79"/>
      <c r="KT13" s="79"/>
      <c r="KU13" s="79"/>
      <c r="KV13" s="79"/>
      <c r="KW13" s="79"/>
      <c r="KX13" s="79"/>
      <c r="KY13" s="79"/>
      <c r="KZ13" s="79"/>
      <c r="LA13" s="88" t="str">
        <f>IFERROR(IF((Inputs!$B$11*(1-Inputs!$B$12)-Inputs!$B$27+LA7)&gt;0,LA$5/(Inputs!$B$11*(1-Inputs!$B$12)-Inputs!$B$27+LA7),""),"")</f>
        <v/>
      </c>
      <c r="LB13" s="79"/>
      <c r="LC13" s="79"/>
      <c r="LD13" s="79"/>
      <c r="LE13" s="79"/>
      <c r="LF13" s="79"/>
      <c r="LG13" s="79"/>
      <c r="LH13" s="79"/>
      <c r="LI13" s="79"/>
      <c r="LJ13" s="79"/>
      <c r="LK13" s="79"/>
      <c r="LL13" s="79"/>
      <c r="LM13" s="79"/>
      <c r="LN13" s="88" t="str">
        <f>IFERROR(IF((Inputs!$B$11*(1-Inputs!$B$12)-Inputs!$B$27+LN7)&gt;0,LN$5/(Inputs!$B$11*(1-Inputs!$B$12)-Inputs!$B$27+LN7),""),"")</f>
        <v/>
      </c>
      <c r="LO13" s="79"/>
      <c r="LP13" s="79"/>
      <c r="LQ13" s="79"/>
      <c r="LR13" s="79"/>
      <c r="LS13" s="79"/>
      <c r="LT13" s="79"/>
      <c r="LU13" s="79"/>
      <c r="LV13" s="79"/>
      <c r="LW13" s="79"/>
      <c r="LX13" s="79"/>
      <c r="LY13" s="79"/>
      <c r="LZ13" s="79"/>
      <c r="MA13" s="88" t="str">
        <f>IFERROR(IF((Inputs!$B$11*(1-Inputs!$B$12)-Inputs!$B$27+MA7)&gt;0,MA$5/(Inputs!$B$11*(1-Inputs!$B$12)-Inputs!$B$27+MA7),""),"")</f>
        <v/>
      </c>
      <c r="MB13" s="79"/>
      <c r="MC13" s="79"/>
      <c r="MD13" s="79"/>
      <c r="ME13" s="79"/>
      <c r="MF13" s="79"/>
      <c r="MG13" s="79"/>
      <c r="MH13" s="79"/>
      <c r="MI13" s="79"/>
      <c r="MJ13" s="79"/>
      <c r="MK13" s="79"/>
      <c r="ML13" s="79"/>
      <c r="MM13" s="79"/>
      <c r="MN13" s="88" t="str">
        <f>IFERROR(IF((Inputs!$B$11*(1-Inputs!$B$12)-Inputs!$B$27+MN7)&gt;0,MN$5/(Inputs!$B$11*(1-Inputs!$B$12)-Inputs!$B$27+MN7),""),"")</f>
        <v/>
      </c>
      <c r="MO13" s="79"/>
      <c r="MP13" s="79"/>
      <c r="MQ13" s="79"/>
      <c r="MR13" s="79"/>
      <c r="MS13" s="79"/>
      <c r="MT13" s="79"/>
      <c r="MU13" s="79"/>
      <c r="MV13" s="79"/>
      <c r="MW13" s="79"/>
      <c r="MX13" s="79"/>
      <c r="MY13" s="79"/>
      <c r="MZ13" s="79"/>
      <c r="NA13" s="88" t="str">
        <f>IFERROR(IF((Inputs!$B$11*(1-Inputs!$B$12)-Inputs!$B$27+NA7)&gt;0,NA$5/(Inputs!$B$11*(1-Inputs!$B$12)-Inputs!$B$27+NA7),""),"")</f>
        <v/>
      </c>
      <c r="NB13" s="79"/>
      <c r="NC13" s="79"/>
      <c r="ND13" s="79"/>
      <c r="NE13" s="79"/>
      <c r="NF13" s="79"/>
      <c r="NG13" s="79"/>
      <c r="NH13" s="79"/>
      <c r="NI13" s="79"/>
      <c r="NJ13" s="79"/>
      <c r="NK13" s="79"/>
      <c r="NL13" s="79"/>
      <c r="NM13" s="79"/>
      <c r="NN13" s="88" t="str">
        <f>IFERROR(IF((Inputs!$B$11*(1-Inputs!$B$12)-Inputs!$B$27+NN7)&gt;0,NN$5/(Inputs!$B$11*(1-Inputs!$B$12)-Inputs!$B$27+NN7),""),"")</f>
        <v/>
      </c>
      <c r="NO13" s="79"/>
      <c r="NP13" s="79"/>
      <c r="NQ13" s="79"/>
      <c r="NR13" s="79"/>
      <c r="NS13" s="79"/>
      <c r="NT13" s="79"/>
      <c r="NU13" s="79"/>
      <c r="NV13" s="79"/>
      <c r="NW13" s="79"/>
      <c r="NX13" s="79"/>
      <c r="NY13" s="79"/>
      <c r="NZ13" s="79"/>
      <c r="OA13" s="88" t="str">
        <f>IFERROR(IF((Inputs!$B$11*(1-Inputs!$B$12)-Inputs!$B$27+OA7)&gt;0,OA$5/(Inputs!$B$11*(1-Inputs!$B$12)-Inputs!$B$27+OA7),""),"")</f>
        <v/>
      </c>
      <c r="OB13" s="79"/>
      <c r="OC13" s="79"/>
      <c r="OD13" s="79"/>
      <c r="OE13" s="79"/>
      <c r="OF13" s="79"/>
      <c r="OG13" s="79"/>
      <c r="OH13" s="79"/>
      <c r="OI13" s="79"/>
      <c r="OJ13" s="79"/>
      <c r="OK13" s="79"/>
      <c r="OL13" s="79"/>
      <c r="OM13" s="79"/>
      <c r="ON13" s="88" t="str">
        <f>IFERROR(IF((Inputs!$B$11*(1-Inputs!$B$12)-Inputs!$B$27+ON7)&gt;0,ON$5/(Inputs!$B$11*(1-Inputs!$B$12)-Inputs!$B$27+ON7),""),"")</f>
        <v/>
      </c>
      <c r="OO13" s="79"/>
      <c r="OP13" s="79"/>
      <c r="OQ13" s="79"/>
      <c r="OR13" s="79"/>
      <c r="OS13" s="79"/>
      <c r="OT13" s="79"/>
      <c r="OU13" s="79"/>
      <c r="OV13" s="79"/>
      <c r="OW13" s="79"/>
      <c r="OX13" s="79"/>
      <c r="OY13" s="79"/>
      <c r="OZ13" s="79"/>
      <c r="PA13" s="88" t="str">
        <f>IFERROR(IF((Inputs!$B$11*(1-Inputs!$B$12)-Inputs!$B$27+PA7)&gt;0,PA$5/(Inputs!$B$11*(1-Inputs!$B$12)-Inputs!$B$27+PA7),""),"")</f>
        <v/>
      </c>
      <c r="PB13" s="79"/>
      <c r="PC13" s="79"/>
      <c r="PD13" s="79"/>
      <c r="PE13" s="79"/>
      <c r="PF13" s="79"/>
      <c r="PG13" s="79"/>
      <c r="PH13" s="79"/>
      <c r="PI13" s="79"/>
      <c r="PJ13" s="79"/>
      <c r="PK13" s="79"/>
      <c r="PL13" s="79"/>
      <c r="PM13" s="79"/>
      <c r="PN13" s="88" t="str">
        <f>IFERROR(IF((Inputs!$B$11*(1-Inputs!$B$12)-Inputs!$B$27+PN7)&gt;0,PN$5/(Inputs!$B$11*(1-Inputs!$B$12)-Inputs!$B$27+PN7),""),"")</f>
        <v/>
      </c>
      <c r="PO13" s="79"/>
      <c r="PP13" s="79"/>
      <c r="PQ13" s="79"/>
      <c r="PR13" s="79"/>
      <c r="PS13" s="79"/>
      <c r="PT13" s="79"/>
      <c r="PU13" s="79"/>
      <c r="PV13" s="79"/>
      <c r="PW13" s="79"/>
      <c r="PX13" s="79"/>
      <c r="PY13" s="79"/>
      <c r="PZ13" s="79"/>
      <c r="QA13" s="88" t="str">
        <f>IFERROR(IF((Inputs!$B$11*(1-Inputs!$B$12)-Inputs!$B$27+QA7)&gt;0,QA$5/(Inputs!$B$11*(1-Inputs!$B$12)-Inputs!$B$27+QA7),""),"")</f>
        <v/>
      </c>
      <c r="QB13" s="79"/>
      <c r="QC13" s="79"/>
      <c r="QD13" s="79"/>
      <c r="QE13" s="79"/>
      <c r="QF13" s="79"/>
      <c r="QG13" s="79"/>
      <c r="QH13" s="79"/>
      <c r="QI13" s="79"/>
      <c r="QJ13" s="79"/>
      <c r="QK13" s="79"/>
      <c r="QL13" s="79"/>
      <c r="QM13" s="79"/>
      <c r="QN13" s="88" t="str">
        <f>IFERROR(IF((Inputs!$B$11*(1-Inputs!$B$12)-Inputs!$B$27+QN7)&gt;0,QN$5/(Inputs!$B$11*(1-Inputs!$B$12)-Inputs!$B$27+QN7),""),"")</f>
        <v/>
      </c>
      <c r="QO13" s="79"/>
      <c r="QP13" s="79"/>
      <c r="QQ13" s="79"/>
      <c r="QR13" s="79"/>
      <c r="QS13" s="79"/>
      <c r="QT13" s="79"/>
      <c r="QU13" s="79"/>
      <c r="QV13" s="79"/>
      <c r="QW13" s="79"/>
      <c r="QX13" s="79"/>
      <c r="QY13" s="79"/>
      <c r="QZ13" s="79"/>
      <c r="RA13" s="88" t="str">
        <f>IFERROR(IF((Inputs!$B$11*(1-Inputs!$B$12)-Inputs!$B$27+RA7)&gt;0,RA$5/(Inputs!$B$11*(1-Inputs!$B$12)-Inputs!$B$27+RA7),""),"")</f>
        <v/>
      </c>
      <c r="RB13" s="79"/>
      <c r="RC13" s="79"/>
      <c r="RD13" s="79"/>
      <c r="RE13" s="79"/>
      <c r="RF13" s="79"/>
      <c r="RG13" s="79"/>
      <c r="RH13" s="79"/>
      <c r="RI13" s="79"/>
      <c r="RJ13" s="79"/>
      <c r="RK13" s="79"/>
      <c r="RL13" s="79"/>
      <c r="RM13" s="79"/>
      <c r="RN13" s="88" t="str">
        <f>IFERROR(IF((Inputs!$B$11*(1-Inputs!$B$12)-Inputs!$B$27+RN7)&gt;0,RN$5/(Inputs!$B$11*(1-Inputs!$B$12)-Inputs!$B$27+RN7),""),"")</f>
        <v/>
      </c>
    </row>
    <row r="14" spans="1:482" outlineLevel="1" x14ac:dyDescent="0.3"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87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6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6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6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76"/>
      <c r="BO14" s="79"/>
      <c r="BP14" s="79"/>
      <c r="BQ14" s="79"/>
      <c r="BR14" s="79"/>
      <c r="BS14" s="79"/>
      <c r="BT14" s="79"/>
      <c r="BU14" s="79"/>
      <c r="BV14" s="79"/>
      <c r="BW14" s="79"/>
      <c r="BX14" s="79"/>
      <c r="BY14" s="79"/>
      <c r="BZ14" s="79"/>
      <c r="CA14" s="76"/>
      <c r="CB14" s="79"/>
      <c r="CC14" s="79"/>
      <c r="CD14" s="79"/>
      <c r="CE14" s="79"/>
      <c r="CF14" s="79"/>
      <c r="CG14" s="79"/>
      <c r="CH14" s="79"/>
      <c r="CI14" s="79"/>
      <c r="CJ14" s="79"/>
      <c r="CK14" s="79"/>
      <c r="CL14" s="79"/>
      <c r="CM14" s="79"/>
      <c r="CN14" s="76"/>
      <c r="CO14" s="79"/>
      <c r="CP14" s="79"/>
      <c r="CQ14" s="79"/>
      <c r="CR14" s="79"/>
      <c r="CS14" s="79"/>
      <c r="CT14" s="79"/>
      <c r="CU14" s="79"/>
      <c r="CV14" s="79"/>
      <c r="CW14" s="79"/>
      <c r="CX14" s="79"/>
      <c r="CY14" s="79"/>
      <c r="CZ14" s="79"/>
      <c r="DA14" s="76"/>
      <c r="DB14" s="79"/>
      <c r="DC14" s="79"/>
      <c r="DD14" s="79"/>
      <c r="DE14" s="79"/>
      <c r="DF14" s="79"/>
      <c r="DG14" s="79"/>
      <c r="DH14" s="79"/>
      <c r="DI14" s="79"/>
      <c r="DJ14" s="79"/>
      <c r="DK14" s="79"/>
      <c r="DL14" s="79"/>
      <c r="DM14" s="79"/>
      <c r="DN14" s="76"/>
      <c r="DO14" s="79"/>
      <c r="DP14" s="79"/>
      <c r="DQ14" s="79"/>
      <c r="DR14" s="79"/>
      <c r="DS14" s="79"/>
      <c r="DT14" s="79"/>
      <c r="DU14" s="79"/>
      <c r="DV14" s="79"/>
      <c r="DW14" s="79"/>
      <c r="DX14" s="79"/>
      <c r="DY14" s="79"/>
      <c r="DZ14" s="79"/>
      <c r="EA14" s="76"/>
      <c r="EB14" s="79"/>
      <c r="EC14" s="79"/>
      <c r="ED14" s="79"/>
      <c r="EE14" s="79"/>
      <c r="EF14" s="79"/>
      <c r="EG14" s="79"/>
      <c r="EH14" s="79"/>
      <c r="EI14" s="79"/>
      <c r="EJ14" s="79"/>
      <c r="EK14" s="79"/>
      <c r="EL14" s="79"/>
      <c r="EM14" s="79"/>
      <c r="EN14" s="76"/>
      <c r="EO14" s="79"/>
      <c r="EP14" s="79"/>
      <c r="EQ14" s="79"/>
      <c r="ER14" s="79"/>
      <c r="ES14" s="79"/>
      <c r="ET14" s="79"/>
      <c r="EU14" s="79"/>
      <c r="EV14" s="79"/>
      <c r="EW14" s="79"/>
      <c r="EX14" s="79"/>
      <c r="EY14" s="79"/>
      <c r="EZ14" s="79"/>
      <c r="FA14" s="76"/>
      <c r="FB14" s="79"/>
      <c r="FC14" s="79"/>
      <c r="FD14" s="79"/>
      <c r="FE14" s="79"/>
      <c r="FF14" s="79"/>
      <c r="FG14" s="79"/>
      <c r="FH14" s="79"/>
      <c r="FI14" s="79"/>
      <c r="FJ14" s="79"/>
      <c r="FK14" s="79"/>
      <c r="FL14" s="79"/>
      <c r="FM14" s="79"/>
      <c r="FN14" s="76"/>
      <c r="FO14" s="79"/>
      <c r="FP14" s="79"/>
      <c r="FQ14" s="79"/>
      <c r="FR14" s="79"/>
      <c r="FS14" s="79"/>
      <c r="FT14" s="79"/>
      <c r="FU14" s="79"/>
      <c r="FV14" s="79"/>
      <c r="FW14" s="79"/>
      <c r="FX14" s="79"/>
      <c r="FY14" s="79"/>
      <c r="FZ14" s="79"/>
      <c r="GA14" s="76"/>
      <c r="GB14" s="79"/>
      <c r="GC14" s="79"/>
      <c r="GD14" s="79"/>
      <c r="GE14" s="79"/>
      <c r="GF14" s="79"/>
      <c r="GG14" s="79"/>
      <c r="GH14" s="79"/>
      <c r="GI14" s="79"/>
      <c r="GJ14" s="79"/>
      <c r="GK14" s="79"/>
      <c r="GL14" s="79"/>
      <c r="GM14" s="79"/>
      <c r="GN14" s="76"/>
      <c r="GO14" s="79"/>
      <c r="GP14" s="79"/>
      <c r="GQ14" s="79"/>
      <c r="GR14" s="79"/>
      <c r="GS14" s="79"/>
      <c r="GT14" s="79"/>
      <c r="GU14" s="79"/>
      <c r="GV14" s="79"/>
      <c r="GW14" s="79"/>
      <c r="GX14" s="79"/>
      <c r="GY14" s="79"/>
      <c r="GZ14" s="79"/>
      <c r="HA14" s="76"/>
      <c r="HB14" s="79"/>
      <c r="HC14" s="79"/>
      <c r="HD14" s="79"/>
      <c r="HE14" s="79"/>
      <c r="HF14" s="79"/>
      <c r="HG14" s="79"/>
      <c r="HH14" s="79"/>
      <c r="HI14" s="79"/>
      <c r="HJ14" s="79"/>
      <c r="HK14" s="79"/>
      <c r="HL14" s="79"/>
      <c r="HM14" s="79"/>
      <c r="HN14" s="76"/>
      <c r="HO14" s="79"/>
      <c r="HP14" s="79"/>
      <c r="HQ14" s="79"/>
      <c r="HR14" s="79"/>
      <c r="HS14" s="79"/>
      <c r="HT14" s="79"/>
      <c r="HU14" s="79"/>
      <c r="HV14" s="79"/>
      <c r="HW14" s="79"/>
      <c r="HX14" s="79"/>
      <c r="HY14" s="79"/>
      <c r="HZ14" s="79"/>
      <c r="IA14" s="76"/>
      <c r="IB14" s="79"/>
      <c r="IC14" s="79"/>
      <c r="ID14" s="79"/>
      <c r="IE14" s="79"/>
      <c r="IF14" s="79"/>
      <c r="IG14" s="79"/>
      <c r="IH14" s="79"/>
      <c r="II14" s="79"/>
      <c r="IJ14" s="79"/>
      <c r="IK14" s="79"/>
      <c r="IL14" s="79"/>
      <c r="IM14" s="79"/>
      <c r="IN14" s="76"/>
      <c r="IO14" s="79"/>
      <c r="IP14" s="79"/>
      <c r="IQ14" s="79"/>
      <c r="IR14" s="79"/>
      <c r="IS14" s="79"/>
      <c r="IT14" s="79"/>
      <c r="IU14" s="79"/>
      <c r="IV14" s="79"/>
      <c r="IW14" s="79"/>
      <c r="IX14" s="79"/>
      <c r="IY14" s="79"/>
      <c r="IZ14" s="79"/>
      <c r="JA14" s="76"/>
      <c r="JB14" s="79"/>
      <c r="JC14" s="79"/>
      <c r="JD14" s="79"/>
      <c r="JE14" s="79"/>
      <c r="JF14" s="79"/>
      <c r="JG14" s="79"/>
      <c r="JH14" s="79"/>
      <c r="JI14" s="79"/>
      <c r="JJ14" s="79"/>
      <c r="JK14" s="79"/>
      <c r="JL14" s="79"/>
      <c r="JM14" s="79"/>
      <c r="JN14" s="76"/>
      <c r="JO14" s="79"/>
      <c r="JP14" s="79"/>
      <c r="JQ14" s="79"/>
      <c r="JR14" s="79"/>
      <c r="JS14" s="79"/>
      <c r="JT14" s="79"/>
      <c r="JU14" s="79"/>
      <c r="JV14" s="79"/>
      <c r="JW14" s="79"/>
      <c r="JX14" s="79"/>
      <c r="JY14" s="79"/>
      <c r="JZ14" s="79"/>
      <c r="KA14" s="76"/>
      <c r="KB14" s="79"/>
      <c r="KC14" s="79"/>
      <c r="KD14" s="79"/>
      <c r="KE14" s="79"/>
      <c r="KF14" s="79"/>
      <c r="KG14" s="79"/>
      <c r="KH14" s="79"/>
      <c r="KI14" s="79"/>
      <c r="KJ14" s="79"/>
      <c r="KK14" s="79"/>
      <c r="KL14" s="79"/>
      <c r="KM14" s="79"/>
      <c r="KN14" s="76"/>
      <c r="KO14" s="79"/>
      <c r="KP14" s="79"/>
      <c r="KQ14" s="79"/>
      <c r="KR14" s="79"/>
      <c r="KS14" s="79"/>
      <c r="KT14" s="79"/>
      <c r="KU14" s="79"/>
      <c r="KV14" s="79"/>
      <c r="KW14" s="79"/>
      <c r="KX14" s="79"/>
      <c r="KY14" s="79"/>
      <c r="KZ14" s="79"/>
      <c r="LA14" s="76"/>
      <c r="LB14" s="79"/>
      <c r="LC14" s="79"/>
      <c r="LD14" s="79"/>
      <c r="LE14" s="79"/>
      <c r="LF14" s="79"/>
      <c r="LG14" s="79"/>
      <c r="LH14" s="79"/>
      <c r="LI14" s="79"/>
      <c r="LJ14" s="79"/>
      <c r="LK14" s="79"/>
      <c r="LL14" s="79"/>
      <c r="LM14" s="79"/>
      <c r="LN14" s="76"/>
      <c r="LO14" s="79"/>
      <c r="LP14" s="79"/>
      <c r="LQ14" s="79"/>
      <c r="LR14" s="79"/>
      <c r="LS14" s="79"/>
      <c r="LT14" s="79"/>
      <c r="LU14" s="79"/>
      <c r="LV14" s="79"/>
      <c r="LW14" s="79"/>
      <c r="LX14" s="79"/>
      <c r="LY14" s="79"/>
      <c r="LZ14" s="79"/>
      <c r="MA14" s="76"/>
      <c r="MB14" s="79"/>
      <c r="MC14" s="79"/>
      <c r="MD14" s="79"/>
      <c r="ME14" s="79"/>
      <c r="MF14" s="79"/>
      <c r="MG14" s="79"/>
      <c r="MH14" s="79"/>
      <c r="MI14" s="79"/>
      <c r="MJ14" s="79"/>
      <c r="MK14" s="79"/>
      <c r="ML14" s="79"/>
      <c r="MM14" s="79"/>
      <c r="MN14" s="76"/>
      <c r="MO14" s="79"/>
      <c r="MP14" s="79"/>
      <c r="MQ14" s="79"/>
      <c r="MR14" s="79"/>
      <c r="MS14" s="79"/>
      <c r="MT14" s="79"/>
      <c r="MU14" s="79"/>
      <c r="MV14" s="79"/>
      <c r="MW14" s="79"/>
      <c r="MX14" s="79"/>
      <c r="MY14" s="79"/>
      <c r="MZ14" s="79"/>
      <c r="NA14" s="76"/>
      <c r="NB14" s="79"/>
      <c r="NC14" s="79"/>
      <c r="ND14" s="79"/>
      <c r="NE14" s="79"/>
      <c r="NF14" s="79"/>
      <c r="NG14" s="79"/>
      <c r="NH14" s="79"/>
      <c r="NI14" s="79"/>
      <c r="NJ14" s="79"/>
      <c r="NK14" s="79"/>
      <c r="NL14" s="79"/>
      <c r="NM14" s="79"/>
      <c r="NN14" s="76"/>
      <c r="NO14" s="79"/>
      <c r="NP14" s="79"/>
      <c r="NQ14" s="79"/>
      <c r="NR14" s="79"/>
      <c r="NS14" s="79"/>
      <c r="NT14" s="79"/>
      <c r="NU14" s="79"/>
      <c r="NV14" s="79"/>
      <c r="NW14" s="79"/>
      <c r="NX14" s="79"/>
      <c r="NY14" s="79"/>
      <c r="NZ14" s="79"/>
      <c r="OA14" s="76"/>
      <c r="OB14" s="79"/>
      <c r="OC14" s="79"/>
      <c r="OD14" s="79"/>
      <c r="OE14" s="79"/>
      <c r="OF14" s="79"/>
      <c r="OG14" s="79"/>
      <c r="OH14" s="79"/>
      <c r="OI14" s="79"/>
      <c r="OJ14" s="79"/>
      <c r="OK14" s="79"/>
      <c r="OL14" s="79"/>
      <c r="OM14" s="79"/>
      <c r="ON14" s="76"/>
      <c r="OO14" s="79"/>
      <c r="OP14" s="79"/>
      <c r="OQ14" s="79"/>
      <c r="OR14" s="79"/>
      <c r="OS14" s="79"/>
      <c r="OT14" s="79"/>
      <c r="OU14" s="79"/>
      <c r="OV14" s="79"/>
      <c r="OW14" s="79"/>
      <c r="OX14" s="79"/>
      <c r="OY14" s="79"/>
      <c r="OZ14" s="79"/>
      <c r="PA14" s="76"/>
      <c r="PB14" s="79"/>
      <c r="PC14" s="79"/>
      <c r="PD14" s="79"/>
      <c r="PE14" s="79"/>
      <c r="PF14" s="79"/>
      <c r="PG14" s="79"/>
      <c r="PH14" s="79"/>
      <c r="PI14" s="79"/>
      <c r="PJ14" s="79"/>
      <c r="PK14" s="79"/>
      <c r="PL14" s="79"/>
      <c r="PM14" s="79"/>
      <c r="PN14" s="76"/>
      <c r="PO14" s="79"/>
      <c r="PP14" s="79"/>
      <c r="PQ14" s="79"/>
      <c r="PR14" s="79"/>
      <c r="PS14" s="79"/>
      <c r="PT14" s="79"/>
      <c r="PU14" s="79"/>
      <c r="PV14" s="79"/>
      <c r="PW14" s="79"/>
      <c r="PX14" s="79"/>
      <c r="PY14" s="79"/>
      <c r="PZ14" s="79"/>
      <c r="QA14" s="76"/>
      <c r="QB14" s="79"/>
      <c r="QC14" s="79"/>
      <c r="QD14" s="79"/>
      <c r="QE14" s="79"/>
      <c r="QF14" s="79"/>
      <c r="QG14" s="79"/>
      <c r="QH14" s="79"/>
      <c r="QI14" s="79"/>
      <c r="QJ14" s="79"/>
      <c r="QK14" s="79"/>
      <c r="QL14" s="79"/>
      <c r="QM14" s="79"/>
      <c r="QN14" s="76"/>
      <c r="QO14" s="79"/>
      <c r="QP14" s="79"/>
      <c r="QQ14" s="79"/>
      <c r="QR14" s="79"/>
      <c r="QS14" s="79"/>
      <c r="QT14" s="79"/>
      <c r="QU14" s="79"/>
      <c r="QV14" s="79"/>
      <c r="QW14" s="79"/>
      <c r="QX14" s="79"/>
      <c r="QY14" s="79"/>
      <c r="QZ14" s="79"/>
      <c r="RA14" s="76"/>
      <c r="RB14" s="79"/>
      <c r="RC14" s="79"/>
      <c r="RD14" s="79"/>
      <c r="RE14" s="79"/>
      <c r="RF14" s="79"/>
      <c r="RG14" s="79"/>
      <c r="RH14" s="79"/>
      <c r="RI14" s="79"/>
      <c r="RJ14" s="79"/>
      <c r="RK14" s="79"/>
      <c r="RL14" s="79"/>
      <c r="RM14" s="79"/>
      <c r="RN14" s="76"/>
    </row>
    <row r="15" spans="1:482" s="85" customFormat="1" x14ac:dyDescent="0.3">
      <c r="A15" s="82" t="s">
        <v>240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4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4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4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4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4"/>
      <c r="BO15" s="83"/>
      <c r="BP15" s="83"/>
      <c r="BQ15" s="83"/>
      <c r="BR15" s="83"/>
      <c r="BS15" s="83"/>
      <c r="BT15" s="83"/>
      <c r="BU15" s="83"/>
      <c r="BV15" s="83"/>
      <c r="BW15" s="83"/>
      <c r="BX15" s="83"/>
      <c r="BY15" s="83"/>
      <c r="BZ15" s="83"/>
      <c r="CA15" s="84"/>
      <c r="CB15" s="83"/>
      <c r="CC15" s="83"/>
      <c r="CD15" s="83"/>
      <c r="CE15" s="83"/>
      <c r="CF15" s="83"/>
      <c r="CG15" s="83"/>
      <c r="CH15" s="83"/>
      <c r="CI15" s="83"/>
      <c r="CJ15" s="83"/>
      <c r="CK15" s="83"/>
      <c r="CL15" s="83"/>
      <c r="CM15" s="83"/>
      <c r="CN15" s="84"/>
      <c r="CO15" s="83"/>
      <c r="CP15" s="83"/>
      <c r="CQ15" s="83"/>
      <c r="CR15" s="83"/>
      <c r="CS15" s="83"/>
      <c r="CT15" s="83"/>
      <c r="CU15" s="83"/>
      <c r="CV15" s="83"/>
      <c r="CW15" s="83"/>
      <c r="CX15" s="83"/>
      <c r="CY15" s="83"/>
      <c r="CZ15" s="83"/>
      <c r="DA15" s="84"/>
      <c r="DB15" s="83"/>
      <c r="DC15" s="83"/>
      <c r="DD15" s="83"/>
      <c r="DE15" s="83"/>
      <c r="DF15" s="83"/>
      <c r="DG15" s="83"/>
      <c r="DH15" s="83"/>
      <c r="DI15" s="83"/>
      <c r="DJ15" s="83"/>
      <c r="DK15" s="83"/>
      <c r="DL15" s="83"/>
      <c r="DM15" s="83"/>
      <c r="DN15" s="84"/>
      <c r="DO15" s="83"/>
      <c r="DP15" s="83"/>
      <c r="DQ15" s="83"/>
      <c r="DR15" s="83"/>
      <c r="DS15" s="83"/>
      <c r="DT15" s="83"/>
      <c r="DU15" s="83"/>
      <c r="DV15" s="83"/>
      <c r="DW15" s="83"/>
      <c r="DX15" s="83"/>
      <c r="DY15" s="83"/>
      <c r="DZ15" s="83"/>
      <c r="EA15" s="84"/>
      <c r="EB15" s="83"/>
      <c r="EC15" s="83"/>
      <c r="ED15" s="83"/>
      <c r="EE15" s="83"/>
      <c r="EF15" s="83"/>
      <c r="EG15" s="83"/>
      <c r="EH15" s="83"/>
      <c r="EI15" s="83"/>
      <c r="EJ15" s="83"/>
      <c r="EK15" s="83"/>
      <c r="EL15" s="83"/>
      <c r="EM15" s="83"/>
      <c r="EN15" s="84"/>
      <c r="EO15" s="83"/>
      <c r="EP15" s="83"/>
      <c r="EQ15" s="83"/>
      <c r="ER15" s="83"/>
      <c r="ES15" s="83"/>
      <c r="ET15" s="83"/>
      <c r="EU15" s="83"/>
      <c r="EV15" s="83"/>
      <c r="EW15" s="83"/>
      <c r="EX15" s="83"/>
      <c r="EY15" s="83"/>
      <c r="EZ15" s="83"/>
      <c r="FA15" s="84"/>
      <c r="FB15" s="83"/>
      <c r="FC15" s="83"/>
      <c r="FD15" s="83"/>
      <c r="FE15" s="83"/>
      <c r="FF15" s="83"/>
      <c r="FG15" s="83"/>
      <c r="FH15" s="83"/>
      <c r="FI15" s="83"/>
      <c r="FJ15" s="83"/>
      <c r="FK15" s="83"/>
      <c r="FL15" s="83"/>
      <c r="FM15" s="83"/>
      <c r="FN15" s="84"/>
      <c r="FO15" s="83"/>
      <c r="FP15" s="83"/>
      <c r="FQ15" s="83"/>
      <c r="FR15" s="83"/>
      <c r="FS15" s="83"/>
      <c r="FT15" s="83"/>
      <c r="FU15" s="83"/>
      <c r="FV15" s="83"/>
      <c r="FW15" s="83"/>
      <c r="FX15" s="83"/>
      <c r="FY15" s="83"/>
      <c r="FZ15" s="83"/>
      <c r="GA15" s="84"/>
      <c r="GB15" s="83"/>
      <c r="GC15" s="83"/>
      <c r="GD15" s="83"/>
      <c r="GE15" s="83"/>
      <c r="GF15" s="83"/>
      <c r="GG15" s="83"/>
      <c r="GH15" s="83"/>
      <c r="GI15" s="83"/>
      <c r="GJ15" s="83"/>
      <c r="GK15" s="83"/>
      <c r="GL15" s="83"/>
      <c r="GM15" s="83"/>
      <c r="GN15" s="84"/>
      <c r="GO15" s="83"/>
      <c r="GP15" s="83"/>
      <c r="GQ15" s="83"/>
      <c r="GR15" s="83"/>
      <c r="GS15" s="83"/>
      <c r="GT15" s="83"/>
      <c r="GU15" s="83"/>
      <c r="GV15" s="83"/>
      <c r="GW15" s="83"/>
      <c r="GX15" s="83"/>
      <c r="GY15" s="83"/>
      <c r="GZ15" s="83"/>
      <c r="HA15" s="84"/>
      <c r="HB15" s="83"/>
      <c r="HC15" s="83"/>
      <c r="HD15" s="83"/>
      <c r="HE15" s="83"/>
      <c r="HF15" s="83"/>
      <c r="HG15" s="83"/>
      <c r="HH15" s="83"/>
      <c r="HI15" s="83"/>
      <c r="HJ15" s="83"/>
      <c r="HK15" s="83"/>
      <c r="HL15" s="83"/>
      <c r="HM15" s="83"/>
      <c r="HN15" s="84"/>
      <c r="HO15" s="83"/>
      <c r="HP15" s="83"/>
      <c r="HQ15" s="83"/>
      <c r="HR15" s="83"/>
      <c r="HS15" s="83"/>
      <c r="HT15" s="83"/>
      <c r="HU15" s="83"/>
      <c r="HV15" s="83"/>
      <c r="HW15" s="83"/>
      <c r="HX15" s="83"/>
      <c r="HY15" s="83"/>
      <c r="HZ15" s="83"/>
      <c r="IA15" s="84"/>
      <c r="IB15" s="83"/>
      <c r="IC15" s="83"/>
      <c r="ID15" s="83"/>
      <c r="IE15" s="83"/>
      <c r="IF15" s="83"/>
      <c r="IG15" s="83"/>
      <c r="IH15" s="83"/>
      <c r="II15" s="83"/>
      <c r="IJ15" s="83"/>
      <c r="IK15" s="83"/>
      <c r="IL15" s="83"/>
      <c r="IM15" s="83"/>
      <c r="IN15" s="84"/>
      <c r="IO15" s="83"/>
      <c r="IP15" s="83"/>
      <c r="IQ15" s="83"/>
      <c r="IR15" s="83"/>
      <c r="IS15" s="83"/>
      <c r="IT15" s="83"/>
      <c r="IU15" s="83"/>
      <c r="IV15" s="83"/>
      <c r="IW15" s="83"/>
      <c r="IX15" s="83"/>
      <c r="IY15" s="83"/>
      <c r="IZ15" s="83"/>
      <c r="JA15" s="84"/>
      <c r="JB15" s="83"/>
      <c r="JC15" s="83"/>
      <c r="JD15" s="83"/>
      <c r="JE15" s="83"/>
      <c r="JF15" s="83"/>
      <c r="JG15" s="83"/>
      <c r="JH15" s="83"/>
      <c r="JI15" s="83"/>
      <c r="JJ15" s="83"/>
      <c r="JK15" s="83"/>
      <c r="JL15" s="83"/>
      <c r="JM15" s="83"/>
      <c r="JN15" s="84"/>
      <c r="JO15" s="83"/>
      <c r="JP15" s="83"/>
      <c r="JQ15" s="83"/>
      <c r="JR15" s="83"/>
      <c r="JS15" s="83"/>
      <c r="JT15" s="83"/>
      <c r="JU15" s="83"/>
      <c r="JV15" s="83"/>
      <c r="JW15" s="83"/>
      <c r="JX15" s="83"/>
      <c r="JY15" s="83"/>
      <c r="JZ15" s="83"/>
      <c r="KA15" s="84"/>
      <c r="KB15" s="83"/>
      <c r="KC15" s="83"/>
      <c r="KD15" s="83"/>
      <c r="KE15" s="83"/>
      <c r="KF15" s="83"/>
      <c r="KG15" s="83"/>
      <c r="KH15" s="83"/>
      <c r="KI15" s="83"/>
      <c r="KJ15" s="83"/>
      <c r="KK15" s="83"/>
      <c r="KL15" s="83"/>
      <c r="KM15" s="83"/>
      <c r="KN15" s="84"/>
      <c r="KO15" s="83"/>
      <c r="KP15" s="83"/>
      <c r="KQ15" s="83"/>
      <c r="KR15" s="83"/>
      <c r="KS15" s="83"/>
      <c r="KT15" s="83"/>
      <c r="KU15" s="83"/>
      <c r="KV15" s="83"/>
      <c r="KW15" s="83"/>
      <c r="KX15" s="83"/>
      <c r="KY15" s="83"/>
      <c r="KZ15" s="83"/>
      <c r="LA15" s="84"/>
      <c r="LB15" s="83"/>
      <c r="LC15" s="83"/>
      <c r="LD15" s="83"/>
      <c r="LE15" s="83"/>
      <c r="LF15" s="83"/>
      <c r="LG15" s="83"/>
      <c r="LH15" s="83"/>
      <c r="LI15" s="83"/>
      <c r="LJ15" s="83"/>
      <c r="LK15" s="83"/>
      <c r="LL15" s="83"/>
      <c r="LM15" s="83"/>
      <c r="LN15" s="84"/>
      <c r="LO15" s="83"/>
      <c r="LP15" s="83"/>
      <c r="LQ15" s="83"/>
      <c r="LR15" s="83"/>
      <c r="LS15" s="83"/>
      <c r="LT15" s="83"/>
      <c r="LU15" s="83"/>
      <c r="LV15" s="83"/>
      <c r="LW15" s="83"/>
      <c r="LX15" s="83"/>
      <c r="LY15" s="83"/>
      <c r="LZ15" s="83"/>
      <c r="MA15" s="84"/>
      <c r="MB15" s="83"/>
      <c r="MC15" s="83"/>
      <c r="MD15" s="83"/>
      <c r="ME15" s="83"/>
      <c r="MF15" s="83"/>
      <c r="MG15" s="83"/>
      <c r="MH15" s="83"/>
      <c r="MI15" s="83"/>
      <c r="MJ15" s="83"/>
      <c r="MK15" s="83"/>
      <c r="ML15" s="83"/>
      <c r="MM15" s="83"/>
      <c r="MN15" s="84"/>
      <c r="MO15" s="83"/>
      <c r="MP15" s="83"/>
      <c r="MQ15" s="83"/>
      <c r="MR15" s="83"/>
      <c r="MS15" s="83"/>
      <c r="MT15" s="83"/>
      <c r="MU15" s="83"/>
      <c r="MV15" s="83"/>
      <c r="MW15" s="83"/>
      <c r="MX15" s="83"/>
      <c r="MY15" s="83"/>
      <c r="MZ15" s="83"/>
      <c r="NA15" s="84"/>
      <c r="NB15" s="83"/>
      <c r="NC15" s="83"/>
      <c r="ND15" s="83"/>
      <c r="NE15" s="83"/>
      <c r="NF15" s="83"/>
      <c r="NG15" s="83"/>
      <c r="NH15" s="83"/>
      <c r="NI15" s="83"/>
      <c r="NJ15" s="83"/>
      <c r="NK15" s="83"/>
      <c r="NL15" s="83"/>
      <c r="NM15" s="83"/>
      <c r="NN15" s="84"/>
      <c r="NO15" s="83"/>
      <c r="NP15" s="83"/>
      <c r="NQ15" s="83"/>
      <c r="NR15" s="83"/>
      <c r="NS15" s="83"/>
      <c r="NT15" s="83"/>
      <c r="NU15" s="83"/>
      <c r="NV15" s="83"/>
      <c r="NW15" s="83"/>
      <c r="NX15" s="83"/>
      <c r="NY15" s="83"/>
      <c r="NZ15" s="83"/>
      <c r="OA15" s="84"/>
      <c r="OB15" s="83"/>
      <c r="OC15" s="83"/>
      <c r="OD15" s="83"/>
      <c r="OE15" s="83"/>
      <c r="OF15" s="83"/>
      <c r="OG15" s="83"/>
      <c r="OH15" s="83"/>
      <c r="OI15" s="83"/>
      <c r="OJ15" s="83"/>
      <c r="OK15" s="83"/>
      <c r="OL15" s="83"/>
      <c r="OM15" s="83"/>
      <c r="ON15" s="84"/>
      <c r="OO15" s="83"/>
      <c r="OP15" s="83"/>
      <c r="OQ15" s="83"/>
      <c r="OR15" s="83"/>
      <c r="OS15" s="83"/>
      <c r="OT15" s="83"/>
      <c r="OU15" s="83"/>
      <c r="OV15" s="83"/>
      <c r="OW15" s="83"/>
      <c r="OX15" s="83"/>
      <c r="OY15" s="83"/>
      <c r="OZ15" s="83"/>
      <c r="PA15" s="84"/>
      <c r="PB15" s="83"/>
      <c r="PC15" s="83"/>
      <c r="PD15" s="83"/>
      <c r="PE15" s="83"/>
      <c r="PF15" s="83"/>
      <c r="PG15" s="83"/>
      <c r="PH15" s="83"/>
      <c r="PI15" s="83"/>
      <c r="PJ15" s="83"/>
      <c r="PK15" s="83"/>
      <c r="PL15" s="83"/>
      <c r="PM15" s="83"/>
      <c r="PN15" s="84"/>
      <c r="PO15" s="83"/>
      <c r="PP15" s="83"/>
      <c r="PQ15" s="83"/>
      <c r="PR15" s="83"/>
      <c r="PS15" s="83"/>
      <c r="PT15" s="83"/>
      <c r="PU15" s="83"/>
      <c r="PV15" s="83"/>
      <c r="PW15" s="83"/>
      <c r="PX15" s="83"/>
      <c r="PY15" s="83"/>
      <c r="PZ15" s="83"/>
      <c r="QA15" s="84"/>
      <c r="QB15" s="83"/>
      <c r="QC15" s="83"/>
      <c r="QD15" s="83"/>
      <c r="QE15" s="83"/>
      <c r="QF15" s="83"/>
      <c r="QG15" s="83"/>
      <c r="QH15" s="83"/>
      <c r="QI15" s="83"/>
      <c r="QJ15" s="83"/>
      <c r="QK15" s="83"/>
      <c r="QL15" s="83"/>
      <c r="QM15" s="83"/>
      <c r="QN15" s="84"/>
      <c r="QO15" s="83"/>
      <c r="QP15" s="83"/>
      <c r="QQ15" s="83"/>
      <c r="QR15" s="83"/>
      <c r="QS15" s="83"/>
      <c r="QT15" s="83"/>
      <c r="QU15" s="83"/>
      <c r="QV15" s="83"/>
      <c r="QW15" s="83"/>
      <c r="QX15" s="83"/>
      <c r="QY15" s="83"/>
      <c r="QZ15" s="83"/>
      <c r="RA15" s="84"/>
      <c r="RB15" s="83"/>
      <c r="RC15" s="83"/>
      <c r="RD15" s="83"/>
      <c r="RE15" s="83"/>
      <c r="RF15" s="83"/>
      <c r="RG15" s="83"/>
      <c r="RH15" s="83"/>
      <c r="RI15" s="83"/>
      <c r="RJ15" s="83"/>
      <c r="RK15" s="83"/>
      <c r="RL15" s="83"/>
      <c r="RM15" s="83"/>
      <c r="RN15" s="84"/>
    </row>
    <row r="16" spans="1:482" hidden="1" outlineLevel="1" x14ac:dyDescent="0.3">
      <c r="A16" s="89" t="s">
        <v>241</v>
      </c>
      <c r="B16" s="86" t="e">
        <f>Inputs!$B$6/12</f>
        <v>#N/A</v>
      </c>
      <c r="C16" s="86" t="e">
        <f>B16</f>
        <v>#N/A</v>
      </c>
      <c r="D16" s="86" t="e">
        <f t="shared" ref="D16:M16" si="316">C16</f>
        <v>#N/A</v>
      </c>
      <c r="E16" s="86" t="e">
        <f t="shared" si="316"/>
        <v>#N/A</v>
      </c>
      <c r="F16" s="86" t="e">
        <f t="shared" si="316"/>
        <v>#N/A</v>
      </c>
      <c r="G16" s="86" t="e">
        <f t="shared" si="316"/>
        <v>#N/A</v>
      </c>
      <c r="H16" s="86" t="e">
        <f t="shared" si="316"/>
        <v>#N/A</v>
      </c>
      <c r="I16" s="86" t="e">
        <f t="shared" si="316"/>
        <v>#N/A</v>
      </c>
      <c r="J16" s="86" t="e">
        <f t="shared" si="316"/>
        <v>#N/A</v>
      </c>
      <c r="K16" s="86" t="e">
        <f t="shared" si="316"/>
        <v>#N/A</v>
      </c>
      <c r="L16" s="86" t="e">
        <f t="shared" si="316"/>
        <v>#N/A</v>
      </c>
      <c r="M16" s="86" t="e">
        <f t="shared" si="316"/>
        <v>#N/A</v>
      </c>
      <c r="N16" s="87" t="e">
        <f>SUM(B16:M16)</f>
        <v>#N/A</v>
      </c>
      <c r="O16" s="86" t="e">
        <f>M16*(1+Inputs!$B$7)</f>
        <v>#N/A</v>
      </c>
      <c r="P16" s="86" t="e">
        <f t="shared" ref="P16:Z16" si="317">O16</f>
        <v>#N/A</v>
      </c>
      <c r="Q16" s="86" t="e">
        <f t="shared" si="317"/>
        <v>#N/A</v>
      </c>
      <c r="R16" s="86" t="e">
        <f t="shared" si="317"/>
        <v>#N/A</v>
      </c>
      <c r="S16" s="86" t="e">
        <f t="shared" si="317"/>
        <v>#N/A</v>
      </c>
      <c r="T16" s="86" t="e">
        <f t="shared" si="317"/>
        <v>#N/A</v>
      </c>
      <c r="U16" s="86" t="e">
        <f t="shared" si="317"/>
        <v>#N/A</v>
      </c>
      <c r="V16" s="86" t="e">
        <f t="shared" si="317"/>
        <v>#N/A</v>
      </c>
      <c r="W16" s="86" t="e">
        <f t="shared" si="317"/>
        <v>#N/A</v>
      </c>
      <c r="X16" s="86" t="e">
        <f t="shared" si="317"/>
        <v>#N/A</v>
      </c>
      <c r="Y16" s="86" t="e">
        <f t="shared" si="317"/>
        <v>#N/A</v>
      </c>
      <c r="Z16" s="86" t="e">
        <f t="shared" si="317"/>
        <v>#N/A</v>
      </c>
      <c r="AA16" s="87" t="e">
        <f>SUM(O16:Z16)</f>
        <v>#N/A</v>
      </c>
      <c r="AB16" s="86" t="e">
        <f>Z16*(1+Inputs!$B$7)</f>
        <v>#N/A</v>
      </c>
      <c r="AC16" s="86" t="e">
        <f t="shared" ref="AC16:AM16" si="318">AB16</f>
        <v>#N/A</v>
      </c>
      <c r="AD16" s="86" t="e">
        <f t="shared" si="318"/>
        <v>#N/A</v>
      </c>
      <c r="AE16" s="86" t="e">
        <f t="shared" si="318"/>
        <v>#N/A</v>
      </c>
      <c r="AF16" s="86" t="e">
        <f t="shared" si="318"/>
        <v>#N/A</v>
      </c>
      <c r="AG16" s="86" t="e">
        <f t="shared" si="318"/>
        <v>#N/A</v>
      </c>
      <c r="AH16" s="86" t="e">
        <f t="shared" si="318"/>
        <v>#N/A</v>
      </c>
      <c r="AI16" s="86" t="e">
        <f t="shared" si="318"/>
        <v>#N/A</v>
      </c>
      <c r="AJ16" s="86" t="e">
        <f t="shared" si="318"/>
        <v>#N/A</v>
      </c>
      <c r="AK16" s="86" t="e">
        <f t="shared" si="318"/>
        <v>#N/A</v>
      </c>
      <c r="AL16" s="86" t="e">
        <f t="shared" si="318"/>
        <v>#N/A</v>
      </c>
      <c r="AM16" s="86" t="e">
        <f t="shared" si="318"/>
        <v>#N/A</v>
      </c>
      <c r="AN16" s="87" t="e">
        <f>SUM(AB16:AM16)</f>
        <v>#N/A</v>
      </c>
      <c r="AO16" s="86" t="e">
        <f>AM16*(1+Inputs!$B$7)</f>
        <v>#N/A</v>
      </c>
      <c r="AP16" s="86" t="e">
        <f t="shared" ref="AP16:AZ16" si="319">AO16</f>
        <v>#N/A</v>
      </c>
      <c r="AQ16" s="86" t="e">
        <f t="shared" si="319"/>
        <v>#N/A</v>
      </c>
      <c r="AR16" s="86" t="e">
        <f t="shared" si="319"/>
        <v>#N/A</v>
      </c>
      <c r="AS16" s="86" t="e">
        <f t="shared" si="319"/>
        <v>#N/A</v>
      </c>
      <c r="AT16" s="86" t="e">
        <f t="shared" si="319"/>
        <v>#N/A</v>
      </c>
      <c r="AU16" s="86" t="e">
        <f t="shared" si="319"/>
        <v>#N/A</v>
      </c>
      <c r="AV16" s="86" t="e">
        <f t="shared" si="319"/>
        <v>#N/A</v>
      </c>
      <c r="AW16" s="86" t="e">
        <f t="shared" si="319"/>
        <v>#N/A</v>
      </c>
      <c r="AX16" s="86" t="e">
        <f t="shared" si="319"/>
        <v>#N/A</v>
      </c>
      <c r="AY16" s="86" t="e">
        <f t="shared" si="319"/>
        <v>#N/A</v>
      </c>
      <c r="AZ16" s="86" t="e">
        <f t="shared" si="319"/>
        <v>#N/A</v>
      </c>
      <c r="BA16" s="87" t="e">
        <f>SUM(AO16:AZ16)</f>
        <v>#N/A</v>
      </c>
      <c r="BB16" s="86" t="e">
        <f>AZ16*(1+Inputs!$B$7)</f>
        <v>#N/A</v>
      </c>
      <c r="BC16" s="86" t="e">
        <f t="shared" ref="BC16:BM16" si="320">BB16</f>
        <v>#N/A</v>
      </c>
      <c r="BD16" s="86" t="e">
        <f t="shared" si="320"/>
        <v>#N/A</v>
      </c>
      <c r="BE16" s="86" t="e">
        <f t="shared" si="320"/>
        <v>#N/A</v>
      </c>
      <c r="BF16" s="86" t="e">
        <f t="shared" si="320"/>
        <v>#N/A</v>
      </c>
      <c r="BG16" s="86" t="e">
        <f t="shared" si="320"/>
        <v>#N/A</v>
      </c>
      <c r="BH16" s="86" t="e">
        <f t="shared" si="320"/>
        <v>#N/A</v>
      </c>
      <c r="BI16" s="86" t="e">
        <f t="shared" si="320"/>
        <v>#N/A</v>
      </c>
      <c r="BJ16" s="86" t="e">
        <f t="shared" si="320"/>
        <v>#N/A</v>
      </c>
      <c r="BK16" s="86" t="e">
        <f t="shared" si="320"/>
        <v>#N/A</v>
      </c>
      <c r="BL16" s="86" t="e">
        <f t="shared" si="320"/>
        <v>#N/A</v>
      </c>
      <c r="BM16" s="86" t="e">
        <f t="shared" si="320"/>
        <v>#N/A</v>
      </c>
      <c r="BN16" s="87" t="e">
        <f>SUM(BB16:BM16)</f>
        <v>#N/A</v>
      </c>
      <c r="BO16" s="86" t="e">
        <f>BM16*(1+Inputs!$B$7)</f>
        <v>#N/A</v>
      </c>
      <c r="BP16" s="86" t="e">
        <f t="shared" ref="BP16:BZ16" si="321">BO16</f>
        <v>#N/A</v>
      </c>
      <c r="BQ16" s="86" t="e">
        <f t="shared" si="321"/>
        <v>#N/A</v>
      </c>
      <c r="BR16" s="86" t="e">
        <f t="shared" si="321"/>
        <v>#N/A</v>
      </c>
      <c r="BS16" s="86" t="e">
        <f t="shared" si="321"/>
        <v>#N/A</v>
      </c>
      <c r="BT16" s="86" t="e">
        <f t="shared" si="321"/>
        <v>#N/A</v>
      </c>
      <c r="BU16" s="86" t="e">
        <f t="shared" si="321"/>
        <v>#N/A</v>
      </c>
      <c r="BV16" s="86" t="e">
        <f t="shared" si="321"/>
        <v>#N/A</v>
      </c>
      <c r="BW16" s="86" t="e">
        <f t="shared" si="321"/>
        <v>#N/A</v>
      </c>
      <c r="BX16" s="86" t="e">
        <f t="shared" si="321"/>
        <v>#N/A</v>
      </c>
      <c r="BY16" s="86" t="e">
        <f t="shared" si="321"/>
        <v>#N/A</v>
      </c>
      <c r="BZ16" s="86" t="e">
        <f t="shared" si="321"/>
        <v>#N/A</v>
      </c>
      <c r="CA16" s="87" t="e">
        <f>SUM(BO16:BZ16)</f>
        <v>#N/A</v>
      </c>
      <c r="CB16" s="86" t="e">
        <f>BZ16*(1+Inputs!$B$7)</f>
        <v>#N/A</v>
      </c>
      <c r="CC16" s="86" t="e">
        <f t="shared" ref="CC16:CM16" si="322">CB16</f>
        <v>#N/A</v>
      </c>
      <c r="CD16" s="86" t="e">
        <f t="shared" si="322"/>
        <v>#N/A</v>
      </c>
      <c r="CE16" s="86" t="e">
        <f t="shared" si="322"/>
        <v>#N/A</v>
      </c>
      <c r="CF16" s="86" t="e">
        <f t="shared" si="322"/>
        <v>#N/A</v>
      </c>
      <c r="CG16" s="86" t="e">
        <f t="shared" si="322"/>
        <v>#N/A</v>
      </c>
      <c r="CH16" s="86" t="e">
        <f t="shared" si="322"/>
        <v>#N/A</v>
      </c>
      <c r="CI16" s="86" t="e">
        <f t="shared" si="322"/>
        <v>#N/A</v>
      </c>
      <c r="CJ16" s="86" t="e">
        <f t="shared" si="322"/>
        <v>#N/A</v>
      </c>
      <c r="CK16" s="86" t="e">
        <f t="shared" si="322"/>
        <v>#N/A</v>
      </c>
      <c r="CL16" s="86" t="e">
        <f t="shared" si="322"/>
        <v>#N/A</v>
      </c>
      <c r="CM16" s="86" t="e">
        <f t="shared" si="322"/>
        <v>#N/A</v>
      </c>
      <c r="CN16" s="87" t="e">
        <f>SUM(CB16:CM16)</f>
        <v>#N/A</v>
      </c>
      <c r="CO16" s="86" t="e">
        <f>CM16*(1+Inputs!$B$7)</f>
        <v>#N/A</v>
      </c>
      <c r="CP16" s="86" t="e">
        <f t="shared" ref="CP16:CZ16" si="323">CO16</f>
        <v>#N/A</v>
      </c>
      <c r="CQ16" s="86" t="e">
        <f t="shared" si="323"/>
        <v>#N/A</v>
      </c>
      <c r="CR16" s="86" t="e">
        <f t="shared" si="323"/>
        <v>#N/A</v>
      </c>
      <c r="CS16" s="86" t="e">
        <f t="shared" si="323"/>
        <v>#N/A</v>
      </c>
      <c r="CT16" s="86" t="e">
        <f t="shared" si="323"/>
        <v>#N/A</v>
      </c>
      <c r="CU16" s="86" t="e">
        <f t="shared" si="323"/>
        <v>#N/A</v>
      </c>
      <c r="CV16" s="86" t="e">
        <f t="shared" si="323"/>
        <v>#N/A</v>
      </c>
      <c r="CW16" s="86" t="e">
        <f t="shared" si="323"/>
        <v>#N/A</v>
      </c>
      <c r="CX16" s="86" t="e">
        <f t="shared" si="323"/>
        <v>#N/A</v>
      </c>
      <c r="CY16" s="86" t="e">
        <f t="shared" si="323"/>
        <v>#N/A</v>
      </c>
      <c r="CZ16" s="86" t="e">
        <f t="shared" si="323"/>
        <v>#N/A</v>
      </c>
      <c r="DA16" s="87" t="e">
        <f>SUM(CO16:CZ16)</f>
        <v>#N/A</v>
      </c>
      <c r="DB16" s="86" t="e">
        <f>CZ16*(1+Inputs!$B$7)</f>
        <v>#N/A</v>
      </c>
      <c r="DC16" s="86" t="e">
        <f t="shared" ref="DC16:DM16" si="324">DB16</f>
        <v>#N/A</v>
      </c>
      <c r="DD16" s="86" t="e">
        <f t="shared" si="324"/>
        <v>#N/A</v>
      </c>
      <c r="DE16" s="86" t="e">
        <f t="shared" si="324"/>
        <v>#N/A</v>
      </c>
      <c r="DF16" s="86" t="e">
        <f t="shared" si="324"/>
        <v>#N/A</v>
      </c>
      <c r="DG16" s="86" t="e">
        <f t="shared" si="324"/>
        <v>#N/A</v>
      </c>
      <c r="DH16" s="86" t="e">
        <f t="shared" si="324"/>
        <v>#N/A</v>
      </c>
      <c r="DI16" s="86" t="e">
        <f t="shared" si="324"/>
        <v>#N/A</v>
      </c>
      <c r="DJ16" s="86" t="e">
        <f t="shared" si="324"/>
        <v>#N/A</v>
      </c>
      <c r="DK16" s="86" t="e">
        <f t="shared" si="324"/>
        <v>#N/A</v>
      </c>
      <c r="DL16" s="86" t="e">
        <f t="shared" si="324"/>
        <v>#N/A</v>
      </c>
      <c r="DM16" s="86" t="e">
        <f t="shared" si="324"/>
        <v>#N/A</v>
      </c>
      <c r="DN16" s="87" t="e">
        <f>SUM(DB16:DM16)</f>
        <v>#N/A</v>
      </c>
      <c r="DO16" s="86" t="e">
        <f>DM16*(1+Inputs!$B$7)</f>
        <v>#N/A</v>
      </c>
      <c r="DP16" s="86" t="e">
        <f t="shared" ref="DP16:DZ16" si="325">DO16</f>
        <v>#N/A</v>
      </c>
      <c r="DQ16" s="86" t="e">
        <f t="shared" si="325"/>
        <v>#N/A</v>
      </c>
      <c r="DR16" s="86" t="e">
        <f t="shared" si="325"/>
        <v>#N/A</v>
      </c>
      <c r="DS16" s="86" t="e">
        <f t="shared" si="325"/>
        <v>#N/A</v>
      </c>
      <c r="DT16" s="86" t="e">
        <f t="shared" si="325"/>
        <v>#N/A</v>
      </c>
      <c r="DU16" s="86" t="e">
        <f t="shared" si="325"/>
        <v>#N/A</v>
      </c>
      <c r="DV16" s="86" t="e">
        <f t="shared" si="325"/>
        <v>#N/A</v>
      </c>
      <c r="DW16" s="86" t="e">
        <f t="shared" si="325"/>
        <v>#N/A</v>
      </c>
      <c r="DX16" s="86" t="e">
        <f t="shared" si="325"/>
        <v>#N/A</v>
      </c>
      <c r="DY16" s="86" t="e">
        <f t="shared" si="325"/>
        <v>#N/A</v>
      </c>
      <c r="DZ16" s="86" t="e">
        <f t="shared" si="325"/>
        <v>#N/A</v>
      </c>
      <c r="EA16" s="87" t="e">
        <f>SUM(DO16:DZ16)</f>
        <v>#N/A</v>
      </c>
      <c r="EB16" s="86" t="e">
        <f>DZ16*(1+Inputs!$B$7)</f>
        <v>#N/A</v>
      </c>
      <c r="EC16" s="86" t="e">
        <f t="shared" ref="EC16:EM16" si="326">EB16</f>
        <v>#N/A</v>
      </c>
      <c r="ED16" s="86" t="e">
        <f t="shared" si="326"/>
        <v>#N/A</v>
      </c>
      <c r="EE16" s="86" t="e">
        <f t="shared" si="326"/>
        <v>#N/A</v>
      </c>
      <c r="EF16" s="86" t="e">
        <f t="shared" si="326"/>
        <v>#N/A</v>
      </c>
      <c r="EG16" s="86" t="e">
        <f t="shared" si="326"/>
        <v>#N/A</v>
      </c>
      <c r="EH16" s="86" t="e">
        <f t="shared" si="326"/>
        <v>#N/A</v>
      </c>
      <c r="EI16" s="86" t="e">
        <f t="shared" si="326"/>
        <v>#N/A</v>
      </c>
      <c r="EJ16" s="86" t="e">
        <f t="shared" si="326"/>
        <v>#N/A</v>
      </c>
      <c r="EK16" s="86" t="e">
        <f t="shared" si="326"/>
        <v>#N/A</v>
      </c>
      <c r="EL16" s="86" t="e">
        <f t="shared" si="326"/>
        <v>#N/A</v>
      </c>
      <c r="EM16" s="86" t="e">
        <f t="shared" si="326"/>
        <v>#N/A</v>
      </c>
      <c r="EN16" s="87" t="e">
        <f>SUM(EB16:EM16)</f>
        <v>#N/A</v>
      </c>
      <c r="EO16" s="86" t="e">
        <f>EM16*(1+Inputs!$B$7)</f>
        <v>#N/A</v>
      </c>
      <c r="EP16" s="86" t="e">
        <f t="shared" ref="EP16:EZ16" si="327">EO16</f>
        <v>#N/A</v>
      </c>
      <c r="EQ16" s="86" t="e">
        <f t="shared" si="327"/>
        <v>#N/A</v>
      </c>
      <c r="ER16" s="86" t="e">
        <f t="shared" si="327"/>
        <v>#N/A</v>
      </c>
      <c r="ES16" s="86" t="e">
        <f t="shared" si="327"/>
        <v>#N/A</v>
      </c>
      <c r="ET16" s="86" t="e">
        <f t="shared" si="327"/>
        <v>#N/A</v>
      </c>
      <c r="EU16" s="86" t="e">
        <f t="shared" si="327"/>
        <v>#N/A</v>
      </c>
      <c r="EV16" s="86" t="e">
        <f t="shared" si="327"/>
        <v>#N/A</v>
      </c>
      <c r="EW16" s="86" t="e">
        <f t="shared" si="327"/>
        <v>#N/A</v>
      </c>
      <c r="EX16" s="86" t="e">
        <f t="shared" si="327"/>
        <v>#N/A</v>
      </c>
      <c r="EY16" s="86" t="e">
        <f t="shared" si="327"/>
        <v>#N/A</v>
      </c>
      <c r="EZ16" s="86" t="e">
        <f t="shared" si="327"/>
        <v>#N/A</v>
      </c>
      <c r="FA16" s="87" t="e">
        <f>SUM(EO16:EZ16)</f>
        <v>#N/A</v>
      </c>
      <c r="FB16" s="86" t="e">
        <f>EZ16*(1+Inputs!$B$7)</f>
        <v>#N/A</v>
      </c>
      <c r="FC16" s="86" t="e">
        <f t="shared" ref="FC16:FM16" si="328">FB16</f>
        <v>#N/A</v>
      </c>
      <c r="FD16" s="86" t="e">
        <f t="shared" si="328"/>
        <v>#N/A</v>
      </c>
      <c r="FE16" s="86" t="e">
        <f t="shared" si="328"/>
        <v>#N/A</v>
      </c>
      <c r="FF16" s="86" t="e">
        <f t="shared" si="328"/>
        <v>#N/A</v>
      </c>
      <c r="FG16" s="86" t="e">
        <f t="shared" si="328"/>
        <v>#N/A</v>
      </c>
      <c r="FH16" s="86" t="e">
        <f t="shared" si="328"/>
        <v>#N/A</v>
      </c>
      <c r="FI16" s="86" t="e">
        <f t="shared" si="328"/>
        <v>#N/A</v>
      </c>
      <c r="FJ16" s="86" t="e">
        <f t="shared" si="328"/>
        <v>#N/A</v>
      </c>
      <c r="FK16" s="86" t="e">
        <f t="shared" si="328"/>
        <v>#N/A</v>
      </c>
      <c r="FL16" s="86" t="e">
        <f t="shared" si="328"/>
        <v>#N/A</v>
      </c>
      <c r="FM16" s="86" t="e">
        <f t="shared" si="328"/>
        <v>#N/A</v>
      </c>
      <c r="FN16" s="87" t="e">
        <f>SUM(FB16:FM16)</f>
        <v>#N/A</v>
      </c>
      <c r="FO16" s="86" t="e">
        <f>FM16*(1+Inputs!$B$7)</f>
        <v>#N/A</v>
      </c>
      <c r="FP16" s="86" t="e">
        <f t="shared" ref="FP16:FZ16" si="329">FO16</f>
        <v>#N/A</v>
      </c>
      <c r="FQ16" s="86" t="e">
        <f t="shared" si="329"/>
        <v>#N/A</v>
      </c>
      <c r="FR16" s="86" t="e">
        <f t="shared" si="329"/>
        <v>#N/A</v>
      </c>
      <c r="FS16" s="86" t="e">
        <f t="shared" si="329"/>
        <v>#N/A</v>
      </c>
      <c r="FT16" s="86" t="e">
        <f t="shared" si="329"/>
        <v>#N/A</v>
      </c>
      <c r="FU16" s="86" t="e">
        <f t="shared" si="329"/>
        <v>#N/A</v>
      </c>
      <c r="FV16" s="86" t="e">
        <f t="shared" si="329"/>
        <v>#N/A</v>
      </c>
      <c r="FW16" s="86" t="e">
        <f t="shared" si="329"/>
        <v>#N/A</v>
      </c>
      <c r="FX16" s="86" t="e">
        <f t="shared" si="329"/>
        <v>#N/A</v>
      </c>
      <c r="FY16" s="86" t="e">
        <f t="shared" si="329"/>
        <v>#N/A</v>
      </c>
      <c r="FZ16" s="86" t="e">
        <f t="shared" si="329"/>
        <v>#N/A</v>
      </c>
      <c r="GA16" s="87" t="e">
        <f>SUM(FO16:FZ16)</f>
        <v>#N/A</v>
      </c>
      <c r="GB16" s="86" t="e">
        <f>FZ16*(1+Inputs!$B$7)</f>
        <v>#N/A</v>
      </c>
      <c r="GC16" s="86" t="e">
        <f t="shared" ref="GC16:GM16" si="330">GB16</f>
        <v>#N/A</v>
      </c>
      <c r="GD16" s="86" t="e">
        <f t="shared" si="330"/>
        <v>#N/A</v>
      </c>
      <c r="GE16" s="86" t="e">
        <f t="shared" si="330"/>
        <v>#N/A</v>
      </c>
      <c r="GF16" s="86" t="e">
        <f t="shared" si="330"/>
        <v>#N/A</v>
      </c>
      <c r="GG16" s="86" t="e">
        <f t="shared" si="330"/>
        <v>#N/A</v>
      </c>
      <c r="GH16" s="86" t="e">
        <f t="shared" si="330"/>
        <v>#N/A</v>
      </c>
      <c r="GI16" s="86" t="e">
        <f t="shared" si="330"/>
        <v>#N/A</v>
      </c>
      <c r="GJ16" s="86" t="e">
        <f t="shared" si="330"/>
        <v>#N/A</v>
      </c>
      <c r="GK16" s="86" t="e">
        <f t="shared" si="330"/>
        <v>#N/A</v>
      </c>
      <c r="GL16" s="86" t="e">
        <f t="shared" si="330"/>
        <v>#N/A</v>
      </c>
      <c r="GM16" s="86" t="e">
        <f t="shared" si="330"/>
        <v>#N/A</v>
      </c>
      <c r="GN16" s="87" t="e">
        <f>SUM(GB16:GM16)</f>
        <v>#N/A</v>
      </c>
      <c r="GO16" s="86" t="e">
        <f>GM16*(1+Inputs!$B$7)</f>
        <v>#N/A</v>
      </c>
      <c r="GP16" s="86" t="e">
        <f t="shared" ref="GP16:GZ16" si="331">GO16</f>
        <v>#N/A</v>
      </c>
      <c r="GQ16" s="86" t="e">
        <f t="shared" si="331"/>
        <v>#N/A</v>
      </c>
      <c r="GR16" s="86" t="e">
        <f t="shared" si="331"/>
        <v>#N/A</v>
      </c>
      <c r="GS16" s="86" t="e">
        <f t="shared" si="331"/>
        <v>#N/A</v>
      </c>
      <c r="GT16" s="86" t="e">
        <f t="shared" si="331"/>
        <v>#N/A</v>
      </c>
      <c r="GU16" s="86" t="e">
        <f t="shared" si="331"/>
        <v>#N/A</v>
      </c>
      <c r="GV16" s="86" t="e">
        <f t="shared" si="331"/>
        <v>#N/A</v>
      </c>
      <c r="GW16" s="86" t="e">
        <f t="shared" si="331"/>
        <v>#N/A</v>
      </c>
      <c r="GX16" s="86" t="e">
        <f t="shared" si="331"/>
        <v>#N/A</v>
      </c>
      <c r="GY16" s="86" t="e">
        <f t="shared" si="331"/>
        <v>#N/A</v>
      </c>
      <c r="GZ16" s="86" t="e">
        <f t="shared" si="331"/>
        <v>#N/A</v>
      </c>
      <c r="HA16" s="87" t="e">
        <f>SUM(GO16:GZ16)</f>
        <v>#N/A</v>
      </c>
      <c r="HB16" s="86" t="e">
        <f>GZ16*(1+Inputs!$B$7)</f>
        <v>#N/A</v>
      </c>
      <c r="HC16" s="86" t="e">
        <f t="shared" ref="HC16:HM16" si="332">HB16</f>
        <v>#N/A</v>
      </c>
      <c r="HD16" s="86" t="e">
        <f t="shared" si="332"/>
        <v>#N/A</v>
      </c>
      <c r="HE16" s="86" t="e">
        <f t="shared" si="332"/>
        <v>#N/A</v>
      </c>
      <c r="HF16" s="86" t="e">
        <f t="shared" si="332"/>
        <v>#N/A</v>
      </c>
      <c r="HG16" s="86" t="e">
        <f t="shared" si="332"/>
        <v>#N/A</v>
      </c>
      <c r="HH16" s="86" t="e">
        <f t="shared" si="332"/>
        <v>#N/A</v>
      </c>
      <c r="HI16" s="86" t="e">
        <f t="shared" si="332"/>
        <v>#N/A</v>
      </c>
      <c r="HJ16" s="86" t="e">
        <f t="shared" si="332"/>
        <v>#N/A</v>
      </c>
      <c r="HK16" s="86" t="e">
        <f t="shared" si="332"/>
        <v>#N/A</v>
      </c>
      <c r="HL16" s="86" t="e">
        <f t="shared" si="332"/>
        <v>#N/A</v>
      </c>
      <c r="HM16" s="86" t="e">
        <f t="shared" si="332"/>
        <v>#N/A</v>
      </c>
      <c r="HN16" s="87" t="e">
        <f>SUM(HB16:HM16)</f>
        <v>#N/A</v>
      </c>
      <c r="HO16" s="86" t="e">
        <f>HM16*(1+Inputs!$B$7)</f>
        <v>#N/A</v>
      </c>
      <c r="HP16" s="86" t="e">
        <f t="shared" ref="HP16:HZ16" si="333">HO16</f>
        <v>#N/A</v>
      </c>
      <c r="HQ16" s="86" t="e">
        <f t="shared" si="333"/>
        <v>#N/A</v>
      </c>
      <c r="HR16" s="86" t="e">
        <f t="shared" si="333"/>
        <v>#N/A</v>
      </c>
      <c r="HS16" s="86" t="e">
        <f t="shared" si="333"/>
        <v>#N/A</v>
      </c>
      <c r="HT16" s="86" t="e">
        <f t="shared" si="333"/>
        <v>#N/A</v>
      </c>
      <c r="HU16" s="86" t="e">
        <f t="shared" si="333"/>
        <v>#N/A</v>
      </c>
      <c r="HV16" s="86" t="e">
        <f t="shared" si="333"/>
        <v>#N/A</v>
      </c>
      <c r="HW16" s="86" t="e">
        <f t="shared" si="333"/>
        <v>#N/A</v>
      </c>
      <c r="HX16" s="86" t="e">
        <f t="shared" si="333"/>
        <v>#N/A</v>
      </c>
      <c r="HY16" s="86" t="e">
        <f t="shared" si="333"/>
        <v>#N/A</v>
      </c>
      <c r="HZ16" s="86" t="e">
        <f t="shared" si="333"/>
        <v>#N/A</v>
      </c>
      <c r="IA16" s="87" t="e">
        <f>SUM(HO16:HZ16)</f>
        <v>#N/A</v>
      </c>
      <c r="IB16" s="86" t="e">
        <f>HZ16*(1+Inputs!$B$7)</f>
        <v>#N/A</v>
      </c>
      <c r="IC16" s="86" t="e">
        <f t="shared" ref="IC16:IM16" si="334">IB16</f>
        <v>#N/A</v>
      </c>
      <c r="ID16" s="86" t="e">
        <f t="shared" si="334"/>
        <v>#N/A</v>
      </c>
      <c r="IE16" s="86" t="e">
        <f t="shared" si="334"/>
        <v>#N/A</v>
      </c>
      <c r="IF16" s="86" t="e">
        <f t="shared" si="334"/>
        <v>#N/A</v>
      </c>
      <c r="IG16" s="86" t="e">
        <f t="shared" si="334"/>
        <v>#N/A</v>
      </c>
      <c r="IH16" s="86" t="e">
        <f t="shared" si="334"/>
        <v>#N/A</v>
      </c>
      <c r="II16" s="86" t="e">
        <f t="shared" si="334"/>
        <v>#N/A</v>
      </c>
      <c r="IJ16" s="86" t="e">
        <f t="shared" si="334"/>
        <v>#N/A</v>
      </c>
      <c r="IK16" s="86" t="e">
        <f t="shared" si="334"/>
        <v>#N/A</v>
      </c>
      <c r="IL16" s="86" t="e">
        <f t="shared" si="334"/>
        <v>#N/A</v>
      </c>
      <c r="IM16" s="86" t="e">
        <f t="shared" si="334"/>
        <v>#N/A</v>
      </c>
      <c r="IN16" s="87" t="e">
        <f>SUM(IB16:IM16)</f>
        <v>#N/A</v>
      </c>
      <c r="IO16" s="86" t="e">
        <f>IM16*(1+Inputs!$B$7)</f>
        <v>#N/A</v>
      </c>
      <c r="IP16" s="86" t="e">
        <f t="shared" ref="IP16:IZ16" si="335">IO16</f>
        <v>#N/A</v>
      </c>
      <c r="IQ16" s="86" t="e">
        <f t="shared" si="335"/>
        <v>#N/A</v>
      </c>
      <c r="IR16" s="86" t="e">
        <f t="shared" si="335"/>
        <v>#N/A</v>
      </c>
      <c r="IS16" s="86" t="e">
        <f t="shared" si="335"/>
        <v>#N/A</v>
      </c>
      <c r="IT16" s="86" t="e">
        <f t="shared" si="335"/>
        <v>#N/A</v>
      </c>
      <c r="IU16" s="86" t="e">
        <f t="shared" si="335"/>
        <v>#N/A</v>
      </c>
      <c r="IV16" s="86" t="e">
        <f t="shared" si="335"/>
        <v>#N/A</v>
      </c>
      <c r="IW16" s="86" t="e">
        <f t="shared" si="335"/>
        <v>#N/A</v>
      </c>
      <c r="IX16" s="86" t="e">
        <f t="shared" si="335"/>
        <v>#N/A</v>
      </c>
      <c r="IY16" s="86" t="e">
        <f t="shared" si="335"/>
        <v>#N/A</v>
      </c>
      <c r="IZ16" s="86" t="e">
        <f t="shared" si="335"/>
        <v>#N/A</v>
      </c>
      <c r="JA16" s="87" t="e">
        <f>SUM(IO16:IZ16)</f>
        <v>#N/A</v>
      </c>
      <c r="JB16" s="86" t="e">
        <f>IZ16*(1+Inputs!$B$7)</f>
        <v>#N/A</v>
      </c>
      <c r="JC16" s="86" t="e">
        <f t="shared" ref="JC16:JM16" si="336">JB16</f>
        <v>#N/A</v>
      </c>
      <c r="JD16" s="86" t="e">
        <f t="shared" si="336"/>
        <v>#N/A</v>
      </c>
      <c r="JE16" s="86" t="e">
        <f t="shared" si="336"/>
        <v>#N/A</v>
      </c>
      <c r="JF16" s="86" t="e">
        <f t="shared" si="336"/>
        <v>#N/A</v>
      </c>
      <c r="JG16" s="86" t="e">
        <f t="shared" si="336"/>
        <v>#N/A</v>
      </c>
      <c r="JH16" s="86" t="e">
        <f t="shared" si="336"/>
        <v>#N/A</v>
      </c>
      <c r="JI16" s="86" t="e">
        <f t="shared" si="336"/>
        <v>#N/A</v>
      </c>
      <c r="JJ16" s="86" t="e">
        <f t="shared" si="336"/>
        <v>#N/A</v>
      </c>
      <c r="JK16" s="86" t="e">
        <f t="shared" si="336"/>
        <v>#N/A</v>
      </c>
      <c r="JL16" s="86" t="e">
        <f t="shared" si="336"/>
        <v>#N/A</v>
      </c>
      <c r="JM16" s="86" t="e">
        <f t="shared" si="336"/>
        <v>#N/A</v>
      </c>
      <c r="JN16" s="87" t="e">
        <f>SUM(JB16:JM16)</f>
        <v>#N/A</v>
      </c>
      <c r="JO16" s="86" t="e">
        <f>JM16*(1+Inputs!$B$7)</f>
        <v>#N/A</v>
      </c>
      <c r="JP16" s="86" t="e">
        <f t="shared" ref="JP16:JZ16" si="337">JO16</f>
        <v>#N/A</v>
      </c>
      <c r="JQ16" s="86" t="e">
        <f t="shared" si="337"/>
        <v>#N/A</v>
      </c>
      <c r="JR16" s="86" t="e">
        <f t="shared" si="337"/>
        <v>#N/A</v>
      </c>
      <c r="JS16" s="86" t="e">
        <f t="shared" si="337"/>
        <v>#N/A</v>
      </c>
      <c r="JT16" s="86" t="e">
        <f t="shared" si="337"/>
        <v>#N/A</v>
      </c>
      <c r="JU16" s="86" t="e">
        <f t="shared" si="337"/>
        <v>#N/A</v>
      </c>
      <c r="JV16" s="86" t="e">
        <f t="shared" si="337"/>
        <v>#N/A</v>
      </c>
      <c r="JW16" s="86" t="e">
        <f t="shared" si="337"/>
        <v>#N/A</v>
      </c>
      <c r="JX16" s="86" t="e">
        <f t="shared" si="337"/>
        <v>#N/A</v>
      </c>
      <c r="JY16" s="86" t="e">
        <f t="shared" si="337"/>
        <v>#N/A</v>
      </c>
      <c r="JZ16" s="86" t="e">
        <f t="shared" si="337"/>
        <v>#N/A</v>
      </c>
      <c r="KA16" s="87" t="e">
        <f>SUM(JO16:JZ16)</f>
        <v>#N/A</v>
      </c>
      <c r="KB16" s="86" t="e">
        <f>JZ16*(1+Inputs!$B$7)</f>
        <v>#N/A</v>
      </c>
      <c r="KC16" s="86" t="e">
        <f t="shared" ref="KC16:KM16" si="338">KB16</f>
        <v>#N/A</v>
      </c>
      <c r="KD16" s="86" t="e">
        <f t="shared" si="338"/>
        <v>#N/A</v>
      </c>
      <c r="KE16" s="86" t="e">
        <f t="shared" si="338"/>
        <v>#N/A</v>
      </c>
      <c r="KF16" s="86" t="e">
        <f t="shared" si="338"/>
        <v>#N/A</v>
      </c>
      <c r="KG16" s="86" t="e">
        <f t="shared" si="338"/>
        <v>#N/A</v>
      </c>
      <c r="KH16" s="86" t="e">
        <f t="shared" si="338"/>
        <v>#N/A</v>
      </c>
      <c r="KI16" s="86" t="e">
        <f t="shared" si="338"/>
        <v>#N/A</v>
      </c>
      <c r="KJ16" s="86" t="e">
        <f t="shared" si="338"/>
        <v>#N/A</v>
      </c>
      <c r="KK16" s="86" t="e">
        <f t="shared" si="338"/>
        <v>#N/A</v>
      </c>
      <c r="KL16" s="86" t="e">
        <f t="shared" si="338"/>
        <v>#N/A</v>
      </c>
      <c r="KM16" s="86" t="e">
        <f t="shared" si="338"/>
        <v>#N/A</v>
      </c>
      <c r="KN16" s="87" t="e">
        <f>SUM(KB16:KM16)</f>
        <v>#N/A</v>
      </c>
      <c r="KO16" s="86" t="e">
        <f>KM16*(1+Inputs!$B$7)</f>
        <v>#N/A</v>
      </c>
      <c r="KP16" s="86" t="e">
        <f t="shared" ref="KP16:KZ16" si="339">KO16</f>
        <v>#N/A</v>
      </c>
      <c r="KQ16" s="86" t="e">
        <f t="shared" si="339"/>
        <v>#N/A</v>
      </c>
      <c r="KR16" s="86" t="e">
        <f t="shared" si="339"/>
        <v>#N/A</v>
      </c>
      <c r="KS16" s="86" t="e">
        <f t="shared" si="339"/>
        <v>#N/A</v>
      </c>
      <c r="KT16" s="86" t="e">
        <f t="shared" si="339"/>
        <v>#N/A</v>
      </c>
      <c r="KU16" s="86" t="e">
        <f t="shared" si="339"/>
        <v>#N/A</v>
      </c>
      <c r="KV16" s="86" t="e">
        <f t="shared" si="339"/>
        <v>#N/A</v>
      </c>
      <c r="KW16" s="86" t="e">
        <f t="shared" si="339"/>
        <v>#N/A</v>
      </c>
      <c r="KX16" s="86" t="e">
        <f t="shared" si="339"/>
        <v>#N/A</v>
      </c>
      <c r="KY16" s="86" t="e">
        <f t="shared" si="339"/>
        <v>#N/A</v>
      </c>
      <c r="KZ16" s="86" t="e">
        <f t="shared" si="339"/>
        <v>#N/A</v>
      </c>
      <c r="LA16" s="87" t="e">
        <f>SUM(KO16:KZ16)</f>
        <v>#N/A</v>
      </c>
      <c r="LB16" s="86" t="e">
        <f>KZ16*(1+Inputs!$B$7)</f>
        <v>#N/A</v>
      </c>
      <c r="LC16" s="86" t="e">
        <f t="shared" ref="LC16:LM16" si="340">LB16</f>
        <v>#N/A</v>
      </c>
      <c r="LD16" s="86" t="e">
        <f t="shared" si="340"/>
        <v>#N/A</v>
      </c>
      <c r="LE16" s="86" t="e">
        <f t="shared" si="340"/>
        <v>#N/A</v>
      </c>
      <c r="LF16" s="86" t="e">
        <f t="shared" si="340"/>
        <v>#N/A</v>
      </c>
      <c r="LG16" s="86" t="e">
        <f t="shared" si="340"/>
        <v>#N/A</v>
      </c>
      <c r="LH16" s="86" t="e">
        <f t="shared" si="340"/>
        <v>#N/A</v>
      </c>
      <c r="LI16" s="86" t="e">
        <f t="shared" si="340"/>
        <v>#N/A</v>
      </c>
      <c r="LJ16" s="86" t="e">
        <f t="shared" si="340"/>
        <v>#N/A</v>
      </c>
      <c r="LK16" s="86" t="e">
        <f t="shared" si="340"/>
        <v>#N/A</v>
      </c>
      <c r="LL16" s="86" t="e">
        <f t="shared" si="340"/>
        <v>#N/A</v>
      </c>
      <c r="LM16" s="86" t="e">
        <f t="shared" si="340"/>
        <v>#N/A</v>
      </c>
      <c r="LN16" s="87" t="e">
        <f>SUM(LB16:LM16)</f>
        <v>#N/A</v>
      </c>
      <c r="LO16" s="86" t="e">
        <f>LM16*(1+Inputs!$B$7)</f>
        <v>#N/A</v>
      </c>
      <c r="LP16" s="86" t="e">
        <f t="shared" ref="LP16:LZ16" si="341">LO16</f>
        <v>#N/A</v>
      </c>
      <c r="LQ16" s="86" t="e">
        <f t="shared" si="341"/>
        <v>#N/A</v>
      </c>
      <c r="LR16" s="86" t="e">
        <f t="shared" si="341"/>
        <v>#N/A</v>
      </c>
      <c r="LS16" s="86" t="e">
        <f t="shared" si="341"/>
        <v>#N/A</v>
      </c>
      <c r="LT16" s="86" t="e">
        <f t="shared" si="341"/>
        <v>#N/A</v>
      </c>
      <c r="LU16" s="86" t="e">
        <f t="shared" si="341"/>
        <v>#N/A</v>
      </c>
      <c r="LV16" s="86" t="e">
        <f t="shared" si="341"/>
        <v>#N/A</v>
      </c>
      <c r="LW16" s="86" t="e">
        <f t="shared" si="341"/>
        <v>#N/A</v>
      </c>
      <c r="LX16" s="86" t="e">
        <f t="shared" si="341"/>
        <v>#N/A</v>
      </c>
      <c r="LY16" s="86" t="e">
        <f t="shared" si="341"/>
        <v>#N/A</v>
      </c>
      <c r="LZ16" s="86" t="e">
        <f t="shared" si="341"/>
        <v>#N/A</v>
      </c>
      <c r="MA16" s="87" t="e">
        <f>SUM(LO16:LZ16)</f>
        <v>#N/A</v>
      </c>
      <c r="MB16" s="86" t="e">
        <f>LZ16*(1+Inputs!$B$7)</f>
        <v>#N/A</v>
      </c>
      <c r="MC16" s="86" t="e">
        <f t="shared" ref="MC16:MM16" si="342">MB16</f>
        <v>#N/A</v>
      </c>
      <c r="MD16" s="86" t="e">
        <f t="shared" si="342"/>
        <v>#N/A</v>
      </c>
      <c r="ME16" s="86" t="e">
        <f t="shared" si="342"/>
        <v>#N/A</v>
      </c>
      <c r="MF16" s="86" t="e">
        <f t="shared" si="342"/>
        <v>#N/A</v>
      </c>
      <c r="MG16" s="86" t="e">
        <f t="shared" si="342"/>
        <v>#N/A</v>
      </c>
      <c r="MH16" s="86" t="e">
        <f t="shared" si="342"/>
        <v>#N/A</v>
      </c>
      <c r="MI16" s="86" t="e">
        <f t="shared" si="342"/>
        <v>#N/A</v>
      </c>
      <c r="MJ16" s="86" t="e">
        <f t="shared" si="342"/>
        <v>#N/A</v>
      </c>
      <c r="MK16" s="86" t="e">
        <f t="shared" si="342"/>
        <v>#N/A</v>
      </c>
      <c r="ML16" s="86" t="e">
        <f t="shared" si="342"/>
        <v>#N/A</v>
      </c>
      <c r="MM16" s="86" t="e">
        <f t="shared" si="342"/>
        <v>#N/A</v>
      </c>
      <c r="MN16" s="87" t="e">
        <f>SUM(MB16:MM16)</f>
        <v>#N/A</v>
      </c>
      <c r="MO16" s="86" t="e">
        <f>MM16*(1+Inputs!$B$7)</f>
        <v>#N/A</v>
      </c>
      <c r="MP16" s="86" t="e">
        <f t="shared" ref="MP16:MZ16" si="343">MO16</f>
        <v>#N/A</v>
      </c>
      <c r="MQ16" s="86" t="e">
        <f t="shared" si="343"/>
        <v>#N/A</v>
      </c>
      <c r="MR16" s="86" t="e">
        <f t="shared" si="343"/>
        <v>#N/A</v>
      </c>
      <c r="MS16" s="86" t="e">
        <f t="shared" si="343"/>
        <v>#N/A</v>
      </c>
      <c r="MT16" s="86" t="e">
        <f t="shared" si="343"/>
        <v>#N/A</v>
      </c>
      <c r="MU16" s="86" t="e">
        <f t="shared" si="343"/>
        <v>#N/A</v>
      </c>
      <c r="MV16" s="86" t="e">
        <f t="shared" si="343"/>
        <v>#N/A</v>
      </c>
      <c r="MW16" s="86" t="e">
        <f t="shared" si="343"/>
        <v>#N/A</v>
      </c>
      <c r="MX16" s="86" t="e">
        <f t="shared" si="343"/>
        <v>#N/A</v>
      </c>
      <c r="MY16" s="86" t="e">
        <f t="shared" si="343"/>
        <v>#N/A</v>
      </c>
      <c r="MZ16" s="86" t="e">
        <f t="shared" si="343"/>
        <v>#N/A</v>
      </c>
      <c r="NA16" s="87" t="e">
        <f>SUM(MO16:MZ16)</f>
        <v>#N/A</v>
      </c>
      <c r="NB16" s="86" t="e">
        <f>MZ16*(1+Inputs!$B$7)</f>
        <v>#N/A</v>
      </c>
      <c r="NC16" s="86" t="e">
        <f t="shared" ref="NC16:NM16" si="344">NB16</f>
        <v>#N/A</v>
      </c>
      <c r="ND16" s="86" t="e">
        <f t="shared" si="344"/>
        <v>#N/A</v>
      </c>
      <c r="NE16" s="86" t="e">
        <f t="shared" si="344"/>
        <v>#N/A</v>
      </c>
      <c r="NF16" s="86" t="e">
        <f t="shared" si="344"/>
        <v>#N/A</v>
      </c>
      <c r="NG16" s="86" t="e">
        <f t="shared" si="344"/>
        <v>#N/A</v>
      </c>
      <c r="NH16" s="86" t="e">
        <f t="shared" si="344"/>
        <v>#N/A</v>
      </c>
      <c r="NI16" s="86" t="e">
        <f t="shared" si="344"/>
        <v>#N/A</v>
      </c>
      <c r="NJ16" s="86" t="e">
        <f t="shared" si="344"/>
        <v>#N/A</v>
      </c>
      <c r="NK16" s="86" t="e">
        <f t="shared" si="344"/>
        <v>#N/A</v>
      </c>
      <c r="NL16" s="86" t="e">
        <f t="shared" si="344"/>
        <v>#N/A</v>
      </c>
      <c r="NM16" s="86" t="e">
        <f t="shared" si="344"/>
        <v>#N/A</v>
      </c>
      <c r="NN16" s="87" t="e">
        <f>SUM(NB16:NM16)</f>
        <v>#N/A</v>
      </c>
      <c r="NO16" s="86" t="e">
        <f>NM16*(1+Inputs!$B$7)</f>
        <v>#N/A</v>
      </c>
      <c r="NP16" s="86" t="e">
        <f t="shared" ref="NP16:NZ16" si="345">NO16</f>
        <v>#N/A</v>
      </c>
      <c r="NQ16" s="86" t="e">
        <f t="shared" si="345"/>
        <v>#N/A</v>
      </c>
      <c r="NR16" s="86" t="e">
        <f t="shared" si="345"/>
        <v>#N/A</v>
      </c>
      <c r="NS16" s="86" t="e">
        <f t="shared" si="345"/>
        <v>#N/A</v>
      </c>
      <c r="NT16" s="86" t="e">
        <f t="shared" si="345"/>
        <v>#N/A</v>
      </c>
      <c r="NU16" s="86" t="e">
        <f t="shared" si="345"/>
        <v>#N/A</v>
      </c>
      <c r="NV16" s="86" t="e">
        <f t="shared" si="345"/>
        <v>#N/A</v>
      </c>
      <c r="NW16" s="86" t="e">
        <f t="shared" si="345"/>
        <v>#N/A</v>
      </c>
      <c r="NX16" s="86" t="e">
        <f t="shared" si="345"/>
        <v>#N/A</v>
      </c>
      <c r="NY16" s="86" t="e">
        <f t="shared" si="345"/>
        <v>#N/A</v>
      </c>
      <c r="NZ16" s="86" t="e">
        <f t="shared" si="345"/>
        <v>#N/A</v>
      </c>
      <c r="OA16" s="87" t="e">
        <f>SUM(NO16:NZ16)</f>
        <v>#N/A</v>
      </c>
      <c r="OB16" s="86" t="e">
        <f>NZ16*(1+Inputs!$B$7)</f>
        <v>#N/A</v>
      </c>
      <c r="OC16" s="86" t="e">
        <f t="shared" ref="OC16:OM16" si="346">OB16</f>
        <v>#N/A</v>
      </c>
      <c r="OD16" s="86" t="e">
        <f t="shared" si="346"/>
        <v>#N/A</v>
      </c>
      <c r="OE16" s="86" t="e">
        <f t="shared" si="346"/>
        <v>#N/A</v>
      </c>
      <c r="OF16" s="86" t="e">
        <f t="shared" si="346"/>
        <v>#N/A</v>
      </c>
      <c r="OG16" s="86" t="e">
        <f t="shared" si="346"/>
        <v>#N/A</v>
      </c>
      <c r="OH16" s="86" t="e">
        <f t="shared" si="346"/>
        <v>#N/A</v>
      </c>
      <c r="OI16" s="86" t="e">
        <f t="shared" si="346"/>
        <v>#N/A</v>
      </c>
      <c r="OJ16" s="86" t="e">
        <f t="shared" si="346"/>
        <v>#N/A</v>
      </c>
      <c r="OK16" s="86" t="e">
        <f t="shared" si="346"/>
        <v>#N/A</v>
      </c>
      <c r="OL16" s="86" t="e">
        <f t="shared" si="346"/>
        <v>#N/A</v>
      </c>
      <c r="OM16" s="86" t="e">
        <f t="shared" si="346"/>
        <v>#N/A</v>
      </c>
      <c r="ON16" s="87" t="e">
        <f>SUM(OB16:OM16)</f>
        <v>#N/A</v>
      </c>
      <c r="OO16" s="86" t="e">
        <f>OM16*(1+Inputs!$B$7)</f>
        <v>#N/A</v>
      </c>
      <c r="OP16" s="86" t="e">
        <f t="shared" ref="OP16:OZ16" si="347">OO16</f>
        <v>#N/A</v>
      </c>
      <c r="OQ16" s="86" t="e">
        <f t="shared" si="347"/>
        <v>#N/A</v>
      </c>
      <c r="OR16" s="86" t="e">
        <f t="shared" si="347"/>
        <v>#N/A</v>
      </c>
      <c r="OS16" s="86" t="e">
        <f t="shared" si="347"/>
        <v>#N/A</v>
      </c>
      <c r="OT16" s="86" t="e">
        <f t="shared" si="347"/>
        <v>#N/A</v>
      </c>
      <c r="OU16" s="86" t="e">
        <f t="shared" si="347"/>
        <v>#N/A</v>
      </c>
      <c r="OV16" s="86" t="e">
        <f t="shared" si="347"/>
        <v>#N/A</v>
      </c>
      <c r="OW16" s="86" t="e">
        <f t="shared" si="347"/>
        <v>#N/A</v>
      </c>
      <c r="OX16" s="86" t="e">
        <f t="shared" si="347"/>
        <v>#N/A</v>
      </c>
      <c r="OY16" s="86" t="e">
        <f t="shared" si="347"/>
        <v>#N/A</v>
      </c>
      <c r="OZ16" s="86" t="e">
        <f t="shared" si="347"/>
        <v>#N/A</v>
      </c>
      <c r="PA16" s="87" t="e">
        <f>SUM(OO16:OZ16)</f>
        <v>#N/A</v>
      </c>
      <c r="PB16" s="86" t="e">
        <f>OZ16*(1+Inputs!$B$7)</f>
        <v>#N/A</v>
      </c>
      <c r="PC16" s="86" t="e">
        <f t="shared" ref="PC16:PM16" si="348">PB16</f>
        <v>#N/A</v>
      </c>
      <c r="PD16" s="86" t="e">
        <f t="shared" si="348"/>
        <v>#N/A</v>
      </c>
      <c r="PE16" s="86" t="e">
        <f t="shared" si="348"/>
        <v>#N/A</v>
      </c>
      <c r="PF16" s="86" t="e">
        <f t="shared" si="348"/>
        <v>#N/A</v>
      </c>
      <c r="PG16" s="86" t="e">
        <f t="shared" si="348"/>
        <v>#N/A</v>
      </c>
      <c r="PH16" s="86" t="e">
        <f t="shared" si="348"/>
        <v>#N/A</v>
      </c>
      <c r="PI16" s="86" t="e">
        <f t="shared" si="348"/>
        <v>#N/A</v>
      </c>
      <c r="PJ16" s="86" t="e">
        <f t="shared" si="348"/>
        <v>#N/A</v>
      </c>
      <c r="PK16" s="86" t="e">
        <f t="shared" si="348"/>
        <v>#N/A</v>
      </c>
      <c r="PL16" s="86" t="e">
        <f t="shared" si="348"/>
        <v>#N/A</v>
      </c>
      <c r="PM16" s="86" t="e">
        <f t="shared" si="348"/>
        <v>#N/A</v>
      </c>
      <c r="PN16" s="87" t="e">
        <f>SUM(PB16:PM16)</f>
        <v>#N/A</v>
      </c>
      <c r="PO16" s="86" t="e">
        <f>PM16*(1+Inputs!$B$7)</f>
        <v>#N/A</v>
      </c>
      <c r="PP16" s="86" t="e">
        <f t="shared" ref="PP16:PZ16" si="349">PO16</f>
        <v>#N/A</v>
      </c>
      <c r="PQ16" s="86" t="e">
        <f t="shared" si="349"/>
        <v>#N/A</v>
      </c>
      <c r="PR16" s="86" t="e">
        <f t="shared" si="349"/>
        <v>#N/A</v>
      </c>
      <c r="PS16" s="86" t="e">
        <f t="shared" si="349"/>
        <v>#N/A</v>
      </c>
      <c r="PT16" s="86" t="e">
        <f t="shared" si="349"/>
        <v>#N/A</v>
      </c>
      <c r="PU16" s="86" t="e">
        <f t="shared" si="349"/>
        <v>#N/A</v>
      </c>
      <c r="PV16" s="86" t="e">
        <f t="shared" si="349"/>
        <v>#N/A</v>
      </c>
      <c r="PW16" s="86" t="e">
        <f t="shared" si="349"/>
        <v>#N/A</v>
      </c>
      <c r="PX16" s="86" t="e">
        <f t="shared" si="349"/>
        <v>#N/A</v>
      </c>
      <c r="PY16" s="86" t="e">
        <f t="shared" si="349"/>
        <v>#N/A</v>
      </c>
      <c r="PZ16" s="86" t="e">
        <f t="shared" si="349"/>
        <v>#N/A</v>
      </c>
      <c r="QA16" s="87" t="e">
        <f>SUM(PO16:PZ16)</f>
        <v>#N/A</v>
      </c>
      <c r="QB16" s="86" t="e">
        <f>PZ16*(1+Inputs!$B$7)</f>
        <v>#N/A</v>
      </c>
      <c r="QC16" s="86" t="e">
        <f t="shared" ref="QC16:QM16" si="350">QB16</f>
        <v>#N/A</v>
      </c>
      <c r="QD16" s="86" t="e">
        <f t="shared" si="350"/>
        <v>#N/A</v>
      </c>
      <c r="QE16" s="86" t="e">
        <f t="shared" si="350"/>
        <v>#N/A</v>
      </c>
      <c r="QF16" s="86" t="e">
        <f t="shared" si="350"/>
        <v>#N/A</v>
      </c>
      <c r="QG16" s="86" t="e">
        <f t="shared" si="350"/>
        <v>#N/A</v>
      </c>
      <c r="QH16" s="86" t="e">
        <f t="shared" si="350"/>
        <v>#N/A</v>
      </c>
      <c r="QI16" s="86" t="e">
        <f t="shared" si="350"/>
        <v>#N/A</v>
      </c>
      <c r="QJ16" s="86" t="e">
        <f t="shared" si="350"/>
        <v>#N/A</v>
      </c>
      <c r="QK16" s="86" t="e">
        <f t="shared" si="350"/>
        <v>#N/A</v>
      </c>
      <c r="QL16" s="86" t="e">
        <f t="shared" si="350"/>
        <v>#N/A</v>
      </c>
      <c r="QM16" s="86" t="e">
        <f t="shared" si="350"/>
        <v>#N/A</v>
      </c>
      <c r="QN16" s="87" t="e">
        <f>SUM(QB16:QM16)</f>
        <v>#N/A</v>
      </c>
      <c r="QO16" s="86" t="e">
        <f>QM16*(1+Inputs!$B$7)</f>
        <v>#N/A</v>
      </c>
      <c r="QP16" s="86" t="e">
        <f t="shared" ref="QP16:QZ16" si="351">QO16</f>
        <v>#N/A</v>
      </c>
      <c r="QQ16" s="86" t="e">
        <f t="shared" si="351"/>
        <v>#N/A</v>
      </c>
      <c r="QR16" s="86" t="e">
        <f t="shared" si="351"/>
        <v>#N/A</v>
      </c>
      <c r="QS16" s="86" t="e">
        <f t="shared" si="351"/>
        <v>#N/A</v>
      </c>
      <c r="QT16" s="86" t="e">
        <f t="shared" si="351"/>
        <v>#N/A</v>
      </c>
      <c r="QU16" s="86" t="e">
        <f t="shared" si="351"/>
        <v>#N/A</v>
      </c>
      <c r="QV16" s="86" t="e">
        <f t="shared" si="351"/>
        <v>#N/A</v>
      </c>
      <c r="QW16" s="86" t="e">
        <f t="shared" si="351"/>
        <v>#N/A</v>
      </c>
      <c r="QX16" s="86" t="e">
        <f t="shared" si="351"/>
        <v>#N/A</v>
      </c>
      <c r="QY16" s="86" t="e">
        <f t="shared" si="351"/>
        <v>#N/A</v>
      </c>
      <c r="QZ16" s="86" t="e">
        <f t="shared" si="351"/>
        <v>#N/A</v>
      </c>
      <c r="RA16" s="87" t="e">
        <f>SUM(QO16:QZ16)</f>
        <v>#N/A</v>
      </c>
      <c r="RB16" s="86" t="e">
        <f>QZ16*(1+Inputs!$B$7)</f>
        <v>#N/A</v>
      </c>
      <c r="RC16" s="86" t="e">
        <f t="shared" ref="RC16:RM16" si="352">RB16</f>
        <v>#N/A</v>
      </c>
      <c r="RD16" s="86" t="e">
        <f t="shared" si="352"/>
        <v>#N/A</v>
      </c>
      <c r="RE16" s="86" t="e">
        <f t="shared" si="352"/>
        <v>#N/A</v>
      </c>
      <c r="RF16" s="86" t="e">
        <f t="shared" si="352"/>
        <v>#N/A</v>
      </c>
      <c r="RG16" s="86" t="e">
        <f t="shared" si="352"/>
        <v>#N/A</v>
      </c>
      <c r="RH16" s="86" t="e">
        <f t="shared" si="352"/>
        <v>#N/A</v>
      </c>
      <c r="RI16" s="86" t="e">
        <f t="shared" si="352"/>
        <v>#N/A</v>
      </c>
      <c r="RJ16" s="86" t="e">
        <f t="shared" si="352"/>
        <v>#N/A</v>
      </c>
      <c r="RK16" s="86" t="e">
        <f t="shared" si="352"/>
        <v>#N/A</v>
      </c>
      <c r="RL16" s="86" t="e">
        <f t="shared" si="352"/>
        <v>#N/A</v>
      </c>
      <c r="RM16" s="86" t="e">
        <f t="shared" si="352"/>
        <v>#N/A</v>
      </c>
      <c r="RN16" s="87" t="e">
        <f>SUM(RB16:RM16)</f>
        <v>#N/A</v>
      </c>
    </row>
    <row r="17" spans="1:482" hidden="1" outlineLevel="1" x14ac:dyDescent="0.3">
      <c r="A17" s="89" t="s">
        <v>242</v>
      </c>
      <c r="B17" s="86" t="e">
        <f>-Inputs!$B$8*Financials!B16</f>
        <v>#N/A</v>
      </c>
      <c r="C17" s="86" t="e">
        <f>-Inputs!$B$8*Financials!C16</f>
        <v>#N/A</v>
      </c>
      <c r="D17" s="86" t="e">
        <f>-Inputs!$B$8*Financials!D16</f>
        <v>#N/A</v>
      </c>
      <c r="E17" s="86" t="e">
        <f>-Inputs!$B$8*Financials!E16</f>
        <v>#N/A</v>
      </c>
      <c r="F17" s="86" t="e">
        <f>-Inputs!$B$8*Financials!F16</f>
        <v>#N/A</v>
      </c>
      <c r="G17" s="86" t="e">
        <f>-Inputs!$B$8*Financials!G16</f>
        <v>#N/A</v>
      </c>
      <c r="H17" s="86" t="e">
        <f>-Inputs!$B$8*Financials!H16</f>
        <v>#N/A</v>
      </c>
      <c r="I17" s="86" t="e">
        <f>-Inputs!$B$8*Financials!I16</f>
        <v>#N/A</v>
      </c>
      <c r="J17" s="86" t="e">
        <f>-Inputs!$B$8*Financials!J16</f>
        <v>#N/A</v>
      </c>
      <c r="K17" s="86" t="e">
        <f>-Inputs!$B$8*Financials!K16</f>
        <v>#N/A</v>
      </c>
      <c r="L17" s="86" t="e">
        <f>-Inputs!$B$8*Financials!L16</f>
        <v>#N/A</v>
      </c>
      <c r="M17" s="86" t="e">
        <f>-Inputs!$B$8*Financials!M16</f>
        <v>#N/A</v>
      </c>
      <c r="N17" s="87" t="e">
        <f t="shared" ref="N17:N27" si="353">SUM(B17:M17)</f>
        <v>#N/A</v>
      </c>
      <c r="O17" s="86" t="e">
        <f>-Inputs!$B$8*Financials!O16</f>
        <v>#N/A</v>
      </c>
      <c r="P17" s="86" t="e">
        <f>-Inputs!$B$8*Financials!P16</f>
        <v>#N/A</v>
      </c>
      <c r="Q17" s="86" t="e">
        <f>-Inputs!$B$8*Financials!Q16</f>
        <v>#N/A</v>
      </c>
      <c r="R17" s="86" t="e">
        <f>-Inputs!$B$8*Financials!R16</f>
        <v>#N/A</v>
      </c>
      <c r="S17" s="86" t="e">
        <f>-Inputs!$B$8*Financials!S16</f>
        <v>#N/A</v>
      </c>
      <c r="T17" s="86" t="e">
        <f>-Inputs!$B$8*Financials!T16</f>
        <v>#N/A</v>
      </c>
      <c r="U17" s="86" t="e">
        <f>-Inputs!$B$8*Financials!U16</f>
        <v>#N/A</v>
      </c>
      <c r="V17" s="86" t="e">
        <f>-Inputs!$B$8*Financials!V16</f>
        <v>#N/A</v>
      </c>
      <c r="W17" s="86" t="e">
        <f>-Inputs!$B$8*Financials!W16</f>
        <v>#N/A</v>
      </c>
      <c r="X17" s="86" t="e">
        <f>-Inputs!$B$8*Financials!X16</f>
        <v>#N/A</v>
      </c>
      <c r="Y17" s="86" t="e">
        <f>-Inputs!$B$8*Financials!Y16</f>
        <v>#N/A</v>
      </c>
      <c r="Z17" s="86" t="e">
        <f>-Inputs!$B$8*Financials!Z16</f>
        <v>#N/A</v>
      </c>
      <c r="AA17" s="87" t="e">
        <f t="shared" ref="AA17:AA27" si="354">SUM(O17:Z17)</f>
        <v>#N/A</v>
      </c>
      <c r="AB17" s="86" t="e">
        <f>-Inputs!$B$8*Financials!AB16</f>
        <v>#N/A</v>
      </c>
      <c r="AC17" s="86" t="e">
        <f>-Inputs!$B$8*Financials!AC16</f>
        <v>#N/A</v>
      </c>
      <c r="AD17" s="86" t="e">
        <f>-Inputs!$B$8*Financials!AD16</f>
        <v>#N/A</v>
      </c>
      <c r="AE17" s="86" t="e">
        <f>-Inputs!$B$8*Financials!AE16</f>
        <v>#N/A</v>
      </c>
      <c r="AF17" s="86" t="e">
        <f>-Inputs!$B$8*Financials!AF16</f>
        <v>#N/A</v>
      </c>
      <c r="AG17" s="86" t="e">
        <f>-Inputs!$B$8*Financials!AG16</f>
        <v>#N/A</v>
      </c>
      <c r="AH17" s="86" t="e">
        <f>-Inputs!$B$8*Financials!AH16</f>
        <v>#N/A</v>
      </c>
      <c r="AI17" s="86" t="e">
        <f>-Inputs!$B$8*Financials!AI16</f>
        <v>#N/A</v>
      </c>
      <c r="AJ17" s="86" t="e">
        <f>-Inputs!$B$8*Financials!AJ16</f>
        <v>#N/A</v>
      </c>
      <c r="AK17" s="86" t="e">
        <f>-Inputs!$B$8*Financials!AK16</f>
        <v>#N/A</v>
      </c>
      <c r="AL17" s="86" t="e">
        <f>-Inputs!$B$8*Financials!AL16</f>
        <v>#N/A</v>
      </c>
      <c r="AM17" s="86" t="e">
        <f>-Inputs!$B$8*Financials!AM16</f>
        <v>#N/A</v>
      </c>
      <c r="AN17" s="87" t="e">
        <f t="shared" ref="AN17:AN18" si="355">SUM(AB17:AM17)</f>
        <v>#N/A</v>
      </c>
      <c r="AO17" s="86" t="e">
        <f>-Inputs!$B$8*Financials!AO16</f>
        <v>#N/A</v>
      </c>
      <c r="AP17" s="86" t="e">
        <f>-Inputs!$B$8*Financials!AP16</f>
        <v>#N/A</v>
      </c>
      <c r="AQ17" s="86" t="e">
        <f>-Inputs!$B$8*Financials!AQ16</f>
        <v>#N/A</v>
      </c>
      <c r="AR17" s="86" t="e">
        <f>-Inputs!$B$8*Financials!AR16</f>
        <v>#N/A</v>
      </c>
      <c r="AS17" s="86" t="e">
        <f>-Inputs!$B$8*Financials!AS16</f>
        <v>#N/A</v>
      </c>
      <c r="AT17" s="86" t="e">
        <f>-Inputs!$B$8*Financials!AT16</f>
        <v>#N/A</v>
      </c>
      <c r="AU17" s="86" t="e">
        <f>-Inputs!$B$8*Financials!AU16</f>
        <v>#N/A</v>
      </c>
      <c r="AV17" s="86" t="e">
        <f>-Inputs!$B$8*Financials!AV16</f>
        <v>#N/A</v>
      </c>
      <c r="AW17" s="86" t="e">
        <f>-Inputs!$B$8*Financials!AW16</f>
        <v>#N/A</v>
      </c>
      <c r="AX17" s="86" t="e">
        <f>-Inputs!$B$8*Financials!AX16</f>
        <v>#N/A</v>
      </c>
      <c r="AY17" s="86" t="e">
        <f>-Inputs!$B$8*Financials!AY16</f>
        <v>#N/A</v>
      </c>
      <c r="AZ17" s="86" t="e">
        <f>-Inputs!$B$8*Financials!AZ16</f>
        <v>#N/A</v>
      </c>
      <c r="BA17" s="87" t="e">
        <f t="shared" ref="BA17:BA18" si="356">SUM(AO17:AZ17)</f>
        <v>#N/A</v>
      </c>
      <c r="BB17" s="86" t="e">
        <f>-Inputs!$B$8*Financials!BB16</f>
        <v>#N/A</v>
      </c>
      <c r="BC17" s="86" t="e">
        <f>-Inputs!$B$8*Financials!BC16</f>
        <v>#N/A</v>
      </c>
      <c r="BD17" s="86" t="e">
        <f>-Inputs!$B$8*Financials!BD16</f>
        <v>#N/A</v>
      </c>
      <c r="BE17" s="86" t="e">
        <f>-Inputs!$B$8*Financials!BE16</f>
        <v>#N/A</v>
      </c>
      <c r="BF17" s="86" t="e">
        <f>-Inputs!$B$8*Financials!BF16</f>
        <v>#N/A</v>
      </c>
      <c r="BG17" s="86" t="e">
        <f>-Inputs!$B$8*Financials!BG16</f>
        <v>#N/A</v>
      </c>
      <c r="BH17" s="86" t="e">
        <f>-Inputs!$B$8*Financials!BH16</f>
        <v>#N/A</v>
      </c>
      <c r="BI17" s="86" t="e">
        <f>-Inputs!$B$8*Financials!BI16</f>
        <v>#N/A</v>
      </c>
      <c r="BJ17" s="86" t="e">
        <f>-Inputs!$B$8*Financials!BJ16</f>
        <v>#N/A</v>
      </c>
      <c r="BK17" s="86" t="e">
        <f>-Inputs!$B$8*Financials!BK16</f>
        <v>#N/A</v>
      </c>
      <c r="BL17" s="86" t="e">
        <f>-Inputs!$B$8*Financials!BL16</f>
        <v>#N/A</v>
      </c>
      <c r="BM17" s="86" t="e">
        <f>-Inputs!$B$8*Financials!BM16</f>
        <v>#N/A</v>
      </c>
      <c r="BN17" s="87" t="e">
        <f t="shared" ref="BN17:BN18" si="357">SUM(BB17:BM17)</f>
        <v>#N/A</v>
      </c>
      <c r="BO17" s="86" t="e">
        <f>-Inputs!$B$8*Financials!BO16</f>
        <v>#N/A</v>
      </c>
      <c r="BP17" s="86" t="e">
        <f>-Inputs!$B$8*Financials!BP16</f>
        <v>#N/A</v>
      </c>
      <c r="BQ17" s="86" t="e">
        <f>-Inputs!$B$8*Financials!BQ16</f>
        <v>#N/A</v>
      </c>
      <c r="BR17" s="86" t="e">
        <f>-Inputs!$B$8*Financials!BR16</f>
        <v>#N/A</v>
      </c>
      <c r="BS17" s="86" t="e">
        <f>-Inputs!$B$8*Financials!BS16</f>
        <v>#N/A</v>
      </c>
      <c r="BT17" s="86" t="e">
        <f>-Inputs!$B$8*Financials!BT16</f>
        <v>#N/A</v>
      </c>
      <c r="BU17" s="86" t="e">
        <f>-Inputs!$B$8*Financials!BU16</f>
        <v>#N/A</v>
      </c>
      <c r="BV17" s="86" t="e">
        <f>-Inputs!$B$8*Financials!BV16</f>
        <v>#N/A</v>
      </c>
      <c r="BW17" s="86" t="e">
        <f>-Inputs!$B$8*Financials!BW16</f>
        <v>#N/A</v>
      </c>
      <c r="BX17" s="86" t="e">
        <f>-Inputs!$B$8*Financials!BX16</f>
        <v>#N/A</v>
      </c>
      <c r="BY17" s="86" t="e">
        <f>-Inputs!$B$8*Financials!BY16</f>
        <v>#N/A</v>
      </c>
      <c r="BZ17" s="86" t="e">
        <f>-Inputs!$B$8*Financials!BZ16</f>
        <v>#N/A</v>
      </c>
      <c r="CA17" s="87" t="e">
        <f t="shared" ref="CA17:CA18" si="358">SUM(BO17:BZ17)</f>
        <v>#N/A</v>
      </c>
      <c r="CB17" s="86" t="e">
        <f>-Inputs!$B$8*Financials!CB16</f>
        <v>#N/A</v>
      </c>
      <c r="CC17" s="86" t="e">
        <f>-Inputs!$B$8*Financials!CC16</f>
        <v>#N/A</v>
      </c>
      <c r="CD17" s="86" t="e">
        <f>-Inputs!$B$8*Financials!CD16</f>
        <v>#N/A</v>
      </c>
      <c r="CE17" s="86" t="e">
        <f>-Inputs!$B$8*Financials!CE16</f>
        <v>#N/A</v>
      </c>
      <c r="CF17" s="86" t="e">
        <f>-Inputs!$B$8*Financials!CF16</f>
        <v>#N/A</v>
      </c>
      <c r="CG17" s="86" t="e">
        <f>-Inputs!$B$8*Financials!CG16</f>
        <v>#N/A</v>
      </c>
      <c r="CH17" s="86" t="e">
        <f>-Inputs!$B$8*Financials!CH16</f>
        <v>#N/A</v>
      </c>
      <c r="CI17" s="86" t="e">
        <f>-Inputs!$B$8*Financials!CI16</f>
        <v>#N/A</v>
      </c>
      <c r="CJ17" s="86" t="e">
        <f>-Inputs!$B$8*Financials!CJ16</f>
        <v>#N/A</v>
      </c>
      <c r="CK17" s="86" t="e">
        <f>-Inputs!$B$8*Financials!CK16</f>
        <v>#N/A</v>
      </c>
      <c r="CL17" s="86" t="e">
        <f>-Inputs!$B$8*Financials!CL16</f>
        <v>#N/A</v>
      </c>
      <c r="CM17" s="86" t="e">
        <f>-Inputs!$B$8*Financials!CM16</f>
        <v>#N/A</v>
      </c>
      <c r="CN17" s="87" t="e">
        <f t="shared" ref="CN17:CN18" si="359">SUM(CB17:CM17)</f>
        <v>#N/A</v>
      </c>
      <c r="CO17" s="86" t="e">
        <f>-Inputs!$B$8*Financials!CO16</f>
        <v>#N/A</v>
      </c>
      <c r="CP17" s="86" t="e">
        <f>-Inputs!$B$8*Financials!CP16</f>
        <v>#N/A</v>
      </c>
      <c r="CQ17" s="86" t="e">
        <f>-Inputs!$B$8*Financials!CQ16</f>
        <v>#N/A</v>
      </c>
      <c r="CR17" s="86" t="e">
        <f>-Inputs!$B$8*Financials!CR16</f>
        <v>#N/A</v>
      </c>
      <c r="CS17" s="86" t="e">
        <f>-Inputs!$B$8*Financials!CS16</f>
        <v>#N/A</v>
      </c>
      <c r="CT17" s="86" t="e">
        <f>-Inputs!$B$8*Financials!CT16</f>
        <v>#N/A</v>
      </c>
      <c r="CU17" s="86" t="e">
        <f>-Inputs!$B$8*Financials!CU16</f>
        <v>#N/A</v>
      </c>
      <c r="CV17" s="86" t="e">
        <f>-Inputs!$B$8*Financials!CV16</f>
        <v>#N/A</v>
      </c>
      <c r="CW17" s="86" t="e">
        <f>-Inputs!$B$8*Financials!CW16</f>
        <v>#N/A</v>
      </c>
      <c r="CX17" s="86" t="e">
        <f>-Inputs!$B$8*Financials!CX16</f>
        <v>#N/A</v>
      </c>
      <c r="CY17" s="86" t="e">
        <f>-Inputs!$B$8*Financials!CY16</f>
        <v>#N/A</v>
      </c>
      <c r="CZ17" s="86" t="e">
        <f>-Inputs!$B$8*Financials!CZ16</f>
        <v>#N/A</v>
      </c>
      <c r="DA17" s="87" t="e">
        <f t="shared" ref="DA17:DA18" si="360">SUM(CO17:CZ17)</f>
        <v>#N/A</v>
      </c>
      <c r="DB17" s="86" t="e">
        <f>-Inputs!$B$8*Financials!DB16</f>
        <v>#N/A</v>
      </c>
      <c r="DC17" s="86" t="e">
        <f>-Inputs!$B$8*Financials!DC16</f>
        <v>#N/A</v>
      </c>
      <c r="DD17" s="86" t="e">
        <f>-Inputs!$B$8*Financials!DD16</f>
        <v>#N/A</v>
      </c>
      <c r="DE17" s="86" t="e">
        <f>-Inputs!$B$8*Financials!DE16</f>
        <v>#N/A</v>
      </c>
      <c r="DF17" s="86" t="e">
        <f>-Inputs!$B$8*Financials!DF16</f>
        <v>#N/A</v>
      </c>
      <c r="DG17" s="86" t="e">
        <f>-Inputs!$B$8*Financials!DG16</f>
        <v>#N/A</v>
      </c>
      <c r="DH17" s="86" t="e">
        <f>-Inputs!$B$8*Financials!DH16</f>
        <v>#N/A</v>
      </c>
      <c r="DI17" s="86" t="e">
        <f>-Inputs!$B$8*Financials!DI16</f>
        <v>#N/A</v>
      </c>
      <c r="DJ17" s="86" t="e">
        <f>-Inputs!$B$8*Financials!DJ16</f>
        <v>#N/A</v>
      </c>
      <c r="DK17" s="86" t="e">
        <f>-Inputs!$B$8*Financials!DK16</f>
        <v>#N/A</v>
      </c>
      <c r="DL17" s="86" t="e">
        <f>-Inputs!$B$8*Financials!DL16</f>
        <v>#N/A</v>
      </c>
      <c r="DM17" s="86" t="e">
        <f>-Inputs!$B$8*Financials!DM16</f>
        <v>#N/A</v>
      </c>
      <c r="DN17" s="87" t="e">
        <f t="shared" ref="DN17:DN18" si="361">SUM(DB17:DM17)</f>
        <v>#N/A</v>
      </c>
      <c r="DO17" s="86" t="e">
        <f>-Inputs!$B$8*Financials!DO16</f>
        <v>#N/A</v>
      </c>
      <c r="DP17" s="86" t="e">
        <f>-Inputs!$B$8*Financials!DP16</f>
        <v>#N/A</v>
      </c>
      <c r="DQ17" s="86" t="e">
        <f>-Inputs!$B$8*Financials!DQ16</f>
        <v>#N/A</v>
      </c>
      <c r="DR17" s="86" t="e">
        <f>-Inputs!$B$8*Financials!DR16</f>
        <v>#N/A</v>
      </c>
      <c r="DS17" s="86" t="e">
        <f>-Inputs!$B$8*Financials!DS16</f>
        <v>#N/A</v>
      </c>
      <c r="DT17" s="86" t="e">
        <f>-Inputs!$B$8*Financials!DT16</f>
        <v>#N/A</v>
      </c>
      <c r="DU17" s="86" t="e">
        <f>-Inputs!$B$8*Financials!DU16</f>
        <v>#N/A</v>
      </c>
      <c r="DV17" s="86" t="e">
        <f>-Inputs!$B$8*Financials!DV16</f>
        <v>#N/A</v>
      </c>
      <c r="DW17" s="86" t="e">
        <f>-Inputs!$B$8*Financials!DW16</f>
        <v>#N/A</v>
      </c>
      <c r="DX17" s="86" t="e">
        <f>-Inputs!$B$8*Financials!DX16</f>
        <v>#N/A</v>
      </c>
      <c r="DY17" s="86" t="e">
        <f>-Inputs!$B$8*Financials!DY16</f>
        <v>#N/A</v>
      </c>
      <c r="DZ17" s="86" t="e">
        <f>-Inputs!$B$8*Financials!DZ16</f>
        <v>#N/A</v>
      </c>
      <c r="EA17" s="87" t="e">
        <f t="shared" ref="EA17:EA18" si="362">SUM(DO17:DZ17)</f>
        <v>#N/A</v>
      </c>
      <c r="EB17" s="86" t="e">
        <f>-Inputs!$B$8*Financials!EB16</f>
        <v>#N/A</v>
      </c>
      <c r="EC17" s="86" t="e">
        <f>-Inputs!$B$8*Financials!EC16</f>
        <v>#N/A</v>
      </c>
      <c r="ED17" s="86" t="e">
        <f>-Inputs!$B$8*Financials!ED16</f>
        <v>#N/A</v>
      </c>
      <c r="EE17" s="86" t="e">
        <f>-Inputs!$B$8*Financials!EE16</f>
        <v>#N/A</v>
      </c>
      <c r="EF17" s="86" t="e">
        <f>-Inputs!$B$8*Financials!EF16</f>
        <v>#N/A</v>
      </c>
      <c r="EG17" s="86" t="e">
        <f>-Inputs!$B$8*Financials!EG16</f>
        <v>#N/A</v>
      </c>
      <c r="EH17" s="86" t="e">
        <f>-Inputs!$B$8*Financials!EH16</f>
        <v>#N/A</v>
      </c>
      <c r="EI17" s="86" t="e">
        <f>-Inputs!$B$8*Financials!EI16</f>
        <v>#N/A</v>
      </c>
      <c r="EJ17" s="86" t="e">
        <f>-Inputs!$B$8*Financials!EJ16</f>
        <v>#N/A</v>
      </c>
      <c r="EK17" s="86" t="e">
        <f>-Inputs!$B$8*Financials!EK16</f>
        <v>#N/A</v>
      </c>
      <c r="EL17" s="86" t="e">
        <f>-Inputs!$B$8*Financials!EL16</f>
        <v>#N/A</v>
      </c>
      <c r="EM17" s="86" t="e">
        <f>-Inputs!$B$8*Financials!EM16</f>
        <v>#N/A</v>
      </c>
      <c r="EN17" s="87" t="e">
        <f t="shared" ref="EN17:EN18" si="363">SUM(EB17:EM17)</f>
        <v>#N/A</v>
      </c>
      <c r="EO17" s="86" t="e">
        <f>-Inputs!$B$8*Financials!EO16</f>
        <v>#N/A</v>
      </c>
      <c r="EP17" s="86" t="e">
        <f>-Inputs!$B$8*Financials!EP16</f>
        <v>#N/A</v>
      </c>
      <c r="EQ17" s="86" t="e">
        <f>-Inputs!$B$8*Financials!EQ16</f>
        <v>#N/A</v>
      </c>
      <c r="ER17" s="86" t="e">
        <f>-Inputs!$B$8*Financials!ER16</f>
        <v>#N/A</v>
      </c>
      <c r="ES17" s="86" t="e">
        <f>-Inputs!$B$8*Financials!ES16</f>
        <v>#N/A</v>
      </c>
      <c r="ET17" s="86" t="e">
        <f>-Inputs!$B$8*Financials!ET16</f>
        <v>#N/A</v>
      </c>
      <c r="EU17" s="86" t="e">
        <f>-Inputs!$B$8*Financials!EU16</f>
        <v>#N/A</v>
      </c>
      <c r="EV17" s="86" t="e">
        <f>-Inputs!$B$8*Financials!EV16</f>
        <v>#N/A</v>
      </c>
      <c r="EW17" s="86" t="e">
        <f>-Inputs!$B$8*Financials!EW16</f>
        <v>#N/A</v>
      </c>
      <c r="EX17" s="86" t="e">
        <f>-Inputs!$B$8*Financials!EX16</f>
        <v>#N/A</v>
      </c>
      <c r="EY17" s="86" t="e">
        <f>-Inputs!$B$8*Financials!EY16</f>
        <v>#N/A</v>
      </c>
      <c r="EZ17" s="86" t="e">
        <f>-Inputs!$B$8*Financials!EZ16</f>
        <v>#N/A</v>
      </c>
      <c r="FA17" s="87" t="e">
        <f t="shared" ref="FA17:FA18" si="364">SUM(EO17:EZ17)</f>
        <v>#N/A</v>
      </c>
      <c r="FB17" s="86" t="e">
        <f>-Inputs!$B$8*Financials!FB16</f>
        <v>#N/A</v>
      </c>
      <c r="FC17" s="86" t="e">
        <f>-Inputs!$B$8*Financials!FC16</f>
        <v>#N/A</v>
      </c>
      <c r="FD17" s="86" t="e">
        <f>-Inputs!$B$8*Financials!FD16</f>
        <v>#N/A</v>
      </c>
      <c r="FE17" s="86" t="e">
        <f>-Inputs!$B$8*Financials!FE16</f>
        <v>#N/A</v>
      </c>
      <c r="FF17" s="86" t="e">
        <f>-Inputs!$B$8*Financials!FF16</f>
        <v>#N/A</v>
      </c>
      <c r="FG17" s="86" t="e">
        <f>-Inputs!$B$8*Financials!FG16</f>
        <v>#N/A</v>
      </c>
      <c r="FH17" s="86" t="e">
        <f>-Inputs!$B$8*Financials!FH16</f>
        <v>#N/A</v>
      </c>
      <c r="FI17" s="86" t="e">
        <f>-Inputs!$B$8*Financials!FI16</f>
        <v>#N/A</v>
      </c>
      <c r="FJ17" s="86" t="e">
        <f>-Inputs!$B$8*Financials!FJ16</f>
        <v>#N/A</v>
      </c>
      <c r="FK17" s="86" t="e">
        <f>-Inputs!$B$8*Financials!FK16</f>
        <v>#N/A</v>
      </c>
      <c r="FL17" s="86" t="e">
        <f>-Inputs!$B$8*Financials!FL16</f>
        <v>#N/A</v>
      </c>
      <c r="FM17" s="86" t="e">
        <f>-Inputs!$B$8*Financials!FM16</f>
        <v>#N/A</v>
      </c>
      <c r="FN17" s="87" t="e">
        <f t="shared" ref="FN17:FN18" si="365">SUM(FB17:FM17)</f>
        <v>#N/A</v>
      </c>
      <c r="FO17" s="86" t="e">
        <f>-Inputs!$B$8*Financials!FO16</f>
        <v>#N/A</v>
      </c>
      <c r="FP17" s="86" t="e">
        <f>-Inputs!$B$8*Financials!FP16</f>
        <v>#N/A</v>
      </c>
      <c r="FQ17" s="86" t="e">
        <f>-Inputs!$B$8*Financials!FQ16</f>
        <v>#N/A</v>
      </c>
      <c r="FR17" s="86" t="e">
        <f>-Inputs!$B$8*Financials!FR16</f>
        <v>#N/A</v>
      </c>
      <c r="FS17" s="86" t="e">
        <f>-Inputs!$B$8*Financials!FS16</f>
        <v>#N/A</v>
      </c>
      <c r="FT17" s="86" t="e">
        <f>-Inputs!$B$8*Financials!FT16</f>
        <v>#N/A</v>
      </c>
      <c r="FU17" s="86" t="e">
        <f>-Inputs!$B$8*Financials!FU16</f>
        <v>#N/A</v>
      </c>
      <c r="FV17" s="86" t="e">
        <f>-Inputs!$B$8*Financials!FV16</f>
        <v>#N/A</v>
      </c>
      <c r="FW17" s="86" t="e">
        <f>-Inputs!$B$8*Financials!FW16</f>
        <v>#N/A</v>
      </c>
      <c r="FX17" s="86" t="e">
        <f>-Inputs!$B$8*Financials!FX16</f>
        <v>#N/A</v>
      </c>
      <c r="FY17" s="86" t="e">
        <f>-Inputs!$B$8*Financials!FY16</f>
        <v>#N/A</v>
      </c>
      <c r="FZ17" s="86" t="e">
        <f>-Inputs!$B$8*Financials!FZ16</f>
        <v>#N/A</v>
      </c>
      <c r="GA17" s="87" t="e">
        <f t="shared" ref="GA17:GA18" si="366">SUM(FO17:FZ17)</f>
        <v>#N/A</v>
      </c>
      <c r="GB17" s="86" t="e">
        <f>-Inputs!$B$8*Financials!GB16</f>
        <v>#N/A</v>
      </c>
      <c r="GC17" s="86" t="e">
        <f>-Inputs!$B$8*Financials!GC16</f>
        <v>#N/A</v>
      </c>
      <c r="GD17" s="86" t="e">
        <f>-Inputs!$B$8*Financials!GD16</f>
        <v>#N/A</v>
      </c>
      <c r="GE17" s="86" t="e">
        <f>-Inputs!$B$8*Financials!GE16</f>
        <v>#N/A</v>
      </c>
      <c r="GF17" s="86" t="e">
        <f>-Inputs!$B$8*Financials!GF16</f>
        <v>#N/A</v>
      </c>
      <c r="GG17" s="86" t="e">
        <f>-Inputs!$B$8*Financials!GG16</f>
        <v>#N/A</v>
      </c>
      <c r="GH17" s="86" t="e">
        <f>-Inputs!$B$8*Financials!GH16</f>
        <v>#N/A</v>
      </c>
      <c r="GI17" s="86" t="e">
        <f>-Inputs!$B$8*Financials!GI16</f>
        <v>#N/A</v>
      </c>
      <c r="GJ17" s="86" t="e">
        <f>-Inputs!$B$8*Financials!GJ16</f>
        <v>#N/A</v>
      </c>
      <c r="GK17" s="86" t="e">
        <f>-Inputs!$B$8*Financials!GK16</f>
        <v>#N/A</v>
      </c>
      <c r="GL17" s="86" t="e">
        <f>-Inputs!$B$8*Financials!GL16</f>
        <v>#N/A</v>
      </c>
      <c r="GM17" s="86" t="e">
        <f>-Inputs!$B$8*Financials!GM16</f>
        <v>#N/A</v>
      </c>
      <c r="GN17" s="87" t="e">
        <f t="shared" ref="GN17:GN18" si="367">SUM(GB17:GM17)</f>
        <v>#N/A</v>
      </c>
      <c r="GO17" s="86" t="e">
        <f>-Inputs!$B$8*Financials!GO16</f>
        <v>#N/A</v>
      </c>
      <c r="GP17" s="86" t="e">
        <f>-Inputs!$B$8*Financials!GP16</f>
        <v>#N/A</v>
      </c>
      <c r="GQ17" s="86" t="e">
        <f>-Inputs!$B$8*Financials!GQ16</f>
        <v>#N/A</v>
      </c>
      <c r="GR17" s="86" t="e">
        <f>-Inputs!$B$8*Financials!GR16</f>
        <v>#N/A</v>
      </c>
      <c r="GS17" s="86" t="e">
        <f>-Inputs!$B$8*Financials!GS16</f>
        <v>#N/A</v>
      </c>
      <c r="GT17" s="86" t="e">
        <f>-Inputs!$B$8*Financials!GT16</f>
        <v>#N/A</v>
      </c>
      <c r="GU17" s="86" t="e">
        <f>-Inputs!$B$8*Financials!GU16</f>
        <v>#N/A</v>
      </c>
      <c r="GV17" s="86" t="e">
        <f>-Inputs!$B$8*Financials!GV16</f>
        <v>#N/A</v>
      </c>
      <c r="GW17" s="86" t="e">
        <f>-Inputs!$B$8*Financials!GW16</f>
        <v>#N/A</v>
      </c>
      <c r="GX17" s="86" t="e">
        <f>-Inputs!$B$8*Financials!GX16</f>
        <v>#N/A</v>
      </c>
      <c r="GY17" s="86" t="e">
        <f>-Inputs!$B$8*Financials!GY16</f>
        <v>#N/A</v>
      </c>
      <c r="GZ17" s="86" t="e">
        <f>-Inputs!$B$8*Financials!GZ16</f>
        <v>#N/A</v>
      </c>
      <c r="HA17" s="87" t="e">
        <f t="shared" ref="HA17:HA18" si="368">SUM(GO17:GZ17)</f>
        <v>#N/A</v>
      </c>
      <c r="HB17" s="86" t="e">
        <f>-Inputs!$B$8*Financials!HB16</f>
        <v>#N/A</v>
      </c>
      <c r="HC17" s="86" t="e">
        <f>-Inputs!$B$8*Financials!HC16</f>
        <v>#N/A</v>
      </c>
      <c r="HD17" s="86" t="e">
        <f>-Inputs!$B$8*Financials!HD16</f>
        <v>#N/A</v>
      </c>
      <c r="HE17" s="86" t="e">
        <f>-Inputs!$B$8*Financials!HE16</f>
        <v>#N/A</v>
      </c>
      <c r="HF17" s="86" t="e">
        <f>-Inputs!$B$8*Financials!HF16</f>
        <v>#N/A</v>
      </c>
      <c r="HG17" s="86" t="e">
        <f>-Inputs!$B$8*Financials!HG16</f>
        <v>#N/A</v>
      </c>
      <c r="HH17" s="86" t="e">
        <f>-Inputs!$B$8*Financials!HH16</f>
        <v>#N/A</v>
      </c>
      <c r="HI17" s="86" t="e">
        <f>-Inputs!$B$8*Financials!HI16</f>
        <v>#N/A</v>
      </c>
      <c r="HJ17" s="86" t="e">
        <f>-Inputs!$B$8*Financials!HJ16</f>
        <v>#N/A</v>
      </c>
      <c r="HK17" s="86" t="e">
        <f>-Inputs!$B$8*Financials!HK16</f>
        <v>#N/A</v>
      </c>
      <c r="HL17" s="86" t="e">
        <f>-Inputs!$B$8*Financials!HL16</f>
        <v>#N/A</v>
      </c>
      <c r="HM17" s="86" t="e">
        <f>-Inputs!$B$8*Financials!HM16</f>
        <v>#N/A</v>
      </c>
      <c r="HN17" s="87" t="e">
        <f t="shared" ref="HN17:HN18" si="369">SUM(HB17:HM17)</f>
        <v>#N/A</v>
      </c>
      <c r="HO17" s="86" t="e">
        <f>-Inputs!$B$8*Financials!HO16</f>
        <v>#N/A</v>
      </c>
      <c r="HP17" s="86" t="e">
        <f>-Inputs!$B$8*Financials!HP16</f>
        <v>#N/A</v>
      </c>
      <c r="HQ17" s="86" t="e">
        <f>-Inputs!$B$8*Financials!HQ16</f>
        <v>#N/A</v>
      </c>
      <c r="HR17" s="86" t="e">
        <f>-Inputs!$B$8*Financials!HR16</f>
        <v>#N/A</v>
      </c>
      <c r="HS17" s="86" t="e">
        <f>-Inputs!$B$8*Financials!HS16</f>
        <v>#N/A</v>
      </c>
      <c r="HT17" s="86" t="e">
        <f>-Inputs!$B$8*Financials!HT16</f>
        <v>#N/A</v>
      </c>
      <c r="HU17" s="86" t="e">
        <f>-Inputs!$B$8*Financials!HU16</f>
        <v>#N/A</v>
      </c>
      <c r="HV17" s="86" t="e">
        <f>-Inputs!$B$8*Financials!HV16</f>
        <v>#N/A</v>
      </c>
      <c r="HW17" s="86" t="e">
        <f>-Inputs!$B$8*Financials!HW16</f>
        <v>#N/A</v>
      </c>
      <c r="HX17" s="86" t="e">
        <f>-Inputs!$B$8*Financials!HX16</f>
        <v>#N/A</v>
      </c>
      <c r="HY17" s="86" t="e">
        <f>-Inputs!$B$8*Financials!HY16</f>
        <v>#N/A</v>
      </c>
      <c r="HZ17" s="86" t="e">
        <f>-Inputs!$B$8*Financials!HZ16</f>
        <v>#N/A</v>
      </c>
      <c r="IA17" s="87" t="e">
        <f t="shared" ref="IA17:IA18" si="370">SUM(HO17:HZ17)</f>
        <v>#N/A</v>
      </c>
      <c r="IB17" s="86" t="e">
        <f>-Inputs!$B$8*Financials!IB16</f>
        <v>#N/A</v>
      </c>
      <c r="IC17" s="86" t="e">
        <f>-Inputs!$B$8*Financials!IC16</f>
        <v>#N/A</v>
      </c>
      <c r="ID17" s="86" t="e">
        <f>-Inputs!$B$8*Financials!ID16</f>
        <v>#N/A</v>
      </c>
      <c r="IE17" s="86" t="e">
        <f>-Inputs!$B$8*Financials!IE16</f>
        <v>#N/A</v>
      </c>
      <c r="IF17" s="86" t="e">
        <f>-Inputs!$B$8*Financials!IF16</f>
        <v>#N/A</v>
      </c>
      <c r="IG17" s="86" t="e">
        <f>-Inputs!$B$8*Financials!IG16</f>
        <v>#N/A</v>
      </c>
      <c r="IH17" s="86" t="e">
        <f>-Inputs!$B$8*Financials!IH16</f>
        <v>#N/A</v>
      </c>
      <c r="II17" s="86" t="e">
        <f>-Inputs!$B$8*Financials!II16</f>
        <v>#N/A</v>
      </c>
      <c r="IJ17" s="86" t="e">
        <f>-Inputs!$B$8*Financials!IJ16</f>
        <v>#N/A</v>
      </c>
      <c r="IK17" s="86" t="e">
        <f>-Inputs!$B$8*Financials!IK16</f>
        <v>#N/A</v>
      </c>
      <c r="IL17" s="86" t="e">
        <f>-Inputs!$B$8*Financials!IL16</f>
        <v>#N/A</v>
      </c>
      <c r="IM17" s="86" t="e">
        <f>-Inputs!$B$8*Financials!IM16</f>
        <v>#N/A</v>
      </c>
      <c r="IN17" s="87" t="e">
        <f t="shared" ref="IN17:IN18" si="371">SUM(IB17:IM17)</f>
        <v>#N/A</v>
      </c>
      <c r="IO17" s="86" t="e">
        <f>-Inputs!$B$8*Financials!IO16</f>
        <v>#N/A</v>
      </c>
      <c r="IP17" s="86" t="e">
        <f>-Inputs!$B$8*Financials!IP16</f>
        <v>#N/A</v>
      </c>
      <c r="IQ17" s="86" t="e">
        <f>-Inputs!$B$8*Financials!IQ16</f>
        <v>#N/A</v>
      </c>
      <c r="IR17" s="86" t="e">
        <f>-Inputs!$B$8*Financials!IR16</f>
        <v>#N/A</v>
      </c>
      <c r="IS17" s="86" t="e">
        <f>-Inputs!$B$8*Financials!IS16</f>
        <v>#N/A</v>
      </c>
      <c r="IT17" s="86" t="e">
        <f>-Inputs!$B$8*Financials!IT16</f>
        <v>#N/A</v>
      </c>
      <c r="IU17" s="86" t="e">
        <f>-Inputs!$B$8*Financials!IU16</f>
        <v>#N/A</v>
      </c>
      <c r="IV17" s="86" t="e">
        <f>-Inputs!$B$8*Financials!IV16</f>
        <v>#N/A</v>
      </c>
      <c r="IW17" s="86" t="e">
        <f>-Inputs!$B$8*Financials!IW16</f>
        <v>#N/A</v>
      </c>
      <c r="IX17" s="86" t="e">
        <f>-Inputs!$B$8*Financials!IX16</f>
        <v>#N/A</v>
      </c>
      <c r="IY17" s="86" t="e">
        <f>-Inputs!$B$8*Financials!IY16</f>
        <v>#N/A</v>
      </c>
      <c r="IZ17" s="86" t="e">
        <f>-Inputs!$B$8*Financials!IZ16</f>
        <v>#N/A</v>
      </c>
      <c r="JA17" s="87" t="e">
        <f t="shared" ref="JA17:JA18" si="372">SUM(IO17:IZ17)</f>
        <v>#N/A</v>
      </c>
      <c r="JB17" s="86" t="e">
        <f>-Inputs!$B$8*Financials!JB16</f>
        <v>#N/A</v>
      </c>
      <c r="JC17" s="86" t="e">
        <f>-Inputs!$B$8*Financials!JC16</f>
        <v>#N/A</v>
      </c>
      <c r="JD17" s="86" t="e">
        <f>-Inputs!$B$8*Financials!JD16</f>
        <v>#N/A</v>
      </c>
      <c r="JE17" s="86" t="e">
        <f>-Inputs!$B$8*Financials!JE16</f>
        <v>#N/A</v>
      </c>
      <c r="JF17" s="86" t="e">
        <f>-Inputs!$B$8*Financials!JF16</f>
        <v>#N/A</v>
      </c>
      <c r="JG17" s="86" t="e">
        <f>-Inputs!$B$8*Financials!JG16</f>
        <v>#N/A</v>
      </c>
      <c r="JH17" s="86" t="e">
        <f>-Inputs!$B$8*Financials!JH16</f>
        <v>#N/A</v>
      </c>
      <c r="JI17" s="86" t="e">
        <f>-Inputs!$B$8*Financials!JI16</f>
        <v>#N/A</v>
      </c>
      <c r="JJ17" s="86" t="e">
        <f>-Inputs!$B$8*Financials!JJ16</f>
        <v>#N/A</v>
      </c>
      <c r="JK17" s="86" t="e">
        <f>-Inputs!$B$8*Financials!JK16</f>
        <v>#N/A</v>
      </c>
      <c r="JL17" s="86" t="e">
        <f>-Inputs!$B$8*Financials!JL16</f>
        <v>#N/A</v>
      </c>
      <c r="JM17" s="86" t="e">
        <f>-Inputs!$B$8*Financials!JM16</f>
        <v>#N/A</v>
      </c>
      <c r="JN17" s="87" t="e">
        <f t="shared" ref="JN17:JN18" si="373">SUM(JB17:JM17)</f>
        <v>#N/A</v>
      </c>
      <c r="JO17" s="86" t="e">
        <f>-Inputs!$B$8*Financials!JO16</f>
        <v>#N/A</v>
      </c>
      <c r="JP17" s="86" t="e">
        <f>-Inputs!$B$8*Financials!JP16</f>
        <v>#N/A</v>
      </c>
      <c r="JQ17" s="86" t="e">
        <f>-Inputs!$B$8*Financials!JQ16</f>
        <v>#N/A</v>
      </c>
      <c r="JR17" s="86" t="e">
        <f>-Inputs!$B$8*Financials!JR16</f>
        <v>#N/A</v>
      </c>
      <c r="JS17" s="86" t="e">
        <f>-Inputs!$B$8*Financials!JS16</f>
        <v>#N/A</v>
      </c>
      <c r="JT17" s="86" t="e">
        <f>-Inputs!$B$8*Financials!JT16</f>
        <v>#N/A</v>
      </c>
      <c r="JU17" s="86" t="e">
        <f>-Inputs!$B$8*Financials!JU16</f>
        <v>#N/A</v>
      </c>
      <c r="JV17" s="86" t="e">
        <f>-Inputs!$B$8*Financials!JV16</f>
        <v>#N/A</v>
      </c>
      <c r="JW17" s="86" t="e">
        <f>-Inputs!$B$8*Financials!JW16</f>
        <v>#N/A</v>
      </c>
      <c r="JX17" s="86" t="e">
        <f>-Inputs!$B$8*Financials!JX16</f>
        <v>#N/A</v>
      </c>
      <c r="JY17" s="86" t="e">
        <f>-Inputs!$B$8*Financials!JY16</f>
        <v>#N/A</v>
      </c>
      <c r="JZ17" s="86" t="e">
        <f>-Inputs!$B$8*Financials!JZ16</f>
        <v>#N/A</v>
      </c>
      <c r="KA17" s="87" t="e">
        <f t="shared" ref="KA17:KA18" si="374">SUM(JO17:JZ17)</f>
        <v>#N/A</v>
      </c>
      <c r="KB17" s="86" t="e">
        <f>-Inputs!$B$8*Financials!KB16</f>
        <v>#N/A</v>
      </c>
      <c r="KC17" s="86" t="e">
        <f>-Inputs!$B$8*Financials!KC16</f>
        <v>#N/A</v>
      </c>
      <c r="KD17" s="86" t="e">
        <f>-Inputs!$B$8*Financials!KD16</f>
        <v>#N/A</v>
      </c>
      <c r="KE17" s="86" t="e">
        <f>-Inputs!$B$8*Financials!KE16</f>
        <v>#N/A</v>
      </c>
      <c r="KF17" s="86" t="e">
        <f>-Inputs!$B$8*Financials!KF16</f>
        <v>#N/A</v>
      </c>
      <c r="KG17" s="86" t="e">
        <f>-Inputs!$B$8*Financials!KG16</f>
        <v>#N/A</v>
      </c>
      <c r="KH17" s="86" t="e">
        <f>-Inputs!$B$8*Financials!KH16</f>
        <v>#N/A</v>
      </c>
      <c r="KI17" s="86" t="e">
        <f>-Inputs!$B$8*Financials!KI16</f>
        <v>#N/A</v>
      </c>
      <c r="KJ17" s="86" t="e">
        <f>-Inputs!$B$8*Financials!KJ16</f>
        <v>#N/A</v>
      </c>
      <c r="KK17" s="86" t="e">
        <f>-Inputs!$B$8*Financials!KK16</f>
        <v>#N/A</v>
      </c>
      <c r="KL17" s="86" t="e">
        <f>-Inputs!$B$8*Financials!KL16</f>
        <v>#N/A</v>
      </c>
      <c r="KM17" s="86" t="e">
        <f>-Inputs!$B$8*Financials!KM16</f>
        <v>#N/A</v>
      </c>
      <c r="KN17" s="87" t="e">
        <f t="shared" ref="KN17:KN18" si="375">SUM(KB17:KM17)</f>
        <v>#N/A</v>
      </c>
      <c r="KO17" s="86" t="e">
        <f>-Inputs!$B$8*Financials!KO16</f>
        <v>#N/A</v>
      </c>
      <c r="KP17" s="86" t="e">
        <f>-Inputs!$B$8*Financials!KP16</f>
        <v>#N/A</v>
      </c>
      <c r="KQ17" s="86" t="e">
        <f>-Inputs!$B$8*Financials!KQ16</f>
        <v>#N/A</v>
      </c>
      <c r="KR17" s="86" t="e">
        <f>-Inputs!$B$8*Financials!KR16</f>
        <v>#N/A</v>
      </c>
      <c r="KS17" s="86" t="e">
        <f>-Inputs!$B$8*Financials!KS16</f>
        <v>#N/A</v>
      </c>
      <c r="KT17" s="86" t="e">
        <f>-Inputs!$B$8*Financials!KT16</f>
        <v>#N/A</v>
      </c>
      <c r="KU17" s="86" t="e">
        <f>-Inputs!$B$8*Financials!KU16</f>
        <v>#N/A</v>
      </c>
      <c r="KV17" s="86" t="e">
        <f>-Inputs!$B$8*Financials!KV16</f>
        <v>#N/A</v>
      </c>
      <c r="KW17" s="86" t="e">
        <f>-Inputs!$B$8*Financials!KW16</f>
        <v>#N/A</v>
      </c>
      <c r="KX17" s="86" t="e">
        <f>-Inputs!$B$8*Financials!KX16</f>
        <v>#N/A</v>
      </c>
      <c r="KY17" s="86" t="e">
        <f>-Inputs!$B$8*Financials!KY16</f>
        <v>#N/A</v>
      </c>
      <c r="KZ17" s="86" t="e">
        <f>-Inputs!$B$8*Financials!KZ16</f>
        <v>#N/A</v>
      </c>
      <c r="LA17" s="87" t="e">
        <f t="shared" ref="LA17:LA18" si="376">SUM(KO17:KZ17)</f>
        <v>#N/A</v>
      </c>
      <c r="LB17" s="86" t="e">
        <f>-Inputs!$B$8*Financials!LB16</f>
        <v>#N/A</v>
      </c>
      <c r="LC17" s="86" t="e">
        <f>-Inputs!$B$8*Financials!LC16</f>
        <v>#N/A</v>
      </c>
      <c r="LD17" s="86" t="e">
        <f>-Inputs!$B$8*Financials!LD16</f>
        <v>#N/A</v>
      </c>
      <c r="LE17" s="86" t="e">
        <f>-Inputs!$B$8*Financials!LE16</f>
        <v>#N/A</v>
      </c>
      <c r="LF17" s="86" t="e">
        <f>-Inputs!$B$8*Financials!LF16</f>
        <v>#N/A</v>
      </c>
      <c r="LG17" s="86" t="e">
        <f>-Inputs!$B$8*Financials!LG16</f>
        <v>#N/A</v>
      </c>
      <c r="LH17" s="86" t="e">
        <f>-Inputs!$B$8*Financials!LH16</f>
        <v>#N/A</v>
      </c>
      <c r="LI17" s="86" t="e">
        <f>-Inputs!$B$8*Financials!LI16</f>
        <v>#N/A</v>
      </c>
      <c r="LJ17" s="86" t="e">
        <f>-Inputs!$B$8*Financials!LJ16</f>
        <v>#N/A</v>
      </c>
      <c r="LK17" s="86" t="e">
        <f>-Inputs!$B$8*Financials!LK16</f>
        <v>#N/A</v>
      </c>
      <c r="LL17" s="86" t="e">
        <f>-Inputs!$B$8*Financials!LL16</f>
        <v>#N/A</v>
      </c>
      <c r="LM17" s="86" t="e">
        <f>-Inputs!$B$8*Financials!LM16</f>
        <v>#N/A</v>
      </c>
      <c r="LN17" s="87" t="e">
        <f t="shared" ref="LN17:LN18" si="377">SUM(LB17:LM17)</f>
        <v>#N/A</v>
      </c>
      <c r="LO17" s="86" t="e">
        <f>-Inputs!$B$8*Financials!LO16</f>
        <v>#N/A</v>
      </c>
      <c r="LP17" s="86" t="e">
        <f>-Inputs!$B$8*Financials!LP16</f>
        <v>#N/A</v>
      </c>
      <c r="LQ17" s="86" t="e">
        <f>-Inputs!$B$8*Financials!LQ16</f>
        <v>#N/A</v>
      </c>
      <c r="LR17" s="86" t="e">
        <f>-Inputs!$B$8*Financials!LR16</f>
        <v>#N/A</v>
      </c>
      <c r="LS17" s="86" t="e">
        <f>-Inputs!$B$8*Financials!LS16</f>
        <v>#N/A</v>
      </c>
      <c r="LT17" s="86" t="e">
        <f>-Inputs!$B$8*Financials!LT16</f>
        <v>#N/A</v>
      </c>
      <c r="LU17" s="86" t="e">
        <f>-Inputs!$B$8*Financials!LU16</f>
        <v>#N/A</v>
      </c>
      <c r="LV17" s="86" t="e">
        <f>-Inputs!$B$8*Financials!LV16</f>
        <v>#N/A</v>
      </c>
      <c r="LW17" s="86" t="e">
        <f>-Inputs!$B$8*Financials!LW16</f>
        <v>#N/A</v>
      </c>
      <c r="LX17" s="86" t="e">
        <f>-Inputs!$B$8*Financials!LX16</f>
        <v>#N/A</v>
      </c>
      <c r="LY17" s="86" t="e">
        <f>-Inputs!$B$8*Financials!LY16</f>
        <v>#N/A</v>
      </c>
      <c r="LZ17" s="86" t="e">
        <f>-Inputs!$B$8*Financials!LZ16</f>
        <v>#N/A</v>
      </c>
      <c r="MA17" s="87" t="e">
        <f t="shared" ref="MA17:MA18" si="378">SUM(LO17:LZ17)</f>
        <v>#N/A</v>
      </c>
      <c r="MB17" s="86" t="e">
        <f>-Inputs!$B$8*Financials!MB16</f>
        <v>#N/A</v>
      </c>
      <c r="MC17" s="86" t="e">
        <f>-Inputs!$B$8*Financials!MC16</f>
        <v>#N/A</v>
      </c>
      <c r="MD17" s="86" t="e">
        <f>-Inputs!$B$8*Financials!MD16</f>
        <v>#N/A</v>
      </c>
      <c r="ME17" s="86" t="e">
        <f>-Inputs!$B$8*Financials!ME16</f>
        <v>#N/A</v>
      </c>
      <c r="MF17" s="86" t="e">
        <f>-Inputs!$B$8*Financials!MF16</f>
        <v>#N/A</v>
      </c>
      <c r="MG17" s="86" t="e">
        <f>-Inputs!$B$8*Financials!MG16</f>
        <v>#N/A</v>
      </c>
      <c r="MH17" s="86" t="e">
        <f>-Inputs!$B$8*Financials!MH16</f>
        <v>#N/A</v>
      </c>
      <c r="MI17" s="86" t="e">
        <f>-Inputs!$B$8*Financials!MI16</f>
        <v>#N/A</v>
      </c>
      <c r="MJ17" s="86" t="e">
        <f>-Inputs!$B$8*Financials!MJ16</f>
        <v>#N/A</v>
      </c>
      <c r="MK17" s="86" t="e">
        <f>-Inputs!$B$8*Financials!MK16</f>
        <v>#N/A</v>
      </c>
      <c r="ML17" s="86" t="e">
        <f>-Inputs!$B$8*Financials!ML16</f>
        <v>#N/A</v>
      </c>
      <c r="MM17" s="86" t="e">
        <f>-Inputs!$B$8*Financials!MM16</f>
        <v>#N/A</v>
      </c>
      <c r="MN17" s="87" t="e">
        <f t="shared" ref="MN17:MN18" si="379">SUM(MB17:MM17)</f>
        <v>#N/A</v>
      </c>
      <c r="MO17" s="86" t="e">
        <f>-Inputs!$B$8*Financials!MO16</f>
        <v>#N/A</v>
      </c>
      <c r="MP17" s="86" t="e">
        <f>-Inputs!$B$8*Financials!MP16</f>
        <v>#N/A</v>
      </c>
      <c r="MQ17" s="86" t="e">
        <f>-Inputs!$B$8*Financials!MQ16</f>
        <v>#N/A</v>
      </c>
      <c r="MR17" s="86" t="e">
        <f>-Inputs!$B$8*Financials!MR16</f>
        <v>#N/A</v>
      </c>
      <c r="MS17" s="86" t="e">
        <f>-Inputs!$B$8*Financials!MS16</f>
        <v>#N/A</v>
      </c>
      <c r="MT17" s="86" t="e">
        <f>-Inputs!$B$8*Financials!MT16</f>
        <v>#N/A</v>
      </c>
      <c r="MU17" s="86" t="e">
        <f>-Inputs!$B$8*Financials!MU16</f>
        <v>#N/A</v>
      </c>
      <c r="MV17" s="86" t="e">
        <f>-Inputs!$B$8*Financials!MV16</f>
        <v>#N/A</v>
      </c>
      <c r="MW17" s="86" t="e">
        <f>-Inputs!$B$8*Financials!MW16</f>
        <v>#N/A</v>
      </c>
      <c r="MX17" s="86" t="e">
        <f>-Inputs!$B$8*Financials!MX16</f>
        <v>#N/A</v>
      </c>
      <c r="MY17" s="86" t="e">
        <f>-Inputs!$B$8*Financials!MY16</f>
        <v>#N/A</v>
      </c>
      <c r="MZ17" s="86" t="e">
        <f>-Inputs!$B$8*Financials!MZ16</f>
        <v>#N/A</v>
      </c>
      <c r="NA17" s="87" t="e">
        <f t="shared" ref="NA17:NA18" si="380">SUM(MO17:MZ17)</f>
        <v>#N/A</v>
      </c>
      <c r="NB17" s="86" t="e">
        <f>-Inputs!$B$8*Financials!NB16</f>
        <v>#N/A</v>
      </c>
      <c r="NC17" s="86" t="e">
        <f>-Inputs!$B$8*Financials!NC16</f>
        <v>#N/A</v>
      </c>
      <c r="ND17" s="86" t="e">
        <f>-Inputs!$B$8*Financials!ND16</f>
        <v>#N/A</v>
      </c>
      <c r="NE17" s="86" t="e">
        <f>-Inputs!$B$8*Financials!NE16</f>
        <v>#N/A</v>
      </c>
      <c r="NF17" s="86" t="e">
        <f>-Inputs!$B$8*Financials!NF16</f>
        <v>#N/A</v>
      </c>
      <c r="NG17" s="86" t="e">
        <f>-Inputs!$B$8*Financials!NG16</f>
        <v>#N/A</v>
      </c>
      <c r="NH17" s="86" t="e">
        <f>-Inputs!$B$8*Financials!NH16</f>
        <v>#N/A</v>
      </c>
      <c r="NI17" s="86" t="e">
        <f>-Inputs!$B$8*Financials!NI16</f>
        <v>#N/A</v>
      </c>
      <c r="NJ17" s="86" t="e">
        <f>-Inputs!$B$8*Financials!NJ16</f>
        <v>#N/A</v>
      </c>
      <c r="NK17" s="86" t="e">
        <f>-Inputs!$B$8*Financials!NK16</f>
        <v>#N/A</v>
      </c>
      <c r="NL17" s="86" t="e">
        <f>-Inputs!$B$8*Financials!NL16</f>
        <v>#N/A</v>
      </c>
      <c r="NM17" s="86" t="e">
        <f>-Inputs!$B$8*Financials!NM16</f>
        <v>#N/A</v>
      </c>
      <c r="NN17" s="87" t="e">
        <f t="shared" ref="NN17:NN18" si="381">SUM(NB17:NM17)</f>
        <v>#N/A</v>
      </c>
      <c r="NO17" s="86" t="e">
        <f>-Inputs!$B$8*Financials!NO16</f>
        <v>#N/A</v>
      </c>
      <c r="NP17" s="86" t="e">
        <f>-Inputs!$B$8*Financials!NP16</f>
        <v>#N/A</v>
      </c>
      <c r="NQ17" s="86" t="e">
        <f>-Inputs!$B$8*Financials!NQ16</f>
        <v>#N/A</v>
      </c>
      <c r="NR17" s="86" t="e">
        <f>-Inputs!$B$8*Financials!NR16</f>
        <v>#N/A</v>
      </c>
      <c r="NS17" s="86" t="e">
        <f>-Inputs!$B$8*Financials!NS16</f>
        <v>#N/A</v>
      </c>
      <c r="NT17" s="86" t="e">
        <f>-Inputs!$B$8*Financials!NT16</f>
        <v>#N/A</v>
      </c>
      <c r="NU17" s="86" t="e">
        <f>-Inputs!$B$8*Financials!NU16</f>
        <v>#N/A</v>
      </c>
      <c r="NV17" s="86" t="e">
        <f>-Inputs!$B$8*Financials!NV16</f>
        <v>#N/A</v>
      </c>
      <c r="NW17" s="86" t="e">
        <f>-Inputs!$B$8*Financials!NW16</f>
        <v>#N/A</v>
      </c>
      <c r="NX17" s="86" t="e">
        <f>-Inputs!$B$8*Financials!NX16</f>
        <v>#N/A</v>
      </c>
      <c r="NY17" s="86" t="e">
        <f>-Inputs!$B$8*Financials!NY16</f>
        <v>#N/A</v>
      </c>
      <c r="NZ17" s="86" t="e">
        <f>-Inputs!$B$8*Financials!NZ16</f>
        <v>#N/A</v>
      </c>
      <c r="OA17" s="87" t="e">
        <f t="shared" ref="OA17:OA18" si="382">SUM(NO17:NZ17)</f>
        <v>#N/A</v>
      </c>
      <c r="OB17" s="86" t="e">
        <f>-Inputs!$B$8*Financials!OB16</f>
        <v>#N/A</v>
      </c>
      <c r="OC17" s="86" t="e">
        <f>-Inputs!$B$8*Financials!OC16</f>
        <v>#N/A</v>
      </c>
      <c r="OD17" s="86" t="e">
        <f>-Inputs!$B$8*Financials!OD16</f>
        <v>#N/A</v>
      </c>
      <c r="OE17" s="86" t="e">
        <f>-Inputs!$B$8*Financials!OE16</f>
        <v>#N/A</v>
      </c>
      <c r="OF17" s="86" t="e">
        <f>-Inputs!$B$8*Financials!OF16</f>
        <v>#N/A</v>
      </c>
      <c r="OG17" s="86" t="e">
        <f>-Inputs!$B$8*Financials!OG16</f>
        <v>#N/A</v>
      </c>
      <c r="OH17" s="86" t="e">
        <f>-Inputs!$B$8*Financials!OH16</f>
        <v>#N/A</v>
      </c>
      <c r="OI17" s="86" t="e">
        <f>-Inputs!$B$8*Financials!OI16</f>
        <v>#N/A</v>
      </c>
      <c r="OJ17" s="86" t="e">
        <f>-Inputs!$B$8*Financials!OJ16</f>
        <v>#N/A</v>
      </c>
      <c r="OK17" s="86" t="e">
        <f>-Inputs!$B$8*Financials!OK16</f>
        <v>#N/A</v>
      </c>
      <c r="OL17" s="86" t="e">
        <f>-Inputs!$B$8*Financials!OL16</f>
        <v>#N/A</v>
      </c>
      <c r="OM17" s="86" t="e">
        <f>-Inputs!$B$8*Financials!OM16</f>
        <v>#N/A</v>
      </c>
      <c r="ON17" s="87" t="e">
        <f t="shared" ref="ON17:ON18" si="383">SUM(OB17:OM17)</f>
        <v>#N/A</v>
      </c>
      <c r="OO17" s="86" t="e">
        <f>-Inputs!$B$8*Financials!OO16</f>
        <v>#N/A</v>
      </c>
      <c r="OP17" s="86" t="e">
        <f>-Inputs!$B$8*Financials!OP16</f>
        <v>#N/A</v>
      </c>
      <c r="OQ17" s="86" t="e">
        <f>-Inputs!$B$8*Financials!OQ16</f>
        <v>#N/A</v>
      </c>
      <c r="OR17" s="86" t="e">
        <f>-Inputs!$B$8*Financials!OR16</f>
        <v>#N/A</v>
      </c>
      <c r="OS17" s="86" t="e">
        <f>-Inputs!$B$8*Financials!OS16</f>
        <v>#N/A</v>
      </c>
      <c r="OT17" s="86" t="e">
        <f>-Inputs!$B$8*Financials!OT16</f>
        <v>#N/A</v>
      </c>
      <c r="OU17" s="86" t="e">
        <f>-Inputs!$B$8*Financials!OU16</f>
        <v>#N/A</v>
      </c>
      <c r="OV17" s="86" t="e">
        <f>-Inputs!$B$8*Financials!OV16</f>
        <v>#N/A</v>
      </c>
      <c r="OW17" s="86" t="e">
        <f>-Inputs!$B$8*Financials!OW16</f>
        <v>#N/A</v>
      </c>
      <c r="OX17" s="86" t="e">
        <f>-Inputs!$B$8*Financials!OX16</f>
        <v>#N/A</v>
      </c>
      <c r="OY17" s="86" t="e">
        <f>-Inputs!$B$8*Financials!OY16</f>
        <v>#N/A</v>
      </c>
      <c r="OZ17" s="86" t="e">
        <f>-Inputs!$B$8*Financials!OZ16</f>
        <v>#N/A</v>
      </c>
      <c r="PA17" s="87" t="e">
        <f t="shared" ref="PA17:PA18" si="384">SUM(OO17:OZ17)</f>
        <v>#N/A</v>
      </c>
      <c r="PB17" s="86" t="e">
        <f>-Inputs!$B$8*Financials!PB16</f>
        <v>#N/A</v>
      </c>
      <c r="PC17" s="86" t="e">
        <f>-Inputs!$B$8*Financials!PC16</f>
        <v>#N/A</v>
      </c>
      <c r="PD17" s="86" t="e">
        <f>-Inputs!$B$8*Financials!PD16</f>
        <v>#N/A</v>
      </c>
      <c r="PE17" s="86" t="e">
        <f>-Inputs!$B$8*Financials!PE16</f>
        <v>#N/A</v>
      </c>
      <c r="PF17" s="86" t="e">
        <f>-Inputs!$B$8*Financials!PF16</f>
        <v>#N/A</v>
      </c>
      <c r="PG17" s="86" t="e">
        <f>-Inputs!$B$8*Financials!PG16</f>
        <v>#N/A</v>
      </c>
      <c r="PH17" s="86" t="e">
        <f>-Inputs!$B$8*Financials!PH16</f>
        <v>#N/A</v>
      </c>
      <c r="PI17" s="86" t="e">
        <f>-Inputs!$B$8*Financials!PI16</f>
        <v>#N/A</v>
      </c>
      <c r="PJ17" s="86" t="e">
        <f>-Inputs!$B$8*Financials!PJ16</f>
        <v>#N/A</v>
      </c>
      <c r="PK17" s="86" t="e">
        <f>-Inputs!$B$8*Financials!PK16</f>
        <v>#N/A</v>
      </c>
      <c r="PL17" s="86" t="e">
        <f>-Inputs!$B$8*Financials!PL16</f>
        <v>#N/A</v>
      </c>
      <c r="PM17" s="86" t="e">
        <f>-Inputs!$B$8*Financials!PM16</f>
        <v>#N/A</v>
      </c>
      <c r="PN17" s="87" t="e">
        <f t="shared" ref="PN17:PN18" si="385">SUM(PB17:PM17)</f>
        <v>#N/A</v>
      </c>
      <c r="PO17" s="86" t="e">
        <f>-Inputs!$B$8*Financials!PO16</f>
        <v>#N/A</v>
      </c>
      <c r="PP17" s="86" t="e">
        <f>-Inputs!$B$8*Financials!PP16</f>
        <v>#N/A</v>
      </c>
      <c r="PQ17" s="86" t="e">
        <f>-Inputs!$B$8*Financials!PQ16</f>
        <v>#N/A</v>
      </c>
      <c r="PR17" s="86" t="e">
        <f>-Inputs!$B$8*Financials!PR16</f>
        <v>#N/A</v>
      </c>
      <c r="PS17" s="86" t="e">
        <f>-Inputs!$B$8*Financials!PS16</f>
        <v>#N/A</v>
      </c>
      <c r="PT17" s="86" t="e">
        <f>-Inputs!$B$8*Financials!PT16</f>
        <v>#N/A</v>
      </c>
      <c r="PU17" s="86" t="e">
        <f>-Inputs!$B$8*Financials!PU16</f>
        <v>#N/A</v>
      </c>
      <c r="PV17" s="86" t="e">
        <f>-Inputs!$B$8*Financials!PV16</f>
        <v>#N/A</v>
      </c>
      <c r="PW17" s="86" t="e">
        <f>-Inputs!$B$8*Financials!PW16</f>
        <v>#N/A</v>
      </c>
      <c r="PX17" s="86" t="e">
        <f>-Inputs!$B$8*Financials!PX16</f>
        <v>#N/A</v>
      </c>
      <c r="PY17" s="86" t="e">
        <f>-Inputs!$B$8*Financials!PY16</f>
        <v>#N/A</v>
      </c>
      <c r="PZ17" s="86" t="e">
        <f>-Inputs!$B$8*Financials!PZ16</f>
        <v>#N/A</v>
      </c>
      <c r="QA17" s="87" t="e">
        <f t="shared" ref="QA17:QA18" si="386">SUM(PO17:PZ17)</f>
        <v>#N/A</v>
      </c>
      <c r="QB17" s="86" t="e">
        <f>-Inputs!$B$8*Financials!QB16</f>
        <v>#N/A</v>
      </c>
      <c r="QC17" s="86" t="e">
        <f>-Inputs!$B$8*Financials!QC16</f>
        <v>#N/A</v>
      </c>
      <c r="QD17" s="86" t="e">
        <f>-Inputs!$B$8*Financials!QD16</f>
        <v>#N/A</v>
      </c>
      <c r="QE17" s="86" t="e">
        <f>-Inputs!$B$8*Financials!QE16</f>
        <v>#N/A</v>
      </c>
      <c r="QF17" s="86" t="e">
        <f>-Inputs!$B$8*Financials!QF16</f>
        <v>#N/A</v>
      </c>
      <c r="QG17" s="86" t="e">
        <f>-Inputs!$B$8*Financials!QG16</f>
        <v>#N/A</v>
      </c>
      <c r="QH17" s="86" t="e">
        <f>-Inputs!$B$8*Financials!QH16</f>
        <v>#N/A</v>
      </c>
      <c r="QI17" s="86" t="e">
        <f>-Inputs!$B$8*Financials!QI16</f>
        <v>#N/A</v>
      </c>
      <c r="QJ17" s="86" t="e">
        <f>-Inputs!$B$8*Financials!QJ16</f>
        <v>#N/A</v>
      </c>
      <c r="QK17" s="86" t="e">
        <f>-Inputs!$B$8*Financials!QK16</f>
        <v>#N/A</v>
      </c>
      <c r="QL17" s="86" t="e">
        <f>-Inputs!$B$8*Financials!QL16</f>
        <v>#N/A</v>
      </c>
      <c r="QM17" s="86" t="e">
        <f>-Inputs!$B$8*Financials!QM16</f>
        <v>#N/A</v>
      </c>
      <c r="QN17" s="87" t="e">
        <f t="shared" ref="QN17:QN18" si="387">SUM(QB17:QM17)</f>
        <v>#N/A</v>
      </c>
      <c r="QO17" s="86" t="e">
        <f>-Inputs!$B$8*Financials!QO16</f>
        <v>#N/A</v>
      </c>
      <c r="QP17" s="86" t="e">
        <f>-Inputs!$B$8*Financials!QP16</f>
        <v>#N/A</v>
      </c>
      <c r="QQ17" s="86" t="e">
        <f>-Inputs!$B$8*Financials!QQ16</f>
        <v>#N/A</v>
      </c>
      <c r="QR17" s="86" t="e">
        <f>-Inputs!$B$8*Financials!QR16</f>
        <v>#N/A</v>
      </c>
      <c r="QS17" s="86" t="e">
        <f>-Inputs!$B$8*Financials!QS16</f>
        <v>#N/A</v>
      </c>
      <c r="QT17" s="86" t="e">
        <f>-Inputs!$B$8*Financials!QT16</f>
        <v>#N/A</v>
      </c>
      <c r="QU17" s="86" t="e">
        <f>-Inputs!$B$8*Financials!QU16</f>
        <v>#N/A</v>
      </c>
      <c r="QV17" s="86" t="e">
        <f>-Inputs!$B$8*Financials!QV16</f>
        <v>#N/A</v>
      </c>
      <c r="QW17" s="86" t="e">
        <f>-Inputs!$B$8*Financials!QW16</f>
        <v>#N/A</v>
      </c>
      <c r="QX17" s="86" t="e">
        <f>-Inputs!$B$8*Financials!QX16</f>
        <v>#N/A</v>
      </c>
      <c r="QY17" s="86" t="e">
        <f>-Inputs!$B$8*Financials!QY16</f>
        <v>#N/A</v>
      </c>
      <c r="QZ17" s="86" t="e">
        <f>-Inputs!$B$8*Financials!QZ16</f>
        <v>#N/A</v>
      </c>
      <c r="RA17" s="87" t="e">
        <f t="shared" ref="RA17:RA18" si="388">SUM(QO17:QZ17)</f>
        <v>#N/A</v>
      </c>
      <c r="RB17" s="86" t="e">
        <f>-Inputs!$B$8*Financials!RB16</f>
        <v>#N/A</v>
      </c>
      <c r="RC17" s="86" t="e">
        <f>-Inputs!$B$8*Financials!RC16</f>
        <v>#N/A</v>
      </c>
      <c r="RD17" s="86" t="e">
        <f>-Inputs!$B$8*Financials!RD16</f>
        <v>#N/A</v>
      </c>
      <c r="RE17" s="86" t="e">
        <f>-Inputs!$B$8*Financials!RE16</f>
        <v>#N/A</v>
      </c>
      <c r="RF17" s="86" t="e">
        <f>-Inputs!$B$8*Financials!RF16</f>
        <v>#N/A</v>
      </c>
      <c r="RG17" s="86" t="e">
        <f>-Inputs!$B$8*Financials!RG16</f>
        <v>#N/A</v>
      </c>
      <c r="RH17" s="86" t="e">
        <f>-Inputs!$B$8*Financials!RH16</f>
        <v>#N/A</v>
      </c>
      <c r="RI17" s="86" t="e">
        <f>-Inputs!$B$8*Financials!RI16</f>
        <v>#N/A</v>
      </c>
      <c r="RJ17" s="86" t="e">
        <f>-Inputs!$B$8*Financials!RJ16</f>
        <v>#N/A</v>
      </c>
      <c r="RK17" s="86" t="e">
        <f>-Inputs!$B$8*Financials!RK16</f>
        <v>#N/A</v>
      </c>
      <c r="RL17" s="86" t="e">
        <f>-Inputs!$B$8*Financials!RL16</f>
        <v>#N/A</v>
      </c>
      <c r="RM17" s="86" t="e">
        <f>-Inputs!$B$8*Financials!RM16</f>
        <v>#N/A</v>
      </c>
      <c r="RN17" s="87" t="e">
        <f t="shared" ref="RN17:RN18" si="389">SUM(RB17:RM17)</f>
        <v>#N/A</v>
      </c>
    </row>
    <row r="18" spans="1:482" s="77" customFormat="1" hidden="1" outlineLevel="1" x14ac:dyDescent="0.3">
      <c r="A18" s="74" t="s">
        <v>243</v>
      </c>
      <c r="B18" s="90" t="e">
        <f>SUM(B16:B17)</f>
        <v>#N/A</v>
      </c>
      <c r="C18" s="90" t="e">
        <f t="shared" ref="C18:M18" si="390">SUM(C16:C17)</f>
        <v>#N/A</v>
      </c>
      <c r="D18" s="90" t="e">
        <f t="shared" si="390"/>
        <v>#N/A</v>
      </c>
      <c r="E18" s="90" t="e">
        <f t="shared" si="390"/>
        <v>#N/A</v>
      </c>
      <c r="F18" s="90" t="e">
        <f t="shared" si="390"/>
        <v>#N/A</v>
      </c>
      <c r="G18" s="90" t="e">
        <f t="shared" si="390"/>
        <v>#N/A</v>
      </c>
      <c r="H18" s="90" t="e">
        <f t="shared" si="390"/>
        <v>#N/A</v>
      </c>
      <c r="I18" s="90" t="e">
        <f t="shared" si="390"/>
        <v>#N/A</v>
      </c>
      <c r="J18" s="90" t="e">
        <f t="shared" si="390"/>
        <v>#N/A</v>
      </c>
      <c r="K18" s="90" t="e">
        <f t="shared" si="390"/>
        <v>#N/A</v>
      </c>
      <c r="L18" s="90" t="e">
        <f t="shared" si="390"/>
        <v>#N/A</v>
      </c>
      <c r="M18" s="90" t="e">
        <f t="shared" si="390"/>
        <v>#N/A</v>
      </c>
      <c r="N18" s="91" t="e">
        <f t="shared" si="353"/>
        <v>#N/A</v>
      </c>
      <c r="O18" s="90" t="e">
        <f t="shared" ref="O18:Z18" si="391">SUM(O16:O17)</f>
        <v>#N/A</v>
      </c>
      <c r="P18" s="90" t="e">
        <f t="shared" si="391"/>
        <v>#N/A</v>
      </c>
      <c r="Q18" s="90" t="e">
        <f t="shared" si="391"/>
        <v>#N/A</v>
      </c>
      <c r="R18" s="90" t="e">
        <f t="shared" si="391"/>
        <v>#N/A</v>
      </c>
      <c r="S18" s="90" t="e">
        <f t="shared" si="391"/>
        <v>#N/A</v>
      </c>
      <c r="T18" s="90" t="e">
        <f t="shared" si="391"/>
        <v>#N/A</v>
      </c>
      <c r="U18" s="90" t="e">
        <f t="shared" si="391"/>
        <v>#N/A</v>
      </c>
      <c r="V18" s="90" t="e">
        <f t="shared" si="391"/>
        <v>#N/A</v>
      </c>
      <c r="W18" s="90" t="e">
        <f t="shared" si="391"/>
        <v>#N/A</v>
      </c>
      <c r="X18" s="90" t="e">
        <f t="shared" si="391"/>
        <v>#N/A</v>
      </c>
      <c r="Y18" s="90" t="e">
        <f t="shared" si="391"/>
        <v>#N/A</v>
      </c>
      <c r="Z18" s="90" t="e">
        <f t="shared" si="391"/>
        <v>#N/A</v>
      </c>
      <c r="AA18" s="91" t="e">
        <f t="shared" si="354"/>
        <v>#N/A</v>
      </c>
      <c r="AB18" s="90" t="e">
        <f t="shared" ref="AB18:AM18" si="392">SUM(AB16:AB17)</f>
        <v>#N/A</v>
      </c>
      <c r="AC18" s="90" t="e">
        <f t="shared" si="392"/>
        <v>#N/A</v>
      </c>
      <c r="AD18" s="90" t="e">
        <f t="shared" si="392"/>
        <v>#N/A</v>
      </c>
      <c r="AE18" s="90" t="e">
        <f t="shared" si="392"/>
        <v>#N/A</v>
      </c>
      <c r="AF18" s="90" t="e">
        <f t="shared" si="392"/>
        <v>#N/A</v>
      </c>
      <c r="AG18" s="90" t="e">
        <f t="shared" si="392"/>
        <v>#N/A</v>
      </c>
      <c r="AH18" s="90" t="e">
        <f t="shared" si="392"/>
        <v>#N/A</v>
      </c>
      <c r="AI18" s="90" t="e">
        <f t="shared" si="392"/>
        <v>#N/A</v>
      </c>
      <c r="AJ18" s="90" t="e">
        <f t="shared" si="392"/>
        <v>#N/A</v>
      </c>
      <c r="AK18" s="90" t="e">
        <f t="shared" si="392"/>
        <v>#N/A</v>
      </c>
      <c r="AL18" s="90" t="e">
        <f t="shared" si="392"/>
        <v>#N/A</v>
      </c>
      <c r="AM18" s="90" t="e">
        <f t="shared" si="392"/>
        <v>#N/A</v>
      </c>
      <c r="AN18" s="91" t="e">
        <f t="shared" si="355"/>
        <v>#N/A</v>
      </c>
      <c r="AO18" s="90" t="e">
        <f t="shared" ref="AO18:AZ18" si="393">SUM(AO16:AO17)</f>
        <v>#N/A</v>
      </c>
      <c r="AP18" s="90" t="e">
        <f t="shared" si="393"/>
        <v>#N/A</v>
      </c>
      <c r="AQ18" s="90" t="e">
        <f t="shared" si="393"/>
        <v>#N/A</v>
      </c>
      <c r="AR18" s="90" t="e">
        <f t="shared" si="393"/>
        <v>#N/A</v>
      </c>
      <c r="AS18" s="90" t="e">
        <f t="shared" si="393"/>
        <v>#N/A</v>
      </c>
      <c r="AT18" s="90" t="e">
        <f t="shared" si="393"/>
        <v>#N/A</v>
      </c>
      <c r="AU18" s="90" t="e">
        <f t="shared" si="393"/>
        <v>#N/A</v>
      </c>
      <c r="AV18" s="90" t="e">
        <f t="shared" si="393"/>
        <v>#N/A</v>
      </c>
      <c r="AW18" s="90" t="e">
        <f t="shared" si="393"/>
        <v>#N/A</v>
      </c>
      <c r="AX18" s="90" t="e">
        <f t="shared" si="393"/>
        <v>#N/A</v>
      </c>
      <c r="AY18" s="90" t="e">
        <f t="shared" si="393"/>
        <v>#N/A</v>
      </c>
      <c r="AZ18" s="90" t="e">
        <f t="shared" si="393"/>
        <v>#N/A</v>
      </c>
      <c r="BA18" s="91" t="e">
        <f t="shared" si="356"/>
        <v>#N/A</v>
      </c>
      <c r="BB18" s="90" t="e">
        <f t="shared" ref="BB18:BM18" si="394">SUM(BB16:BB17)</f>
        <v>#N/A</v>
      </c>
      <c r="BC18" s="90" t="e">
        <f t="shared" si="394"/>
        <v>#N/A</v>
      </c>
      <c r="BD18" s="90" t="e">
        <f t="shared" si="394"/>
        <v>#N/A</v>
      </c>
      <c r="BE18" s="90" t="e">
        <f t="shared" si="394"/>
        <v>#N/A</v>
      </c>
      <c r="BF18" s="90" t="e">
        <f t="shared" si="394"/>
        <v>#N/A</v>
      </c>
      <c r="BG18" s="90" t="e">
        <f t="shared" si="394"/>
        <v>#N/A</v>
      </c>
      <c r="BH18" s="90" t="e">
        <f t="shared" si="394"/>
        <v>#N/A</v>
      </c>
      <c r="BI18" s="90" t="e">
        <f t="shared" si="394"/>
        <v>#N/A</v>
      </c>
      <c r="BJ18" s="90" t="e">
        <f t="shared" si="394"/>
        <v>#N/A</v>
      </c>
      <c r="BK18" s="90" t="e">
        <f t="shared" si="394"/>
        <v>#N/A</v>
      </c>
      <c r="BL18" s="90" t="e">
        <f t="shared" si="394"/>
        <v>#N/A</v>
      </c>
      <c r="BM18" s="90" t="e">
        <f t="shared" si="394"/>
        <v>#N/A</v>
      </c>
      <c r="BN18" s="91" t="e">
        <f t="shared" si="357"/>
        <v>#N/A</v>
      </c>
      <c r="BO18" s="90" t="e">
        <f t="shared" ref="BO18:BZ18" si="395">SUM(BO16:BO17)</f>
        <v>#N/A</v>
      </c>
      <c r="BP18" s="90" t="e">
        <f t="shared" si="395"/>
        <v>#N/A</v>
      </c>
      <c r="BQ18" s="90" t="e">
        <f t="shared" si="395"/>
        <v>#N/A</v>
      </c>
      <c r="BR18" s="90" t="e">
        <f t="shared" si="395"/>
        <v>#N/A</v>
      </c>
      <c r="BS18" s="90" t="e">
        <f t="shared" si="395"/>
        <v>#N/A</v>
      </c>
      <c r="BT18" s="90" t="e">
        <f t="shared" si="395"/>
        <v>#N/A</v>
      </c>
      <c r="BU18" s="90" t="e">
        <f t="shared" si="395"/>
        <v>#N/A</v>
      </c>
      <c r="BV18" s="90" t="e">
        <f t="shared" si="395"/>
        <v>#N/A</v>
      </c>
      <c r="BW18" s="90" t="e">
        <f t="shared" si="395"/>
        <v>#N/A</v>
      </c>
      <c r="BX18" s="90" t="e">
        <f t="shared" si="395"/>
        <v>#N/A</v>
      </c>
      <c r="BY18" s="90" t="e">
        <f t="shared" si="395"/>
        <v>#N/A</v>
      </c>
      <c r="BZ18" s="90" t="e">
        <f t="shared" si="395"/>
        <v>#N/A</v>
      </c>
      <c r="CA18" s="91" t="e">
        <f t="shared" si="358"/>
        <v>#N/A</v>
      </c>
      <c r="CB18" s="90" t="e">
        <f t="shared" ref="CB18:CM18" si="396">SUM(CB16:CB17)</f>
        <v>#N/A</v>
      </c>
      <c r="CC18" s="90" t="e">
        <f t="shared" si="396"/>
        <v>#N/A</v>
      </c>
      <c r="CD18" s="90" t="e">
        <f t="shared" si="396"/>
        <v>#N/A</v>
      </c>
      <c r="CE18" s="90" t="e">
        <f t="shared" si="396"/>
        <v>#N/A</v>
      </c>
      <c r="CF18" s="90" t="e">
        <f t="shared" si="396"/>
        <v>#N/A</v>
      </c>
      <c r="CG18" s="90" t="e">
        <f t="shared" si="396"/>
        <v>#N/A</v>
      </c>
      <c r="CH18" s="90" t="e">
        <f t="shared" si="396"/>
        <v>#N/A</v>
      </c>
      <c r="CI18" s="90" t="e">
        <f t="shared" si="396"/>
        <v>#N/A</v>
      </c>
      <c r="CJ18" s="90" t="e">
        <f t="shared" si="396"/>
        <v>#N/A</v>
      </c>
      <c r="CK18" s="90" t="e">
        <f t="shared" si="396"/>
        <v>#N/A</v>
      </c>
      <c r="CL18" s="90" t="e">
        <f t="shared" si="396"/>
        <v>#N/A</v>
      </c>
      <c r="CM18" s="90" t="e">
        <f t="shared" si="396"/>
        <v>#N/A</v>
      </c>
      <c r="CN18" s="91" t="e">
        <f t="shared" si="359"/>
        <v>#N/A</v>
      </c>
      <c r="CO18" s="90" t="e">
        <f t="shared" ref="CO18:CZ18" si="397">SUM(CO16:CO17)</f>
        <v>#N/A</v>
      </c>
      <c r="CP18" s="90" t="e">
        <f t="shared" si="397"/>
        <v>#N/A</v>
      </c>
      <c r="CQ18" s="90" t="e">
        <f t="shared" si="397"/>
        <v>#N/A</v>
      </c>
      <c r="CR18" s="90" t="e">
        <f t="shared" si="397"/>
        <v>#N/A</v>
      </c>
      <c r="CS18" s="90" t="e">
        <f t="shared" si="397"/>
        <v>#N/A</v>
      </c>
      <c r="CT18" s="90" t="e">
        <f t="shared" si="397"/>
        <v>#N/A</v>
      </c>
      <c r="CU18" s="90" t="e">
        <f t="shared" si="397"/>
        <v>#N/A</v>
      </c>
      <c r="CV18" s="90" t="e">
        <f t="shared" si="397"/>
        <v>#N/A</v>
      </c>
      <c r="CW18" s="90" t="e">
        <f t="shared" si="397"/>
        <v>#N/A</v>
      </c>
      <c r="CX18" s="90" t="e">
        <f t="shared" si="397"/>
        <v>#N/A</v>
      </c>
      <c r="CY18" s="90" t="e">
        <f t="shared" si="397"/>
        <v>#N/A</v>
      </c>
      <c r="CZ18" s="90" t="e">
        <f t="shared" si="397"/>
        <v>#N/A</v>
      </c>
      <c r="DA18" s="91" t="e">
        <f t="shared" si="360"/>
        <v>#N/A</v>
      </c>
      <c r="DB18" s="90" t="e">
        <f t="shared" ref="DB18:DM18" si="398">SUM(DB16:DB17)</f>
        <v>#N/A</v>
      </c>
      <c r="DC18" s="90" t="e">
        <f t="shared" si="398"/>
        <v>#N/A</v>
      </c>
      <c r="DD18" s="90" t="e">
        <f t="shared" si="398"/>
        <v>#N/A</v>
      </c>
      <c r="DE18" s="90" t="e">
        <f t="shared" si="398"/>
        <v>#N/A</v>
      </c>
      <c r="DF18" s="90" t="e">
        <f t="shared" si="398"/>
        <v>#N/A</v>
      </c>
      <c r="DG18" s="90" t="e">
        <f t="shared" si="398"/>
        <v>#N/A</v>
      </c>
      <c r="DH18" s="90" t="e">
        <f t="shared" si="398"/>
        <v>#N/A</v>
      </c>
      <c r="DI18" s="90" t="e">
        <f t="shared" si="398"/>
        <v>#N/A</v>
      </c>
      <c r="DJ18" s="90" t="e">
        <f t="shared" si="398"/>
        <v>#N/A</v>
      </c>
      <c r="DK18" s="90" t="e">
        <f t="shared" si="398"/>
        <v>#N/A</v>
      </c>
      <c r="DL18" s="90" t="e">
        <f t="shared" si="398"/>
        <v>#N/A</v>
      </c>
      <c r="DM18" s="90" t="e">
        <f t="shared" si="398"/>
        <v>#N/A</v>
      </c>
      <c r="DN18" s="91" t="e">
        <f t="shared" si="361"/>
        <v>#N/A</v>
      </c>
      <c r="DO18" s="90" t="e">
        <f t="shared" ref="DO18:DZ18" si="399">SUM(DO16:DO17)</f>
        <v>#N/A</v>
      </c>
      <c r="DP18" s="90" t="e">
        <f t="shared" si="399"/>
        <v>#N/A</v>
      </c>
      <c r="DQ18" s="90" t="e">
        <f t="shared" si="399"/>
        <v>#N/A</v>
      </c>
      <c r="DR18" s="90" t="e">
        <f t="shared" si="399"/>
        <v>#N/A</v>
      </c>
      <c r="DS18" s="90" t="e">
        <f t="shared" si="399"/>
        <v>#N/A</v>
      </c>
      <c r="DT18" s="90" t="e">
        <f t="shared" si="399"/>
        <v>#N/A</v>
      </c>
      <c r="DU18" s="90" t="e">
        <f t="shared" si="399"/>
        <v>#N/A</v>
      </c>
      <c r="DV18" s="90" t="e">
        <f t="shared" si="399"/>
        <v>#N/A</v>
      </c>
      <c r="DW18" s="90" t="e">
        <f t="shared" si="399"/>
        <v>#N/A</v>
      </c>
      <c r="DX18" s="90" t="e">
        <f t="shared" si="399"/>
        <v>#N/A</v>
      </c>
      <c r="DY18" s="90" t="e">
        <f t="shared" si="399"/>
        <v>#N/A</v>
      </c>
      <c r="DZ18" s="90" t="e">
        <f t="shared" si="399"/>
        <v>#N/A</v>
      </c>
      <c r="EA18" s="91" t="e">
        <f t="shared" si="362"/>
        <v>#N/A</v>
      </c>
      <c r="EB18" s="90" t="e">
        <f t="shared" ref="EB18:EM18" si="400">SUM(EB16:EB17)</f>
        <v>#N/A</v>
      </c>
      <c r="EC18" s="90" t="e">
        <f t="shared" si="400"/>
        <v>#N/A</v>
      </c>
      <c r="ED18" s="90" t="e">
        <f t="shared" si="400"/>
        <v>#N/A</v>
      </c>
      <c r="EE18" s="90" t="e">
        <f t="shared" si="400"/>
        <v>#N/A</v>
      </c>
      <c r="EF18" s="90" t="e">
        <f t="shared" si="400"/>
        <v>#N/A</v>
      </c>
      <c r="EG18" s="90" t="e">
        <f t="shared" si="400"/>
        <v>#N/A</v>
      </c>
      <c r="EH18" s="90" t="e">
        <f t="shared" si="400"/>
        <v>#N/A</v>
      </c>
      <c r="EI18" s="90" t="e">
        <f t="shared" si="400"/>
        <v>#N/A</v>
      </c>
      <c r="EJ18" s="90" t="e">
        <f t="shared" si="400"/>
        <v>#N/A</v>
      </c>
      <c r="EK18" s="90" t="e">
        <f t="shared" si="400"/>
        <v>#N/A</v>
      </c>
      <c r="EL18" s="90" t="e">
        <f t="shared" si="400"/>
        <v>#N/A</v>
      </c>
      <c r="EM18" s="90" t="e">
        <f t="shared" si="400"/>
        <v>#N/A</v>
      </c>
      <c r="EN18" s="91" t="e">
        <f t="shared" si="363"/>
        <v>#N/A</v>
      </c>
      <c r="EO18" s="90" t="e">
        <f t="shared" ref="EO18:EZ18" si="401">SUM(EO16:EO17)</f>
        <v>#N/A</v>
      </c>
      <c r="EP18" s="90" t="e">
        <f t="shared" si="401"/>
        <v>#N/A</v>
      </c>
      <c r="EQ18" s="90" t="e">
        <f t="shared" si="401"/>
        <v>#N/A</v>
      </c>
      <c r="ER18" s="90" t="e">
        <f t="shared" si="401"/>
        <v>#N/A</v>
      </c>
      <c r="ES18" s="90" t="e">
        <f t="shared" si="401"/>
        <v>#N/A</v>
      </c>
      <c r="ET18" s="90" t="e">
        <f t="shared" si="401"/>
        <v>#N/A</v>
      </c>
      <c r="EU18" s="90" t="e">
        <f t="shared" si="401"/>
        <v>#N/A</v>
      </c>
      <c r="EV18" s="90" t="e">
        <f t="shared" si="401"/>
        <v>#N/A</v>
      </c>
      <c r="EW18" s="90" t="e">
        <f t="shared" si="401"/>
        <v>#N/A</v>
      </c>
      <c r="EX18" s="90" t="e">
        <f t="shared" si="401"/>
        <v>#N/A</v>
      </c>
      <c r="EY18" s="90" t="e">
        <f t="shared" si="401"/>
        <v>#N/A</v>
      </c>
      <c r="EZ18" s="90" t="e">
        <f t="shared" si="401"/>
        <v>#N/A</v>
      </c>
      <c r="FA18" s="91" t="e">
        <f t="shared" si="364"/>
        <v>#N/A</v>
      </c>
      <c r="FB18" s="90" t="e">
        <f t="shared" ref="FB18:FM18" si="402">SUM(FB16:FB17)</f>
        <v>#N/A</v>
      </c>
      <c r="FC18" s="90" t="e">
        <f t="shared" si="402"/>
        <v>#N/A</v>
      </c>
      <c r="FD18" s="90" t="e">
        <f t="shared" si="402"/>
        <v>#N/A</v>
      </c>
      <c r="FE18" s="90" t="e">
        <f t="shared" si="402"/>
        <v>#N/A</v>
      </c>
      <c r="FF18" s="90" t="e">
        <f t="shared" si="402"/>
        <v>#N/A</v>
      </c>
      <c r="FG18" s="90" t="e">
        <f t="shared" si="402"/>
        <v>#N/A</v>
      </c>
      <c r="FH18" s="90" t="e">
        <f t="shared" si="402"/>
        <v>#N/A</v>
      </c>
      <c r="FI18" s="90" t="e">
        <f t="shared" si="402"/>
        <v>#N/A</v>
      </c>
      <c r="FJ18" s="90" t="e">
        <f t="shared" si="402"/>
        <v>#N/A</v>
      </c>
      <c r="FK18" s="90" t="e">
        <f t="shared" si="402"/>
        <v>#N/A</v>
      </c>
      <c r="FL18" s="90" t="e">
        <f t="shared" si="402"/>
        <v>#N/A</v>
      </c>
      <c r="FM18" s="90" t="e">
        <f t="shared" si="402"/>
        <v>#N/A</v>
      </c>
      <c r="FN18" s="91" t="e">
        <f t="shared" si="365"/>
        <v>#N/A</v>
      </c>
      <c r="FO18" s="90" t="e">
        <f t="shared" ref="FO18:FZ18" si="403">SUM(FO16:FO17)</f>
        <v>#N/A</v>
      </c>
      <c r="FP18" s="90" t="e">
        <f t="shared" si="403"/>
        <v>#N/A</v>
      </c>
      <c r="FQ18" s="90" t="e">
        <f t="shared" si="403"/>
        <v>#N/A</v>
      </c>
      <c r="FR18" s="90" t="e">
        <f t="shared" si="403"/>
        <v>#N/A</v>
      </c>
      <c r="FS18" s="90" t="e">
        <f t="shared" si="403"/>
        <v>#N/A</v>
      </c>
      <c r="FT18" s="90" t="e">
        <f t="shared" si="403"/>
        <v>#N/A</v>
      </c>
      <c r="FU18" s="90" t="e">
        <f t="shared" si="403"/>
        <v>#N/A</v>
      </c>
      <c r="FV18" s="90" t="e">
        <f t="shared" si="403"/>
        <v>#N/A</v>
      </c>
      <c r="FW18" s="90" t="e">
        <f t="shared" si="403"/>
        <v>#N/A</v>
      </c>
      <c r="FX18" s="90" t="e">
        <f t="shared" si="403"/>
        <v>#N/A</v>
      </c>
      <c r="FY18" s="90" t="e">
        <f t="shared" si="403"/>
        <v>#N/A</v>
      </c>
      <c r="FZ18" s="90" t="e">
        <f t="shared" si="403"/>
        <v>#N/A</v>
      </c>
      <c r="GA18" s="91" t="e">
        <f t="shared" si="366"/>
        <v>#N/A</v>
      </c>
      <c r="GB18" s="90" t="e">
        <f t="shared" ref="GB18:GM18" si="404">SUM(GB16:GB17)</f>
        <v>#N/A</v>
      </c>
      <c r="GC18" s="90" t="e">
        <f t="shared" si="404"/>
        <v>#N/A</v>
      </c>
      <c r="GD18" s="90" t="e">
        <f t="shared" si="404"/>
        <v>#N/A</v>
      </c>
      <c r="GE18" s="90" t="e">
        <f t="shared" si="404"/>
        <v>#N/A</v>
      </c>
      <c r="GF18" s="90" t="e">
        <f t="shared" si="404"/>
        <v>#N/A</v>
      </c>
      <c r="GG18" s="90" t="e">
        <f t="shared" si="404"/>
        <v>#N/A</v>
      </c>
      <c r="GH18" s="90" t="e">
        <f t="shared" si="404"/>
        <v>#N/A</v>
      </c>
      <c r="GI18" s="90" t="e">
        <f t="shared" si="404"/>
        <v>#N/A</v>
      </c>
      <c r="GJ18" s="90" t="e">
        <f t="shared" si="404"/>
        <v>#N/A</v>
      </c>
      <c r="GK18" s="90" t="e">
        <f t="shared" si="404"/>
        <v>#N/A</v>
      </c>
      <c r="GL18" s="90" t="e">
        <f t="shared" si="404"/>
        <v>#N/A</v>
      </c>
      <c r="GM18" s="90" t="e">
        <f t="shared" si="404"/>
        <v>#N/A</v>
      </c>
      <c r="GN18" s="91" t="e">
        <f t="shared" si="367"/>
        <v>#N/A</v>
      </c>
      <c r="GO18" s="90" t="e">
        <f t="shared" ref="GO18:GZ18" si="405">SUM(GO16:GO17)</f>
        <v>#N/A</v>
      </c>
      <c r="GP18" s="90" t="e">
        <f t="shared" si="405"/>
        <v>#N/A</v>
      </c>
      <c r="GQ18" s="90" t="e">
        <f t="shared" si="405"/>
        <v>#N/A</v>
      </c>
      <c r="GR18" s="90" t="e">
        <f t="shared" si="405"/>
        <v>#N/A</v>
      </c>
      <c r="GS18" s="90" t="e">
        <f t="shared" si="405"/>
        <v>#N/A</v>
      </c>
      <c r="GT18" s="90" t="e">
        <f t="shared" si="405"/>
        <v>#N/A</v>
      </c>
      <c r="GU18" s="90" t="e">
        <f t="shared" si="405"/>
        <v>#N/A</v>
      </c>
      <c r="GV18" s="90" t="e">
        <f t="shared" si="405"/>
        <v>#N/A</v>
      </c>
      <c r="GW18" s="90" t="e">
        <f t="shared" si="405"/>
        <v>#N/A</v>
      </c>
      <c r="GX18" s="90" t="e">
        <f t="shared" si="405"/>
        <v>#N/A</v>
      </c>
      <c r="GY18" s="90" t="e">
        <f t="shared" si="405"/>
        <v>#N/A</v>
      </c>
      <c r="GZ18" s="90" t="e">
        <f t="shared" si="405"/>
        <v>#N/A</v>
      </c>
      <c r="HA18" s="91" t="e">
        <f t="shared" si="368"/>
        <v>#N/A</v>
      </c>
      <c r="HB18" s="90" t="e">
        <f t="shared" ref="HB18:HM18" si="406">SUM(HB16:HB17)</f>
        <v>#N/A</v>
      </c>
      <c r="HC18" s="90" t="e">
        <f t="shared" si="406"/>
        <v>#N/A</v>
      </c>
      <c r="HD18" s="90" t="e">
        <f t="shared" si="406"/>
        <v>#N/A</v>
      </c>
      <c r="HE18" s="90" t="e">
        <f t="shared" si="406"/>
        <v>#N/A</v>
      </c>
      <c r="HF18" s="90" t="e">
        <f t="shared" si="406"/>
        <v>#N/A</v>
      </c>
      <c r="HG18" s="90" t="e">
        <f t="shared" si="406"/>
        <v>#N/A</v>
      </c>
      <c r="HH18" s="90" t="e">
        <f t="shared" si="406"/>
        <v>#N/A</v>
      </c>
      <c r="HI18" s="90" t="e">
        <f t="shared" si="406"/>
        <v>#N/A</v>
      </c>
      <c r="HJ18" s="90" t="e">
        <f t="shared" si="406"/>
        <v>#N/A</v>
      </c>
      <c r="HK18" s="90" t="e">
        <f t="shared" si="406"/>
        <v>#N/A</v>
      </c>
      <c r="HL18" s="90" t="e">
        <f t="shared" si="406"/>
        <v>#N/A</v>
      </c>
      <c r="HM18" s="90" t="e">
        <f t="shared" si="406"/>
        <v>#N/A</v>
      </c>
      <c r="HN18" s="91" t="e">
        <f t="shared" si="369"/>
        <v>#N/A</v>
      </c>
      <c r="HO18" s="90" t="e">
        <f t="shared" ref="HO18:HZ18" si="407">SUM(HO16:HO17)</f>
        <v>#N/A</v>
      </c>
      <c r="HP18" s="90" t="e">
        <f t="shared" si="407"/>
        <v>#N/A</v>
      </c>
      <c r="HQ18" s="90" t="e">
        <f t="shared" si="407"/>
        <v>#N/A</v>
      </c>
      <c r="HR18" s="90" t="e">
        <f t="shared" si="407"/>
        <v>#N/A</v>
      </c>
      <c r="HS18" s="90" t="e">
        <f t="shared" si="407"/>
        <v>#N/A</v>
      </c>
      <c r="HT18" s="90" t="e">
        <f t="shared" si="407"/>
        <v>#N/A</v>
      </c>
      <c r="HU18" s="90" t="e">
        <f t="shared" si="407"/>
        <v>#N/A</v>
      </c>
      <c r="HV18" s="90" t="e">
        <f t="shared" si="407"/>
        <v>#N/A</v>
      </c>
      <c r="HW18" s="90" t="e">
        <f t="shared" si="407"/>
        <v>#N/A</v>
      </c>
      <c r="HX18" s="90" t="e">
        <f t="shared" si="407"/>
        <v>#N/A</v>
      </c>
      <c r="HY18" s="90" t="e">
        <f t="shared" si="407"/>
        <v>#N/A</v>
      </c>
      <c r="HZ18" s="90" t="e">
        <f t="shared" si="407"/>
        <v>#N/A</v>
      </c>
      <c r="IA18" s="91" t="e">
        <f t="shared" si="370"/>
        <v>#N/A</v>
      </c>
      <c r="IB18" s="90" t="e">
        <f t="shared" ref="IB18:IM18" si="408">SUM(IB16:IB17)</f>
        <v>#N/A</v>
      </c>
      <c r="IC18" s="90" t="e">
        <f t="shared" si="408"/>
        <v>#N/A</v>
      </c>
      <c r="ID18" s="90" t="e">
        <f t="shared" si="408"/>
        <v>#N/A</v>
      </c>
      <c r="IE18" s="90" t="e">
        <f t="shared" si="408"/>
        <v>#N/A</v>
      </c>
      <c r="IF18" s="90" t="e">
        <f t="shared" si="408"/>
        <v>#N/A</v>
      </c>
      <c r="IG18" s="90" t="e">
        <f t="shared" si="408"/>
        <v>#N/A</v>
      </c>
      <c r="IH18" s="90" t="e">
        <f t="shared" si="408"/>
        <v>#N/A</v>
      </c>
      <c r="II18" s="90" t="e">
        <f t="shared" si="408"/>
        <v>#N/A</v>
      </c>
      <c r="IJ18" s="90" t="e">
        <f t="shared" si="408"/>
        <v>#N/A</v>
      </c>
      <c r="IK18" s="90" t="e">
        <f t="shared" si="408"/>
        <v>#N/A</v>
      </c>
      <c r="IL18" s="90" t="e">
        <f t="shared" si="408"/>
        <v>#N/A</v>
      </c>
      <c r="IM18" s="90" t="e">
        <f t="shared" si="408"/>
        <v>#N/A</v>
      </c>
      <c r="IN18" s="91" t="e">
        <f t="shared" si="371"/>
        <v>#N/A</v>
      </c>
      <c r="IO18" s="90" t="e">
        <f t="shared" ref="IO18:IZ18" si="409">SUM(IO16:IO17)</f>
        <v>#N/A</v>
      </c>
      <c r="IP18" s="90" t="e">
        <f t="shared" si="409"/>
        <v>#N/A</v>
      </c>
      <c r="IQ18" s="90" t="e">
        <f t="shared" si="409"/>
        <v>#N/A</v>
      </c>
      <c r="IR18" s="90" t="e">
        <f t="shared" si="409"/>
        <v>#N/A</v>
      </c>
      <c r="IS18" s="90" t="e">
        <f t="shared" si="409"/>
        <v>#N/A</v>
      </c>
      <c r="IT18" s="90" t="e">
        <f t="shared" si="409"/>
        <v>#N/A</v>
      </c>
      <c r="IU18" s="90" t="e">
        <f t="shared" si="409"/>
        <v>#N/A</v>
      </c>
      <c r="IV18" s="90" t="e">
        <f t="shared" si="409"/>
        <v>#N/A</v>
      </c>
      <c r="IW18" s="90" t="e">
        <f t="shared" si="409"/>
        <v>#N/A</v>
      </c>
      <c r="IX18" s="90" t="e">
        <f t="shared" si="409"/>
        <v>#N/A</v>
      </c>
      <c r="IY18" s="90" t="e">
        <f t="shared" si="409"/>
        <v>#N/A</v>
      </c>
      <c r="IZ18" s="90" t="e">
        <f t="shared" si="409"/>
        <v>#N/A</v>
      </c>
      <c r="JA18" s="91" t="e">
        <f t="shared" si="372"/>
        <v>#N/A</v>
      </c>
      <c r="JB18" s="90" t="e">
        <f t="shared" ref="JB18:JM18" si="410">SUM(JB16:JB17)</f>
        <v>#N/A</v>
      </c>
      <c r="JC18" s="90" t="e">
        <f t="shared" si="410"/>
        <v>#N/A</v>
      </c>
      <c r="JD18" s="90" t="e">
        <f t="shared" si="410"/>
        <v>#N/A</v>
      </c>
      <c r="JE18" s="90" t="e">
        <f t="shared" si="410"/>
        <v>#N/A</v>
      </c>
      <c r="JF18" s="90" t="e">
        <f t="shared" si="410"/>
        <v>#N/A</v>
      </c>
      <c r="JG18" s="90" t="e">
        <f t="shared" si="410"/>
        <v>#N/A</v>
      </c>
      <c r="JH18" s="90" t="e">
        <f t="shared" si="410"/>
        <v>#N/A</v>
      </c>
      <c r="JI18" s="90" t="e">
        <f t="shared" si="410"/>
        <v>#N/A</v>
      </c>
      <c r="JJ18" s="90" t="e">
        <f t="shared" si="410"/>
        <v>#N/A</v>
      </c>
      <c r="JK18" s="90" t="e">
        <f t="shared" si="410"/>
        <v>#N/A</v>
      </c>
      <c r="JL18" s="90" t="e">
        <f t="shared" si="410"/>
        <v>#N/A</v>
      </c>
      <c r="JM18" s="90" t="e">
        <f t="shared" si="410"/>
        <v>#N/A</v>
      </c>
      <c r="JN18" s="91" t="e">
        <f t="shared" si="373"/>
        <v>#N/A</v>
      </c>
      <c r="JO18" s="90" t="e">
        <f t="shared" ref="JO18:JZ18" si="411">SUM(JO16:JO17)</f>
        <v>#N/A</v>
      </c>
      <c r="JP18" s="90" t="e">
        <f t="shared" si="411"/>
        <v>#N/A</v>
      </c>
      <c r="JQ18" s="90" t="e">
        <f t="shared" si="411"/>
        <v>#N/A</v>
      </c>
      <c r="JR18" s="90" t="e">
        <f t="shared" si="411"/>
        <v>#N/A</v>
      </c>
      <c r="JS18" s="90" t="e">
        <f t="shared" si="411"/>
        <v>#N/A</v>
      </c>
      <c r="JT18" s="90" t="e">
        <f t="shared" si="411"/>
        <v>#N/A</v>
      </c>
      <c r="JU18" s="90" t="e">
        <f t="shared" si="411"/>
        <v>#N/A</v>
      </c>
      <c r="JV18" s="90" t="e">
        <f t="shared" si="411"/>
        <v>#N/A</v>
      </c>
      <c r="JW18" s="90" t="e">
        <f t="shared" si="411"/>
        <v>#N/A</v>
      </c>
      <c r="JX18" s="90" t="e">
        <f t="shared" si="411"/>
        <v>#N/A</v>
      </c>
      <c r="JY18" s="90" t="e">
        <f t="shared" si="411"/>
        <v>#N/A</v>
      </c>
      <c r="JZ18" s="90" t="e">
        <f t="shared" si="411"/>
        <v>#N/A</v>
      </c>
      <c r="KA18" s="91" t="e">
        <f t="shared" si="374"/>
        <v>#N/A</v>
      </c>
      <c r="KB18" s="90" t="e">
        <f t="shared" ref="KB18:KM18" si="412">SUM(KB16:KB17)</f>
        <v>#N/A</v>
      </c>
      <c r="KC18" s="90" t="e">
        <f t="shared" si="412"/>
        <v>#N/A</v>
      </c>
      <c r="KD18" s="90" t="e">
        <f t="shared" si="412"/>
        <v>#N/A</v>
      </c>
      <c r="KE18" s="90" t="e">
        <f t="shared" si="412"/>
        <v>#N/A</v>
      </c>
      <c r="KF18" s="90" t="e">
        <f t="shared" si="412"/>
        <v>#N/A</v>
      </c>
      <c r="KG18" s="90" t="e">
        <f t="shared" si="412"/>
        <v>#N/A</v>
      </c>
      <c r="KH18" s="90" t="e">
        <f t="shared" si="412"/>
        <v>#N/A</v>
      </c>
      <c r="KI18" s="90" t="e">
        <f t="shared" si="412"/>
        <v>#N/A</v>
      </c>
      <c r="KJ18" s="90" t="e">
        <f t="shared" si="412"/>
        <v>#N/A</v>
      </c>
      <c r="KK18" s="90" t="e">
        <f t="shared" si="412"/>
        <v>#N/A</v>
      </c>
      <c r="KL18" s="90" t="e">
        <f t="shared" si="412"/>
        <v>#N/A</v>
      </c>
      <c r="KM18" s="90" t="e">
        <f t="shared" si="412"/>
        <v>#N/A</v>
      </c>
      <c r="KN18" s="91" t="e">
        <f t="shared" si="375"/>
        <v>#N/A</v>
      </c>
      <c r="KO18" s="90" t="e">
        <f t="shared" ref="KO18:KZ18" si="413">SUM(KO16:KO17)</f>
        <v>#N/A</v>
      </c>
      <c r="KP18" s="90" t="e">
        <f t="shared" si="413"/>
        <v>#N/A</v>
      </c>
      <c r="KQ18" s="90" t="e">
        <f t="shared" si="413"/>
        <v>#N/A</v>
      </c>
      <c r="KR18" s="90" t="e">
        <f t="shared" si="413"/>
        <v>#N/A</v>
      </c>
      <c r="KS18" s="90" t="e">
        <f t="shared" si="413"/>
        <v>#N/A</v>
      </c>
      <c r="KT18" s="90" t="e">
        <f t="shared" si="413"/>
        <v>#N/A</v>
      </c>
      <c r="KU18" s="90" t="e">
        <f t="shared" si="413"/>
        <v>#N/A</v>
      </c>
      <c r="KV18" s="90" t="e">
        <f t="shared" si="413"/>
        <v>#N/A</v>
      </c>
      <c r="KW18" s="90" t="e">
        <f t="shared" si="413"/>
        <v>#N/A</v>
      </c>
      <c r="KX18" s="90" t="e">
        <f t="shared" si="413"/>
        <v>#N/A</v>
      </c>
      <c r="KY18" s="90" t="e">
        <f t="shared" si="413"/>
        <v>#N/A</v>
      </c>
      <c r="KZ18" s="90" t="e">
        <f t="shared" si="413"/>
        <v>#N/A</v>
      </c>
      <c r="LA18" s="91" t="e">
        <f t="shared" si="376"/>
        <v>#N/A</v>
      </c>
      <c r="LB18" s="90" t="e">
        <f t="shared" ref="LB18:LM18" si="414">SUM(LB16:LB17)</f>
        <v>#N/A</v>
      </c>
      <c r="LC18" s="90" t="e">
        <f t="shared" si="414"/>
        <v>#N/A</v>
      </c>
      <c r="LD18" s="90" t="e">
        <f t="shared" si="414"/>
        <v>#N/A</v>
      </c>
      <c r="LE18" s="90" t="e">
        <f t="shared" si="414"/>
        <v>#N/A</v>
      </c>
      <c r="LF18" s="90" t="e">
        <f t="shared" si="414"/>
        <v>#N/A</v>
      </c>
      <c r="LG18" s="90" t="e">
        <f t="shared" si="414"/>
        <v>#N/A</v>
      </c>
      <c r="LH18" s="90" t="e">
        <f t="shared" si="414"/>
        <v>#N/A</v>
      </c>
      <c r="LI18" s="90" t="e">
        <f t="shared" si="414"/>
        <v>#N/A</v>
      </c>
      <c r="LJ18" s="90" t="e">
        <f t="shared" si="414"/>
        <v>#N/A</v>
      </c>
      <c r="LK18" s="90" t="e">
        <f t="shared" si="414"/>
        <v>#N/A</v>
      </c>
      <c r="LL18" s="90" t="e">
        <f t="shared" si="414"/>
        <v>#N/A</v>
      </c>
      <c r="LM18" s="90" t="e">
        <f t="shared" si="414"/>
        <v>#N/A</v>
      </c>
      <c r="LN18" s="91" t="e">
        <f t="shared" si="377"/>
        <v>#N/A</v>
      </c>
      <c r="LO18" s="90" t="e">
        <f t="shared" ref="LO18:LZ18" si="415">SUM(LO16:LO17)</f>
        <v>#N/A</v>
      </c>
      <c r="LP18" s="90" t="e">
        <f t="shared" si="415"/>
        <v>#N/A</v>
      </c>
      <c r="LQ18" s="90" t="e">
        <f t="shared" si="415"/>
        <v>#N/A</v>
      </c>
      <c r="LR18" s="90" t="e">
        <f t="shared" si="415"/>
        <v>#N/A</v>
      </c>
      <c r="LS18" s="90" t="e">
        <f t="shared" si="415"/>
        <v>#N/A</v>
      </c>
      <c r="LT18" s="90" t="e">
        <f t="shared" si="415"/>
        <v>#N/A</v>
      </c>
      <c r="LU18" s="90" t="e">
        <f t="shared" si="415"/>
        <v>#N/A</v>
      </c>
      <c r="LV18" s="90" t="e">
        <f t="shared" si="415"/>
        <v>#N/A</v>
      </c>
      <c r="LW18" s="90" t="e">
        <f t="shared" si="415"/>
        <v>#N/A</v>
      </c>
      <c r="LX18" s="90" t="e">
        <f t="shared" si="415"/>
        <v>#N/A</v>
      </c>
      <c r="LY18" s="90" t="e">
        <f t="shared" si="415"/>
        <v>#N/A</v>
      </c>
      <c r="LZ18" s="90" t="e">
        <f t="shared" si="415"/>
        <v>#N/A</v>
      </c>
      <c r="MA18" s="91" t="e">
        <f t="shared" si="378"/>
        <v>#N/A</v>
      </c>
      <c r="MB18" s="90" t="e">
        <f t="shared" ref="MB18:MM18" si="416">SUM(MB16:MB17)</f>
        <v>#N/A</v>
      </c>
      <c r="MC18" s="90" t="e">
        <f t="shared" si="416"/>
        <v>#N/A</v>
      </c>
      <c r="MD18" s="90" t="e">
        <f t="shared" si="416"/>
        <v>#N/A</v>
      </c>
      <c r="ME18" s="90" t="e">
        <f t="shared" si="416"/>
        <v>#N/A</v>
      </c>
      <c r="MF18" s="90" t="e">
        <f t="shared" si="416"/>
        <v>#N/A</v>
      </c>
      <c r="MG18" s="90" t="e">
        <f t="shared" si="416"/>
        <v>#N/A</v>
      </c>
      <c r="MH18" s="90" t="e">
        <f t="shared" si="416"/>
        <v>#N/A</v>
      </c>
      <c r="MI18" s="90" t="e">
        <f t="shared" si="416"/>
        <v>#N/A</v>
      </c>
      <c r="MJ18" s="90" t="e">
        <f t="shared" si="416"/>
        <v>#N/A</v>
      </c>
      <c r="MK18" s="90" t="e">
        <f t="shared" si="416"/>
        <v>#N/A</v>
      </c>
      <c r="ML18" s="90" t="e">
        <f t="shared" si="416"/>
        <v>#N/A</v>
      </c>
      <c r="MM18" s="90" t="e">
        <f t="shared" si="416"/>
        <v>#N/A</v>
      </c>
      <c r="MN18" s="91" t="e">
        <f t="shared" si="379"/>
        <v>#N/A</v>
      </c>
      <c r="MO18" s="90" t="e">
        <f t="shared" ref="MO18:MZ18" si="417">SUM(MO16:MO17)</f>
        <v>#N/A</v>
      </c>
      <c r="MP18" s="90" t="e">
        <f t="shared" si="417"/>
        <v>#N/A</v>
      </c>
      <c r="MQ18" s="90" t="e">
        <f t="shared" si="417"/>
        <v>#N/A</v>
      </c>
      <c r="MR18" s="90" t="e">
        <f t="shared" si="417"/>
        <v>#N/A</v>
      </c>
      <c r="MS18" s="90" t="e">
        <f t="shared" si="417"/>
        <v>#N/A</v>
      </c>
      <c r="MT18" s="90" t="e">
        <f t="shared" si="417"/>
        <v>#N/A</v>
      </c>
      <c r="MU18" s="90" t="e">
        <f t="shared" si="417"/>
        <v>#N/A</v>
      </c>
      <c r="MV18" s="90" t="e">
        <f t="shared" si="417"/>
        <v>#N/A</v>
      </c>
      <c r="MW18" s="90" t="e">
        <f t="shared" si="417"/>
        <v>#N/A</v>
      </c>
      <c r="MX18" s="90" t="e">
        <f t="shared" si="417"/>
        <v>#N/A</v>
      </c>
      <c r="MY18" s="90" t="e">
        <f t="shared" si="417"/>
        <v>#N/A</v>
      </c>
      <c r="MZ18" s="90" t="e">
        <f t="shared" si="417"/>
        <v>#N/A</v>
      </c>
      <c r="NA18" s="91" t="e">
        <f t="shared" si="380"/>
        <v>#N/A</v>
      </c>
      <c r="NB18" s="90" t="e">
        <f t="shared" ref="NB18:NM18" si="418">SUM(NB16:NB17)</f>
        <v>#N/A</v>
      </c>
      <c r="NC18" s="90" t="e">
        <f t="shared" si="418"/>
        <v>#N/A</v>
      </c>
      <c r="ND18" s="90" t="e">
        <f t="shared" si="418"/>
        <v>#N/A</v>
      </c>
      <c r="NE18" s="90" t="e">
        <f t="shared" si="418"/>
        <v>#N/A</v>
      </c>
      <c r="NF18" s="90" t="e">
        <f t="shared" si="418"/>
        <v>#N/A</v>
      </c>
      <c r="NG18" s="90" t="e">
        <f t="shared" si="418"/>
        <v>#N/A</v>
      </c>
      <c r="NH18" s="90" t="e">
        <f t="shared" si="418"/>
        <v>#N/A</v>
      </c>
      <c r="NI18" s="90" t="e">
        <f t="shared" si="418"/>
        <v>#N/A</v>
      </c>
      <c r="NJ18" s="90" t="e">
        <f t="shared" si="418"/>
        <v>#N/A</v>
      </c>
      <c r="NK18" s="90" t="e">
        <f t="shared" si="418"/>
        <v>#N/A</v>
      </c>
      <c r="NL18" s="90" t="e">
        <f t="shared" si="418"/>
        <v>#N/A</v>
      </c>
      <c r="NM18" s="90" t="e">
        <f t="shared" si="418"/>
        <v>#N/A</v>
      </c>
      <c r="NN18" s="91" t="e">
        <f t="shared" si="381"/>
        <v>#N/A</v>
      </c>
      <c r="NO18" s="90" t="e">
        <f t="shared" ref="NO18:NZ18" si="419">SUM(NO16:NO17)</f>
        <v>#N/A</v>
      </c>
      <c r="NP18" s="90" t="e">
        <f t="shared" si="419"/>
        <v>#N/A</v>
      </c>
      <c r="NQ18" s="90" t="e">
        <f t="shared" si="419"/>
        <v>#N/A</v>
      </c>
      <c r="NR18" s="90" t="e">
        <f t="shared" si="419"/>
        <v>#N/A</v>
      </c>
      <c r="NS18" s="90" t="e">
        <f t="shared" si="419"/>
        <v>#N/A</v>
      </c>
      <c r="NT18" s="90" t="e">
        <f t="shared" si="419"/>
        <v>#N/A</v>
      </c>
      <c r="NU18" s="90" t="e">
        <f t="shared" si="419"/>
        <v>#N/A</v>
      </c>
      <c r="NV18" s="90" t="e">
        <f t="shared" si="419"/>
        <v>#N/A</v>
      </c>
      <c r="NW18" s="90" t="e">
        <f t="shared" si="419"/>
        <v>#N/A</v>
      </c>
      <c r="NX18" s="90" t="e">
        <f t="shared" si="419"/>
        <v>#N/A</v>
      </c>
      <c r="NY18" s="90" t="e">
        <f t="shared" si="419"/>
        <v>#N/A</v>
      </c>
      <c r="NZ18" s="90" t="e">
        <f t="shared" si="419"/>
        <v>#N/A</v>
      </c>
      <c r="OA18" s="91" t="e">
        <f t="shared" si="382"/>
        <v>#N/A</v>
      </c>
      <c r="OB18" s="90" t="e">
        <f t="shared" ref="OB18:OM18" si="420">SUM(OB16:OB17)</f>
        <v>#N/A</v>
      </c>
      <c r="OC18" s="90" t="e">
        <f t="shared" si="420"/>
        <v>#N/A</v>
      </c>
      <c r="OD18" s="90" t="e">
        <f t="shared" si="420"/>
        <v>#N/A</v>
      </c>
      <c r="OE18" s="90" t="e">
        <f t="shared" si="420"/>
        <v>#N/A</v>
      </c>
      <c r="OF18" s="90" t="e">
        <f t="shared" si="420"/>
        <v>#N/A</v>
      </c>
      <c r="OG18" s="90" t="e">
        <f t="shared" si="420"/>
        <v>#N/A</v>
      </c>
      <c r="OH18" s="90" t="e">
        <f t="shared" si="420"/>
        <v>#N/A</v>
      </c>
      <c r="OI18" s="90" t="e">
        <f t="shared" si="420"/>
        <v>#N/A</v>
      </c>
      <c r="OJ18" s="90" t="e">
        <f t="shared" si="420"/>
        <v>#N/A</v>
      </c>
      <c r="OK18" s="90" t="e">
        <f t="shared" si="420"/>
        <v>#N/A</v>
      </c>
      <c r="OL18" s="90" t="e">
        <f t="shared" si="420"/>
        <v>#N/A</v>
      </c>
      <c r="OM18" s="90" t="e">
        <f t="shared" si="420"/>
        <v>#N/A</v>
      </c>
      <c r="ON18" s="91" t="e">
        <f t="shared" si="383"/>
        <v>#N/A</v>
      </c>
      <c r="OO18" s="90" t="e">
        <f t="shared" ref="OO18:OZ18" si="421">SUM(OO16:OO17)</f>
        <v>#N/A</v>
      </c>
      <c r="OP18" s="90" t="e">
        <f t="shared" si="421"/>
        <v>#N/A</v>
      </c>
      <c r="OQ18" s="90" t="e">
        <f t="shared" si="421"/>
        <v>#N/A</v>
      </c>
      <c r="OR18" s="90" t="e">
        <f t="shared" si="421"/>
        <v>#N/A</v>
      </c>
      <c r="OS18" s="90" t="e">
        <f t="shared" si="421"/>
        <v>#N/A</v>
      </c>
      <c r="OT18" s="90" t="e">
        <f t="shared" si="421"/>
        <v>#N/A</v>
      </c>
      <c r="OU18" s="90" t="e">
        <f t="shared" si="421"/>
        <v>#N/A</v>
      </c>
      <c r="OV18" s="90" t="e">
        <f t="shared" si="421"/>
        <v>#N/A</v>
      </c>
      <c r="OW18" s="90" t="e">
        <f t="shared" si="421"/>
        <v>#N/A</v>
      </c>
      <c r="OX18" s="90" t="e">
        <f t="shared" si="421"/>
        <v>#N/A</v>
      </c>
      <c r="OY18" s="90" t="e">
        <f t="shared" si="421"/>
        <v>#N/A</v>
      </c>
      <c r="OZ18" s="90" t="e">
        <f t="shared" si="421"/>
        <v>#N/A</v>
      </c>
      <c r="PA18" s="91" t="e">
        <f t="shared" si="384"/>
        <v>#N/A</v>
      </c>
      <c r="PB18" s="90" t="e">
        <f t="shared" ref="PB18:PM18" si="422">SUM(PB16:PB17)</f>
        <v>#N/A</v>
      </c>
      <c r="PC18" s="90" t="e">
        <f t="shared" si="422"/>
        <v>#N/A</v>
      </c>
      <c r="PD18" s="90" t="e">
        <f t="shared" si="422"/>
        <v>#N/A</v>
      </c>
      <c r="PE18" s="90" t="e">
        <f t="shared" si="422"/>
        <v>#N/A</v>
      </c>
      <c r="PF18" s="90" t="e">
        <f t="shared" si="422"/>
        <v>#N/A</v>
      </c>
      <c r="PG18" s="90" t="e">
        <f t="shared" si="422"/>
        <v>#N/A</v>
      </c>
      <c r="PH18" s="90" t="e">
        <f t="shared" si="422"/>
        <v>#N/A</v>
      </c>
      <c r="PI18" s="90" t="e">
        <f t="shared" si="422"/>
        <v>#N/A</v>
      </c>
      <c r="PJ18" s="90" t="e">
        <f t="shared" si="422"/>
        <v>#N/A</v>
      </c>
      <c r="PK18" s="90" t="e">
        <f t="shared" si="422"/>
        <v>#N/A</v>
      </c>
      <c r="PL18" s="90" t="e">
        <f t="shared" si="422"/>
        <v>#N/A</v>
      </c>
      <c r="PM18" s="90" t="e">
        <f t="shared" si="422"/>
        <v>#N/A</v>
      </c>
      <c r="PN18" s="91" t="e">
        <f t="shared" si="385"/>
        <v>#N/A</v>
      </c>
      <c r="PO18" s="90" t="e">
        <f t="shared" ref="PO18:PZ18" si="423">SUM(PO16:PO17)</f>
        <v>#N/A</v>
      </c>
      <c r="PP18" s="90" t="e">
        <f t="shared" si="423"/>
        <v>#N/A</v>
      </c>
      <c r="PQ18" s="90" t="e">
        <f t="shared" si="423"/>
        <v>#N/A</v>
      </c>
      <c r="PR18" s="90" t="e">
        <f t="shared" si="423"/>
        <v>#N/A</v>
      </c>
      <c r="PS18" s="90" t="e">
        <f t="shared" si="423"/>
        <v>#N/A</v>
      </c>
      <c r="PT18" s="90" t="e">
        <f t="shared" si="423"/>
        <v>#N/A</v>
      </c>
      <c r="PU18" s="90" t="e">
        <f t="shared" si="423"/>
        <v>#N/A</v>
      </c>
      <c r="PV18" s="90" t="e">
        <f t="shared" si="423"/>
        <v>#N/A</v>
      </c>
      <c r="PW18" s="90" t="e">
        <f t="shared" si="423"/>
        <v>#N/A</v>
      </c>
      <c r="PX18" s="90" t="e">
        <f t="shared" si="423"/>
        <v>#N/A</v>
      </c>
      <c r="PY18" s="90" t="e">
        <f t="shared" si="423"/>
        <v>#N/A</v>
      </c>
      <c r="PZ18" s="90" t="e">
        <f t="shared" si="423"/>
        <v>#N/A</v>
      </c>
      <c r="QA18" s="91" t="e">
        <f t="shared" si="386"/>
        <v>#N/A</v>
      </c>
      <c r="QB18" s="90" t="e">
        <f t="shared" ref="QB18:QM18" si="424">SUM(QB16:QB17)</f>
        <v>#N/A</v>
      </c>
      <c r="QC18" s="90" t="e">
        <f t="shared" si="424"/>
        <v>#N/A</v>
      </c>
      <c r="QD18" s="90" t="e">
        <f t="shared" si="424"/>
        <v>#N/A</v>
      </c>
      <c r="QE18" s="90" t="e">
        <f t="shared" si="424"/>
        <v>#N/A</v>
      </c>
      <c r="QF18" s="90" t="e">
        <f t="shared" si="424"/>
        <v>#N/A</v>
      </c>
      <c r="QG18" s="90" t="e">
        <f t="shared" si="424"/>
        <v>#N/A</v>
      </c>
      <c r="QH18" s="90" t="e">
        <f t="shared" si="424"/>
        <v>#N/A</v>
      </c>
      <c r="QI18" s="90" t="e">
        <f t="shared" si="424"/>
        <v>#N/A</v>
      </c>
      <c r="QJ18" s="90" t="e">
        <f t="shared" si="424"/>
        <v>#N/A</v>
      </c>
      <c r="QK18" s="90" t="e">
        <f t="shared" si="424"/>
        <v>#N/A</v>
      </c>
      <c r="QL18" s="90" t="e">
        <f t="shared" si="424"/>
        <v>#N/A</v>
      </c>
      <c r="QM18" s="90" t="e">
        <f t="shared" si="424"/>
        <v>#N/A</v>
      </c>
      <c r="QN18" s="91" t="e">
        <f t="shared" si="387"/>
        <v>#N/A</v>
      </c>
      <c r="QO18" s="90" t="e">
        <f t="shared" ref="QO18:QZ18" si="425">SUM(QO16:QO17)</f>
        <v>#N/A</v>
      </c>
      <c r="QP18" s="90" t="e">
        <f t="shared" si="425"/>
        <v>#N/A</v>
      </c>
      <c r="QQ18" s="90" t="e">
        <f t="shared" si="425"/>
        <v>#N/A</v>
      </c>
      <c r="QR18" s="90" t="e">
        <f t="shared" si="425"/>
        <v>#N/A</v>
      </c>
      <c r="QS18" s="90" t="e">
        <f t="shared" si="425"/>
        <v>#N/A</v>
      </c>
      <c r="QT18" s="90" t="e">
        <f t="shared" si="425"/>
        <v>#N/A</v>
      </c>
      <c r="QU18" s="90" t="e">
        <f t="shared" si="425"/>
        <v>#N/A</v>
      </c>
      <c r="QV18" s="90" t="e">
        <f t="shared" si="425"/>
        <v>#N/A</v>
      </c>
      <c r="QW18" s="90" t="e">
        <f t="shared" si="425"/>
        <v>#N/A</v>
      </c>
      <c r="QX18" s="90" t="e">
        <f t="shared" si="425"/>
        <v>#N/A</v>
      </c>
      <c r="QY18" s="90" t="e">
        <f t="shared" si="425"/>
        <v>#N/A</v>
      </c>
      <c r="QZ18" s="90" t="e">
        <f t="shared" si="425"/>
        <v>#N/A</v>
      </c>
      <c r="RA18" s="91" t="e">
        <f t="shared" si="388"/>
        <v>#N/A</v>
      </c>
      <c r="RB18" s="90" t="e">
        <f t="shared" ref="RB18:RM18" si="426">SUM(RB16:RB17)</f>
        <v>#N/A</v>
      </c>
      <c r="RC18" s="90" t="e">
        <f t="shared" si="426"/>
        <v>#N/A</v>
      </c>
      <c r="RD18" s="90" t="e">
        <f t="shared" si="426"/>
        <v>#N/A</v>
      </c>
      <c r="RE18" s="90" t="e">
        <f t="shared" si="426"/>
        <v>#N/A</v>
      </c>
      <c r="RF18" s="90" t="e">
        <f t="shared" si="426"/>
        <v>#N/A</v>
      </c>
      <c r="RG18" s="90" t="e">
        <f t="shared" si="426"/>
        <v>#N/A</v>
      </c>
      <c r="RH18" s="90" t="e">
        <f t="shared" si="426"/>
        <v>#N/A</v>
      </c>
      <c r="RI18" s="90" t="e">
        <f t="shared" si="426"/>
        <v>#N/A</v>
      </c>
      <c r="RJ18" s="90" t="e">
        <f t="shared" si="426"/>
        <v>#N/A</v>
      </c>
      <c r="RK18" s="90" t="e">
        <f t="shared" si="426"/>
        <v>#N/A</v>
      </c>
      <c r="RL18" s="90" t="e">
        <f t="shared" si="426"/>
        <v>#N/A</v>
      </c>
      <c r="RM18" s="90" t="e">
        <f t="shared" si="426"/>
        <v>#N/A</v>
      </c>
      <c r="RN18" s="91" t="e">
        <f t="shared" si="389"/>
        <v>#N/A</v>
      </c>
    </row>
    <row r="19" spans="1:482" hidden="1" outlineLevel="1" x14ac:dyDescent="0.3">
      <c r="N19" s="91"/>
      <c r="AA19" s="91"/>
      <c r="AN19" s="91"/>
      <c r="BA19" s="91"/>
      <c r="BN19" s="91"/>
      <c r="CA19" s="91"/>
      <c r="CN19" s="91"/>
      <c r="DA19" s="91"/>
      <c r="DN19" s="91"/>
      <c r="EA19" s="91"/>
      <c r="EN19" s="91"/>
      <c r="FA19" s="91"/>
      <c r="FN19" s="91"/>
      <c r="GA19" s="91"/>
      <c r="GN19" s="91"/>
      <c r="HA19" s="91"/>
      <c r="HN19" s="91"/>
      <c r="IA19" s="91"/>
      <c r="IN19" s="91"/>
      <c r="JA19" s="91"/>
      <c r="JN19" s="91"/>
      <c r="KA19" s="91"/>
      <c r="KN19" s="91"/>
      <c r="LA19" s="91"/>
      <c r="LN19" s="91"/>
      <c r="MA19" s="91"/>
      <c r="MN19" s="91"/>
      <c r="NA19" s="91"/>
      <c r="NN19" s="91"/>
      <c r="OA19" s="91"/>
      <c r="ON19" s="91"/>
      <c r="PA19" s="91"/>
      <c r="PN19" s="91"/>
      <c r="QA19" s="91"/>
      <c r="QN19" s="91"/>
      <c r="RA19" s="91"/>
      <c r="RN19" s="91"/>
    </row>
    <row r="20" spans="1:482" hidden="1" outlineLevel="1" x14ac:dyDescent="0.3">
      <c r="A20" s="89" t="s">
        <v>244</v>
      </c>
      <c r="B20" s="86" t="e">
        <f>Inputs!$B$36/12</f>
        <v>#N/A</v>
      </c>
      <c r="C20" s="86" t="e">
        <f t="shared" ref="C20:M24" si="427">B20</f>
        <v>#N/A</v>
      </c>
      <c r="D20" s="86" t="e">
        <f t="shared" si="427"/>
        <v>#N/A</v>
      </c>
      <c r="E20" s="86" t="e">
        <f t="shared" si="427"/>
        <v>#N/A</v>
      </c>
      <c r="F20" s="86" t="e">
        <f t="shared" si="427"/>
        <v>#N/A</v>
      </c>
      <c r="G20" s="86" t="e">
        <f t="shared" si="427"/>
        <v>#N/A</v>
      </c>
      <c r="H20" s="86" t="e">
        <f t="shared" si="427"/>
        <v>#N/A</v>
      </c>
      <c r="I20" s="86" t="e">
        <f t="shared" si="427"/>
        <v>#N/A</v>
      </c>
      <c r="J20" s="86" t="e">
        <f t="shared" si="427"/>
        <v>#N/A</v>
      </c>
      <c r="K20" s="86" t="e">
        <f t="shared" si="427"/>
        <v>#N/A</v>
      </c>
      <c r="L20" s="86" t="e">
        <f t="shared" si="427"/>
        <v>#N/A</v>
      </c>
      <c r="M20" s="86" t="e">
        <f t="shared" si="427"/>
        <v>#N/A</v>
      </c>
      <c r="N20" s="87" t="e">
        <f t="shared" si="353"/>
        <v>#N/A</v>
      </c>
      <c r="O20" s="86" t="e">
        <f>M20*(1+Inputs!$B$10)</f>
        <v>#N/A</v>
      </c>
      <c r="P20" s="86" t="e">
        <f t="shared" ref="P20:Z24" si="428">O20</f>
        <v>#N/A</v>
      </c>
      <c r="Q20" s="86" t="e">
        <f t="shared" si="428"/>
        <v>#N/A</v>
      </c>
      <c r="R20" s="86" t="e">
        <f t="shared" si="428"/>
        <v>#N/A</v>
      </c>
      <c r="S20" s="86" t="e">
        <f t="shared" si="428"/>
        <v>#N/A</v>
      </c>
      <c r="T20" s="86" t="e">
        <f t="shared" si="428"/>
        <v>#N/A</v>
      </c>
      <c r="U20" s="86" t="e">
        <f t="shared" si="428"/>
        <v>#N/A</v>
      </c>
      <c r="V20" s="86" t="e">
        <f t="shared" si="428"/>
        <v>#N/A</v>
      </c>
      <c r="W20" s="86" t="e">
        <f t="shared" si="428"/>
        <v>#N/A</v>
      </c>
      <c r="X20" s="86" t="e">
        <f t="shared" si="428"/>
        <v>#N/A</v>
      </c>
      <c r="Y20" s="86" t="e">
        <f t="shared" si="428"/>
        <v>#N/A</v>
      </c>
      <c r="Z20" s="86" t="e">
        <f t="shared" si="428"/>
        <v>#N/A</v>
      </c>
      <c r="AA20" s="87" t="e">
        <f t="shared" si="354"/>
        <v>#N/A</v>
      </c>
      <c r="AB20" s="86" t="e">
        <f>Z20*(1+Inputs!$B$10)</f>
        <v>#N/A</v>
      </c>
      <c r="AC20" s="86" t="e">
        <f t="shared" ref="AC20:AM24" si="429">AB20</f>
        <v>#N/A</v>
      </c>
      <c r="AD20" s="86" t="e">
        <f t="shared" si="429"/>
        <v>#N/A</v>
      </c>
      <c r="AE20" s="86" t="e">
        <f t="shared" si="429"/>
        <v>#N/A</v>
      </c>
      <c r="AF20" s="86" t="e">
        <f t="shared" si="429"/>
        <v>#N/A</v>
      </c>
      <c r="AG20" s="86" t="e">
        <f t="shared" si="429"/>
        <v>#N/A</v>
      </c>
      <c r="AH20" s="86" t="e">
        <f t="shared" si="429"/>
        <v>#N/A</v>
      </c>
      <c r="AI20" s="86" t="e">
        <f t="shared" si="429"/>
        <v>#N/A</v>
      </c>
      <c r="AJ20" s="86" t="e">
        <f t="shared" si="429"/>
        <v>#N/A</v>
      </c>
      <c r="AK20" s="86" t="e">
        <f t="shared" si="429"/>
        <v>#N/A</v>
      </c>
      <c r="AL20" s="86" t="e">
        <f t="shared" si="429"/>
        <v>#N/A</v>
      </c>
      <c r="AM20" s="86" t="e">
        <f t="shared" si="429"/>
        <v>#N/A</v>
      </c>
      <c r="AN20" s="87" t="e">
        <f t="shared" ref="AN20:AN25" si="430">SUM(AB20:AM20)</f>
        <v>#N/A</v>
      </c>
      <c r="AO20" s="86" t="e">
        <f>AM20*(1+Inputs!$B$10)</f>
        <v>#N/A</v>
      </c>
      <c r="AP20" s="86" t="e">
        <f t="shared" ref="AP20:AZ24" si="431">AO20</f>
        <v>#N/A</v>
      </c>
      <c r="AQ20" s="86" t="e">
        <f t="shared" si="431"/>
        <v>#N/A</v>
      </c>
      <c r="AR20" s="86" t="e">
        <f t="shared" si="431"/>
        <v>#N/A</v>
      </c>
      <c r="AS20" s="86" t="e">
        <f t="shared" si="431"/>
        <v>#N/A</v>
      </c>
      <c r="AT20" s="86" t="e">
        <f t="shared" si="431"/>
        <v>#N/A</v>
      </c>
      <c r="AU20" s="86" t="e">
        <f t="shared" si="431"/>
        <v>#N/A</v>
      </c>
      <c r="AV20" s="86" t="e">
        <f t="shared" si="431"/>
        <v>#N/A</v>
      </c>
      <c r="AW20" s="86" t="e">
        <f t="shared" si="431"/>
        <v>#N/A</v>
      </c>
      <c r="AX20" s="86" t="e">
        <f t="shared" si="431"/>
        <v>#N/A</v>
      </c>
      <c r="AY20" s="86" t="e">
        <f t="shared" si="431"/>
        <v>#N/A</v>
      </c>
      <c r="AZ20" s="86" t="e">
        <f t="shared" si="431"/>
        <v>#N/A</v>
      </c>
      <c r="BA20" s="87" t="e">
        <f t="shared" ref="BA20:BA25" si="432">SUM(AO20:AZ20)</f>
        <v>#N/A</v>
      </c>
      <c r="BB20" s="86" t="e">
        <f>AZ20*(1+Inputs!$B$10)</f>
        <v>#N/A</v>
      </c>
      <c r="BC20" s="86" t="e">
        <f t="shared" ref="BC20:BM24" si="433">BB20</f>
        <v>#N/A</v>
      </c>
      <c r="BD20" s="86" t="e">
        <f t="shared" si="433"/>
        <v>#N/A</v>
      </c>
      <c r="BE20" s="86" t="e">
        <f t="shared" si="433"/>
        <v>#N/A</v>
      </c>
      <c r="BF20" s="86" t="e">
        <f t="shared" si="433"/>
        <v>#N/A</v>
      </c>
      <c r="BG20" s="86" t="e">
        <f t="shared" si="433"/>
        <v>#N/A</v>
      </c>
      <c r="BH20" s="86" t="e">
        <f t="shared" si="433"/>
        <v>#N/A</v>
      </c>
      <c r="BI20" s="86" t="e">
        <f t="shared" si="433"/>
        <v>#N/A</v>
      </c>
      <c r="BJ20" s="86" t="e">
        <f t="shared" si="433"/>
        <v>#N/A</v>
      </c>
      <c r="BK20" s="86" t="e">
        <f t="shared" si="433"/>
        <v>#N/A</v>
      </c>
      <c r="BL20" s="86" t="e">
        <f t="shared" si="433"/>
        <v>#N/A</v>
      </c>
      <c r="BM20" s="86" t="e">
        <f t="shared" si="433"/>
        <v>#N/A</v>
      </c>
      <c r="BN20" s="87" t="e">
        <f t="shared" ref="BN20:BN25" si="434">SUM(BB20:BM20)</f>
        <v>#N/A</v>
      </c>
      <c r="BO20" s="86" t="e">
        <f>BM20*(1+Inputs!$B$10)</f>
        <v>#N/A</v>
      </c>
      <c r="BP20" s="86" t="e">
        <f t="shared" ref="BP20:BZ24" si="435">BO20</f>
        <v>#N/A</v>
      </c>
      <c r="BQ20" s="86" t="e">
        <f t="shared" si="435"/>
        <v>#N/A</v>
      </c>
      <c r="BR20" s="86" t="e">
        <f t="shared" si="435"/>
        <v>#N/A</v>
      </c>
      <c r="BS20" s="86" t="e">
        <f t="shared" si="435"/>
        <v>#N/A</v>
      </c>
      <c r="BT20" s="86" t="e">
        <f t="shared" si="435"/>
        <v>#N/A</v>
      </c>
      <c r="BU20" s="86" t="e">
        <f t="shared" si="435"/>
        <v>#N/A</v>
      </c>
      <c r="BV20" s="86" t="e">
        <f t="shared" si="435"/>
        <v>#N/A</v>
      </c>
      <c r="BW20" s="86" t="e">
        <f t="shared" si="435"/>
        <v>#N/A</v>
      </c>
      <c r="BX20" s="86" t="e">
        <f t="shared" si="435"/>
        <v>#N/A</v>
      </c>
      <c r="BY20" s="86" t="e">
        <f t="shared" si="435"/>
        <v>#N/A</v>
      </c>
      <c r="BZ20" s="86" t="e">
        <f t="shared" si="435"/>
        <v>#N/A</v>
      </c>
      <c r="CA20" s="87" t="e">
        <f t="shared" ref="CA20:CA25" si="436">SUM(BO20:BZ20)</f>
        <v>#N/A</v>
      </c>
      <c r="CB20" s="86" t="e">
        <f>BZ20*(1+Inputs!$B$10)</f>
        <v>#N/A</v>
      </c>
      <c r="CC20" s="86" t="e">
        <f t="shared" ref="CC20:CM24" si="437">CB20</f>
        <v>#N/A</v>
      </c>
      <c r="CD20" s="86" t="e">
        <f t="shared" si="437"/>
        <v>#N/A</v>
      </c>
      <c r="CE20" s="86" t="e">
        <f t="shared" si="437"/>
        <v>#N/A</v>
      </c>
      <c r="CF20" s="86" t="e">
        <f t="shared" si="437"/>
        <v>#N/A</v>
      </c>
      <c r="CG20" s="86" t="e">
        <f t="shared" si="437"/>
        <v>#N/A</v>
      </c>
      <c r="CH20" s="86" t="e">
        <f t="shared" si="437"/>
        <v>#N/A</v>
      </c>
      <c r="CI20" s="86" t="e">
        <f t="shared" si="437"/>
        <v>#N/A</v>
      </c>
      <c r="CJ20" s="86" t="e">
        <f t="shared" si="437"/>
        <v>#N/A</v>
      </c>
      <c r="CK20" s="86" t="e">
        <f t="shared" si="437"/>
        <v>#N/A</v>
      </c>
      <c r="CL20" s="86" t="e">
        <f t="shared" si="437"/>
        <v>#N/A</v>
      </c>
      <c r="CM20" s="86" t="e">
        <f t="shared" si="437"/>
        <v>#N/A</v>
      </c>
      <c r="CN20" s="87" t="e">
        <f t="shared" ref="CN20:CN25" si="438">SUM(CB20:CM20)</f>
        <v>#N/A</v>
      </c>
      <c r="CO20" s="86" t="e">
        <f>CM20*(1+Inputs!$B$10)</f>
        <v>#N/A</v>
      </c>
      <c r="CP20" s="86" t="e">
        <f t="shared" ref="CP20:CZ24" si="439">CO20</f>
        <v>#N/A</v>
      </c>
      <c r="CQ20" s="86" t="e">
        <f t="shared" si="439"/>
        <v>#N/A</v>
      </c>
      <c r="CR20" s="86" t="e">
        <f t="shared" si="439"/>
        <v>#N/A</v>
      </c>
      <c r="CS20" s="86" t="e">
        <f t="shared" si="439"/>
        <v>#N/A</v>
      </c>
      <c r="CT20" s="86" t="e">
        <f t="shared" si="439"/>
        <v>#N/A</v>
      </c>
      <c r="CU20" s="86" t="e">
        <f t="shared" si="439"/>
        <v>#N/A</v>
      </c>
      <c r="CV20" s="86" t="e">
        <f t="shared" si="439"/>
        <v>#N/A</v>
      </c>
      <c r="CW20" s="86" t="e">
        <f t="shared" si="439"/>
        <v>#N/A</v>
      </c>
      <c r="CX20" s="86" t="e">
        <f t="shared" si="439"/>
        <v>#N/A</v>
      </c>
      <c r="CY20" s="86" t="e">
        <f t="shared" si="439"/>
        <v>#N/A</v>
      </c>
      <c r="CZ20" s="86" t="e">
        <f t="shared" si="439"/>
        <v>#N/A</v>
      </c>
      <c r="DA20" s="87" t="e">
        <f t="shared" ref="DA20:DA25" si="440">SUM(CO20:CZ20)</f>
        <v>#N/A</v>
      </c>
      <c r="DB20" s="86" t="e">
        <f>CZ20*(1+Inputs!$B$10)</f>
        <v>#N/A</v>
      </c>
      <c r="DC20" s="86" t="e">
        <f t="shared" ref="DC20:DM24" si="441">DB20</f>
        <v>#N/A</v>
      </c>
      <c r="DD20" s="86" t="e">
        <f t="shared" si="441"/>
        <v>#N/A</v>
      </c>
      <c r="DE20" s="86" t="e">
        <f t="shared" si="441"/>
        <v>#N/A</v>
      </c>
      <c r="DF20" s="86" t="e">
        <f t="shared" si="441"/>
        <v>#N/A</v>
      </c>
      <c r="DG20" s="86" t="e">
        <f t="shared" si="441"/>
        <v>#N/A</v>
      </c>
      <c r="DH20" s="86" t="e">
        <f t="shared" si="441"/>
        <v>#N/A</v>
      </c>
      <c r="DI20" s="86" t="e">
        <f t="shared" si="441"/>
        <v>#N/A</v>
      </c>
      <c r="DJ20" s="86" t="e">
        <f t="shared" si="441"/>
        <v>#N/A</v>
      </c>
      <c r="DK20" s="86" t="e">
        <f t="shared" si="441"/>
        <v>#N/A</v>
      </c>
      <c r="DL20" s="86" t="e">
        <f t="shared" si="441"/>
        <v>#N/A</v>
      </c>
      <c r="DM20" s="86" t="e">
        <f t="shared" si="441"/>
        <v>#N/A</v>
      </c>
      <c r="DN20" s="87" t="e">
        <f t="shared" ref="DN20:DN25" si="442">SUM(DB20:DM20)</f>
        <v>#N/A</v>
      </c>
      <c r="DO20" s="86" t="e">
        <f>DM20*(1+Inputs!$B$10)</f>
        <v>#N/A</v>
      </c>
      <c r="DP20" s="86" t="e">
        <f t="shared" ref="DP20:DZ24" si="443">DO20</f>
        <v>#N/A</v>
      </c>
      <c r="DQ20" s="86" t="e">
        <f t="shared" si="443"/>
        <v>#N/A</v>
      </c>
      <c r="DR20" s="86" t="e">
        <f t="shared" si="443"/>
        <v>#N/A</v>
      </c>
      <c r="DS20" s="86" t="e">
        <f t="shared" si="443"/>
        <v>#N/A</v>
      </c>
      <c r="DT20" s="86" t="e">
        <f t="shared" si="443"/>
        <v>#N/A</v>
      </c>
      <c r="DU20" s="86" t="e">
        <f t="shared" si="443"/>
        <v>#N/A</v>
      </c>
      <c r="DV20" s="86" t="e">
        <f t="shared" si="443"/>
        <v>#N/A</v>
      </c>
      <c r="DW20" s="86" t="e">
        <f t="shared" si="443"/>
        <v>#N/A</v>
      </c>
      <c r="DX20" s="86" t="e">
        <f t="shared" si="443"/>
        <v>#N/A</v>
      </c>
      <c r="DY20" s="86" t="e">
        <f t="shared" si="443"/>
        <v>#N/A</v>
      </c>
      <c r="DZ20" s="86" t="e">
        <f t="shared" si="443"/>
        <v>#N/A</v>
      </c>
      <c r="EA20" s="87" t="e">
        <f t="shared" ref="EA20:EA25" si="444">SUM(DO20:DZ20)</f>
        <v>#N/A</v>
      </c>
      <c r="EB20" s="86" t="e">
        <f>DZ20*(1+Inputs!$B$10)</f>
        <v>#N/A</v>
      </c>
      <c r="EC20" s="86" t="e">
        <f t="shared" ref="EC20:EM24" si="445">EB20</f>
        <v>#N/A</v>
      </c>
      <c r="ED20" s="86" t="e">
        <f t="shared" si="445"/>
        <v>#N/A</v>
      </c>
      <c r="EE20" s="86" t="e">
        <f t="shared" si="445"/>
        <v>#N/A</v>
      </c>
      <c r="EF20" s="86" t="e">
        <f t="shared" si="445"/>
        <v>#N/A</v>
      </c>
      <c r="EG20" s="86" t="e">
        <f t="shared" si="445"/>
        <v>#N/A</v>
      </c>
      <c r="EH20" s="86" t="e">
        <f t="shared" si="445"/>
        <v>#N/A</v>
      </c>
      <c r="EI20" s="86" t="e">
        <f t="shared" si="445"/>
        <v>#N/A</v>
      </c>
      <c r="EJ20" s="86" t="e">
        <f t="shared" si="445"/>
        <v>#N/A</v>
      </c>
      <c r="EK20" s="86" t="e">
        <f t="shared" si="445"/>
        <v>#N/A</v>
      </c>
      <c r="EL20" s="86" t="e">
        <f t="shared" si="445"/>
        <v>#N/A</v>
      </c>
      <c r="EM20" s="86" t="e">
        <f t="shared" si="445"/>
        <v>#N/A</v>
      </c>
      <c r="EN20" s="87" t="e">
        <f t="shared" ref="EN20:EN25" si="446">SUM(EB20:EM20)</f>
        <v>#N/A</v>
      </c>
      <c r="EO20" s="86" t="e">
        <f>EM20*(1+Inputs!$B$10)</f>
        <v>#N/A</v>
      </c>
      <c r="EP20" s="86" t="e">
        <f t="shared" ref="EP20:EZ24" si="447">EO20</f>
        <v>#N/A</v>
      </c>
      <c r="EQ20" s="86" t="e">
        <f t="shared" si="447"/>
        <v>#N/A</v>
      </c>
      <c r="ER20" s="86" t="e">
        <f t="shared" si="447"/>
        <v>#N/A</v>
      </c>
      <c r="ES20" s="86" t="e">
        <f t="shared" si="447"/>
        <v>#N/A</v>
      </c>
      <c r="ET20" s="86" t="e">
        <f t="shared" si="447"/>
        <v>#N/A</v>
      </c>
      <c r="EU20" s="86" t="e">
        <f t="shared" si="447"/>
        <v>#N/A</v>
      </c>
      <c r="EV20" s="86" t="e">
        <f t="shared" si="447"/>
        <v>#N/A</v>
      </c>
      <c r="EW20" s="86" t="e">
        <f t="shared" si="447"/>
        <v>#N/A</v>
      </c>
      <c r="EX20" s="86" t="e">
        <f t="shared" si="447"/>
        <v>#N/A</v>
      </c>
      <c r="EY20" s="86" t="e">
        <f t="shared" si="447"/>
        <v>#N/A</v>
      </c>
      <c r="EZ20" s="86" t="e">
        <f t="shared" si="447"/>
        <v>#N/A</v>
      </c>
      <c r="FA20" s="87" t="e">
        <f t="shared" ref="FA20:FA25" si="448">SUM(EO20:EZ20)</f>
        <v>#N/A</v>
      </c>
      <c r="FB20" s="86" t="e">
        <f>EZ20*(1+Inputs!$B$10)</f>
        <v>#N/A</v>
      </c>
      <c r="FC20" s="86" t="e">
        <f t="shared" ref="FC20:FM24" si="449">FB20</f>
        <v>#N/A</v>
      </c>
      <c r="FD20" s="86" t="e">
        <f t="shared" si="449"/>
        <v>#N/A</v>
      </c>
      <c r="FE20" s="86" t="e">
        <f t="shared" si="449"/>
        <v>#N/A</v>
      </c>
      <c r="FF20" s="86" t="e">
        <f t="shared" si="449"/>
        <v>#N/A</v>
      </c>
      <c r="FG20" s="86" t="e">
        <f t="shared" si="449"/>
        <v>#N/A</v>
      </c>
      <c r="FH20" s="86" t="e">
        <f t="shared" si="449"/>
        <v>#N/A</v>
      </c>
      <c r="FI20" s="86" t="e">
        <f t="shared" si="449"/>
        <v>#N/A</v>
      </c>
      <c r="FJ20" s="86" t="e">
        <f t="shared" si="449"/>
        <v>#N/A</v>
      </c>
      <c r="FK20" s="86" t="e">
        <f t="shared" si="449"/>
        <v>#N/A</v>
      </c>
      <c r="FL20" s="86" t="e">
        <f t="shared" si="449"/>
        <v>#N/A</v>
      </c>
      <c r="FM20" s="86" t="e">
        <f t="shared" si="449"/>
        <v>#N/A</v>
      </c>
      <c r="FN20" s="87" t="e">
        <f t="shared" ref="FN20:FN25" si="450">SUM(FB20:FM20)</f>
        <v>#N/A</v>
      </c>
      <c r="FO20" s="86" t="e">
        <f>FM20*(1+Inputs!$B$10)</f>
        <v>#N/A</v>
      </c>
      <c r="FP20" s="86" t="e">
        <f t="shared" ref="FP20:FZ24" si="451">FO20</f>
        <v>#N/A</v>
      </c>
      <c r="FQ20" s="86" t="e">
        <f t="shared" si="451"/>
        <v>#N/A</v>
      </c>
      <c r="FR20" s="86" t="e">
        <f t="shared" si="451"/>
        <v>#N/A</v>
      </c>
      <c r="FS20" s="86" t="e">
        <f t="shared" si="451"/>
        <v>#N/A</v>
      </c>
      <c r="FT20" s="86" t="e">
        <f t="shared" si="451"/>
        <v>#N/A</v>
      </c>
      <c r="FU20" s="86" t="e">
        <f t="shared" si="451"/>
        <v>#N/A</v>
      </c>
      <c r="FV20" s="86" t="e">
        <f t="shared" si="451"/>
        <v>#N/A</v>
      </c>
      <c r="FW20" s="86" t="e">
        <f t="shared" si="451"/>
        <v>#N/A</v>
      </c>
      <c r="FX20" s="86" t="e">
        <f t="shared" si="451"/>
        <v>#N/A</v>
      </c>
      <c r="FY20" s="86" t="e">
        <f t="shared" si="451"/>
        <v>#N/A</v>
      </c>
      <c r="FZ20" s="86" t="e">
        <f t="shared" si="451"/>
        <v>#N/A</v>
      </c>
      <c r="GA20" s="87" t="e">
        <f t="shared" ref="GA20:GA25" si="452">SUM(FO20:FZ20)</f>
        <v>#N/A</v>
      </c>
      <c r="GB20" s="86" t="e">
        <f>FZ20*(1+Inputs!$B$10)</f>
        <v>#N/A</v>
      </c>
      <c r="GC20" s="86" t="e">
        <f t="shared" ref="GC20:GM24" si="453">GB20</f>
        <v>#N/A</v>
      </c>
      <c r="GD20" s="86" t="e">
        <f t="shared" si="453"/>
        <v>#N/A</v>
      </c>
      <c r="GE20" s="86" t="e">
        <f t="shared" si="453"/>
        <v>#N/A</v>
      </c>
      <c r="GF20" s="86" t="e">
        <f t="shared" si="453"/>
        <v>#N/A</v>
      </c>
      <c r="GG20" s="86" t="e">
        <f t="shared" si="453"/>
        <v>#N/A</v>
      </c>
      <c r="GH20" s="86" t="e">
        <f t="shared" si="453"/>
        <v>#N/A</v>
      </c>
      <c r="GI20" s="86" t="e">
        <f t="shared" si="453"/>
        <v>#N/A</v>
      </c>
      <c r="GJ20" s="86" t="e">
        <f t="shared" si="453"/>
        <v>#N/A</v>
      </c>
      <c r="GK20" s="86" t="e">
        <f t="shared" si="453"/>
        <v>#N/A</v>
      </c>
      <c r="GL20" s="86" t="e">
        <f t="shared" si="453"/>
        <v>#N/A</v>
      </c>
      <c r="GM20" s="86" t="e">
        <f t="shared" si="453"/>
        <v>#N/A</v>
      </c>
      <c r="GN20" s="87" t="e">
        <f t="shared" ref="GN20:GN25" si="454">SUM(GB20:GM20)</f>
        <v>#N/A</v>
      </c>
      <c r="GO20" s="86" t="e">
        <f>GM20*(1+Inputs!$B$10)</f>
        <v>#N/A</v>
      </c>
      <c r="GP20" s="86" t="e">
        <f t="shared" ref="GP20:GZ24" si="455">GO20</f>
        <v>#N/A</v>
      </c>
      <c r="GQ20" s="86" t="e">
        <f t="shared" si="455"/>
        <v>#N/A</v>
      </c>
      <c r="GR20" s="86" t="e">
        <f t="shared" si="455"/>
        <v>#N/A</v>
      </c>
      <c r="GS20" s="86" t="e">
        <f t="shared" si="455"/>
        <v>#N/A</v>
      </c>
      <c r="GT20" s="86" t="e">
        <f t="shared" si="455"/>
        <v>#N/A</v>
      </c>
      <c r="GU20" s="86" t="e">
        <f t="shared" si="455"/>
        <v>#N/A</v>
      </c>
      <c r="GV20" s="86" t="e">
        <f t="shared" si="455"/>
        <v>#N/A</v>
      </c>
      <c r="GW20" s="86" t="e">
        <f t="shared" si="455"/>
        <v>#N/A</v>
      </c>
      <c r="GX20" s="86" t="e">
        <f t="shared" si="455"/>
        <v>#N/A</v>
      </c>
      <c r="GY20" s="86" t="e">
        <f t="shared" si="455"/>
        <v>#N/A</v>
      </c>
      <c r="GZ20" s="86" t="e">
        <f t="shared" si="455"/>
        <v>#N/A</v>
      </c>
      <c r="HA20" s="87" t="e">
        <f t="shared" ref="HA20:HA25" si="456">SUM(GO20:GZ20)</f>
        <v>#N/A</v>
      </c>
      <c r="HB20" s="86" t="e">
        <f>GZ20*(1+Inputs!$B$10)</f>
        <v>#N/A</v>
      </c>
      <c r="HC20" s="86" t="e">
        <f t="shared" ref="HC20:HM24" si="457">HB20</f>
        <v>#N/A</v>
      </c>
      <c r="HD20" s="86" t="e">
        <f t="shared" si="457"/>
        <v>#N/A</v>
      </c>
      <c r="HE20" s="86" t="e">
        <f t="shared" si="457"/>
        <v>#N/A</v>
      </c>
      <c r="HF20" s="86" t="e">
        <f t="shared" si="457"/>
        <v>#N/A</v>
      </c>
      <c r="HG20" s="86" t="e">
        <f t="shared" si="457"/>
        <v>#N/A</v>
      </c>
      <c r="HH20" s="86" t="e">
        <f t="shared" si="457"/>
        <v>#N/A</v>
      </c>
      <c r="HI20" s="86" t="e">
        <f t="shared" si="457"/>
        <v>#N/A</v>
      </c>
      <c r="HJ20" s="86" t="e">
        <f t="shared" si="457"/>
        <v>#N/A</v>
      </c>
      <c r="HK20" s="86" t="e">
        <f t="shared" si="457"/>
        <v>#N/A</v>
      </c>
      <c r="HL20" s="86" t="e">
        <f t="shared" si="457"/>
        <v>#N/A</v>
      </c>
      <c r="HM20" s="86" t="e">
        <f t="shared" si="457"/>
        <v>#N/A</v>
      </c>
      <c r="HN20" s="87" t="e">
        <f t="shared" ref="HN20:HN25" si="458">SUM(HB20:HM20)</f>
        <v>#N/A</v>
      </c>
      <c r="HO20" s="86" t="e">
        <f>HM20*(1+Inputs!$B$10)</f>
        <v>#N/A</v>
      </c>
      <c r="HP20" s="86" t="e">
        <f t="shared" ref="HP20:HZ24" si="459">HO20</f>
        <v>#N/A</v>
      </c>
      <c r="HQ20" s="86" t="e">
        <f t="shared" si="459"/>
        <v>#N/A</v>
      </c>
      <c r="HR20" s="86" t="e">
        <f t="shared" si="459"/>
        <v>#N/A</v>
      </c>
      <c r="HS20" s="86" t="e">
        <f t="shared" si="459"/>
        <v>#N/A</v>
      </c>
      <c r="HT20" s="86" t="e">
        <f t="shared" si="459"/>
        <v>#N/A</v>
      </c>
      <c r="HU20" s="86" t="e">
        <f t="shared" si="459"/>
        <v>#N/A</v>
      </c>
      <c r="HV20" s="86" t="e">
        <f t="shared" si="459"/>
        <v>#N/A</v>
      </c>
      <c r="HW20" s="86" t="e">
        <f t="shared" si="459"/>
        <v>#N/A</v>
      </c>
      <c r="HX20" s="86" t="e">
        <f t="shared" si="459"/>
        <v>#N/A</v>
      </c>
      <c r="HY20" s="86" t="e">
        <f t="shared" si="459"/>
        <v>#N/A</v>
      </c>
      <c r="HZ20" s="86" t="e">
        <f t="shared" si="459"/>
        <v>#N/A</v>
      </c>
      <c r="IA20" s="87" t="e">
        <f t="shared" ref="IA20:IA25" si="460">SUM(HO20:HZ20)</f>
        <v>#N/A</v>
      </c>
      <c r="IB20" s="86" t="e">
        <f>HZ20*(1+Inputs!$B$10)</f>
        <v>#N/A</v>
      </c>
      <c r="IC20" s="86" t="e">
        <f t="shared" ref="IC20:IM24" si="461">IB20</f>
        <v>#N/A</v>
      </c>
      <c r="ID20" s="86" t="e">
        <f t="shared" si="461"/>
        <v>#N/A</v>
      </c>
      <c r="IE20" s="86" t="e">
        <f t="shared" si="461"/>
        <v>#N/A</v>
      </c>
      <c r="IF20" s="86" t="e">
        <f t="shared" si="461"/>
        <v>#N/A</v>
      </c>
      <c r="IG20" s="86" t="e">
        <f t="shared" si="461"/>
        <v>#N/A</v>
      </c>
      <c r="IH20" s="86" t="e">
        <f t="shared" si="461"/>
        <v>#N/A</v>
      </c>
      <c r="II20" s="86" t="e">
        <f t="shared" si="461"/>
        <v>#N/A</v>
      </c>
      <c r="IJ20" s="86" t="e">
        <f t="shared" si="461"/>
        <v>#N/A</v>
      </c>
      <c r="IK20" s="86" t="e">
        <f t="shared" si="461"/>
        <v>#N/A</v>
      </c>
      <c r="IL20" s="86" t="e">
        <f t="shared" si="461"/>
        <v>#N/A</v>
      </c>
      <c r="IM20" s="86" t="e">
        <f t="shared" si="461"/>
        <v>#N/A</v>
      </c>
      <c r="IN20" s="87" t="e">
        <f t="shared" ref="IN20:IN25" si="462">SUM(IB20:IM20)</f>
        <v>#N/A</v>
      </c>
      <c r="IO20" s="86" t="e">
        <f>IM20*(1+Inputs!$B$10)</f>
        <v>#N/A</v>
      </c>
      <c r="IP20" s="86" t="e">
        <f t="shared" ref="IP20:IZ24" si="463">IO20</f>
        <v>#N/A</v>
      </c>
      <c r="IQ20" s="86" t="e">
        <f t="shared" si="463"/>
        <v>#N/A</v>
      </c>
      <c r="IR20" s="86" t="e">
        <f t="shared" si="463"/>
        <v>#N/A</v>
      </c>
      <c r="IS20" s="86" t="e">
        <f t="shared" si="463"/>
        <v>#N/A</v>
      </c>
      <c r="IT20" s="86" t="e">
        <f t="shared" si="463"/>
        <v>#N/A</v>
      </c>
      <c r="IU20" s="86" t="e">
        <f t="shared" si="463"/>
        <v>#N/A</v>
      </c>
      <c r="IV20" s="86" t="e">
        <f t="shared" si="463"/>
        <v>#N/A</v>
      </c>
      <c r="IW20" s="86" t="e">
        <f t="shared" si="463"/>
        <v>#N/A</v>
      </c>
      <c r="IX20" s="86" t="e">
        <f t="shared" si="463"/>
        <v>#N/A</v>
      </c>
      <c r="IY20" s="86" t="e">
        <f t="shared" si="463"/>
        <v>#N/A</v>
      </c>
      <c r="IZ20" s="86" t="e">
        <f t="shared" si="463"/>
        <v>#N/A</v>
      </c>
      <c r="JA20" s="87" t="e">
        <f t="shared" ref="JA20:JA25" si="464">SUM(IO20:IZ20)</f>
        <v>#N/A</v>
      </c>
      <c r="JB20" s="86" t="e">
        <f>IZ20*(1+Inputs!$B$10)</f>
        <v>#N/A</v>
      </c>
      <c r="JC20" s="86" t="e">
        <f t="shared" ref="JC20:JM24" si="465">JB20</f>
        <v>#N/A</v>
      </c>
      <c r="JD20" s="86" t="e">
        <f t="shared" si="465"/>
        <v>#N/A</v>
      </c>
      <c r="JE20" s="86" t="e">
        <f t="shared" si="465"/>
        <v>#N/A</v>
      </c>
      <c r="JF20" s="86" t="e">
        <f t="shared" si="465"/>
        <v>#N/A</v>
      </c>
      <c r="JG20" s="86" t="e">
        <f t="shared" si="465"/>
        <v>#N/A</v>
      </c>
      <c r="JH20" s="86" t="e">
        <f t="shared" si="465"/>
        <v>#N/A</v>
      </c>
      <c r="JI20" s="86" t="e">
        <f t="shared" si="465"/>
        <v>#N/A</v>
      </c>
      <c r="JJ20" s="86" t="e">
        <f t="shared" si="465"/>
        <v>#N/A</v>
      </c>
      <c r="JK20" s="86" t="e">
        <f t="shared" si="465"/>
        <v>#N/A</v>
      </c>
      <c r="JL20" s="86" t="e">
        <f t="shared" si="465"/>
        <v>#N/A</v>
      </c>
      <c r="JM20" s="86" t="e">
        <f t="shared" si="465"/>
        <v>#N/A</v>
      </c>
      <c r="JN20" s="87" t="e">
        <f t="shared" ref="JN20:JN25" si="466">SUM(JB20:JM20)</f>
        <v>#N/A</v>
      </c>
      <c r="JO20" s="86" t="e">
        <f>JM20*(1+Inputs!$B$10)</f>
        <v>#N/A</v>
      </c>
      <c r="JP20" s="86" t="e">
        <f t="shared" ref="JP20:JZ24" si="467">JO20</f>
        <v>#N/A</v>
      </c>
      <c r="JQ20" s="86" t="e">
        <f t="shared" si="467"/>
        <v>#N/A</v>
      </c>
      <c r="JR20" s="86" t="e">
        <f t="shared" si="467"/>
        <v>#N/A</v>
      </c>
      <c r="JS20" s="86" t="e">
        <f t="shared" si="467"/>
        <v>#N/A</v>
      </c>
      <c r="JT20" s="86" t="e">
        <f t="shared" si="467"/>
        <v>#N/A</v>
      </c>
      <c r="JU20" s="86" t="e">
        <f t="shared" si="467"/>
        <v>#N/A</v>
      </c>
      <c r="JV20" s="86" t="e">
        <f t="shared" si="467"/>
        <v>#N/A</v>
      </c>
      <c r="JW20" s="86" t="e">
        <f t="shared" si="467"/>
        <v>#N/A</v>
      </c>
      <c r="JX20" s="86" t="e">
        <f t="shared" si="467"/>
        <v>#N/A</v>
      </c>
      <c r="JY20" s="86" t="e">
        <f t="shared" si="467"/>
        <v>#N/A</v>
      </c>
      <c r="JZ20" s="86" t="e">
        <f t="shared" si="467"/>
        <v>#N/A</v>
      </c>
      <c r="KA20" s="87" t="e">
        <f t="shared" ref="KA20:KA25" si="468">SUM(JO20:JZ20)</f>
        <v>#N/A</v>
      </c>
      <c r="KB20" s="86" t="e">
        <f>JZ20*(1+Inputs!$B$10)</f>
        <v>#N/A</v>
      </c>
      <c r="KC20" s="86" t="e">
        <f t="shared" ref="KC20:KM24" si="469">KB20</f>
        <v>#N/A</v>
      </c>
      <c r="KD20" s="86" t="e">
        <f t="shared" si="469"/>
        <v>#N/A</v>
      </c>
      <c r="KE20" s="86" t="e">
        <f t="shared" si="469"/>
        <v>#N/A</v>
      </c>
      <c r="KF20" s="86" t="e">
        <f t="shared" si="469"/>
        <v>#N/A</v>
      </c>
      <c r="KG20" s="86" t="e">
        <f t="shared" si="469"/>
        <v>#N/A</v>
      </c>
      <c r="KH20" s="86" t="e">
        <f t="shared" si="469"/>
        <v>#N/A</v>
      </c>
      <c r="KI20" s="86" t="e">
        <f t="shared" si="469"/>
        <v>#N/A</v>
      </c>
      <c r="KJ20" s="86" t="e">
        <f t="shared" si="469"/>
        <v>#N/A</v>
      </c>
      <c r="KK20" s="86" t="e">
        <f t="shared" si="469"/>
        <v>#N/A</v>
      </c>
      <c r="KL20" s="86" t="e">
        <f t="shared" si="469"/>
        <v>#N/A</v>
      </c>
      <c r="KM20" s="86" t="e">
        <f t="shared" si="469"/>
        <v>#N/A</v>
      </c>
      <c r="KN20" s="87" t="e">
        <f t="shared" ref="KN20:KN25" si="470">SUM(KB20:KM20)</f>
        <v>#N/A</v>
      </c>
      <c r="KO20" s="86" t="e">
        <f>KM20*(1+Inputs!$B$10)</f>
        <v>#N/A</v>
      </c>
      <c r="KP20" s="86" t="e">
        <f t="shared" ref="KP20:KZ24" si="471">KO20</f>
        <v>#N/A</v>
      </c>
      <c r="KQ20" s="86" t="e">
        <f t="shared" si="471"/>
        <v>#N/A</v>
      </c>
      <c r="KR20" s="86" t="e">
        <f t="shared" si="471"/>
        <v>#N/A</v>
      </c>
      <c r="KS20" s="86" t="e">
        <f t="shared" si="471"/>
        <v>#N/A</v>
      </c>
      <c r="KT20" s="86" t="e">
        <f t="shared" si="471"/>
        <v>#N/A</v>
      </c>
      <c r="KU20" s="86" t="e">
        <f t="shared" si="471"/>
        <v>#N/A</v>
      </c>
      <c r="KV20" s="86" t="e">
        <f t="shared" si="471"/>
        <v>#N/A</v>
      </c>
      <c r="KW20" s="86" t="e">
        <f t="shared" si="471"/>
        <v>#N/A</v>
      </c>
      <c r="KX20" s="86" t="e">
        <f t="shared" si="471"/>
        <v>#N/A</v>
      </c>
      <c r="KY20" s="86" t="e">
        <f t="shared" si="471"/>
        <v>#N/A</v>
      </c>
      <c r="KZ20" s="86" t="e">
        <f t="shared" si="471"/>
        <v>#N/A</v>
      </c>
      <c r="LA20" s="87" t="e">
        <f t="shared" ref="LA20:LA25" si="472">SUM(KO20:KZ20)</f>
        <v>#N/A</v>
      </c>
      <c r="LB20" s="86" t="e">
        <f>KZ20*(1+Inputs!$B$10)</f>
        <v>#N/A</v>
      </c>
      <c r="LC20" s="86" t="e">
        <f t="shared" ref="LC20:LM24" si="473">LB20</f>
        <v>#N/A</v>
      </c>
      <c r="LD20" s="86" t="e">
        <f t="shared" si="473"/>
        <v>#N/A</v>
      </c>
      <c r="LE20" s="86" t="e">
        <f t="shared" si="473"/>
        <v>#N/A</v>
      </c>
      <c r="LF20" s="86" t="e">
        <f t="shared" si="473"/>
        <v>#N/A</v>
      </c>
      <c r="LG20" s="86" t="e">
        <f t="shared" si="473"/>
        <v>#N/A</v>
      </c>
      <c r="LH20" s="86" t="e">
        <f t="shared" si="473"/>
        <v>#N/A</v>
      </c>
      <c r="LI20" s="86" t="e">
        <f t="shared" si="473"/>
        <v>#N/A</v>
      </c>
      <c r="LJ20" s="86" t="e">
        <f t="shared" si="473"/>
        <v>#N/A</v>
      </c>
      <c r="LK20" s="86" t="e">
        <f t="shared" si="473"/>
        <v>#N/A</v>
      </c>
      <c r="LL20" s="86" t="e">
        <f t="shared" si="473"/>
        <v>#N/A</v>
      </c>
      <c r="LM20" s="86" t="e">
        <f t="shared" si="473"/>
        <v>#N/A</v>
      </c>
      <c r="LN20" s="87" t="e">
        <f t="shared" ref="LN20:LN25" si="474">SUM(LB20:LM20)</f>
        <v>#N/A</v>
      </c>
      <c r="LO20" s="86" t="e">
        <f>LM20*(1+Inputs!$B$10)</f>
        <v>#N/A</v>
      </c>
      <c r="LP20" s="86" t="e">
        <f t="shared" ref="LP20:LZ24" si="475">LO20</f>
        <v>#N/A</v>
      </c>
      <c r="LQ20" s="86" t="e">
        <f t="shared" si="475"/>
        <v>#N/A</v>
      </c>
      <c r="LR20" s="86" t="e">
        <f t="shared" si="475"/>
        <v>#N/A</v>
      </c>
      <c r="LS20" s="86" t="e">
        <f t="shared" si="475"/>
        <v>#N/A</v>
      </c>
      <c r="LT20" s="86" t="e">
        <f t="shared" si="475"/>
        <v>#N/A</v>
      </c>
      <c r="LU20" s="86" t="e">
        <f t="shared" si="475"/>
        <v>#N/A</v>
      </c>
      <c r="LV20" s="86" t="e">
        <f t="shared" si="475"/>
        <v>#N/A</v>
      </c>
      <c r="LW20" s="86" t="e">
        <f t="shared" si="475"/>
        <v>#N/A</v>
      </c>
      <c r="LX20" s="86" t="e">
        <f t="shared" si="475"/>
        <v>#N/A</v>
      </c>
      <c r="LY20" s="86" t="e">
        <f t="shared" si="475"/>
        <v>#N/A</v>
      </c>
      <c r="LZ20" s="86" t="e">
        <f t="shared" si="475"/>
        <v>#N/A</v>
      </c>
      <c r="MA20" s="87" t="e">
        <f t="shared" ref="MA20:MA25" si="476">SUM(LO20:LZ20)</f>
        <v>#N/A</v>
      </c>
      <c r="MB20" s="86" t="e">
        <f>LZ20*(1+Inputs!$B$10)</f>
        <v>#N/A</v>
      </c>
      <c r="MC20" s="86" t="e">
        <f t="shared" ref="MC20:MM24" si="477">MB20</f>
        <v>#N/A</v>
      </c>
      <c r="MD20" s="86" t="e">
        <f t="shared" si="477"/>
        <v>#N/A</v>
      </c>
      <c r="ME20" s="86" t="e">
        <f t="shared" si="477"/>
        <v>#N/A</v>
      </c>
      <c r="MF20" s="86" t="e">
        <f t="shared" si="477"/>
        <v>#N/A</v>
      </c>
      <c r="MG20" s="86" t="e">
        <f t="shared" si="477"/>
        <v>#N/A</v>
      </c>
      <c r="MH20" s="86" t="e">
        <f t="shared" si="477"/>
        <v>#N/A</v>
      </c>
      <c r="MI20" s="86" t="e">
        <f t="shared" si="477"/>
        <v>#N/A</v>
      </c>
      <c r="MJ20" s="86" t="e">
        <f t="shared" si="477"/>
        <v>#N/A</v>
      </c>
      <c r="MK20" s="86" t="e">
        <f t="shared" si="477"/>
        <v>#N/A</v>
      </c>
      <c r="ML20" s="86" t="e">
        <f t="shared" si="477"/>
        <v>#N/A</v>
      </c>
      <c r="MM20" s="86" t="e">
        <f t="shared" si="477"/>
        <v>#N/A</v>
      </c>
      <c r="MN20" s="87" t="e">
        <f t="shared" ref="MN20:MN25" si="478">SUM(MB20:MM20)</f>
        <v>#N/A</v>
      </c>
      <c r="MO20" s="86" t="e">
        <f>MM20*(1+Inputs!$B$10)</f>
        <v>#N/A</v>
      </c>
      <c r="MP20" s="86" t="e">
        <f t="shared" ref="MP20:MZ24" si="479">MO20</f>
        <v>#N/A</v>
      </c>
      <c r="MQ20" s="86" t="e">
        <f t="shared" si="479"/>
        <v>#N/A</v>
      </c>
      <c r="MR20" s="86" t="e">
        <f t="shared" si="479"/>
        <v>#N/A</v>
      </c>
      <c r="MS20" s="86" t="e">
        <f t="shared" si="479"/>
        <v>#N/A</v>
      </c>
      <c r="MT20" s="86" t="e">
        <f t="shared" si="479"/>
        <v>#N/A</v>
      </c>
      <c r="MU20" s="86" t="e">
        <f t="shared" si="479"/>
        <v>#N/A</v>
      </c>
      <c r="MV20" s="86" t="e">
        <f t="shared" si="479"/>
        <v>#N/A</v>
      </c>
      <c r="MW20" s="86" t="e">
        <f t="shared" si="479"/>
        <v>#N/A</v>
      </c>
      <c r="MX20" s="86" t="e">
        <f t="shared" si="479"/>
        <v>#N/A</v>
      </c>
      <c r="MY20" s="86" t="e">
        <f t="shared" si="479"/>
        <v>#N/A</v>
      </c>
      <c r="MZ20" s="86" t="e">
        <f t="shared" si="479"/>
        <v>#N/A</v>
      </c>
      <c r="NA20" s="87" t="e">
        <f t="shared" ref="NA20:NA25" si="480">SUM(MO20:MZ20)</f>
        <v>#N/A</v>
      </c>
      <c r="NB20" s="86" t="e">
        <f>MZ20*(1+Inputs!$B$10)</f>
        <v>#N/A</v>
      </c>
      <c r="NC20" s="86" t="e">
        <f t="shared" ref="NC20:NM24" si="481">NB20</f>
        <v>#N/A</v>
      </c>
      <c r="ND20" s="86" t="e">
        <f t="shared" si="481"/>
        <v>#N/A</v>
      </c>
      <c r="NE20" s="86" t="e">
        <f t="shared" si="481"/>
        <v>#N/A</v>
      </c>
      <c r="NF20" s="86" t="e">
        <f t="shared" si="481"/>
        <v>#N/A</v>
      </c>
      <c r="NG20" s="86" t="e">
        <f t="shared" si="481"/>
        <v>#N/A</v>
      </c>
      <c r="NH20" s="86" t="e">
        <f t="shared" si="481"/>
        <v>#N/A</v>
      </c>
      <c r="NI20" s="86" t="e">
        <f t="shared" si="481"/>
        <v>#N/A</v>
      </c>
      <c r="NJ20" s="86" t="e">
        <f t="shared" si="481"/>
        <v>#N/A</v>
      </c>
      <c r="NK20" s="86" t="e">
        <f t="shared" si="481"/>
        <v>#N/A</v>
      </c>
      <c r="NL20" s="86" t="e">
        <f t="shared" si="481"/>
        <v>#N/A</v>
      </c>
      <c r="NM20" s="86" t="e">
        <f t="shared" si="481"/>
        <v>#N/A</v>
      </c>
      <c r="NN20" s="87" t="e">
        <f t="shared" ref="NN20:NN25" si="482">SUM(NB20:NM20)</f>
        <v>#N/A</v>
      </c>
      <c r="NO20" s="86" t="e">
        <f>NM20*(1+Inputs!$B$10)</f>
        <v>#N/A</v>
      </c>
      <c r="NP20" s="86" t="e">
        <f t="shared" ref="NP20:NZ24" si="483">NO20</f>
        <v>#N/A</v>
      </c>
      <c r="NQ20" s="86" t="e">
        <f t="shared" si="483"/>
        <v>#N/A</v>
      </c>
      <c r="NR20" s="86" t="e">
        <f t="shared" si="483"/>
        <v>#N/A</v>
      </c>
      <c r="NS20" s="86" t="e">
        <f t="shared" si="483"/>
        <v>#N/A</v>
      </c>
      <c r="NT20" s="86" t="e">
        <f t="shared" si="483"/>
        <v>#N/A</v>
      </c>
      <c r="NU20" s="86" t="e">
        <f t="shared" si="483"/>
        <v>#N/A</v>
      </c>
      <c r="NV20" s="86" t="e">
        <f t="shared" si="483"/>
        <v>#N/A</v>
      </c>
      <c r="NW20" s="86" t="e">
        <f t="shared" si="483"/>
        <v>#N/A</v>
      </c>
      <c r="NX20" s="86" t="e">
        <f t="shared" si="483"/>
        <v>#N/A</v>
      </c>
      <c r="NY20" s="86" t="e">
        <f t="shared" si="483"/>
        <v>#N/A</v>
      </c>
      <c r="NZ20" s="86" t="e">
        <f t="shared" si="483"/>
        <v>#N/A</v>
      </c>
      <c r="OA20" s="87" t="e">
        <f t="shared" ref="OA20:OA25" si="484">SUM(NO20:NZ20)</f>
        <v>#N/A</v>
      </c>
      <c r="OB20" s="86" t="e">
        <f>NZ20*(1+Inputs!$B$10)</f>
        <v>#N/A</v>
      </c>
      <c r="OC20" s="86" t="e">
        <f t="shared" ref="OC20:OM24" si="485">OB20</f>
        <v>#N/A</v>
      </c>
      <c r="OD20" s="86" t="e">
        <f t="shared" si="485"/>
        <v>#N/A</v>
      </c>
      <c r="OE20" s="86" t="e">
        <f t="shared" si="485"/>
        <v>#N/A</v>
      </c>
      <c r="OF20" s="86" t="e">
        <f t="shared" si="485"/>
        <v>#N/A</v>
      </c>
      <c r="OG20" s="86" t="e">
        <f t="shared" si="485"/>
        <v>#N/A</v>
      </c>
      <c r="OH20" s="86" t="e">
        <f t="shared" si="485"/>
        <v>#N/A</v>
      </c>
      <c r="OI20" s="86" t="e">
        <f t="shared" si="485"/>
        <v>#N/A</v>
      </c>
      <c r="OJ20" s="86" t="e">
        <f t="shared" si="485"/>
        <v>#N/A</v>
      </c>
      <c r="OK20" s="86" t="e">
        <f t="shared" si="485"/>
        <v>#N/A</v>
      </c>
      <c r="OL20" s="86" t="e">
        <f t="shared" si="485"/>
        <v>#N/A</v>
      </c>
      <c r="OM20" s="86" t="e">
        <f t="shared" si="485"/>
        <v>#N/A</v>
      </c>
      <c r="ON20" s="87" t="e">
        <f t="shared" ref="ON20:ON25" si="486">SUM(OB20:OM20)</f>
        <v>#N/A</v>
      </c>
      <c r="OO20" s="86" t="e">
        <f>OM20*(1+Inputs!$B$10)</f>
        <v>#N/A</v>
      </c>
      <c r="OP20" s="86" t="e">
        <f t="shared" ref="OP20:OZ24" si="487">OO20</f>
        <v>#N/A</v>
      </c>
      <c r="OQ20" s="86" t="e">
        <f t="shared" si="487"/>
        <v>#N/A</v>
      </c>
      <c r="OR20" s="86" t="e">
        <f t="shared" si="487"/>
        <v>#N/A</v>
      </c>
      <c r="OS20" s="86" t="e">
        <f t="shared" si="487"/>
        <v>#N/A</v>
      </c>
      <c r="OT20" s="86" t="e">
        <f t="shared" si="487"/>
        <v>#N/A</v>
      </c>
      <c r="OU20" s="86" t="e">
        <f t="shared" si="487"/>
        <v>#N/A</v>
      </c>
      <c r="OV20" s="86" t="e">
        <f t="shared" si="487"/>
        <v>#N/A</v>
      </c>
      <c r="OW20" s="86" t="e">
        <f t="shared" si="487"/>
        <v>#N/A</v>
      </c>
      <c r="OX20" s="86" t="e">
        <f t="shared" si="487"/>
        <v>#N/A</v>
      </c>
      <c r="OY20" s="86" t="e">
        <f t="shared" si="487"/>
        <v>#N/A</v>
      </c>
      <c r="OZ20" s="86" t="e">
        <f t="shared" si="487"/>
        <v>#N/A</v>
      </c>
      <c r="PA20" s="87" t="e">
        <f t="shared" ref="PA20:PA25" si="488">SUM(OO20:OZ20)</f>
        <v>#N/A</v>
      </c>
      <c r="PB20" s="86" t="e">
        <f>OZ20*(1+Inputs!$B$10)</f>
        <v>#N/A</v>
      </c>
      <c r="PC20" s="86" t="e">
        <f t="shared" ref="PC20:PM24" si="489">PB20</f>
        <v>#N/A</v>
      </c>
      <c r="PD20" s="86" t="e">
        <f t="shared" si="489"/>
        <v>#N/A</v>
      </c>
      <c r="PE20" s="86" t="e">
        <f t="shared" si="489"/>
        <v>#N/A</v>
      </c>
      <c r="PF20" s="86" t="e">
        <f t="shared" si="489"/>
        <v>#N/A</v>
      </c>
      <c r="PG20" s="86" t="e">
        <f t="shared" si="489"/>
        <v>#N/A</v>
      </c>
      <c r="PH20" s="86" t="e">
        <f t="shared" si="489"/>
        <v>#N/A</v>
      </c>
      <c r="PI20" s="86" t="e">
        <f t="shared" si="489"/>
        <v>#N/A</v>
      </c>
      <c r="PJ20" s="86" t="e">
        <f t="shared" si="489"/>
        <v>#N/A</v>
      </c>
      <c r="PK20" s="86" t="e">
        <f t="shared" si="489"/>
        <v>#N/A</v>
      </c>
      <c r="PL20" s="86" t="e">
        <f t="shared" si="489"/>
        <v>#N/A</v>
      </c>
      <c r="PM20" s="86" t="e">
        <f t="shared" si="489"/>
        <v>#N/A</v>
      </c>
      <c r="PN20" s="87" t="e">
        <f t="shared" ref="PN20:PN25" si="490">SUM(PB20:PM20)</f>
        <v>#N/A</v>
      </c>
      <c r="PO20" s="86" t="e">
        <f>PM20*(1+Inputs!$B$10)</f>
        <v>#N/A</v>
      </c>
      <c r="PP20" s="86" t="e">
        <f t="shared" ref="PP20:PZ24" si="491">PO20</f>
        <v>#N/A</v>
      </c>
      <c r="PQ20" s="86" t="e">
        <f t="shared" si="491"/>
        <v>#N/A</v>
      </c>
      <c r="PR20" s="86" t="e">
        <f t="shared" si="491"/>
        <v>#N/A</v>
      </c>
      <c r="PS20" s="86" t="e">
        <f t="shared" si="491"/>
        <v>#N/A</v>
      </c>
      <c r="PT20" s="86" t="e">
        <f t="shared" si="491"/>
        <v>#N/A</v>
      </c>
      <c r="PU20" s="86" t="e">
        <f t="shared" si="491"/>
        <v>#N/A</v>
      </c>
      <c r="PV20" s="86" t="e">
        <f t="shared" si="491"/>
        <v>#N/A</v>
      </c>
      <c r="PW20" s="86" t="e">
        <f t="shared" si="491"/>
        <v>#N/A</v>
      </c>
      <c r="PX20" s="86" t="e">
        <f t="shared" si="491"/>
        <v>#N/A</v>
      </c>
      <c r="PY20" s="86" t="e">
        <f t="shared" si="491"/>
        <v>#N/A</v>
      </c>
      <c r="PZ20" s="86" t="e">
        <f t="shared" si="491"/>
        <v>#N/A</v>
      </c>
      <c r="QA20" s="87" t="e">
        <f t="shared" ref="QA20:QA25" si="492">SUM(PO20:PZ20)</f>
        <v>#N/A</v>
      </c>
      <c r="QB20" s="86" t="e">
        <f>PZ20*(1+Inputs!$B$10)</f>
        <v>#N/A</v>
      </c>
      <c r="QC20" s="86" t="e">
        <f t="shared" ref="QC20:QM24" si="493">QB20</f>
        <v>#N/A</v>
      </c>
      <c r="QD20" s="86" t="e">
        <f t="shared" si="493"/>
        <v>#N/A</v>
      </c>
      <c r="QE20" s="86" t="e">
        <f t="shared" si="493"/>
        <v>#N/A</v>
      </c>
      <c r="QF20" s="86" t="e">
        <f t="shared" si="493"/>
        <v>#N/A</v>
      </c>
      <c r="QG20" s="86" t="e">
        <f t="shared" si="493"/>
        <v>#N/A</v>
      </c>
      <c r="QH20" s="86" t="e">
        <f t="shared" si="493"/>
        <v>#N/A</v>
      </c>
      <c r="QI20" s="86" t="e">
        <f t="shared" si="493"/>
        <v>#N/A</v>
      </c>
      <c r="QJ20" s="86" t="e">
        <f t="shared" si="493"/>
        <v>#N/A</v>
      </c>
      <c r="QK20" s="86" t="e">
        <f t="shared" si="493"/>
        <v>#N/A</v>
      </c>
      <c r="QL20" s="86" t="e">
        <f t="shared" si="493"/>
        <v>#N/A</v>
      </c>
      <c r="QM20" s="86" t="e">
        <f t="shared" si="493"/>
        <v>#N/A</v>
      </c>
      <c r="QN20" s="87" t="e">
        <f t="shared" ref="QN20:QN25" si="494">SUM(QB20:QM20)</f>
        <v>#N/A</v>
      </c>
      <c r="QO20" s="86" t="e">
        <f>QM20*(1+Inputs!$B$10)</f>
        <v>#N/A</v>
      </c>
      <c r="QP20" s="86" t="e">
        <f t="shared" ref="QP20:QZ24" si="495">QO20</f>
        <v>#N/A</v>
      </c>
      <c r="QQ20" s="86" t="e">
        <f t="shared" si="495"/>
        <v>#N/A</v>
      </c>
      <c r="QR20" s="86" t="e">
        <f t="shared" si="495"/>
        <v>#N/A</v>
      </c>
      <c r="QS20" s="86" t="e">
        <f t="shared" si="495"/>
        <v>#N/A</v>
      </c>
      <c r="QT20" s="86" t="e">
        <f t="shared" si="495"/>
        <v>#N/A</v>
      </c>
      <c r="QU20" s="86" t="e">
        <f t="shared" si="495"/>
        <v>#N/A</v>
      </c>
      <c r="QV20" s="86" t="e">
        <f t="shared" si="495"/>
        <v>#N/A</v>
      </c>
      <c r="QW20" s="86" t="e">
        <f t="shared" si="495"/>
        <v>#N/A</v>
      </c>
      <c r="QX20" s="86" t="e">
        <f t="shared" si="495"/>
        <v>#N/A</v>
      </c>
      <c r="QY20" s="86" t="e">
        <f t="shared" si="495"/>
        <v>#N/A</v>
      </c>
      <c r="QZ20" s="86" t="e">
        <f t="shared" si="495"/>
        <v>#N/A</v>
      </c>
      <c r="RA20" s="87" t="e">
        <f t="shared" ref="RA20:RA25" si="496">SUM(QO20:QZ20)</f>
        <v>#N/A</v>
      </c>
      <c r="RB20" s="86" t="e">
        <f>QZ20*(1+Inputs!$B$10)</f>
        <v>#N/A</v>
      </c>
      <c r="RC20" s="86" t="e">
        <f t="shared" ref="RC20:RM24" si="497">RB20</f>
        <v>#N/A</v>
      </c>
      <c r="RD20" s="86" t="e">
        <f t="shared" si="497"/>
        <v>#N/A</v>
      </c>
      <c r="RE20" s="86" t="e">
        <f t="shared" si="497"/>
        <v>#N/A</v>
      </c>
      <c r="RF20" s="86" t="e">
        <f t="shared" si="497"/>
        <v>#N/A</v>
      </c>
      <c r="RG20" s="86" t="e">
        <f t="shared" si="497"/>
        <v>#N/A</v>
      </c>
      <c r="RH20" s="86" t="e">
        <f t="shared" si="497"/>
        <v>#N/A</v>
      </c>
      <c r="RI20" s="86" t="e">
        <f t="shared" si="497"/>
        <v>#N/A</v>
      </c>
      <c r="RJ20" s="86" t="e">
        <f t="shared" si="497"/>
        <v>#N/A</v>
      </c>
      <c r="RK20" s="86" t="e">
        <f t="shared" si="497"/>
        <v>#N/A</v>
      </c>
      <c r="RL20" s="86" t="e">
        <f t="shared" si="497"/>
        <v>#N/A</v>
      </c>
      <c r="RM20" s="86" t="e">
        <f t="shared" si="497"/>
        <v>#N/A</v>
      </c>
      <c r="RN20" s="87" t="e">
        <f t="shared" ref="RN20:RN25" si="498">SUM(RB20:RM20)</f>
        <v>#N/A</v>
      </c>
    </row>
    <row r="21" spans="1:482" hidden="1" outlineLevel="1" x14ac:dyDescent="0.3">
      <c r="A21" s="89" t="s">
        <v>245</v>
      </c>
      <c r="B21" s="86" t="e">
        <f>Inputs!$B$37/12</f>
        <v>#N/A</v>
      </c>
      <c r="C21" s="86" t="e">
        <f t="shared" si="427"/>
        <v>#N/A</v>
      </c>
      <c r="D21" s="86" t="e">
        <f t="shared" si="427"/>
        <v>#N/A</v>
      </c>
      <c r="E21" s="86" t="e">
        <f t="shared" si="427"/>
        <v>#N/A</v>
      </c>
      <c r="F21" s="86" t="e">
        <f t="shared" si="427"/>
        <v>#N/A</v>
      </c>
      <c r="G21" s="86" t="e">
        <f t="shared" si="427"/>
        <v>#N/A</v>
      </c>
      <c r="H21" s="86" t="e">
        <f t="shared" si="427"/>
        <v>#N/A</v>
      </c>
      <c r="I21" s="86" t="e">
        <f t="shared" si="427"/>
        <v>#N/A</v>
      </c>
      <c r="J21" s="86" t="e">
        <f t="shared" si="427"/>
        <v>#N/A</v>
      </c>
      <c r="K21" s="86" t="e">
        <f t="shared" si="427"/>
        <v>#N/A</v>
      </c>
      <c r="L21" s="86" t="e">
        <f t="shared" si="427"/>
        <v>#N/A</v>
      </c>
      <c r="M21" s="86" t="e">
        <f t="shared" si="427"/>
        <v>#N/A</v>
      </c>
      <c r="N21" s="87" t="e">
        <f t="shared" si="353"/>
        <v>#N/A</v>
      </c>
      <c r="O21" s="86" t="e">
        <f>M21*(1+Inputs!$B$10)</f>
        <v>#N/A</v>
      </c>
      <c r="P21" s="86" t="e">
        <f t="shared" si="428"/>
        <v>#N/A</v>
      </c>
      <c r="Q21" s="86" t="e">
        <f t="shared" si="428"/>
        <v>#N/A</v>
      </c>
      <c r="R21" s="86" t="e">
        <f t="shared" si="428"/>
        <v>#N/A</v>
      </c>
      <c r="S21" s="86" t="e">
        <f t="shared" si="428"/>
        <v>#N/A</v>
      </c>
      <c r="T21" s="86" t="e">
        <f t="shared" si="428"/>
        <v>#N/A</v>
      </c>
      <c r="U21" s="86" t="e">
        <f t="shared" si="428"/>
        <v>#N/A</v>
      </c>
      <c r="V21" s="86" t="e">
        <f t="shared" si="428"/>
        <v>#N/A</v>
      </c>
      <c r="W21" s="86" t="e">
        <f t="shared" si="428"/>
        <v>#N/A</v>
      </c>
      <c r="X21" s="86" t="e">
        <f t="shared" si="428"/>
        <v>#N/A</v>
      </c>
      <c r="Y21" s="86" t="e">
        <f t="shared" si="428"/>
        <v>#N/A</v>
      </c>
      <c r="Z21" s="86" t="e">
        <f t="shared" si="428"/>
        <v>#N/A</v>
      </c>
      <c r="AA21" s="87" t="e">
        <f t="shared" si="354"/>
        <v>#N/A</v>
      </c>
      <c r="AB21" s="86" t="e">
        <f>Z21*(1+Inputs!$B$10)</f>
        <v>#N/A</v>
      </c>
      <c r="AC21" s="86" t="e">
        <f t="shared" si="429"/>
        <v>#N/A</v>
      </c>
      <c r="AD21" s="86" t="e">
        <f t="shared" si="429"/>
        <v>#N/A</v>
      </c>
      <c r="AE21" s="86" t="e">
        <f t="shared" si="429"/>
        <v>#N/A</v>
      </c>
      <c r="AF21" s="86" t="e">
        <f t="shared" si="429"/>
        <v>#N/A</v>
      </c>
      <c r="AG21" s="86" t="e">
        <f t="shared" si="429"/>
        <v>#N/A</v>
      </c>
      <c r="AH21" s="86" t="e">
        <f t="shared" si="429"/>
        <v>#N/A</v>
      </c>
      <c r="AI21" s="86" t="e">
        <f t="shared" si="429"/>
        <v>#N/A</v>
      </c>
      <c r="AJ21" s="86" t="e">
        <f t="shared" si="429"/>
        <v>#N/A</v>
      </c>
      <c r="AK21" s="86" t="e">
        <f t="shared" si="429"/>
        <v>#N/A</v>
      </c>
      <c r="AL21" s="86" t="e">
        <f t="shared" si="429"/>
        <v>#N/A</v>
      </c>
      <c r="AM21" s="86" t="e">
        <f t="shared" si="429"/>
        <v>#N/A</v>
      </c>
      <c r="AN21" s="87" t="e">
        <f t="shared" si="430"/>
        <v>#N/A</v>
      </c>
      <c r="AO21" s="86" t="e">
        <f>AM21*(1+Inputs!$B$10)</f>
        <v>#N/A</v>
      </c>
      <c r="AP21" s="86" t="e">
        <f t="shared" si="431"/>
        <v>#N/A</v>
      </c>
      <c r="AQ21" s="86" t="e">
        <f t="shared" si="431"/>
        <v>#N/A</v>
      </c>
      <c r="AR21" s="86" t="e">
        <f t="shared" si="431"/>
        <v>#N/A</v>
      </c>
      <c r="AS21" s="86" t="e">
        <f t="shared" si="431"/>
        <v>#N/A</v>
      </c>
      <c r="AT21" s="86" t="e">
        <f t="shared" si="431"/>
        <v>#N/A</v>
      </c>
      <c r="AU21" s="86" t="e">
        <f t="shared" si="431"/>
        <v>#N/A</v>
      </c>
      <c r="AV21" s="86" t="e">
        <f t="shared" si="431"/>
        <v>#N/A</v>
      </c>
      <c r="AW21" s="86" t="e">
        <f t="shared" si="431"/>
        <v>#N/A</v>
      </c>
      <c r="AX21" s="86" t="e">
        <f t="shared" si="431"/>
        <v>#N/A</v>
      </c>
      <c r="AY21" s="86" t="e">
        <f t="shared" si="431"/>
        <v>#N/A</v>
      </c>
      <c r="AZ21" s="86" t="e">
        <f t="shared" si="431"/>
        <v>#N/A</v>
      </c>
      <c r="BA21" s="87" t="e">
        <f t="shared" si="432"/>
        <v>#N/A</v>
      </c>
      <c r="BB21" s="86" t="e">
        <f>AZ21*(1+Inputs!$B$10)</f>
        <v>#N/A</v>
      </c>
      <c r="BC21" s="86" t="e">
        <f t="shared" si="433"/>
        <v>#N/A</v>
      </c>
      <c r="BD21" s="86" t="e">
        <f t="shared" si="433"/>
        <v>#N/A</v>
      </c>
      <c r="BE21" s="86" t="e">
        <f t="shared" si="433"/>
        <v>#N/A</v>
      </c>
      <c r="BF21" s="86" t="e">
        <f t="shared" si="433"/>
        <v>#N/A</v>
      </c>
      <c r="BG21" s="86" t="e">
        <f t="shared" si="433"/>
        <v>#N/A</v>
      </c>
      <c r="BH21" s="86" t="e">
        <f t="shared" si="433"/>
        <v>#N/A</v>
      </c>
      <c r="BI21" s="86" t="e">
        <f t="shared" si="433"/>
        <v>#N/A</v>
      </c>
      <c r="BJ21" s="86" t="e">
        <f t="shared" si="433"/>
        <v>#N/A</v>
      </c>
      <c r="BK21" s="86" t="e">
        <f t="shared" si="433"/>
        <v>#N/A</v>
      </c>
      <c r="BL21" s="86" t="e">
        <f t="shared" si="433"/>
        <v>#N/A</v>
      </c>
      <c r="BM21" s="86" t="e">
        <f t="shared" si="433"/>
        <v>#N/A</v>
      </c>
      <c r="BN21" s="87" t="e">
        <f t="shared" si="434"/>
        <v>#N/A</v>
      </c>
      <c r="BO21" s="86" t="e">
        <f>BM21*(1+Inputs!$B$10)</f>
        <v>#N/A</v>
      </c>
      <c r="BP21" s="86" t="e">
        <f t="shared" si="435"/>
        <v>#N/A</v>
      </c>
      <c r="BQ21" s="86" t="e">
        <f t="shared" si="435"/>
        <v>#N/A</v>
      </c>
      <c r="BR21" s="86" t="e">
        <f t="shared" si="435"/>
        <v>#N/A</v>
      </c>
      <c r="BS21" s="86" t="e">
        <f t="shared" si="435"/>
        <v>#N/A</v>
      </c>
      <c r="BT21" s="86" t="e">
        <f t="shared" si="435"/>
        <v>#N/A</v>
      </c>
      <c r="BU21" s="86" t="e">
        <f t="shared" si="435"/>
        <v>#N/A</v>
      </c>
      <c r="BV21" s="86" t="e">
        <f t="shared" si="435"/>
        <v>#N/A</v>
      </c>
      <c r="BW21" s="86" t="e">
        <f t="shared" si="435"/>
        <v>#N/A</v>
      </c>
      <c r="BX21" s="86" t="e">
        <f t="shared" si="435"/>
        <v>#N/A</v>
      </c>
      <c r="BY21" s="86" t="e">
        <f t="shared" si="435"/>
        <v>#N/A</v>
      </c>
      <c r="BZ21" s="86" t="e">
        <f t="shared" si="435"/>
        <v>#N/A</v>
      </c>
      <c r="CA21" s="87" t="e">
        <f t="shared" si="436"/>
        <v>#N/A</v>
      </c>
      <c r="CB21" s="86" t="e">
        <f>BZ21*(1+Inputs!$B$10)</f>
        <v>#N/A</v>
      </c>
      <c r="CC21" s="86" t="e">
        <f t="shared" si="437"/>
        <v>#N/A</v>
      </c>
      <c r="CD21" s="86" t="e">
        <f t="shared" si="437"/>
        <v>#N/A</v>
      </c>
      <c r="CE21" s="86" t="e">
        <f t="shared" si="437"/>
        <v>#N/A</v>
      </c>
      <c r="CF21" s="86" t="e">
        <f t="shared" si="437"/>
        <v>#N/A</v>
      </c>
      <c r="CG21" s="86" t="e">
        <f t="shared" si="437"/>
        <v>#N/A</v>
      </c>
      <c r="CH21" s="86" t="e">
        <f t="shared" si="437"/>
        <v>#N/A</v>
      </c>
      <c r="CI21" s="86" t="e">
        <f t="shared" si="437"/>
        <v>#N/A</v>
      </c>
      <c r="CJ21" s="86" t="e">
        <f t="shared" si="437"/>
        <v>#N/A</v>
      </c>
      <c r="CK21" s="86" t="e">
        <f t="shared" si="437"/>
        <v>#N/A</v>
      </c>
      <c r="CL21" s="86" t="e">
        <f t="shared" si="437"/>
        <v>#N/A</v>
      </c>
      <c r="CM21" s="86" t="e">
        <f t="shared" si="437"/>
        <v>#N/A</v>
      </c>
      <c r="CN21" s="87" t="e">
        <f t="shared" si="438"/>
        <v>#N/A</v>
      </c>
      <c r="CO21" s="86" t="e">
        <f>CM21*(1+Inputs!$B$10)</f>
        <v>#N/A</v>
      </c>
      <c r="CP21" s="86" t="e">
        <f t="shared" si="439"/>
        <v>#N/A</v>
      </c>
      <c r="CQ21" s="86" t="e">
        <f t="shared" si="439"/>
        <v>#N/A</v>
      </c>
      <c r="CR21" s="86" t="e">
        <f t="shared" si="439"/>
        <v>#N/A</v>
      </c>
      <c r="CS21" s="86" t="e">
        <f t="shared" si="439"/>
        <v>#N/A</v>
      </c>
      <c r="CT21" s="86" t="e">
        <f t="shared" si="439"/>
        <v>#N/A</v>
      </c>
      <c r="CU21" s="86" t="e">
        <f t="shared" si="439"/>
        <v>#N/A</v>
      </c>
      <c r="CV21" s="86" t="e">
        <f t="shared" si="439"/>
        <v>#N/A</v>
      </c>
      <c r="CW21" s="86" t="e">
        <f t="shared" si="439"/>
        <v>#N/A</v>
      </c>
      <c r="CX21" s="86" t="e">
        <f t="shared" si="439"/>
        <v>#N/A</v>
      </c>
      <c r="CY21" s="86" t="e">
        <f t="shared" si="439"/>
        <v>#N/A</v>
      </c>
      <c r="CZ21" s="86" t="e">
        <f t="shared" si="439"/>
        <v>#N/A</v>
      </c>
      <c r="DA21" s="87" t="e">
        <f t="shared" si="440"/>
        <v>#N/A</v>
      </c>
      <c r="DB21" s="86" t="e">
        <f>CZ21*(1+Inputs!$B$10)</f>
        <v>#N/A</v>
      </c>
      <c r="DC21" s="86" t="e">
        <f t="shared" si="441"/>
        <v>#N/A</v>
      </c>
      <c r="DD21" s="86" t="e">
        <f t="shared" si="441"/>
        <v>#N/A</v>
      </c>
      <c r="DE21" s="86" t="e">
        <f t="shared" si="441"/>
        <v>#N/A</v>
      </c>
      <c r="DF21" s="86" t="e">
        <f t="shared" si="441"/>
        <v>#N/A</v>
      </c>
      <c r="DG21" s="86" t="e">
        <f t="shared" si="441"/>
        <v>#N/A</v>
      </c>
      <c r="DH21" s="86" t="e">
        <f t="shared" si="441"/>
        <v>#N/A</v>
      </c>
      <c r="DI21" s="86" t="e">
        <f t="shared" si="441"/>
        <v>#N/A</v>
      </c>
      <c r="DJ21" s="86" t="e">
        <f t="shared" si="441"/>
        <v>#N/A</v>
      </c>
      <c r="DK21" s="86" t="e">
        <f t="shared" si="441"/>
        <v>#N/A</v>
      </c>
      <c r="DL21" s="86" t="e">
        <f t="shared" si="441"/>
        <v>#N/A</v>
      </c>
      <c r="DM21" s="86" t="e">
        <f t="shared" si="441"/>
        <v>#N/A</v>
      </c>
      <c r="DN21" s="87" t="e">
        <f t="shared" si="442"/>
        <v>#N/A</v>
      </c>
      <c r="DO21" s="86" t="e">
        <f>DM21*(1+Inputs!$B$10)</f>
        <v>#N/A</v>
      </c>
      <c r="DP21" s="86" t="e">
        <f t="shared" si="443"/>
        <v>#N/A</v>
      </c>
      <c r="DQ21" s="86" t="e">
        <f t="shared" si="443"/>
        <v>#N/A</v>
      </c>
      <c r="DR21" s="86" t="e">
        <f t="shared" si="443"/>
        <v>#N/A</v>
      </c>
      <c r="DS21" s="86" t="e">
        <f t="shared" si="443"/>
        <v>#N/A</v>
      </c>
      <c r="DT21" s="86" t="e">
        <f t="shared" si="443"/>
        <v>#N/A</v>
      </c>
      <c r="DU21" s="86" t="e">
        <f t="shared" si="443"/>
        <v>#N/A</v>
      </c>
      <c r="DV21" s="86" t="e">
        <f t="shared" si="443"/>
        <v>#N/A</v>
      </c>
      <c r="DW21" s="86" t="e">
        <f t="shared" si="443"/>
        <v>#N/A</v>
      </c>
      <c r="DX21" s="86" t="e">
        <f t="shared" si="443"/>
        <v>#N/A</v>
      </c>
      <c r="DY21" s="86" t="e">
        <f t="shared" si="443"/>
        <v>#N/A</v>
      </c>
      <c r="DZ21" s="86" t="e">
        <f t="shared" si="443"/>
        <v>#N/A</v>
      </c>
      <c r="EA21" s="87" t="e">
        <f t="shared" si="444"/>
        <v>#N/A</v>
      </c>
      <c r="EB21" s="86" t="e">
        <f>DZ21*(1+Inputs!$B$10)</f>
        <v>#N/A</v>
      </c>
      <c r="EC21" s="86" t="e">
        <f t="shared" si="445"/>
        <v>#N/A</v>
      </c>
      <c r="ED21" s="86" t="e">
        <f t="shared" si="445"/>
        <v>#N/A</v>
      </c>
      <c r="EE21" s="86" t="e">
        <f t="shared" si="445"/>
        <v>#N/A</v>
      </c>
      <c r="EF21" s="86" t="e">
        <f t="shared" si="445"/>
        <v>#N/A</v>
      </c>
      <c r="EG21" s="86" t="e">
        <f t="shared" si="445"/>
        <v>#N/A</v>
      </c>
      <c r="EH21" s="86" t="e">
        <f t="shared" si="445"/>
        <v>#N/A</v>
      </c>
      <c r="EI21" s="86" t="e">
        <f t="shared" si="445"/>
        <v>#N/A</v>
      </c>
      <c r="EJ21" s="86" t="e">
        <f t="shared" si="445"/>
        <v>#N/A</v>
      </c>
      <c r="EK21" s="86" t="e">
        <f t="shared" si="445"/>
        <v>#N/A</v>
      </c>
      <c r="EL21" s="86" t="e">
        <f t="shared" si="445"/>
        <v>#N/A</v>
      </c>
      <c r="EM21" s="86" t="e">
        <f t="shared" si="445"/>
        <v>#N/A</v>
      </c>
      <c r="EN21" s="87" t="e">
        <f t="shared" si="446"/>
        <v>#N/A</v>
      </c>
      <c r="EO21" s="86" t="e">
        <f>EM21*(1+Inputs!$B$10)</f>
        <v>#N/A</v>
      </c>
      <c r="EP21" s="86" t="e">
        <f t="shared" si="447"/>
        <v>#N/A</v>
      </c>
      <c r="EQ21" s="86" t="e">
        <f t="shared" si="447"/>
        <v>#N/A</v>
      </c>
      <c r="ER21" s="86" t="e">
        <f t="shared" si="447"/>
        <v>#N/A</v>
      </c>
      <c r="ES21" s="86" t="e">
        <f t="shared" si="447"/>
        <v>#N/A</v>
      </c>
      <c r="ET21" s="86" t="e">
        <f t="shared" si="447"/>
        <v>#N/A</v>
      </c>
      <c r="EU21" s="86" t="e">
        <f t="shared" si="447"/>
        <v>#N/A</v>
      </c>
      <c r="EV21" s="86" t="e">
        <f t="shared" si="447"/>
        <v>#N/A</v>
      </c>
      <c r="EW21" s="86" t="e">
        <f t="shared" si="447"/>
        <v>#N/A</v>
      </c>
      <c r="EX21" s="86" t="e">
        <f t="shared" si="447"/>
        <v>#N/A</v>
      </c>
      <c r="EY21" s="86" t="e">
        <f t="shared" si="447"/>
        <v>#N/A</v>
      </c>
      <c r="EZ21" s="86" t="e">
        <f t="shared" si="447"/>
        <v>#N/A</v>
      </c>
      <c r="FA21" s="87" t="e">
        <f t="shared" si="448"/>
        <v>#N/A</v>
      </c>
      <c r="FB21" s="86" t="e">
        <f>EZ21*(1+Inputs!$B$10)</f>
        <v>#N/A</v>
      </c>
      <c r="FC21" s="86" t="e">
        <f t="shared" si="449"/>
        <v>#N/A</v>
      </c>
      <c r="FD21" s="86" t="e">
        <f t="shared" si="449"/>
        <v>#N/A</v>
      </c>
      <c r="FE21" s="86" t="e">
        <f t="shared" si="449"/>
        <v>#N/A</v>
      </c>
      <c r="FF21" s="86" t="e">
        <f t="shared" si="449"/>
        <v>#N/A</v>
      </c>
      <c r="FG21" s="86" t="e">
        <f t="shared" si="449"/>
        <v>#N/A</v>
      </c>
      <c r="FH21" s="86" t="e">
        <f t="shared" si="449"/>
        <v>#N/A</v>
      </c>
      <c r="FI21" s="86" t="e">
        <f t="shared" si="449"/>
        <v>#N/A</v>
      </c>
      <c r="FJ21" s="86" t="e">
        <f t="shared" si="449"/>
        <v>#N/A</v>
      </c>
      <c r="FK21" s="86" t="e">
        <f t="shared" si="449"/>
        <v>#N/A</v>
      </c>
      <c r="FL21" s="86" t="e">
        <f t="shared" si="449"/>
        <v>#N/A</v>
      </c>
      <c r="FM21" s="86" t="e">
        <f t="shared" si="449"/>
        <v>#N/A</v>
      </c>
      <c r="FN21" s="87" t="e">
        <f t="shared" si="450"/>
        <v>#N/A</v>
      </c>
      <c r="FO21" s="86" t="e">
        <f>FM21*(1+Inputs!$B$10)</f>
        <v>#N/A</v>
      </c>
      <c r="FP21" s="86" t="e">
        <f t="shared" si="451"/>
        <v>#N/A</v>
      </c>
      <c r="FQ21" s="86" t="e">
        <f t="shared" si="451"/>
        <v>#N/A</v>
      </c>
      <c r="FR21" s="86" t="e">
        <f t="shared" si="451"/>
        <v>#N/A</v>
      </c>
      <c r="FS21" s="86" t="e">
        <f t="shared" si="451"/>
        <v>#N/A</v>
      </c>
      <c r="FT21" s="86" t="e">
        <f t="shared" si="451"/>
        <v>#N/A</v>
      </c>
      <c r="FU21" s="86" t="e">
        <f t="shared" si="451"/>
        <v>#N/A</v>
      </c>
      <c r="FV21" s="86" t="e">
        <f t="shared" si="451"/>
        <v>#N/A</v>
      </c>
      <c r="FW21" s="86" t="e">
        <f t="shared" si="451"/>
        <v>#N/A</v>
      </c>
      <c r="FX21" s="86" t="e">
        <f t="shared" si="451"/>
        <v>#N/A</v>
      </c>
      <c r="FY21" s="86" t="e">
        <f t="shared" si="451"/>
        <v>#N/A</v>
      </c>
      <c r="FZ21" s="86" t="e">
        <f t="shared" si="451"/>
        <v>#N/A</v>
      </c>
      <c r="GA21" s="87" t="e">
        <f t="shared" si="452"/>
        <v>#N/A</v>
      </c>
      <c r="GB21" s="86" t="e">
        <f>FZ21*(1+Inputs!$B$10)</f>
        <v>#N/A</v>
      </c>
      <c r="GC21" s="86" t="e">
        <f t="shared" si="453"/>
        <v>#N/A</v>
      </c>
      <c r="GD21" s="86" t="e">
        <f t="shared" si="453"/>
        <v>#N/A</v>
      </c>
      <c r="GE21" s="86" t="e">
        <f t="shared" si="453"/>
        <v>#N/A</v>
      </c>
      <c r="GF21" s="86" t="e">
        <f t="shared" si="453"/>
        <v>#N/A</v>
      </c>
      <c r="GG21" s="86" t="e">
        <f t="shared" si="453"/>
        <v>#N/A</v>
      </c>
      <c r="GH21" s="86" t="e">
        <f t="shared" si="453"/>
        <v>#N/A</v>
      </c>
      <c r="GI21" s="86" t="e">
        <f t="shared" si="453"/>
        <v>#N/A</v>
      </c>
      <c r="GJ21" s="86" t="e">
        <f t="shared" si="453"/>
        <v>#N/A</v>
      </c>
      <c r="GK21" s="86" t="e">
        <f t="shared" si="453"/>
        <v>#N/A</v>
      </c>
      <c r="GL21" s="86" t="e">
        <f t="shared" si="453"/>
        <v>#N/A</v>
      </c>
      <c r="GM21" s="86" t="e">
        <f t="shared" si="453"/>
        <v>#N/A</v>
      </c>
      <c r="GN21" s="87" t="e">
        <f t="shared" si="454"/>
        <v>#N/A</v>
      </c>
      <c r="GO21" s="86" t="e">
        <f>GM21*(1+Inputs!$B$10)</f>
        <v>#N/A</v>
      </c>
      <c r="GP21" s="86" t="e">
        <f t="shared" si="455"/>
        <v>#N/A</v>
      </c>
      <c r="GQ21" s="86" t="e">
        <f t="shared" si="455"/>
        <v>#N/A</v>
      </c>
      <c r="GR21" s="86" t="e">
        <f t="shared" si="455"/>
        <v>#N/A</v>
      </c>
      <c r="GS21" s="86" t="e">
        <f t="shared" si="455"/>
        <v>#N/A</v>
      </c>
      <c r="GT21" s="86" t="e">
        <f t="shared" si="455"/>
        <v>#N/A</v>
      </c>
      <c r="GU21" s="86" t="e">
        <f t="shared" si="455"/>
        <v>#N/A</v>
      </c>
      <c r="GV21" s="86" t="e">
        <f t="shared" si="455"/>
        <v>#N/A</v>
      </c>
      <c r="GW21" s="86" t="e">
        <f t="shared" si="455"/>
        <v>#N/A</v>
      </c>
      <c r="GX21" s="86" t="e">
        <f t="shared" si="455"/>
        <v>#N/A</v>
      </c>
      <c r="GY21" s="86" t="e">
        <f t="shared" si="455"/>
        <v>#N/A</v>
      </c>
      <c r="GZ21" s="86" t="e">
        <f t="shared" si="455"/>
        <v>#N/A</v>
      </c>
      <c r="HA21" s="87" t="e">
        <f t="shared" si="456"/>
        <v>#N/A</v>
      </c>
      <c r="HB21" s="86" t="e">
        <f>GZ21*(1+Inputs!$B$10)</f>
        <v>#N/A</v>
      </c>
      <c r="HC21" s="86" t="e">
        <f t="shared" si="457"/>
        <v>#N/A</v>
      </c>
      <c r="HD21" s="86" t="e">
        <f t="shared" si="457"/>
        <v>#N/A</v>
      </c>
      <c r="HE21" s="86" t="e">
        <f t="shared" si="457"/>
        <v>#N/A</v>
      </c>
      <c r="HF21" s="86" t="e">
        <f t="shared" si="457"/>
        <v>#N/A</v>
      </c>
      <c r="HG21" s="86" t="e">
        <f t="shared" si="457"/>
        <v>#N/A</v>
      </c>
      <c r="HH21" s="86" t="e">
        <f t="shared" si="457"/>
        <v>#N/A</v>
      </c>
      <c r="HI21" s="86" t="e">
        <f t="shared" si="457"/>
        <v>#N/A</v>
      </c>
      <c r="HJ21" s="86" t="e">
        <f t="shared" si="457"/>
        <v>#N/A</v>
      </c>
      <c r="HK21" s="86" t="e">
        <f t="shared" si="457"/>
        <v>#N/A</v>
      </c>
      <c r="HL21" s="86" t="e">
        <f t="shared" si="457"/>
        <v>#N/A</v>
      </c>
      <c r="HM21" s="86" t="e">
        <f t="shared" si="457"/>
        <v>#N/A</v>
      </c>
      <c r="HN21" s="87" t="e">
        <f t="shared" si="458"/>
        <v>#N/A</v>
      </c>
      <c r="HO21" s="86" t="e">
        <f>HM21*(1+Inputs!$B$10)</f>
        <v>#N/A</v>
      </c>
      <c r="HP21" s="86" t="e">
        <f t="shared" si="459"/>
        <v>#N/A</v>
      </c>
      <c r="HQ21" s="86" t="e">
        <f t="shared" si="459"/>
        <v>#N/A</v>
      </c>
      <c r="HR21" s="86" t="e">
        <f t="shared" si="459"/>
        <v>#N/A</v>
      </c>
      <c r="HS21" s="86" t="e">
        <f t="shared" si="459"/>
        <v>#N/A</v>
      </c>
      <c r="HT21" s="86" t="e">
        <f t="shared" si="459"/>
        <v>#N/A</v>
      </c>
      <c r="HU21" s="86" t="e">
        <f t="shared" si="459"/>
        <v>#N/A</v>
      </c>
      <c r="HV21" s="86" t="e">
        <f t="shared" si="459"/>
        <v>#N/A</v>
      </c>
      <c r="HW21" s="86" t="e">
        <f t="shared" si="459"/>
        <v>#N/A</v>
      </c>
      <c r="HX21" s="86" t="e">
        <f t="shared" si="459"/>
        <v>#N/A</v>
      </c>
      <c r="HY21" s="86" t="e">
        <f t="shared" si="459"/>
        <v>#N/A</v>
      </c>
      <c r="HZ21" s="86" t="e">
        <f t="shared" si="459"/>
        <v>#N/A</v>
      </c>
      <c r="IA21" s="87" t="e">
        <f t="shared" si="460"/>
        <v>#N/A</v>
      </c>
      <c r="IB21" s="86" t="e">
        <f>HZ21*(1+Inputs!$B$10)</f>
        <v>#N/A</v>
      </c>
      <c r="IC21" s="86" t="e">
        <f t="shared" si="461"/>
        <v>#N/A</v>
      </c>
      <c r="ID21" s="86" t="e">
        <f t="shared" si="461"/>
        <v>#N/A</v>
      </c>
      <c r="IE21" s="86" t="e">
        <f t="shared" si="461"/>
        <v>#N/A</v>
      </c>
      <c r="IF21" s="86" t="e">
        <f t="shared" si="461"/>
        <v>#N/A</v>
      </c>
      <c r="IG21" s="86" t="e">
        <f t="shared" si="461"/>
        <v>#N/A</v>
      </c>
      <c r="IH21" s="86" t="e">
        <f t="shared" si="461"/>
        <v>#N/A</v>
      </c>
      <c r="II21" s="86" t="e">
        <f t="shared" si="461"/>
        <v>#N/A</v>
      </c>
      <c r="IJ21" s="86" t="e">
        <f t="shared" si="461"/>
        <v>#N/A</v>
      </c>
      <c r="IK21" s="86" t="e">
        <f t="shared" si="461"/>
        <v>#N/A</v>
      </c>
      <c r="IL21" s="86" t="e">
        <f t="shared" si="461"/>
        <v>#N/A</v>
      </c>
      <c r="IM21" s="86" t="e">
        <f t="shared" si="461"/>
        <v>#N/A</v>
      </c>
      <c r="IN21" s="87" t="e">
        <f t="shared" si="462"/>
        <v>#N/A</v>
      </c>
      <c r="IO21" s="86" t="e">
        <f>IM21*(1+Inputs!$B$10)</f>
        <v>#N/A</v>
      </c>
      <c r="IP21" s="86" t="e">
        <f t="shared" si="463"/>
        <v>#N/A</v>
      </c>
      <c r="IQ21" s="86" t="e">
        <f t="shared" si="463"/>
        <v>#N/A</v>
      </c>
      <c r="IR21" s="86" t="e">
        <f t="shared" si="463"/>
        <v>#N/A</v>
      </c>
      <c r="IS21" s="86" t="e">
        <f t="shared" si="463"/>
        <v>#N/A</v>
      </c>
      <c r="IT21" s="86" t="e">
        <f t="shared" si="463"/>
        <v>#N/A</v>
      </c>
      <c r="IU21" s="86" t="e">
        <f t="shared" si="463"/>
        <v>#N/A</v>
      </c>
      <c r="IV21" s="86" t="e">
        <f t="shared" si="463"/>
        <v>#N/A</v>
      </c>
      <c r="IW21" s="86" t="e">
        <f t="shared" si="463"/>
        <v>#N/A</v>
      </c>
      <c r="IX21" s="86" t="e">
        <f t="shared" si="463"/>
        <v>#N/A</v>
      </c>
      <c r="IY21" s="86" t="e">
        <f t="shared" si="463"/>
        <v>#N/A</v>
      </c>
      <c r="IZ21" s="86" t="e">
        <f t="shared" si="463"/>
        <v>#N/A</v>
      </c>
      <c r="JA21" s="87" t="e">
        <f t="shared" si="464"/>
        <v>#N/A</v>
      </c>
      <c r="JB21" s="86" t="e">
        <f>IZ21*(1+Inputs!$B$10)</f>
        <v>#N/A</v>
      </c>
      <c r="JC21" s="86" t="e">
        <f t="shared" si="465"/>
        <v>#N/A</v>
      </c>
      <c r="JD21" s="86" t="e">
        <f t="shared" si="465"/>
        <v>#N/A</v>
      </c>
      <c r="JE21" s="86" t="e">
        <f t="shared" si="465"/>
        <v>#N/A</v>
      </c>
      <c r="JF21" s="86" t="e">
        <f t="shared" si="465"/>
        <v>#N/A</v>
      </c>
      <c r="JG21" s="86" t="e">
        <f t="shared" si="465"/>
        <v>#N/A</v>
      </c>
      <c r="JH21" s="86" t="e">
        <f t="shared" si="465"/>
        <v>#N/A</v>
      </c>
      <c r="JI21" s="86" t="e">
        <f t="shared" si="465"/>
        <v>#N/A</v>
      </c>
      <c r="JJ21" s="86" t="e">
        <f t="shared" si="465"/>
        <v>#N/A</v>
      </c>
      <c r="JK21" s="86" t="e">
        <f t="shared" si="465"/>
        <v>#N/A</v>
      </c>
      <c r="JL21" s="86" t="e">
        <f t="shared" si="465"/>
        <v>#N/A</v>
      </c>
      <c r="JM21" s="86" t="e">
        <f t="shared" si="465"/>
        <v>#N/A</v>
      </c>
      <c r="JN21" s="87" t="e">
        <f t="shared" si="466"/>
        <v>#N/A</v>
      </c>
      <c r="JO21" s="86" t="e">
        <f>JM21*(1+Inputs!$B$10)</f>
        <v>#N/A</v>
      </c>
      <c r="JP21" s="86" t="e">
        <f t="shared" si="467"/>
        <v>#N/A</v>
      </c>
      <c r="JQ21" s="86" t="e">
        <f t="shared" si="467"/>
        <v>#N/A</v>
      </c>
      <c r="JR21" s="86" t="e">
        <f t="shared" si="467"/>
        <v>#N/A</v>
      </c>
      <c r="JS21" s="86" t="e">
        <f t="shared" si="467"/>
        <v>#N/A</v>
      </c>
      <c r="JT21" s="86" t="e">
        <f t="shared" si="467"/>
        <v>#N/A</v>
      </c>
      <c r="JU21" s="86" t="e">
        <f t="shared" si="467"/>
        <v>#N/A</v>
      </c>
      <c r="JV21" s="86" t="e">
        <f t="shared" si="467"/>
        <v>#N/A</v>
      </c>
      <c r="JW21" s="86" t="e">
        <f t="shared" si="467"/>
        <v>#N/A</v>
      </c>
      <c r="JX21" s="86" t="e">
        <f t="shared" si="467"/>
        <v>#N/A</v>
      </c>
      <c r="JY21" s="86" t="e">
        <f t="shared" si="467"/>
        <v>#N/A</v>
      </c>
      <c r="JZ21" s="86" t="e">
        <f t="shared" si="467"/>
        <v>#N/A</v>
      </c>
      <c r="KA21" s="87" t="e">
        <f t="shared" si="468"/>
        <v>#N/A</v>
      </c>
      <c r="KB21" s="86" t="e">
        <f>JZ21*(1+Inputs!$B$10)</f>
        <v>#N/A</v>
      </c>
      <c r="KC21" s="86" t="e">
        <f t="shared" si="469"/>
        <v>#N/A</v>
      </c>
      <c r="KD21" s="86" t="e">
        <f t="shared" si="469"/>
        <v>#N/A</v>
      </c>
      <c r="KE21" s="86" t="e">
        <f t="shared" si="469"/>
        <v>#N/A</v>
      </c>
      <c r="KF21" s="86" t="e">
        <f t="shared" si="469"/>
        <v>#N/A</v>
      </c>
      <c r="KG21" s="86" t="e">
        <f t="shared" si="469"/>
        <v>#N/A</v>
      </c>
      <c r="KH21" s="86" t="e">
        <f t="shared" si="469"/>
        <v>#N/A</v>
      </c>
      <c r="KI21" s="86" t="e">
        <f t="shared" si="469"/>
        <v>#N/A</v>
      </c>
      <c r="KJ21" s="86" t="e">
        <f t="shared" si="469"/>
        <v>#N/A</v>
      </c>
      <c r="KK21" s="86" t="e">
        <f t="shared" si="469"/>
        <v>#N/A</v>
      </c>
      <c r="KL21" s="86" t="e">
        <f t="shared" si="469"/>
        <v>#N/A</v>
      </c>
      <c r="KM21" s="86" t="e">
        <f t="shared" si="469"/>
        <v>#N/A</v>
      </c>
      <c r="KN21" s="87" t="e">
        <f t="shared" si="470"/>
        <v>#N/A</v>
      </c>
      <c r="KO21" s="86" t="e">
        <f>KM21*(1+Inputs!$B$10)</f>
        <v>#N/A</v>
      </c>
      <c r="KP21" s="86" t="e">
        <f t="shared" si="471"/>
        <v>#N/A</v>
      </c>
      <c r="KQ21" s="86" t="e">
        <f t="shared" si="471"/>
        <v>#N/A</v>
      </c>
      <c r="KR21" s="86" t="e">
        <f t="shared" si="471"/>
        <v>#N/A</v>
      </c>
      <c r="KS21" s="86" t="e">
        <f t="shared" si="471"/>
        <v>#N/A</v>
      </c>
      <c r="KT21" s="86" t="e">
        <f t="shared" si="471"/>
        <v>#N/A</v>
      </c>
      <c r="KU21" s="86" t="e">
        <f t="shared" si="471"/>
        <v>#N/A</v>
      </c>
      <c r="KV21" s="86" t="e">
        <f t="shared" si="471"/>
        <v>#N/A</v>
      </c>
      <c r="KW21" s="86" t="e">
        <f t="shared" si="471"/>
        <v>#N/A</v>
      </c>
      <c r="KX21" s="86" t="e">
        <f t="shared" si="471"/>
        <v>#N/A</v>
      </c>
      <c r="KY21" s="86" t="e">
        <f t="shared" si="471"/>
        <v>#N/A</v>
      </c>
      <c r="KZ21" s="86" t="e">
        <f t="shared" si="471"/>
        <v>#N/A</v>
      </c>
      <c r="LA21" s="87" t="e">
        <f t="shared" si="472"/>
        <v>#N/A</v>
      </c>
      <c r="LB21" s="86" t="e">
        <f>KZ21*(1+Inputs!$B$10)</f>
        <v>#N/A</v>
      </c>
      <c r="LC21" s="86" t="e">
        <f t="shared" si="473"/>
        <v>#N/A</v>
      </c>
      <c r="LD21" s="86" t="e">
        <f t="shared" si="473"/>
        <v>#N/A</v>
      </c>
      <c r="LE21" s="86" t="e">
        <f t="shared" si="473"/>
        <v>#N/A</v>
      </c>
      <c r="LF21" s="86" t="e">
        <f t="shared" si="473"/>
        <v>#N/A</v>
      </c>
      <c r="LG21" s="86" t="e">
        <f t="shared" si="473"/>
        <v>#N/A</v>
      </c>
      <c r="LH21" s="86" t="e">
        <f t="shared" si="473"/>
        <v>#N/A</v>
      </c>
      <c r="LI21" s="86" t="e">
        <f t="shared" si="473"/>
        <v>#N/A</v>
      </c>
      <c r="LJ21" s="86" t="e">
        <f t="shared" si="473"/>
        <v>#N/A</v>
      </c>
      <c r="LK21" s="86" t="e">
        <f t="shared" si="473"/>
        <v>#N/A</v>
      </c>
      <c r="LL21" s="86" t="e">
        <f t="shared" si="473"/>
        <v>#N/A</v>
      </c>
      <c r="LM21" s="86" t="e">
        <f t="shared" si="473"/>
        <v>#N/A</v>
      </c>
      <c r="LN21" s="87" t="e">
        <f t="shared" si="474"/>
        <v>#N/A</v>
      </c>
      <c r="LO21" s="86" t="e">
        <f>LM21*(1+Inputs!$B$10)</f>
        <v>#N/A</v>
      </c>
      <c r="LP21" s="86" t="e">
        <f t="shared" si="475"/>
        <v>#N/A</v>
      </c>
      <c r="LQ21" s="86" t="e">
        <f t="shared" si="475"/>
        <v>#N/A</v>
      </c>
      <c r="LR21" s="86" t="e">
        <f t="shared" si="475"/>
        <v>#N/A</v>
      </c>
      <c r="LS21" s="86" t="e">
        <f t="shared" si="475"/>
        <v>#N/A</v>
      </c>
      <c r="LT21" s="86" t="e">
        <f t="shared" si="475"/>
        <v>#N/A</v>
      </c>
      <c r="LU21" s="86" t="e">
        <f t="shared" si="475"/>
        <v>#N/A</v>
      </c>
      <c r="LV21" s="86" t="e">
        <f t="shared" si="475"/>
        <v>#N/A</v>
      </c>
      <c r="LW21" s="86" t="e">
        <f t="shared" si="475"/>
        <v>#N/A</v>
      </c>
      <c r="LX21" s="86" t="e">
        <f t="shared" si="475"/>
        <v>#N/A</v>
      </c>
      <c r="LY21" s="86" t="e">
        <f t="shared" si="475"/>
        <v>#N/A</v>
      </c>
      <c r="LZ21" s="86" t="e">
        <f t="shared" si="475"/>
        <v>#N/A</v>
      </c>
      <c r="MA21" s="87" t="e">
        <f t="shared" si="476"/>
        <v>#N/A</v>
      </c>
      <c r="MB21" s="86" t="e">
        <f>LZ21*(1+Inputs!$B$10)</f>
        <v>#N/A</v>
      </c>
      <c r="MC21" s="86" t="e">
        <f t="shared" si="477"/>
        <v>#N/A</v>
      </c>
      <c r="MD21" s="86" t="e">
        <f t="shared" si="477"/>
        <v>#N/A</v>
      </c>
      <c r="ME21" s="86" t="e">
        <f t="shared" si="477"/>
        <v>#N/A</v>
      </c>
      <c r="MF21" s="86" t="e">
        <f t="shared" si="477"/>
        <v>#N/A</v>
      </c>
      <c r="MG21" s="86" t="e">
        <f t="shared" si="477"/>
        <v>#N/A</v>
      </c>
      <c r="MH21" s="86" t="e">
        <f t="shared" si="477"/>
        <v>#N/A</v>
      </c>
      <c r="MI21" s="86" t="e">
        <f t="shared" si="477"/>
        <v>#N/A</v>
      </c>
      <c r="MJ21" s="86" t="e">
        <f t="shared" si="477"/>
        <v>#N/A</v>
      </c>
      <c r="MK21" s="86" t="e">
        <f t="shared" si="477"/>
        <v>#N/A</v>
      </c>
      <c r="ML21" s="86" t="e">
        <f t="shared" si="477"/>
        <v>#N/A</v>
      </c>
      <c r="MM21" s="86" t="e">
        <f t="shared" si="477"/>
        <v>#N/A</v>
      </c>
      <c r="MN21" s="87" t="e">
        <f t="shared" si="478"/>
        <v>#N/A</v>
      </c>
      <c r="MO21" s="86" t="e">
        <f>MM21*(1+Inputs!$B$10)</f>
        <v>#N/A</v>
      </c>
      <c r="MP21" s="86" t="e">
        <f t="shared" si="479"/>
        <v>#N/A</v>
      </c>
      <c r="MQ21" s="86" t="e">
        <f t="shared" si="479"/>
        <v>#N/A</v>
      </c>
      <c r="MR21" s="86" t="e">
        <f t="shared" si="479"/>
        <v>#N/A</v>
      </c>
      <c r="MS21" s="86" t="e">
        <f t="shared" si="479"/>
        <v>#N/A</v>
      </c>
      <c r="MT21" s="86" t="e">
        <f t="shared" si="479"/>
        <v>#N/A</v>
      </c>
      <c r="MU21" s="86" t="e">
        <f t="shared" si="479"/>
        <v>#N/A</v>
      </c>
      <c r="MV21" s="86" t="e">
        <f t="shared" si="479"/>
        <v>#N/A</v>
      </c>
      <c r="MW21" s="86" t="e">
        <f t="shared" si="479"/>
        <v>#N/A</v>
      </c>
      <c r="MX21" s="86" t="e">
        <f t="shared" si="479"/>
        <v>#N/A</v>
      </c>
      <c r="MY21" s="86" t="e">
        <f t="shared" si="479"/>
        <v>#N/A</v>
      </c>
      <c r="MZ21" s="86" t="e">
        <f t="shared" si="479"/>
        <v>#N/A</v>
      </c>
      <c r="NA21" s="87" t="e">
        <f t="shared" si="480"/>
        <v>#N/A</v>
      </c>
      <c r="NB21" s="86" t="e">
        <f>MZ21*(1+Inputs!$B$10)</f>
        <v>#N/A</v>
      </c>
      <c r="NC21" s="86" t="e">
        <f t="shared" si="481"/>
        <v>#N/A</v>
      </c>
      <c r="ND21" s="86" t="e">
        <f t="shared" si="481"/>
        <v>#N/A</v>
      </c>
      <c r="NE21" s="86" t="e">
        <f t="shared" si="481"/>
        <v>#N/A</v>
      </c>
      <c r="NF21" s="86" t="e">
        <f t="shared" si="481"/>
        <v>#N/A</v>
      </c>
      <c r="NG21" s="86" t="e">
        <f t="shared" si="481"/>
        <v>#N/A</v>
      </c>
      <c r="NH21" s="86" t="e">
        <f t="shared" si="481"/>
        <v>#N/A</v>
      </c>
      <c r="NI21" s="86" t="e">
        <f t="shared" si="481"/>
        <v>#N/A</v>
      </c>
      <c r="NJ21" s="86" t="e">
        <f t="shared" si="481"/>
        <v>#N/A</v>
      </c>
      <c r="NK21" s="86" t="e">
        <f t="shared" si="481"/>
        <v>#N/A</v>
      </c>
      <c r="NL21" s="86" t="e">
        <f t="shared" si="481"/>
        <v>#N/A</v>
      </c>
      <c r="NM21" s="86" t="e">
        <f t="shared" si="481"/>
        <v>#N/A</v>
      </c>
      <c r="NN21" s="87" t="e">
        <f t="shared" si="482"/>
        <v>#N/A</v>
      </c>
      <c r="NO21" s="86" t="e">
        <f>NM21*(1+Inputs!$B$10)</f>
        <v>#N/A</v>
      </c>
      <c r="NP21" s="86" t="e">
        <f t="shared" si="483"/>
        <v>#N/A</v>
      </c>
      <c r="NQ21" s="86" t="e">
        <f t="shared" si="483"/>
        <v>#N/A</v>
      </c>
      <c r="NR21" s="86" t="e">
        <f t="shared" si="483"/>
        <v>#N/A</v>
      </c>
      <c r="NS21" s="86" t="e">
        <f t="shared" si="483"/>
        <v>#N/A</v>
      </c>
      <c r="NT21" s="86" t="e">
        <f t="shared" si="483"/>
        <v>#N/A</v>
      </c>
      <c r="NU21" s="86" t="e">
        <f t="shared" si="483"/>
        <v>#N/A</v>
      </c>
      <c r="NV21" s="86" t="e">
        <f t="shared" si="483"/>
        <v>#N/A</v>
      </c>
      <c r="NW21" s="86" t="e">
        <f t="shared" si="483"/>
        <v>#N/A</v>
      </c>
      <c r="NX21" s="86" t="e">
        <f t="shared" si="483"/>
        <v>#N/A</v>
      </c>
      <c r="NY21" s="86" t="e">
        <f t="shared" si="483"/>
        <v>#N/A</v>
      </c>
      <c r="NZ21" s="86" t="e">
        <f t="shared" si="483"/>
        <v>#N/A</v>
      </c>
      <c r="OA21" s="87" t="e">
        <f t="shared" si="484"/>
        <v>#N/A</v>
      </c>
      <c r="OB21" s="86" t="e">
        <f>NZ21*(1+Inputs!$B$10)</f>
        <v>#N/A</v>
      </c>
      <c r="OC21" s="86" t="e">
        <f t="shared" si="485"/>
        <v>#N/A</v>
      </c>
      <c r="OD21" s="86" t="e">
        <f t="shared" si="485"/>
        <v>#N/A</v>
      </c>
      <c r="OE21" s="86" t="e">
        <f t="shared" si="485"/>
        <v>#N/A</v>
      </c>
      <c r="OF21" s="86" t="e">
        <f t="shared" si="485"/>
        <v>#N/A</v>
      </c>
      <c r="OG21" s="86" t="e">
        <f t="shared" si="485"/>
        <v>#N/A</v>
      </c>
      <c r="OH21" s="86" t="e">
        <f t="shared" si="485"/>
        <v>#N/A</v>
      </c>
      <c r="OI21" s="86" t="e">
        <f t="shared" si="485"/>
        <v>#N/A</v>
      </c>
      <c r="OJ21" s="86" t="e">
        <f t="shared" si="485"/>
        <v>#N/A</v>
      </c>
      <c r="OK21" s="86" t="e">
        <f t="shared" si="485"/>
        <v>#N/A</v>
      </c>
      <c r="OL21" s="86" t="e">
        <f t="shared" si="485"/>
        <v>#N/A</v>
      </c>
      <c r="OM21" s="86" t="e">
        <f t="shared" si="485"/>
        <v>#N/A</v>
      </c>
      <c r="ON21" s="87" t="e">
        <f t="shared" si="486"/>
        <v>#N/A</v>
      </c>
      <c r="OO21" s="86" t="e">
        <f>OM21*(1+Inputs!$B$10)</f>
        <v>#N/A</v>
      </c>
      <c r="OP21" s="86" t="e">
        <f t="shared" si="487"/>
        <v>#N/A</v>
      </c>
      <c r="OQ21" s="86" t="e">
        <f t="shared" si="487"/>
        <v>#N/A</v>
      </c>
      <c r="OR21" s="86" t="e">
        <f t="shared" si="487"/>
        <v>#N/A</v>
      </c>
      <c r="OS21" s="86" t="e">
        <f t="shared" si="487"/>
        <v>#N/A</v>
      </c>
      <c r="OT21" s="86" t="e">
        <f t="shared" si="487"/>
        <v>#N/A</v>
      </c>
      <c r="OU21" s="86" t="e">
        <f t="shared" si="487"/>
        <v>#N/A</v>
      </c>
      <c r="OV21" s="86" t="e">
        <f t="shared" si="487"/>
        <v>#N/A</v>
      </c>
      <c r="OW21" s="86" t="e">
        <f t="shared" si="487"/>
        <v>#N/A</v>
      </c>
      <c r="OX21" s="86" t="e">
        <f t="shared" si="487"/>
        <v>#N/A</v>
      </c>
      <c r="OY21" s="86" t="e">
        <f t="shared" si="487"/>
        <v>#N/A</v>
      </c>
      <c r="OZ21" s="86" t="e">
        <f t="shared" si="487"/>
        <v>#N/A</v>
      </c>
      <c r="PA21" s="87" t="e">
        <f t="shared" si="488"/>
        <v>#N/A</v>
      </c>
      <c r="PB21" s="86" t="e">
        <f>OZ21*(1+Inputs!$B$10)</f>
        <v>#N/A</v>
      </c>
      <c r="PC21" s="86" t="e">
        <f t="shared" si="489"/>
        <v>#N/A</v>
      </c>
      <c r="PD21" s="86" t="e">
        <f t="shared" si="489"/>
        <v>#N/A</v>
      </c>
      <c r="PE21" s="86" t="e">
        <f t="shared" si="489"/>
        <v>#N/A</v>
      </c>
      <c r="PF21" s="86" t="e">
        <f t="shared" si="489"/>
        <v>#N/A</v>
      </c>
      <c r="PG21" s="86" t="e">
        <f t="shared" si="489"/>
        <v>#N/A</v>
      </c>
      <c r="PH21" s="86" t="e">
        <f t="shared" si="489"/>
        <v>#N/A</v>
      </c>
      <c r="PI21" s="86" t="e">
        <f t="shared" si="489"/>
        <v>#N/A</v>
      </c>
      <c r="PJ21" s="86" t="e">
        <f t="shared" si="489"/>
        <v>#N/A</v>
      </c>
      <c r="PK21" s="86" t="e">
        <f t="shared" si="489"/>
        <v>#N/A</v>
      </c>
      <c r="PL21" s="86" t="e">
        <f t="shared" si="489"/>
        <v>#N/A</v>
      </c>
      <c r="PM21" s="86" t="e">
        <f t="shared" si="489"/>
        <v>#N/A</v>
      </c>
      <c r="PN21" s="87" t="e">
        <f t="shared" si="490"/>
        <v>#N/A</v>
      </c>
      <c r="PO21" s="86" t="e">
        <f>PM21*(1+Inputs!$B$10)</f>
        <v>#N/A</v>
      </c>
      <c r="PP21" s="86" t="e">
        <f t="shared" si="491"/>
        <v>#N/A</v>
      </c>
      <c r="PQ21" s="86" t="e">
        <f t="shared" si="491"/>
        <v>#N/A</v>
      </c>
      <c r="PR21" s="86" t="e">
        <f t="shared" si="491"/>
        <v>#N/A</v>
      </c>
      <c r="PS21" s="86" t="e">
        <f t="shared" si="491"/>
        <v>#N/A</v>
      </c>
      <c r="PT21" s="86" t="e">
        <f t="shared" si="491"/>
        <v>#N/A</v>
      </c>
      <c r="PU21" s="86" t="e">
        <f t="shared" si="491"/>
        <v>#N/A</v>
      </c>
      <c r="PV21" s="86" t="e">
        <f t="shared" si="491"/>
        <v>#N/A</v>
      </c>
      <c r="PW21" s="86" t="e">
        <f t="shared" si="491"/>
        <v>#N/A</v>
      </c>
      <c r="PX21" s="86" t="e">
        <f t="shared" si="491"/>
        <v>#N/A</v>
      </c>
      <c r="PY21" s="86" t="e">
        <f t="shared" si="491"/>
        <v>#N/A</v>
      </c>
      <c r="PZ21" s="86" t="e">
        <f t="shared" si="491"/>
        <v>#N/A</v>
      </c>
      <c r="QA21" s="87" t="e">
        <f t="shared" si="492"/>
        <v>#N/A</v>
      </c>
      <c r="QB21" s="86" t="e">
        <f>PZ21*(1+Inputs!$B$10)</f>
        <v>#N/A</v>
      </c>
      <c r="QC21" s="86" t="e">
        <f t="shared" si="493"/>
        <v>#N/A</v>
      </c>
      <c r="QD21" s="86" t="e">
        <f t="shared" si="493"/>
        <v>#N/A</v>
      </c>
      <c r="QE21" s="86" t="e">
        <f t="shared" si="493"/>
        <v>#N/A</v>
      </c>
      <c r="QF21" s="86" t="e">
        <f t="shared" si="493"/>
        <v>#N/A</v>
      </c>
      <c r="QG21" s="86" t="e">
        <f t="shared" si="493"/>
        <v>#N/A</v>
      </c>
      <c r="QH21" s="86" t="e">
        <f t="shared" si="493"/>
        <v>#N/A</v>
      </c>
      <c r="QI21" s="86" t="e">
        <f t="shared" si="493"/>
        <v>#N/A</v>
      </c>
      <c r="QJ21" s="86" t="e">
        <f t="shared" si="493"/>
        <v>#N/A</v>
      </c>
      <c r="QK21" s="86" t="e">
        <f t="shared" si="493"/>
        <v>#N/A</v>
      </c>
      <c r="QL21" s="86" t="e">
        <f t="shared" si="493"/>
        <v>#N/A</v>
      </c>
      <c r="QM21" s="86" t="e">
        <f t="shared" si="493"/>
        <v>#N/A</v>
      </c>
      <c r="QN21" s="87" t="e">
        <f t="shared" si="494"/>
        <v>#N/A</v>
      </c>
      <c r="QO21" s="86" t="e">
        <f>QM21*(1+Inputs!$B$10)</f>
        <v>#N/A</v>
      </c>
      <c r="QP21" s="86" t="e">
        <f t="shared" si="495"/>
        <v>#N/A</v>
      </c>
      <c r="QQ21" s="86" t="e">
        <f t="shared" si="495"/>
        <v>#N/A</v>
      </c>
      <c r="QR21" s="86" t="e">
        <f t="shared" si="495"/>
        <v>#N/A</v>
      </c>
      <c r="QS21" s="86" t="e">
        <f t="shared" si="495"/>
        <v>#N/A</v>
      </c>
      <c r="QT21" s="86" t="e">
        <f t="shared" si="495"/>
        <v>#N/A</v>
      </c>
      <c r="QU21" s="86" t="e">
        <f t="shared" si="495"/>
        <v>#N/A</v>
      </c>
      <c r="QV21" s="86" t="e">
        <f t="shared" si="495"/>
        <v>#N/A</v>
      </c>
      <c r="QW21" s="86" t="e">
        <f t="shared" si="495"/>
        <v>#N/A</v>
      </c>
      <c r="QX21" s="86" t="e">
        <f t="shared" si="495"/>
        <v>#N/A</v>
      </c>
      <c r="QY21" s="86" t="e">
        <f t="shared" si="495"/>
        <v>#N/A</v>
      </c>
      <c r="QZ21" s="86" t="e">
        <f t="shared" si="495"/>
        <v>#N/A</v>
      </c>
      <c r="RA21" s="87" t="e">
        <f t="shared" si="496"/>
        <v>#N/A</v>
      </c>
      <c r="RB21" s="86" t="e">
        <f>QZ21*(1+Inputs!$B$10)</f>
        <v>#N/A</v>
      </c>
      <c r="RC21" s="86" t="e">
        <f t="shared" si="497"/>
        <v>#N/A</v>
      </c>
      <c r="RD21" s="86" t="e">
        <f t="shared" si="497"/>
        <v>#N/A</v>
      </c>
      <c r="RE21" s="86" t="e">
        <f t="shared" si="497"/>
        <v>#N/A</v>
      </c>
      <c r="RF21" s="86" t="e">
        <f t="shared" si="497"/>
        <v>#N/A</v>
      </c>
      <c r="RG21" s="86" t="e">
        <f t="shared" si="497"/>
        <v>#N/A</v>
      </c>
      <c r="RH21" s="86" t="e">
        <f t="shared" si="497"/>
        <v>#N/A</v>
      </c>
      <c r="RI21" s="86" t="e">
        <f t="shared" si="497"/>
        <v>#N/A</v>
      </c>
      <c r="RJ21" s="86" t="e">
        <f t="shared" si="497"/>
        <v>#N/A</v>
      </c>
      <c r="RK21" s="86" t="e">
        <f t="shared" si="497"/>
        <v>#N/A</v>
      </c>
      <c r="RL21" s="86" t="e">
        <f t="shared" si="497"/>
        <v>#N/A</v>
      </c>
      <c r="RM21" s="86" t="e">
        <f t="shared" si="497"/>
        <v>#N/A</v>
      </c>
      <c r="RN21" s="87" t="e">
        <f t="shared" si="498"/>
        <v>#N/A</v>
      </c>
    </row>
    <row r="22" spans="1:482" hidden="1" outlineLevel="1" x14ac:dyDescent="0.3">
      <c r="A22" s="89" t="s">
        <v>246</v>
      </c>
      <c r="B22" s="86">
        <v>0</v>
      </c>
      <c r="C22" s="86">
        <v>0</v>
      </c>
      <c r="D22" s="86">
        <v>0</v>
      </c>
      <c r="E22" s="86">
        <v>0</v>
      </c>
      <c r="F22" s="86">
        <v>0</v>
      </c>
      <c r="G22" s="86">
        <v>0</v>
      </c>
      <c r="H22" s="86">
        <v>0</v>
      </c>
      <c r="I22" s="86">
        <v>0</v>
      </c>
      <c r="J22" s="86">
        <v>0</v>
      </c>
      <c r="K22" s="86">
        <v>0</v>
      </c>
      <c r="L22" s="86">
        <v>0</v>
      </c>
      <c r="M22" s="86">
        <v>0</v>
      </c>
      <c r="N22" s="87">
        <f t="shared" si="353"/>
        <v>0</v>
      </c>
      <c r="O22" s="86">
        <f>M22*(1+Inputs!$B$10)</f>
        <v>0</v>
      </c>
      <c r="P22" s="86">
        <f t="shared" si="428"/>
        <v>0</v>
      </c>
      <c r="Q22" s="86">
        <f t="shared" si="428"/>
        <v>0</v>
      </c>
      <c r="R22" s="86">
        <f t="shared" si="428"/>
        <v>0</v>
      </c>
      <c r="S22" s="86">
        <f t="shared" si="428"/>
        <v>0</v>
      </c>
      <c r="T22" s="86">
        <f t="shared" si="428"/>
        <v>0</v>
      </c>
      <c r="U22" s="86">
        <f t="shared" si="428"/>
        <v>0</v>
      </c>
      <c r="V22" s="86">
        <f t="shared" si="428"/>
        <v>0</v>
      </c>
      <c r="W22" s="86">
        <f t="shared" si="428"/>
        <v>0</v>
      </c>
      <c r="X22" s="86">
        <f t="shared" si="428"/>
        <v>0</v>
      </c>
      <c r="Y22" s="86">
        <f t="shared" si="428"/>
        <v>0</v>
      </c>
      <c r="Z22" s="86">
        <f t="shared" si="428"/>
        <v>0</v>
      </c>
      <c r="AA22" s="87">
        <f t="shared" si="354"/>
        <v>0</v>
      </c>
      <c r="AB22" s="86">
        <f>Z22*(1+Inputs!$B$10)</f>
        <v>0</v>
      </c>
      <c r="AC22" s="86">
        <f t="shared" si="429"/>
        <v>0</v>
      </c>
      <c r="AD22" s="86">
        <f t="shared" si="429"/>
        <v>0</v>
      </c>
      <c r="AE22" s="86">
        <f t="shared" si="429"/>
        <v>0</v>
      </c>
      <c r="AF22" s="86">
        <f t="shared" si="429"/>
        <v>0</v>
      </c>
      <c r="AG22" s="86">
        <f t="shared" si="429"/>
        <v>0</v>
      </c>
      <c r="AH22" s="86">
        <f t="shared" si="429"/>
        <v>0</v>
      </c>
      <c r="AI22" s="86">
        <f t="shared" si="429"/>
        <v>0</v>
      </c>
      <c r="AJ22" s="86">
        <f t="shared" si="429"/>
        <v>0</v>
      </c>
      <c r="AK22" s="86">
        <f t="shared" si="429"/>
        <v>0</v>
      </c>
      <c r="AL22" s="86">
        <f t="shared" si="429"/>
        <v>0</v>
      </c>
      <c r="AM22" s="86">
        <f t="shared" si="429"/>
        <v>0</v>
      </c>
      <c r="AN22" s="87">
        <f t="shared" si="430"/>
        <v>0</v>
      </c>
      <c r="AO22" s="86">
        <f>AM22*(1+Inputs!$B$10)</f>
        <v>0</v>
      </c>
      <c r="AP22" s="86">
        <f t="shared" si="431"/>
        <v>0</v>
      </c>
      <c r="AQ22" s="86">
        <f t="shared" si="431"/>
        <v>0</v>
      </c>
      <c r="AR22" s="86">
        <f t="shared" si="431"/>
        <v>0</v>
      </c>
      <c r="AS22" s="86">
        <f t="shared" si="431"/>
        <v>0</v>
      </c>
      <c r="AT22" s="86">
        <f t="shared" si="431"/>
        <v>0</v>
      </c>
      <c r="AU22" s="86">
        <f t="shared" si="431"/>
        <v>0</v>
      </c>
      <c r="AV22" s="86">
        <f t="shared" si="431"/>
        <v>0</v>
      </c>
      <c r="AW22" s="86">
        <f t="shared" si="431"/>
        <v>0</v>
      </c>
      <c r="AX22" s="86">
        <f t="shared" si="431"/>
        <v>0</v>
      </c>
      <c r="AY22" s="86">
        <f t="shared" si="431"/>
        <v>0</v>
      </c>
      <c r="AZ22" s="86">
        <f t="shared" si="431"/>
        <v>0</v>
      </c>
      <c r="BA22" s="87">
        <f t="shared" si="432"/>
        <v>0</v>
      </c>
      <c r="BB22" s="86">
        <f>AZ22*(1+Inputs!$B$10)</f>
        <v>0</v>
      </c>
      <c r="BC22" s="86">
        <f t="shared" si="433"/>
        <v>0</v>
      </c>
      <c r="BD22" s="86">
        <f t="shared" si="433"/>
        <v>0</v>
      </c>
      <c r="BE22" s="86">
        <f t="shared" si="433"/>
        <v>0</v>
      </c>
      <c r="BF22" s="86">
        <f t="shared" si="433"/>
        <v>0</v>
      </c>
      <c r="BG22" s="86">
        <f t="shared" si="433"/>
        <v>0</v>
      </c>
      <c r="BH22" s="86">
        <f t="shared" si="433"/>
        <v>0</v>
      </c>
      <c r="BI22" s="86">
        <f t="shared" si="433"/>
        <v>0</v>
      </c>
      <c r="BJ22" s="86">
        <f t="shared" si="433"/>
        <v>0</v>
      </c>
      <c r="BK22" s="86">
        <f t="shared" si="433"/>
        <v>0</v>
      </c>
      <c r="BL22" s="86">
        <f t="shared" si="433"/>
        <v>0</v>
      </c>
      <c r="BM22" s="86">
        <f t="shared" si="433"/>
        <v>0</v>
      </c>
      <c r="BN22" s="87">
        <f t="shared" si="434"/>
        <v>0</v>
      </c>
      <c r="BO22" s="86">
        <f>BM22*(1+Inputs!$B$10)</f>
        <v>0</v>
      </c>
      <c r="BP22" s="86">
        <f t="shared" si="435"/>
        <v>0</v>
      </c>
      <c r="BQ22" s="86">
        <f t="shared" si="435"/>
        <v>0</v>
      </c>
      <c r="BR22" s="86">
        <f t="shared" si="435"/>
        <v>0</v>
      </c>
      <c r="BS22" s="86">
        <f t="shared" si="435"/>
        <v>0</v>
      </c>
      <c r="BT22" s="86">
        <f t="shared" si="435"/>
        <v>0</v>
      </c>
      <c r="BU22" s="86">
        <f t="shared" si="435"/>
        <v>0</v>
      </c>
      <c r="BV22" s="86">
        <f t="shared" si="435"/>
        <v>0</v>
      </c>
      <c r="BW22" s="86">
        <f t="shared" si="435"/>
        <v>0</v>
      </c>
      <c r="BX22" s="86">
        <f t="shared" si="435"/>
        <v>0</v>
      </c>
      <c r="BY22" s="86">
        <f t="shared" si="435"/>
        <v>0</v>
      </c>
      <c r="BZ22" s="86">
        <f t="shared" si="435"/>
        <v>0</v>
      </c>
      <c r="CA22" s="87">
        <f t="shared" si="436"/>
        <v>0</v>
      </c>
      <c r="CB22" s="86">
        <f>BZ22*(1+Inputs!$B$10)</f>
        <v>0</v>
      </c>
      <c r="CC22" s="86">
        <f t="shared" si="437"/>
        <v>0</v>
      </c>
      <c r="CD22" s="86">
        <f t="shared" si="437"/>
        <v>0</v>
      </c>
      <c r="CE22" s="86">
        <f t="shared" si="437"/>
        <v>0</v>
      </c>
      <c r="CF22" s="86">
        <f t="shared" si="437"/>
        <v>0</v>
      </c>
      <c r="CG22" s="86">
        <f t="shared" si="437"/>
        <v>0</v>
      </c>
      <c r="CH22" s="86">
        <f t="shared" si="437"/>
        <v>0</v>
      </c>
      <c r="CI22" s="86">
        <f t="shared" si="437"/>
        <v>0</v>
      </c>
      <c r="CJ22" s="86">
        <f t="shared" si="437"/>
        <v>0</v>
      </c>
      <c r="CK22" s="86">
        <f t="shared" si="437"/>
        <v>0</v>
      </c>
      <c r="CL22" s="86">
        <f t="shared" si="437"/>
        <v>0</v>
      </c>
      <c r="CM22" s="86">
        <f t="shared" si="437"/>
        <v>0</v>
      </c>
      <c r="CN22" s="87">
        <f t="shared" si="438"/>
        <v>0</v>
      </c>
      <c r="CO22" s="86">
        <f>CM22*(1+Inputs!$B$10)</f>
        <v>0</v>
      </c>
      <c r="CP22" s="86">
        <f t="shared" si="439"/>
        <v>0</v>
      </c>
      <c r="CQ22" s="86">
        <f t="shared" si="439"/>
        <v>0</v>
      </c>
      <c r="CR22" s="86">
        <f t="shared" si="439"/>
        <v>0</v>
      </c>
      <c r="CS22" s="86">
        <f t="shared" si="439"/>
        <v>0</v>
      </c>
      <c r="CT22" s="86">
        <f t="shared" si="439"/>
        <v>0</v>
      </c>
      <c r="CU22" s="86">
        <f t="shared" si="439"/>
        <v>0</v>
      </c>
      <c r="CV22" s="86">
        <f t="shared" si="439"/>
        <v>0</v>
      </c>
      <c r="CW22" s="86">
        <f t="shared" si="439"/>
        <v>0</v>
      </c>
      <c r="CX22" s="86">
        <f t="shared" si="439"/>
        <v>0</v>
      </c>
      <c r="CY22" s="86">
        <f t="shared" si="439"/>
        <v>0</v>
      </c>
      <c r="CZ22" s="86">
        <f t="shared" si="439"/>
        <v>0</v>
      </c>
      <c r="DA22" s="87">
        <f t="shared" si="440"/>
        <v>0</v>
      </c>
      <c r="DB22" s="86">
        <f>CZ22*(1+Inputs!$B$10)</f>
        <v>0</v>
      </c>
      <c r="DC22" s="86">
        <f t="shared" si="441"/>
        <v>0</v>
      </c>
      <c r="DD22" s="86">
        <f t="shared" si="441"/>
        <v>0</v>
      </c>
      <c r="DE22" s="86">
        <f t="shared" si="441"/>
        <v>0</v>
      </c>
      <c r="DF22" s="86">
        <f t="shared" si="441"/>
        <v>0</v>
      </c>
      <c r="DG22" s="86">
        <f t="shared" si="441"/>
        <v>0</v>
      </c>
      <c r="DH22" s="86">
        <f t="shared" si="441"/>
        <v>0</v>
      </c>
      <c r="DI22" s="86">
        <f t="shared" si="441"/>
        <v>0</v>
      </c>
      <c r="DJ22" s="86">
        <f t="shared" si="441"/>
        <v>0</v>
      </c>
      <c r="DK22" s="86">
        <f t="shared" si="441"/>
        <v>0</v>
      </c>
      <c r="DL22" s="86">
        <f t="shared" si="441"/>
        <v>0</v>
      </c>
      <c r="DM22" s="86">
        <f t="shared" si="441"/>
        <v>0</v>
      </c>
      <c r="DN22" s="87">
        <f t="shared" si="442"/>
        <v>0</v>
      </c>
      <c r="DO22" s="86">
        <f>DM22*(1+Inputs!$B$10)</f>
        <v>0</v>
      </c>
      <c r="DP22" s="86">
        <f t="shared" si="443"/>
        <v>0</v>
      </c>
      <c r="DQ22" s="86">
        <f t="shared" si="443"/>
        <v>0</v>
      </c>
      <c r="DR22" s="86">
        <f t="shared" si="443"/>
        <v>0</v>
      </c>
      <c r="DS22" s="86">
        <f t="shared" si="443"/>
        <v>0</v>
      </c>
      <c r="DT22" s="86">
        <f t="shared" si="443"/>
        <v>0</v>
      </c>
      <c r="DU22" s="86">
        <f t="shared" si="443"/>
        <v>0</v>
      </c>
      <c r="DV22" s="86">
        <f t="shared" si="443"/>
        <v>0</v>
      </c>
      <c r="DW22" s="86">
        <f t="shared" si="443"/>
        <v>0</v>
      </c>
      <c r="DX22" s="86">
        <f t="shared" si="443"/>
        <v>0</v>
      </c>
      <c r="DY22" s="86">
        <f t="shared" si="443"/>
        <v>0</v>
      </c>
      <c r="DZ22" s="86">
        <f t="shared" si="443"/>
        <v>0</v>
      </c>
      <c r="EA22" s="87">
        <f t="shared" si="444"/>
        <v>0</v>
      </c>
      <c r="EB22" s="86">
        <f>DZ22*(1+Inputs!$B$10)</f>
        <v>0</v>
      </c>
      <c r="EC22" s="86">
        <f t="shared" si="445"/>
        <v>0</v>
      </c>
      <c r="ED22" s="86">
        <f t="shared" si="445"/>
        <v>0</v>
      </c>
      <c r="EE22" s="86">
        <f t="shared" si="445"/>
        <v>0</v>
      </c>
      <c r="EF22" s="86">
        <f t="shared" si="445"/>
        <v>0</v>
      </c>
      <c r="EG22" s="86">
        <f t="shared" si="445"/>
        <v>0</v>
      </c>
      <c r="EH22" s="86">
        <f t="shared" si="445"/>
        <v>0</v>
      </c>
      <c r="EI22" s="86">
        <f t="shared" si="445"/>
        <v>0</v>
      </c>
      <c r="EJ22" s="86">
        <f t="shared" si="445"/>
        <v>0</v>
      </c>
      <c r="EK22" s="86">
        <f t="shared" si="445"/>
        <v>0</v>
      </c>
      <c r="EL22" s="86">
        <f t="shared" si="445"/>
        <v>0</v>
      </c>
      <c r="EM22" s="86">
        <f t="shared" si="445"/>
        <v>0</v>
      </c>
      <c r="EN22" s="87">
        <f t="shared" si="446"/>
        <v>0</v>
      </c>
      <c r="EO22" s="86">
        <f>EM22*(1+Inputs!$B$10)</f>
        <v>0</v>
      </c>
      <c r="EP22" s="86">
        <f t="shared" si="447"/>
        <v>0</v>
      </c>
      <c r="EQ22" s="86">
        <f t="shared" si="447"/>
        <v>0</v>
      </c>
      <c r="ER22" s="86">
        <f t="shared" si="447"/>
        <v>0</v>
      </c>
      <c r="ES22" s="86">
        <f t="shared" si="447"/>
        <v>0</v>
      </c>
      <c r="ET22" s="86">
        <f t="shared" si="447"/>
        <v>0</v>
      </c>
      <c r="EU22" s="86">
        <f t="shared" si="447"/>
        <v>0</v>
      </c>
      <c r="EV22" s="86">
        <f t="shared" si="447"/>
        <v>0</v>
      </c>
      <c r="EW22" s="86">
        <f t="shared" si="447"/>
        <v>0</v>
      </c>
      <c r="EX22" s="86">
        <f t="shared" si="447"/>
        <v>0</v>
      </c>
      <c r="EY22" s="86">
        <f t="shared" si="447"/>
        <v>0</v>
      </c>
      <c r="EZ22" s="86">
        <f t="shared" si="447"/>
        <v>0</v>
      </c>
      <c r="FA22" s="87">
        <f t="shared" si="448"/>
        <v>0</v>
      </c>
      <c r="FB22" s="86">
        <f>EZ22*(1+Inputs!$B$10)</f>
        <v>0</v>
      </c>
      <c r="FC22" s="86">
        <f t="shared" si="449"/>
        <v>0</v>
      </c>
      <c r="FD22" s="86">
        <f t="shared" si="449"/>
        <v>0</v>
      </c>
      <c r="FE22" s="86">
        <f t="shared" si="449"/>
        <v>0</v>
      </c>
      <c r="FF22" s="86">
        <f t="shared" si="449"/>
        <v>0</v>
      </c>
      <c r="FG22" s="86">
        <f t="shared" si="449"/>
        <v>0</v>
      </c>
      <c r="FH22" s="86">
        <f t="shared" si="449"/>
        <v>0</v>
      </c>
      <c r="FI22" s="86">
        <f t="shared" si="449"/>
        <v>0</v>
      </c>
      <c r="FJ22" s="86">
        <f t="shared" si="449"/>
        <v>0</v>
      </c>
      <c r="FK22" s="86">
        <f t="shared" si="449"/>
        <v>0</v>
      </c>
      <c r="FL22" s="86">
        <f t="shared" si="449"/>
        <v>0</v>
      </c>
      <c r="FM22" s="86">
        <f t="shared" si="449"/>
        <v>0</v>
      </c>
      <c r="FN22" s="87">
        <f t="shared" si="450"/>
        <v>0</v>
      </c>
      <c r="FO22" s="86">
        <f>FM22*(1+Inputs!$B$10)</f>
        <v>0</v>
      </c>
      <c r="FP22" s="86">
        <f t="shared" si="451"/>
        <v>0</v>
      </c>
      <c r="FQ22" s="86">
        <f t="shared" si="451"/>
        <v>0</v>
      </c>
      <c r="FR22" s="86">
        <f t="shared" si="451"/>
        <v>0</v>
      </c>
      <c r="FS22" s="86">
        <f t="shared" si="451"/>
        <v>0</v>
      </c>
      <c r="FT22" s="86">
        <f t="shared" si="451"/>
        <v>0</v>
      </c>
      <c r="FU22" s="86">
        <f t="shared" si="451"/>
        <v>0</v>
      </c>
      <c r="FV22" s="86">
        <f t="shared" si="451"/>
        <v>0</v>
      </c>
      <c r="FW22" s="86">
        <f t="shared" si="451"/>
        <v>0</v>
      </c>
      <c r="FX22" s="86">
        <f t="shared" si="451"/>
        <v>0</v>
      </c>
      <c r="FY22" s="86">
        <f t="shared" si="451"/>
        <v>0</v>
      </c>
      <c r="FZ22" s="86">
        <f t="shared" si="451"/>
        <v>0</v>
      </c>
      <c r="GA22" s="87">
        <f t="shared" si="452"/>
        <v>0</v>
      </c>
      <c r="GB22" s="86">
        <f>FZ22*(1+Inputs!$B$10)</f>
        <v>0</v>
      </c>
      <c r="GC22" s="86">
        <f t="shared" si="453"/>
        <v>0</v>
      </c>
      <c r="GD22" s="86">
        <f t="shared" si="453"/>
        <v>0</v>
      </c>
      <c r="GE22" s="86">
        <f t="shared" si="453"/>
        <v>0</v>
      </c>
      <c r="GF22" s="86">
        <f t="shared" si="453"/>
        <v>0</v>
      </c>
      <c r="GG22" s="86">
        <f t="shared" si="453"/>
        <v>0</v>
      </c>
      <c r="GH22" s="86">
        <f t="shared" si="453"/>
        <v>0</v>
      </c>
      <c r="GI22" s="86">
        <f t="shared" si="453"/>
        <v>0</v>
      </c>
      <c r="GJ22" s="86">
        <f t="shared" si="453"/>
        <v>0</v>
      </c>
      <c r="GK22" s="86">
        <f t="shared" si="453"/>
        <v>0</v>
      </c>
      <c r="GL22" s="86">
        <f t="shared" si="453"/>
        <v>0</v>
      </c>
      <c r="GM22" s="86">
        <f t="shared" si="453"/>
        <v>0</v>
      </c>
      <c r="GN22" s="87">
        <f t="shared" si="454"/>
        <v>0</v>
      </c>
      <c r="GO22" s="86">
        <f>GM22*(1+Inputs!$B$10)</f>
        <v>0</v>
      </c>
      <c r="GP22" s="86">
        <f t="shared" si="455"/>
        <v>0</v>
      </c>
      <c r="GQ22" s="86">
        <f t="shared" si="455"/>
        <v>0</v>
      </c>
      <c r="GR22" s="86">
        <f t="shared" si="455"/>
        <v>0</v>
      </c>
      <c r="GS22" s="86">
        <f t="shared" si="455"/>
        <v>0</v>
      </c>
      <c r="GT22" s="86">
        <f t="shared" si="455"/>
        <v>0</v>
      </c>
      <c r="GU22" s="86">
        <f t="shared" si="455"/>
        <v>0</v>
      </c>
      <c r="GV22" s="86">
        <f t="shared" si="455"/>
        <v>0</v>
      </c>
      <c r="GW22" s="86">
        <f t="shared" si="455"/>
        <v>0</v>
      </c>
      <c r="GX22" s="86">
        <f t="shared" si="455"/>
        <v>0</v>
      </c>
      <c r="GY22" s="86">
        <f t="shared" si="455"/>
        <v>0</v>
      </c>
      <c r="GZ22" s="86">
        <f t="shared" si="455"/>
        <v>0</v>
      </c>
      <c r="HA22" s="87">
        <f t="shared" si="456"/>
        <v>0</v>
      </c>
      <c r="HB22" s="86">
        <f>GZ22*(1+Inputs!$B$10)</f>
        <v>0</v>
      </c>
      <c r="HC22" s="86">
        <f t="shared" si="457"/>
        <v>0</v>
      </c>
      <c r="HD22" s="86">
        <f t="shared" si="457"/>
        <v>0</v>
      </c>
      <c r="HE22" s="86">
        <f t="shared" si="457"/>
        <v>0</v>
      </c>
      <c r="HF22" s="86">
        <f t="shared" si="457"/>
        <v>0</v>
      </c>
      <c r="HG22" s="86">
        <f t="shared" si="457"/>
        <v>0</v>
      </c>
      <c r="HH22" s="86">
        <f t="shared" si="457"/>
        <v>0</v>
      </c>
      <c r="HI22" s="86">
        <f t="shared" si="457"/>
        <v>0</v>
      </c>
      <c r="HJ22" s="86">
        <f t="shared" si="457"/>
        <v>0</v>
      </c>
      <c r="HK22" s="86">
        <f t="shared" si="457"/>
        <v>0</v>
      </c>
      <c r="HL22" s="86">
        <f t="shared" si="457"/>
        <v>0</v>
      </c>
      <c r="HM22" s="86">
        <f t="shared" si="457"/>
        <v>0</v>
      </c>
      <c r="HN22" s="87">
        <f t="shared" si="458"/>
        <v>0</v>
      </c>
      <c r="HO22" s="86">
        <f>HM22*(1+Inputs!$B$10)</f>
        <v>0</v>
      </c>
      <c r="HP22" s="86">
        <f t="shared" si="459"/>
        <v>0</v>
      </c>
      <c r="HQ22" s="86">
        <f t="shared" si="459"/>
        <v>0</v>
      </c>
      <c r="HR22" s="86">
        <f t="shared" si="459"/>
        <v>0</v>
      </c>
      <c r="HS22" s="86">
        <f t="shared" si="459"/>
        <v>0</v>
      </c>
      <c r="HT22" s="86">
        <f t="shared" si="459"/>
        <v>0</v>
      </c>
      <c r="HU22" s="86">
        <f t="shared" si="459"/>
        <v>0</v>
      </c>
      <c r="HV22" s="86">
        <f t="shared" si="459"/>
        <v>0</v>
      </c>
      <c r="HW22" s="86">
        <f t="shared" si="459"/>
        <v>0</v>
      </c>
      <c r="HX22" s="86">
        <f t="shared" si="459"/>
        <v>0</v>
      </c>
      <c r="HY22" s="86">
        <f t="shared" si="459"/>
        <v>0</v>
      </c>
      <c r="HZ22" s="86">
        <f t="shared" si="459"/>
        <v>0</v>
      </c>
      <c r="IA22" s="87">
        <f t="shared" si="460"/>
        <v>0</v>
      </c>
      <c r="IB22" s="86">
        <f>HZ22*(1+Inputs!$B$10)</f>
        <v>0</v>
      </c>
      <c r="IC22" s="86">
        <f t="shared" si="461"/>
        <v>0</v>
      </c>
      <c r="ID22" s="86">
        <f t="shared" si="461"/>
        <v>0</v>
      </c>
      <c r="IE22" s="86">
        <f t="shared" si="461"/>
        <v>0</v>
      </c>
      <c r="IF22" s="86">
        <f t="shared" si="461"/>
        <v>0</v>
      </c>
      <c r="IG22" s="86">
        <f t="shared" si="461"/>
        <v>0</v>
      </c>
      <c r="IH22" s="86">
        <f t="shared" si="461"/>
        <v>0</v>
      </c>
      <c r="II22" s="86">
        <f t="shared" si="461"/>
        <v>0</v>
      </c>
      <c r="IJ22" s="86">
        <f t="shared" si="461"/>
        <v>0</v>
      </c>
      <c r="IK22" s="86">
        <f t="shared" si="461"/>
        <v>0</v>
      </c>
      <c r="IL22" s="86">
        <f t="shared" si="461"/>
        <v>0</v>
      </c>
      <c r="IM22" s="86">
        <f t="shared" si="461"/>
        <v>0</v>
      </c>
      <c r="IN22" s="87">
        <f t="shared" si="462"/>
        <v>0</v>
      </c>
      <c r="IO22" s="86">
        <f>IM22*(1+Inputs!$B$10)</f>
        <v>0</v>
      </c>
      <c r="IP22" s="86">
        <f t="shared" si="463"/>
        <v>0</v>
      </c>
      <c r="IQ22" s="86">
        <f t="shared" si="463"/>
        <v>0</v>
      </c>
      <c r="IR22" s="86">
        <f t="shared" si="463"/>
        <v>0</v>
      </c>
      <c r="IS22" s="86">
        <f t="shared" si="463"/>
        <v>0</v>
      </c>
      <c r="IT22" s="86">
        <f t="shared" si="463"/>
        <v>0</v>
      </c>
      <c r="IU22" s="86">
        <f t="shared" si="463"/>
        <v>0</v>
      </c>
      <c r="IV22" s="86">
        <f t="shared" si="463"/>
        <v>0</v>
      </c>
      <c r="IW22" s="86">
        <f t="shared" si="463"/>
        <v>0</v>
      </c>
      <c r="IX22" s="86">
        <f t="shared" si="463"/>
        <v>0</v>
      </c>
      <c r="IY22" s="86">
        <f t="shared" si="463"/>
        <v>0</v>
      </c>
      <c r="IZ22" s="86">
        <f t="shared" si="463"/>
        <v>0</v>
      </c>
      <c r="JA22" s="87">
        <f t="shared" si="464"/>
        <v>0</v>
      </c>
      <c r="JB22" s="86">
        <f>IZ22*(1+Inputs!$B$10)</f>
        <v>0</v>
      </c>
      <c r="JC22" s="86">
        <f t="shared" si="465"/>
        <v>0</v>
      </c>
      <c r="JD22" s="86">
        <f t="shared" si="465"/>
        <v>0</v>
      </c>
      <c r="JE22" s="86">
        <f t="shared" si="465"/>
        <v>0</v>
      </c>
      <c r="JF22" s="86">
        <f t="shared" si="465"/>
        <v>0</v>
      </c>
      <c r="JG22" s="86">
        <f t="shared" si="465"/>
        <v>0</v>
      </c>
      <c r="JH22" s="86">
        <f t="shared" si="465"/>
        <v>0</v>
      </c>
      <c r="JI22" s="86">
        <f t="shared" si="465"/>
        <v>0</v>
      </c>
      <c r="JJ22" s="86">
        <f t="shared" si="465"/>
        <v>0</v>
      </c>
      <c r="JK22" s="86">
        <f t="shared" si="465"/>
        <v>0</v>
      </c>
      <c r="JL22" s="86">
        <f t="shared" si="465"/>
        <v>0</v>
      </c>
      <c r="JM22" s="86">
        <f t="shared" si="465"/>
        <v>0</v>
      </c>
      <c r="JN22" s="87">
        <f t="shared" si="466"/>
        <v>0</v>
      </c>
      <c r="JO22" s="86">
        <f>JM22*(1+Inputs!$B$10)</f>
        <v>0</v>
      </c>
      <c r="JP22" s="86">
        <f t="shared" si="467"/>
        <v>0</v>
      </c>
      <c r="JQ22" s="86">
        <f t="shared" si="467"/>
        <v>0</v>
      </c>
      <c r="JR22" s="86">
        <f t="shared" si="467"/>
        <v>0</v>
      </c>
      <c r="JS22" s="86">
        <f t="shared" si="467"/>
        <v>0</v>
      </c>
      <c r="JT22" s="86">
        <f t="shared" si="467"/>
        <v>0</v>
      </c>
      <c r="JU22" s="86">
        <f t="shared" si="467"/>
        <v>0</v>
      </c>
      <c r="JV22" s="86">
        <f t="shared" si="467"/>
        <v>0</v>
      </c>
      <c r="JW22" s="86">
        <f t="shared" si="467"/>
        <v>0</v>
      </c>
      <c r="JX22" s="86">
        <f t="shared" si="467"/>
        <v>0</v>
      </c>
      <c r="JY22" s="86">
        <f t="shared" si="467"/>
        <v>0</v>
      </c>
      <c r="JZ22" s="86">
        <f t="shared" si="467"/>
        <v>0</v>
      </c>
      <c r="KA22" s="87">
        <f t="shared" si="468"/>
        <v>0</v>
      </c>
      <c r="KB22" s="86">
        <f>JZ22*(1+Inputs!$B$10)</f>
        <v>0</v>
      </c>
      <c r="KC22" s="86">
        <f t="shared" si="469"/>
        <v>0</v>
      </c>
      <c r="KD22" s="86">
        <f t="shared" si="469"/>
        <v>0</v>
      </c>
      <c r="KE22" s="86">
        <f t="shared" si="469"/>
        <v>0</v>
      </c>
      <c r="KF22" s="86">
        <f t="shared" si="469"/>
        <v>0</v>
      </c>
      <c r="KG22" s="86">
        <f t="shared" si="469"/>
        <v>0</v>
      </c>
      <c r="KH22" s="86">
        <f t="shared" si="469"/>
        <v>0</v>
      </c>
      <c r="KI22" s="86">
        <f t="shared" si="469"/>
        <v>0</v>
      </c>
      <c r="KJ22" s="86">
        <f t="shared" si="469"/>
        <v>0</v>
      </c>
      <c r="KK22" s="86">
        <f t="shared" si="469"/>
        <v>0</v>
      </c>
      <c r="KL22" s="86">
        <f t="shared" si="469"/>
        <v>0</v>
      </c>
      <c r="KM22" s="86">
        <f t="shared" si="469"/>
        <v>0</v>
      </c>
      <c r="KN22" s="87">
        <f t="shared" si="470"/>
        <v>0</v>
      </c>
      <c r="KO22" s="86">
        <f>KM22*(1+Inputs!$B$10)</f>
        <v>0</v>
      </c>
      <c r="KP22" s="86">
        <f t="shared" si="471"/>
        <v>0</v>
      </c>
      <c r="KQ22" s="86">
        <f t="shared" si="471"/>
        <v>0</v>
      </c>
      <c r="KR22" s="86">
        <f t="shared" si="471"/>
        <v>0</v>
      </c>
      <c r="KS22" s="86">
        <f t="shared" si="471"/>
        <v>0</v>
      </c>
      <c r="KT22" s="86">
        <f t="shared" si="471"/>
        <v>0</v>
      </c>
      <c r="KU22" s="86">
        <f t="shared" si="471"/>
        <v>0</v>
      </c>
      <c r="KV22" s="86">
        <f t="shared" si="471"/>
        <v>0</v>
      </c>
      <c r="KW22" s="86">
        <f t="shared" si="471"/>
        <v>0</v>
      </c>
      <c r="KX22" s="86">
        <f t="shared" si="471"/>
        <v>0</v>
      </c>
      <c r="KY22" s="86">
        <f t="shared" si="471"/>
        <v>0</v>
      </c>
      <c r="KZ22" s="86">
        <f t="shared" si="471"/>
        <v>0</v>
      </c>
      <c r="LA22" s="87">
        <f t="shared" si="472"/>
        <v>0</v>
      </c>
      <c r="LB22" s="86">
        <f>KZ22*(1+Inputs!$B$10)</f>
        <v>0</v>
      </c>
      <c r="LC22" s="86">
        <f t="shared" si="473"/>
        <v>0</v>
      </c>
      <c r="LD22" s="86">
        <f t="shared" si="473"/>
        <v>0</v>
      </c>
      <c r="LE22" s="86">
        <f t="shared" si="473"/>
        <v>0</v>
      </c>
      <c r="LF22" s="86">
        <f t="shared" si="473"/>
        <v>0</v>
      </c>
      <c r="LG22" s="86">
        <f t="shared" si="473"/>
        <v>0</v>
      </c>
      <c r="LH22" s="86">
        <f t="shared" si="473"/>
        <v>0</v>
      </c>
      <c r="LI22" s="86">
        <f t="shared" si="473"/>
        <v>0</v>
      </c>
      <c r="LJ22" s="86">
        <f t="shared" si="473"/>
        <v>0</v>
      </c>
      <c r="LK22" s="86">
        <f t="shared" si="473"/>
        <v>0</v>
      </c>
      <c r="LL22" s="86">
        <f t="shared" si="473"/>
        <v>0</v>
      </c>
      <c r="LM22" s="86">
        <f t="shared" si="473"/>
        <v>0</v>
      </c>
      <c r="LN22" s="87">
        <f t="shared" si="474"/>
        <v>0</v>
      </c>
      <c r="LO22" s="86">
        <f>LM22*(1+Inputs!$B$10)</f>
        <v>0</v>
      </c>
      <c r="LP22" s="86">
        <f t="shared" si="475"/>
        <v>0</v>
      </c>
      <c r="LQ22" s="86">
        <f t="shared" si="475"/>
        <v>0</v>
      </c>
      <c r="LR22" s="86">
        <f t="shared" si="475"/>
        <v>0</v>
      </c>
      <c r="LS22" s="86">
        <f t="shared" si="475"/>
        <v>0</v>
      </c>
      <c r="LT22" s="86">
        <f t="shared" si="475"/>
        <v>0</v>
      </c>
      <c r="LU22" s="86">
        <f t="shared" si="475"/>
        <v>0</v>
      </c>
      <c r="LV22" s="86">
        <f t="shared" si="475"/>
        <v>0</v>
      </c>
      <c r="LW22" s="86">
        <f t="shared" si="475"/>
        <v>0</v>
      </c>
      <c r="LX22" s="86">
        <f t="shared" si="475"/>
        <v>0</v>
      </c>
      <c r="LY22" s="86">
        <f t="shared" si="475"/>
        <v>0</v>
      </c>
      <c r="LZ22" s="86">
        <f t="shared" si="475"/>
        <v>0</v>
      </c>
      <c r="MA22" s="87">
        <f t="shared" si="476"/>
        <v>0</v>
      </c>
      <c r="MB22" s="86">
        <f>LZ22*(1+Inputs!$B$10)</f>
        <v>0</v>
      </c>
      <c r="MC22" s="86">
        <f t="shared" si="477"/>
        <v>0</v>
      </c>
      <c r="MD22" s="86">
        <f t="shared" si="477"/>
        <v>0</v>
      </c>
      <c r="ME22" s="86">
        <f t="shared" si="477"/>
        <v>0</v>
      </c>
      <c r="MF22" s="86">
        <f t="shared" si="477"/>
        <v>0</v>
      </c>
      <c r="MG22" s="86">
        <f t="shared" si="477"/>
        <v>0</v>
      </c>
      <c r="MH22" s="86">
        <f t="shared" si="477"/>
        <v>0</v>
      </c>
      <c r="MI22" s="86">
        <f t="shared" si="477"/>
        <v>0</v>
      </c>
      <c r="MJ22" s="86">
        <f t="shared" si="477"/>
        <v>0</v>
      </c>
      <c r="MK22" s="86">
        <f t="shared" si="477"/>
        <v>0</v>
      </c>
      <c r="ML22" s="86">
        <f t="shared" si="477"/>
        <v>0</v>
      </c>
      <c r="MM22" s="86">
        <f t="shared" si="477"/>
        <v>0</v>
      </c>
      <c r="MN22" s="87">
        <f t="shared" si="478"/>
        <v>0</v>
      </c>
      <c r="MO22" s="86">
        <f>MM22*(1+Inputs!$B$10)</f>
        <v>0</v>
      </c>
      <c r="MP22" s="86">
        <f t="shared" si="479"/>
        <v>0</v>
      </c>
      <c r="MQ22" s="86">
        <f t="shared" si="479"/>
        <v>0</v>
      </c>
      <c r="MR22" s="86">
        <f t="shared" si="479"/>
        <v>0</v>
      </c>
      <c r="MS22" s="86">
        <f t="shared" si="479"/>
        <v>0</v>
      </c>
      <c r="MT22" s="86">
        <f t="shared" si="479"/>
        <v>0</v>
      </c>
      <c r="MU22" s="86">
        <f t="shared" si="479"/>
        <v>0</v>
      </c>
      <c r="MV22" s="86">
        <f t="shared" si="479"/>
        <v>0</v>
      </c>
      <c r="MW22" s="86">
        <f t="shared" si="479"/>
        <v>0</v>
      </c>
      <c r="MX22" s="86">
        <f t="shared" si="479"/>
        <v>0</v>
      </c>
      <c r="MY22" s="86">
        <f t="shared" si="479"/>
        <v>0</v>
      </c>
      <c r="MZ22" s="86">
        <f t="shared" si="479"/>
        <v>0</v>
      </c>
      <c r="NA22" s="87">
        <f t="shared" si="480"/>
        <v>0</v>
      </c>
      <c r="NB22" s="86">
        <f>MZ22*(1+Inputs!$B$10)</f>
        <v>0</v>
      </c>
      <c r="NC22" s="86">
        <f t="shared" si="481"/>
        <v>0</v>
      </c>
      <c r="ND22" s="86">
        <f t="shared" si="481"/>
        <v>0</v>
      </c>
      <c r="NE22" s="86">
        <f t="shared" si="481"/>
        <v>0</v>
      </c>
      <c r="NF22" s="86">
        <f t="shared" si="481"/>
        <v>0</v>
      </c>
      <c r="NG22" s="86">
        <f t="shared" si="481"/>
        <v>0</v>
      </c>
      <c r="NH22" s="86">
        <f t="shared" si="481"/>
        <v>0</v>
      </c>
      <c r="NI22" s="86">
        <f t="shared" si="481"/>
        <v>0</v>
      </c>
      <c r="NJ22" s="86">
        <f t="shared" si="481"/>
        <v>0</v>
      </c>
      <c r="NK22" s="86">
        <f t="shared" si="481"/>
        <v>0</v>
      </c>
      <c r="NL22" s="86">
        <f t="shared" si="481"/>
        <v>0</v>
      </c>
      <c r="NM22" s="86">
        <f t="shared" si="481"/>
        <v>0</v>
      </c>
      <c r="NN22" s="87">
        <f t="shared" si="482"/>
        <v>0</v>
      </c>
      <c r="NO22" s="86">
        <f>NM22*(1+Inputs!$B$10)</f>
        <v>0</v>
      </c>
      <c r="NP22" s="86">
        <f t="shared" si="483"/>
        <v>0</v>
      </c>
      <c r="NQ22" s="86">
        <f t="shared" si="483"/>
        <v>0</v>
      </c>
      <c r="NR22" s="86">
        <f t="shared" si="483"/>
        <v>0</v>
      </c>
      <c r="NS22" s="86">
        <f t="shared" si="483"/>
        <v>0</v>
      </c>
      <c r="NT22" s="86">
        <f t="shared" si="483"/>
        <v>0</v>
      </c>
      <c r="NU22" s="86">
        <f t="shared" si="483"/>
        <v>0</v>
      </c>
      <c r="NV22" s="86">
        <f t="shared" si="483"/>
        <v>0</v>
      </c>
      <c r="NW22" s="86">
        <f t="shared" si="483"/>
        <v>0</v>
      </c>
      <c r="NX22" s="86">
        <f t="shared" si="483"/>
        <v>0</v>
      </c>
      <c r="NY22" s="86">
        <f t="shared" si="483"/>
        <v>0</v>
      </c>
      <c r="NZ22" s="86">
        <f t="shared" si="483"/>
        <v>0</v>
      </c>
      <c r="OA22" s="87">
        <f t="shared" si="484"/>
        <v>0</v>
      </c>
      <c r="OB22" s="86">
        <f>NZ22*(1+Inputs!$B$10)</f>
        <v>0</v>
      </c>
      <c r="OC22" s="86">
        <f t="shared" si="485"/>
        <v>0</v>
      </c>
      <c r="OD22" s="86">
        <f t="shared" si="485"/>
        <v>0</v>
      </c>
      <c r="OE22" s="86">
        <f t="shared" si="485"/>
        <v>0</v>
      </c>
      <c r="OF22" s="86">
        <f t="shared" si="485"/>
        <v>0</v>
      </c>
      <c r="OG22" s="86">
        <f t="shared" si="485"/>
        <v>0</v>
      </c>
      <c r="OH22" s="86">
        <f t="shared" si="485"/>
        <v>0</v>
      </c>
      <c r="OI22" s="86">
        <f t="shared" si="485"/>
        <v>0</v>
      </c>
      <c r="OJ22" s="86">
        <f t="shared" si="485"/>
        <v>0</v>
      </c>
      <c r="OK22" s="86">
        <f t="shared" si="485"/>
        <v>0</v>
      </c>
      <c r="OL22" s="86">
        <f t="shared" si="485"/>
        <v>0</v>
      </c>
      <c r="OM22" s="86">
        <f t="shared" si="485"/>
        <v>0</v>
      </c>
      <c r="ON22" s="87">
        <f t="shared" si="486"/>
        <v>0</v>
      </c>
      <c r="OO22" s="86">
        <f>OM22*(1+Inputs!$B$10)</f>
        <v>0</v>
      </c>
      <c r="OP22" s="86">
        <f t="shared" si="487"/>
        <v>0</v>
      </c>
      <c r="OQ22" s="86">
        <f t="shared" si="487"/>
        <v>0</v>
      </c>
      <c r="OR22" s="86">
        <f t="shared" si="487"/>
        <v>0</v>
      </c>
      <c r="OS22" s="86">
        <f t="shared" si="487"/>
        <v>0</v>
      </c>
      <c r="OT22" s="86">
        <f t="shared" si="487"/>
        <v>0</v>
      </c>
      <c r="OU22" s="86">
        <f t="shared" si="487"/>
        <v>0</v>
      </c>
      <c r="OV22" s="86">
        <f t="shared" si="487"/>
        <v>0</v>
      </c>
      <c r="OW22" s="86">
        <f t="shared" si="487"/>
        <v>0</v>
      </c>
      <c r="OX22" s="86">
        <f t="shared" si="487"/>
        <v>0</v>
      </c>
      <c r="OY22" s="86">
        <f t="shared" si="487"/>
        <v>0</v>
      </c>
      <c r="OZ22" s="86">
        <f t="shared" si="487"/>
        <v>0</v>
      </c>
      <c r="PA22" s="87">
        <f t="shared" si="488"/>
        <v>0</v>
      </c>
      <c r="PB22" s="86">
        <f>OZ22*(1+Inputs!$B$10)</f>
        <v>0</v>
      </c>
      <c r="PC22" s="86">
        <f t="shared" si="489"/>
        <v>0</v>
      </c>
      <c r="PD22" s="86">
        <f t="shared" si="489"/>
        <v>0</v>
      </c>
      <c r="PE22" s="86">
        <f t="shared" si="489"/>
        <v>0</v>
      </c>
      <c r="PF22" s="86">
        <f t="shared" si="489"/>
        <v>0</v>
      </c>
      <c r="PG22" s="86">
        <f t="shared" si="489"/>
        <v>0</v>
      </c>
      <c r="PH22" s="86">
        <f t="shared" si="489"/>
        <v>0</v>
      </c>
      <c r="PI22" s="86">
        <f t="shared" si="489"/>
        <v>0</v>
      </c>
      <c r="PJ22" s="86">
        <f t="shared" si="489"/>
        <v>0</v>
      </c>
      <c r="PK22" s="86">
        <f t="shared" si="489"/>
        <v>0</v>
      </c>
      <c r="PL22" s="86">
        <f t="shared" si="489"/>
        <v>0</v>
      </c>
      <c r="PM22" s="86">
        <f t="shared" si="489"/>
        <v>0</v>
      </c>
      <c r="PN22" s="87">
        <f t="shared" si="490"/>
        <v>0</v>
      </c>
      <c r="PO22" s="86">
        <f>PM22*(1+Inputs!$B$10)</f>
        <v>0</v>
      </c>
      <c r="PP22" s="86">
        <f t="shared" si="491"/>
        <v>0</v>
      </c>
      <c r="PQ22" s="86">
        <f t="shared" si="491"/>
        <v>0</v>
      </c>
      <c r="PR22" s="86">
        <f t="shared" si="491"/>
        <v>0</v>
      </c>
      <c r="PS22" s="86">
        <f t="shared" si="491"/>
        <v>0</v>
      </c>
      <c r="PT22" s="86">
        <f t="shared" si="491"/>
        <v>0</v>
      </c>
      <c r="PU22" s="86">
        <f t="shared" si="491"/>
        <v>0</v>
      </c>
      <c r="PV22" s="86">
        <f t="shared" si="491"/>
        <v>0</v>
      </c>
      <c r="PW22" s="86">
        <f t="shared" si="491"/>
        <v>0</v>
      </c>
      <c r="PX22" s="86">
        <f t="shared" si="491"/>
        <v>0</v>
      </c>
      <c r="PY22" s="86">
        <f t="shared" si="491"/>
        <v>0</v>
      </c>
      <c r="PZ22" s="86">
        <f t="shared" si="491"/>
        <v>0</v>
      </c>
      <c r="QA22" s="87">
        <f t="shared" si="492"/>
        <v>0</v>
      </c>
      <c r="QB22" s="86">
        <f>PZ22*(1+Inputs!$B$10)</f>
        <v>0</v>
      </c>
      <c r="QC22" s="86">
        <f t="shared" si="493"/>
        <v>0</v>
      </c>
      <c r="QD22" s="86">
        <f t="shared" si="493"/>
        <v>0</v>
      </c>
      <c r="QE22" s="86">
        <f t="shared" si="493"/>
        <v>0</v>
      </c>
      <c r="QF22" s="86">
        <f t="shared" si="493"/>
        <v>0</v>
      </c>
      <c r="QG22" s="86">
        <f t="shared" si="493"/>
        <v>0</v>
      </c>
      <c r="QH22" s="86">
        <f t="shared" si="493"/>
        <v>0</v>
      </c>
      <c r="QI22" s="86">
        <f t="shared" si="493"/>
        <v>0</v>
      </c>
      <c r="QJ22" s="86">
        <f t="shared" si="493"/>
        <v>0</v>
      </c>
      <c r="QK22" s="86">
        <f t="shared" si="493"/>
        <v>0</v>
      </c>
      <c r="QL22" s="86">
        <f t="shared" si="493"/>
        <v>0</v>
      </c>
      <c r="QM22" s="86">
        <f t="shared" si="493"/>
        <v>0</v>
      </c>
      <c r="QN22" s="87">
        <f t="shared" si="494"/>
        <v>0</v>
      </c>
      <c r="QO22" s="86">
        <f>QM22*(1+Inputs!$B$10)</f>
        <v>0</v>
      </c>
      <c r="QP22" s="86">
        <f t="shared" si="495"/>
        <v>0</v>
      </c>
      <c r="QQ22" s="86">
        <f t="shared" si="495"/>
        <v>0</v>
      </c>
      <c r="QR22" s="86">
        <f t="shared" si="495"/>
        <v>0</v>
      </c>
      <c r="QS22" s="86">
        <f t="shared" si="495"/>
        <v>0</v>
      </c>
      <c r="QT22" s="86">
        <f t="shared" si="495"/>
        <v>0</v>
      </c>
      <c r="QU22" s="86">
        <f t="shared" si="495"/>
        <v>0</v>
      </c>
      <c r="QV22" s="86">
        <f t="shared" si="495"/>
        <v>0</v>
      </c>
      <c r="QW22" s="86">
        <f t="shared" si="495"/>
        <v>0</v>
      </c>
      <c r="QX22" s="86">
        <f t="shared" si="495"/>
        <v>0</v>
      </c>
      <c r="QY22" s="86">
        <f t="shared" si="495"/>
        <v>0</v>
      </c>
      <c r="QZ22" s="86">
        <f t="shared" si="495"/>
        <v>0</v>
      </c>
      <c r="RA22" s="87">
        <f t="shared" si="496"/>
        <v>0</v>
      </c>
      <c r="RB22" s="86">
        <f>QZ22*(1+Inputs!$B$10)</f>
        <v>0</v>
      </c>
      <c r="RC22" s="86">
        <f t="shared" si="497"/>
        <v>0</v>
      </c>
      <c r="RD22" s="86">
        <f t="shared" si="497"/>
        <v>0</v>
      </c>
      <c r="RE22" s="86">
        <f t="shared" si="497"/>
        <v>0</v>
      </c>
      <c r="RF22" s="86">
        <f t="shared" si="497"/>
        <v>0</v>
      </c>
      <c r="RG22" s="86">
        <f t="shared" si="497"/>
        <v>0</v>
      </c>
      <c r="RH22" s="86">
        <f t="shared" si="497"/>
        <v>0</v>
      </c>
      <c r="RI22" s="86">
        <f t="shared" si="497"/>
        <v>0</v>
      </c>
      <c r="RJ22" s="86">
        <f t="shared" si="497"/>
        <v>0</v>
      </c>
      <c r="RK22" s="86">
        <f t="shared" si="497"/>
        <v>0</v>
      </c>
      <c r="RL22" s="86">
        <f t="shared" si="497"/>
        <v>0</v>
      </c>
      <c r="RM22" s="86">
        <f t="shared" si="497"/>
        <v>0</v>
      </c>
      <c r="RN22" s="87">
        <f t="shared" si="498"/>
        <v>0</v>
      </c>
    </row>
    <row r="23" spans="1:482" hidden="1" outlineLevel="1" x14ac:dyDescent="0.3">
      <c r="A23" s="89" t="s">
        <v>210</v>
      </c>
      <c r="B23" s="86" t="e">
        <f>Inputs!$B$38/12</f>
        <v>#N/A</v>
      </c>
      <c r="C23" s="86" t="e">
        <f t="shared" si="427"/>
        <v>#N/A</v>
      </c>
      <c r="D23" s="86" t="e">
        <f t="shared" si="427"/>
        <v>#N/A</v>
      </c>
      <c r="E23" s="86" t="e">
        <f t="shared" si="427"/>
        <v>#N/A</v>
      </c>
      <c r="F23" s="86" t="e">
        <f t="shared" si="427"/>
        <v>#N/A</v>
      </c>
      <c r="G23" s="86" t="e">
        <f t="shared" si="427"/>
        <v>#N/A</v>
      </c>
      <c r="H23" s="86" t="e">
        <f t="shared" si="427"/>
        <v>#N/A</v>
      </c>
      <c r="I23" s="86" t="e">
        <f t="shared" si="427"/>
        <v>#N/A</v>
      </c>
      <c r="J23" s="86" t="e">
        <f t="shared" si="427"/>
        <v>#N/A</v>
      </c>
      <c r="K23" s="86" t="e">
        <f t="shared" si="427"/>
        <v>#N/A</v>
      </c>
      <c r="L23" s="86" t="e">
        <f t="shared" si="427"/>
        <v>#N/A</v>
      </c>
      <c r="M23" s="86" t="e">
        <f t="shared" si="427"/>
        <v>#N/A</v>
      </c>
      <c r="N23" s="87" t="e">
        <f t="shared" si="353"/>
        <v>#N/A</v>
      </c>
      <c r="O23" s="86" t="e">
        <f>M23*(1+Inputs!$B$10)</f>
        <v>#N/A</v>
      </c>
      <c r="P23" s="86" t="e">
        <f t="shared" si="428"/>
        <v>#N/A</v>
      </c>
      <c r="Q23" s="86" t="e">
        <f t="shared" si="428"/>
        <v>#N/A</v>
      </c>
      <c r="R23" s="86" t="e">
        <f t="shared" si="428"/>
        <v>#N/A</v>
      </c>
      <c r="S23" s="86" t="e">
        <f t="shared" si="428"/>
        <v>#N/A</v>
      </c>
      <c r="T23" s="86" t="e">
        <f t="shared" si="428"/>
        <v>#N/A</v>
      </c>
      <c r="U23" s="86" t="e">
        <f t="shared" si="428"/>
        <v>#N/A</v>
      </c>
      <c r="V23" s="86" t="e">
        <f t="shared" si="428"/>
        <v>#N/A</v>
      </c>
      <c r="W23" s="86" t="e">
        <f t="shared" si="428"/>
        <v>#N/A</v>
      </c>
      <c r="X23" s="86" t="e">
        <f t="shared" si="428"/>
        <v>#N/A</v>
      </c>
      <c r="Y23" s="86" t="e">
        <f t="shared" si="428"/>
        <v>#N/A</v>
      </c>
      <c r="Z23" s="86" t="e">
        <f t="shared" si="428"/>
        <v>#N/A</v>
      </c>
      <c r="AA23" s="87" t="e">
        <f t="shared" si="354"/>
        <v>#N/A</v>
      </c>
      <c r="AB23" s="86" t="e">
        <f>Z23*(1+Inputs!$B$10)</f>
        <v>#N/A</v>
      </c>
      <c r="AC23" s="86" t="e">
        <f t="shared" si="429"/>
        <v>#N/A</v>
      </c>
      <c r="AD23" s="86" t="e">
        <f t="shared" si="429"/>
        <v>#N/A</v>
      </c>
      <c r="AE23" s="86" t="e">
        <f t="shared" si="429"/>
        <v>#N/A</v>
      </c>
      <c r="AF23" s="86" t="e">
        <f t="shared" si="429"/>
        <v>#N/A</v>
      </c>
      <c r="AG23" s="86" t="e">
        <f t="shared" si="429"/>
        <v>#N/A</v>
      </c>
      <c r="AH23" s="86" t="e">
        <f t="shared" si="429"/>
        <v>#N/A</v>
      </c>
      <c r="AI23" s="86" t="e">
        <f t="shared" si="429"/>
        <v>#N/A</v>
      </c>
      <c r="AJ23" s="86" t="e">
        <f t="shared" si="429"/>
        <v>#N/A</v>
      </c>
      <c r="AK23" s="86" t="e">
        <f t="shared" si="429"/>
        <v>#N/A</v>
      </c>
      <c r="AL23" s="86" t="e">
        <f t="shared" si="429"/>
        <v>#N/A</v>
      </c>
      <c r="AM23" s="86" t="e">
        <f t="shared" si="429"/>
        <v>#N/A</v>
      </c>
      <c r="AN23" s="87" t="e">
        <f t="shared" si="430"/>
        <v>#N/A</v>
      </c>
      <c r="AO23" s="86" t="e">
        <f>AM23*(1+Inputs!$B$10)</f>
        <v>#N/A</v>
      </c>
      <c r="AP23" s="86" t="e">
        <f t="shared" si="431"/>
        <v>#N/A</v>
      </c>
      <c r="AQ23" s="86" t="e">
        <f t="shared" si="431"/>
        <v>#N/A</v>
      </c>
      <c r="AR23" s="86" t="e">
        <f t="shared" si="431"/>
        <v>#N/A</v>
      </c>
      <c r="AS23" s="86" t="e">
        <f t="shared" si="431"/>
        <v>#N/A</v>
      </c>
      <c r="AT23" s="86" t="e">
        <f t="shared" si="431"/>
        <v>#N/A</v>
      </c>
      <c r="AU23" s="86" t="e">
        <f t="shared" si="431"/>
        <v>#N/A</v>
      </c>
      <c r="AV23" s="86" t="e">
        <f t="shared" si="431"/>
        <v>#N/A</v>
      </c>
      <c r="AW23" s="86" t="e">
        <f t="shared" si="431"/>
        <v>#N/A</v>
      </c>
      <c r="AX23" s="86" t="e">
        <f t="shared" si="431"/>
        <v>#N/A</v>
      </c>
      <c r="AY23" s="86" t="e">
        <f t="shared" si="431"/>
        <v>#N/A</v>
      </c>
      <c r="AZ23" s="86" t="e">
        <f t="shared" si="431"/>
        <v>#N/A</v>
      </c>
      <c r="BA23" s="87" t="e">
        <f t="shared" si="432"/>
        <v>#N/A</v>
      </c>
      <c r="BB23" s="86" t="e">
        <f>AZ23*(1+Inputs!$B$10)</f>
        <v>#N/A</v>
      </c>
      <c r="BC23" s="86" t="e">
        <f t="shared" si="433"/>
        <v>#N/A</v>
      </c>
      <c r="BD23" s="86" t="e">
        <f t="shared" si="433"/>
        <v>#N/A</v>
      </c>
      <c r="BE23" s="86" t="e">
        <f t="shared" si="433"/>
        <v>#N/A</v>
      </c>
      <c r="BF23" s="86" t="e">
        <f t="shared" si="433"/>
        <v>#N/A</v>
      </c>
      <c r="BG23" s="86" t="e">
        <f t="shared" si="433"/>
        <v>#N/A</v>
      </c>
      <c r="BH23" s="86" t="e">
        <f t="shared" si="433"/>
        <v>#N/A</v>
      </c>
      <c r="BI23" s="86" t="e">
        <f t="shared" si="433"/>
        <v>#N/A</v>
      </c>
      <c r="BJ23" s="86" t="e">
        <f t="shared" si="433"/>
        <v>#N/A</v>
      </c>
      <c r="BK23" s="86" t="e">
        <f t="shared" si="433"/>
        <v>#N/A</v>
      </c>
      <c r="BL23" s="86" t="e">
        <f t="shared" si="433"/>
        <v>#N/A</v>
      </c>
      <c r="BM23" s="86" t="e">
        <f t="shared" si="433"/>
        <v>#N/A</v>
      </c>
      <c r="BN23" s="87" t="e">
        <f t="shared" si="434"/>
        <v>#N/A</v>
      </c>
      <c r="BO23" s="86" t="e">
        <f>BM23*(1+Inputs!$B$10)</f>
        <v>#N/A</v>
      </c>
      <c r="BP23" s="86" t="e">
        <f t="shared" si="435"/>
        <v>#N/A</v>
      </c>
      <c r="BQ23" s="86" t="e">
        <f t="shared" si="435"/>
        <v>#N/A</v>
      </c>
      <c r="BR23" s="86" t="e">
        <f t="shared" si="435"/>
        <v>#N/A</v>
      </c>
      <c r="BS23" s="86" t="e">
        <f t="shared" si="435"/>
        <v>#N/A</v>
      </c>
      <c r="BT23" s="86" t="e">
        <f t="shared" si="435"/>
        <v>#N/A</v>
      </c>
      <c r="BU23" s="86" t="e">
        <f t="shared" si="435"/>
        <v>#N/A</v>
      </c>
      <c r="BV23" s="86" t="e">
        <f t="shared" si="435"/>
        <v>#N/A</v>
      </c>
      <c r="BW23" s="86" t="e">
        <f t="shared" si="435"/>
        <v>#N/A</v>
      </c>
      <c r="BX23" s="86" t="e">
        <f t="shared" si="435"/>
        <v>#N/A</v>
      </c>
      <c r="BY23" s="86" t="e">
        <f t="shared" si="435"/>
        <v>#N/A</v>
      </c>
      <c r="BZ23" s="86" t="e">
        <f t="shared" si="435"/>
        <v>#N/A</v>
      </c>
      <c r="CA23" s="87" t="e">
        <f t="shared" si="436"/>
        <v>#N/A</v>
      </c>
      <c r="CB23" s="86" t="e">
        <f>BZ23*(1+Inputs!$B$10)</f>
        <v>#N/A</v>
      </c>
      <c r="CC23" s="86" t="e">
        <f t="shared" si="437"/>
        <v>#N/A</v>
      </c>
      <c r="CD23" s="86" t="e">
        <f t="shared" si="437"/>
        <v>#N/A</v>
      </c>
      <c r="CE23" s="86" t="e">
        <f t="shared" si="437"/>
        <v>#N/A</v>
      </c>
      <c r="CF23" s="86" t="e">
        <f t="shared" si="437"/>
        <v>#N/A</v>
      </c>
      <c r="CG23" s="86" t="e">
        <f t="shared" si="437"/>
        <v>#N/A</v>
      </c>
      <c r="CH23" s="86" t="e">
        <f t="shared" si="437"/>
        <v>#N/A</v>
      </c>
      <c r="CI23" s="86" t="e">
        <f t="shared" si="437"/>
        <v>#N/A</v>
      </c>
      <c r="CJ23" s="86" t="e">
        <f t="shared" si="437"/>
        <v>#N/A</v>
      </c>
      <c r="CK23" s="86" t="e">
        <f t="shared" si="437"/>
        <v>#N/A</v>
      </c>
      <c r="CL23" s="86" t="e">
        <f t="shared" si="437"/>
        <v>#N/A</v>
      </c>
      <c r="CM23" s="86" t="e">
        <f t="shared" si="437"/>
        <v>#N/A</v>
      </c>
      <c r="CN23" s="87" t="e">
        <f t="shared" si="438"/>
        <v>#N/A</v>
      </c>
      <c r="CO23" s="86" t="e">
        <f>CM23*(1+Inputs!$B$10)</f>
        <v>#N/A</v>
      </c>
      <c r="CP23" s="86" t="e">
        <f t="shared" si="439"/>
        <v>#N/A</v>
      </c>
      <c r="CQ23" s="86" t="e">
        <f t="shared" si="439"/>
        <v>#N/A</v>
      </c>
      <c r="CR23" s="86" t="e">
        <f t="shared" si="439"/>
        <v>#N/A</v>
      </c>
      <c r="CS23" s="86" t="e">
        <f t="shared" si="439"/>
        <v>#N/A</v>
      </c>
      <c r="CT23" s="86" t="e">
        <f t="shared" si="439"/>
        <v>#N/A</v>
      </c>
      <c r="CU23" s="86" t="e">
        <f t="shared" si="439"/>
        <v>#N/A</v>
      </c>
      <c r="CV23" s="86" t="e">
        <f t="shared" si="439"/>
        <v>#N/A</v>
      </c>
      <c r="CW23" s="86" t="e">
        <f t="shared" si="439"/>
        <v>#N/A</v>
      </c>
      <c r="CX23" s="86" t="e">
        <f t="shared" si="439"/>
        <v>#N/A</v>
      </c>
      <c r="CY23" s="86" t="e">
        <f t="shared" si="439"/>
        <v>#N/A</v>
      </c>
      <c r="CZ23" s="86" t="e">
        <f t="shared" si="439"/>
        <v>#N/A</v>
      </c>
      <c r="DA23" s="87" t="e">
        <f t="shared" si="440"/>
        <v>#N/A</v>
      </c>
      <c r="DB23" s="86" t="e">
        <f>CZ23*(1+Inputs!$B$10)</f>
        <v>#N/A</v>
      </c>
      <c r="DC23" s="86" t="e">
        <f t="shared" si="441"/>
        <v>#N/A</v>
      </c>
      <c r="DD23" s="86" t="e">
        <f t="shared" si="441"/>
        <v>#N/A</v>
      </c>
      <c r="DE23" s="86" t="e">
        <f t="shared" si="441"/>
        <v>#N/A</v>
      </c>
      <c r="DF23" s="86" t="e">
        <f t="shared" si="441"/>
        <v>#N/A</v>
      </c>
      <c r="DG23" s="86" t="e">
        <f t="shared" si="441"/>
        <v>#N/A</v>
      </c>
      <c r="DH23" s="86" t="e">
        <f t="shared" si="441"/>
        <v>#N/A</v>
      </c>
      <c r="DI23" s="86" t="e">
        <f t="shared" si="441"/>
        <v>#N/A</v>
      </c>
      <c r="DJ23" s="86" t="e">
        <f t="shared" si="441"/>
        <v>#N/A</v>
      </c>
      <c r="DK23" s="86" t="e">
        <f t="shared" si="441"/>
        <v>#N/A</v>
      </c>
      <c r="DL23" s="86" t="e">
        <f t="shared" si="441"/>
        <v>#N/A</v>
      </c>
      <c r="DM23" s="86" t="e">
        <f t="shared" si="441"/>
        <v>#N/A</v>
      </c>
      <c r="DN23" s="87" t="e">
        <f t="shared" si="442"/>
        <v>#N/A</v>
      </c>
      <c r="DO23" s="86" t="e">
        <f>DM23*(1+Inputs!$B$10)</f>
        <v>#N/A</v>
      </c>
      <c r="DP23" s="86" t="e">
        <f t="shared" si="443"/>
        <v>#N/A</v>
      </c>
      <c r="DQ23" s="86" t="e">
        <f t="shared" si="443"/>
        <v>#N/A</v>
      </c>
      <c r="DR23" s="86" t="e">
        <f t="shared" si="443"/>
        <v>#N/A</v>
      </c>
      <c r="DS23" s="86" t="e">
        <f t="shared" si="443"/>
        <v>#N/A</v>
      </c>
      <c r="DT23" s="86" t="e">
        <f t="shared" si="443"/>
        <v>#N/A</v>
      </c>
      <c r="DU23" s="86" t="e">
        <f t="shared" si="443"/>
        <v>#N/A</v>
      </c>
      <c r="DV23" s="86" t="e">
        <f t="shared" si="443"/>
        <v>#N/A</v>
      </c>
      <c r="DW23" s="86" t="e">
        <f t="shared" si="443"/>
        <v>#N/A</v>
      </c>
      <c r="DX23" s="86" t="e">
        <f t="shared" si="443"/>
        <v>#N/A</v>
      </c>
      <c r="DY23" s="86" t="e">
        <f t="shared" si="443"/>
        <v>#N/A</v>
      </c>
      <c r="DZ23" s="86" t="e">
        <f t="shared" si="443"/>
        <v>#N/A</v>
      </c>
      <c r="EA23" s="87" t="e">
        <f t="shared" si="444"/>
        <v>#N/A</v>
      </c>
      <c r="EB23" s="86" t="e">
        <f>DZ23*(1+Inputs!$B$10)</f>
        <v>#N/A</v>
      </c>
      <c r="EC23" s="86" t="e">
        <f t="shared" si="445"/>
        <v>#N/A</v>
      </c>
      <c r="ED23" s="86" t="e">
        <f t="shared" si="445"/>
        <v>#N/A</v>
      </c>
      <c r="EE23" s="86" t="e">
        <f t="shared" si="445"/>
        <v>#N/A</v>
      </c>
      <c r="EF23" s="86" t="e">
        <f t="shared" si="445"/>
        <v>#N/A</v>
      </c>
      <c r="EG23" s="86" t="e">
        <f t="shared" si="445"/>
        <v>#N/A</v>
      </c>
      <c r="EH23" s="86" t="e">
        <f t="shared" si="445"/>
        <v>#N/A</v>
      </c>
      <c r="EI23" s="86" t="e">
        <f t="shared" si="445"/>
        <v>#N/A</v>
      </c>
      <c r="EJ23" s="86" t="e">
        <f t="shared" si="445"/>
        <v>#N/A</v>
      </c>
      <c r="EK23" s="86" t="e">
        <f t="shared" si="445"/>
        <v>#N/A</v>
      </c>
      <c r="EL23" s="86" t="e">
        <f t="shared" si="445"/>
        <v>#N/A</v>
      </c>
      <c r="EM23" s="86" t="e">
        <f t="shared" si="445"/>
        <v>#N/A</v>
      </c>
      <c r="EN23" s="87" t="e">
        <f t="shared" si="446"/>
        <v>#N/A</v>
      </c>
      <c r="EO23" s="86" t="e">
        <f>EM23*(1+Inputs!$B$10)</f>
        <v>#N/A</v>
      </c>
      <c r="EP23" s="86" t="e">
        <f t="shared" si="447"/>
        <v>#N/A</v>
      </c>
      <c r="EQ23" s="86" t="e">
        <f t="shared" si="447"/>
        <v>#N/A</v>
      </c>
      <c r="ER23" s="86" t="e">
        <f t="shared" si="447"/>
        <v>#N/A</v>
      </c>
      <c r="ES23" s="86" t="e">
        <f t="shared" si="447"/>
        <v>#N/A</v>
      </c>
      <c r="ET23" s="86" t="e">
        <f t="shared" si="447"/>
        <v>#N/A</v>
      </c>
      <c r="EU23" s="86" t="e">
        <f t="shared" si="447"/>
        <v>#N/A</v>
      </c>
      <c r="EV23" s="86" t="e">
        <f t="shared" si="447"/>
        <v>#N/A</v>
      </c>
      <c r="EW23" s="86" t="e">
        <f t="shared" si="447"/>
        <v>#N/A</v>
      </c>
      <c r="EX23" s="86" t="e">
        <f t="shared" si="447"/>
        <v>#N/A</v>
      </c>
      <c r="EY23" s="86" t="e">
        <f t="shared" si="447"/>
        <v>#N/A</v>
      </c>
      <c r="EZ23" s="86" t="e">
        <f t="shared" si="447"/>
        <v>#N/A</v>
      </c>
      <c r="FA23" s="87" t="e">
        <f t="shared" si="448"/>
        <v>#N/A</v>
      </c>
      <c r="FB23" s="86" t="e">
        <f>EZ23*(1+Inputs!$B$10)</f>
        <v>#N/A</v>
      </c>
      <c r="FC23" s="86" t="e">
        <f t="shared" si="449"/>
        <v>#N/A</v>
      </c>
      <c r="FD23" s="86" t="e">
        <f t="shared" si="449"/>
        <v>#N/A</v>
      </c>
      <c r="FE23" s="86" t="e">
        <f t="shared" si="449"/>
        <v>#N/A</v>
      </c>
      <c r="FF23" s="86" t="e">
        <f t="shared" si="449"/>
        <v>#N/A</v>
      </c>
      <c r="FG23" s="86" t="e">
        <f t="shared" si="449"/>
        <v>#N/A</v>
      </c>
      <c r="FH23" s="86" t="e">
        <f t="shared" si="449"/>
        <v>#N/A</v>
      </c>
      <c r="FI23" s="86" t="e">
        <f t="shared" si="449"/>
        <v>#N/A</v>
      </c>
      <c r="FJ23" s="86" t="e">
        <f t="shared" si="449"/>
        <v>#N/A</v>
      </c>
      <c r="FK23" s="86" t="e">
        <f t="shared" si="449"/>
        <v>#N/A</v>
      </c>
      <c r="FL23" s="86" t="e">
        <f t="shared" si="449"/>
        <v>#N/A</v>
      </c>
      <c r="FM23" s="86" t="e">
        <f t="shared" si="449"/>
        <v>#N/A</v>
      </c>
      <c r="FN23" s="87" t="e">
        <f t="shared" si="450"/>
        <v>#N/A</v>
      </c>
      <c r="FO23" s="86" t="e">
        <f>FM23*(1+Inputs!$B$10)</f>
        <v>#N/A</v>
      </c>
      <c r="FP23" s="86" t="e">
        <f t="shared" si="451"/>
        <v>#N/A</v>
      </c>
      <c r="FQ23" s="86" t="e">
        <f t="shared" si="451"/>
        <v>#N/A</v>
      </c>
      <c r="FR23" s="86" t="e">
        <f t="shared" si="451"/>
        <v>#N/A</v>
      </c>
      <c r="FS23" s="86" t="e">
        <f t="shared" si="451"/>
        <v>#N/A</v>
      </c>
      <c r="FT23" s="86" t="e">
        <f t="shared" si="451"/>
        <v>#N/A</v>
      </c>
      <c r="FU23" s="86" t="e">
        <f t="shared" si="451"/>
        <v>#N/A</v>
      </c>
      <c r="FV23" s="86" t="e">
        <f t="shared" si="451"/>
        <v>#N/A</v>
      </c>
      <c r="FW23" s="86" t="e">
        <f t="shared" si="451"/>
        <v>#N/A</v>
      </c>
      <c r="FX23" s="86" t="e">
        <f t="shared" si="451"/>
        <v>#N/A</v>
      </c>
      <c r="FY23" s="86" t="e">
        <f t="shared" si="451"/>
        <v>#N/A</v>
      </c>
      <c r="FZ23" s="86" t="e">
        <f t="shared" si="451"/>
        <v>#N/A</v>
      </c>
      <c r="GA23" s="87" t="e">
        <f t="shared" si="452"/>
        <v>#N/A</v>
      </c>
      <c r="GB23" s="86" t="e">
        <f>FZ23*(1+Inputs!$B$10)</f>
        <v>#N/A</v>
      </c>
      <c r="GC23" s="86" t="e">
        <f t="shared" si="453"/>
        <v>#N/A</v>
      </c>
      <c r="GD23" s="86" t="e">
        <f t="shared" si="453"/>
        <v>#N/A</v>
      </c>
      <c r="GE23" s="86" t="e">
        <f t="shared" si="453"/>
        <v>#N/A</v>
      </c>
      <c r="GF23" s="86" t="e">
        <f t="shared" si="453"/>
        <v>#N/A</v>
      </c>
      <c r="GG23" s="86" t="e">
        <f t="shared" si="453"/>
        <v>#N/A</v>
      </c>
      <c r="GH23" s="86" t="e">
        <f t="shared" si="453"/>
        <v>#N/A</v>
      </c>
      <c r="GI23" s="86" t="e">
        <f t="shared" si="453"/>
        <v>#N/A</v>
      </c>
      <c r="GJ23" s="86" t="e">
        <f t="shared" si="453"/>
        <v>#N/A</v>
      </c>
      <c r="GK23" s="86" t="e">
        <f t="shared" si="453"/>
        <v>#N/A</v>
      </c>
      <c r="GL23" s="86" t="e">
        <f t="shared" si="453"/>
        <v>#N/A</v>
      </c>
      <c r="GM23" s="86" t="e">
        <f t="shared" si="453"/>
        <v>#N/A</v>
      </c>
      <c r="GN23" s="87" t="e">
        <f t="shared" si="454"/>
        <v>#N/A</v>
      </c>
      <c r="GO23" s="86" t="e">
        <f>GM23*(1+Inputs!$B$10)</f>
        <v>#N/A</v>
      </c>
      <c r="GP23" s="86" t="e">
        <f t="shared" si="455"/>
        <v>#N/A</v>
      </c>
      <c r="GQ23" s="86" t="e">
        <f t="shared" si="455"/>
        <v>#N/A</v>
      </c>
      <c r="GR23" s="86" t="e">
        <f t="shared" si="455"/>
        <v>#N/A</v>
      </c>
      <c r="GS23" s="86" t="e">
        <f t="shared" si="455"/>
        <v>#N/A</v>
      </c>
      <c r="GT23" s="86" t="e">
        <f t="shared" si="455"/>
        <v>#N/A</v>
      </c>
      <c r="GU23" s="86" t="e">
        <f t="shared" si="455"/>
        <v>#N/A</v>
      </c>
      <c r="GV23" s="86" t="e">
        <f t="shared" si="455"/>
        <v>#N/A</v>
      </c>
      <c r="GW23" s="86" t="e">
        <f t="shared" si="455"/>
        <v>#N/A</v>
      </c>
      <c r="GX23" s="86" t="e">
        <f t="shared" si="455"/>
        <v>#N/A</v>
      </c>
      <c r="GY23" s="86" t="e">
        <f t="shared" si="455"/>
        <v>#N/A</v>
      </c>
      <c r="GZ23" s="86" t="e">
        <f t="shared" si="455"/>
        <v>#N/A</v>
      </c>
      <c r="HA23" s="87" t="e">
        <f t="shared" si="456"/>
        <v>#N/A</v>
      </c>
      <c r="HB23" s="86" t="e">
        <f>GZ23*(1+Inputs!$B$10)</f>
        <v>#N/A</v>
      </c>
      <c r="HC23" s="86" t="e">
        <f t="shared" si="457"/>
        <v>#N/A</v>
      </c>
      <c r="HD23" s="86" t="e">
        <f t="shared" si="457"/>
        <v>#N/A</v>
      </c>
      <c r="HE23" s="86" t="e">
        <f t="shared" si="457"/>
        <v>#N/A</v>
      </c>
      <c r="HF23" s="86" t="e">
        <f t="shared" si="457"/>
        <v>#N/A</v>
      </c>
      <c r="HG23" s="86" t="e">
        <f t="shared" si="457"/>
        <v>#N/A</v>
      </c>
      <c r="HH23" s="86" t="e">
        <f t="shared" si="457"/>
        <v>#N/A</v>
      </c>
      <c r="HI23" s="86" t="e">
        <f t="shared" si="457"/>
        <v>#N/A</v>
      </c>
      <c r="HJ23" s="86" t="e">
        <f t="shared" si="457"/>
        <v>#N/A</v>
      </c>
      <c r="HK23" s="86" t="e">
        <f t="shared" si="457"/>
        <v>#N/A</v>
      </c>
      <c r="HL23" s="86" t="e">
        <f t="shared" si="457"/>
        <v>#N/A</v>
      </c>
      <c r="HM23" s="86" t="e">
        <f t="shared" si="457"/>
        <v>#N/A</v>
      </c>
      <c r="HN23" s="87" t="e">
        <f t="shared" si="458"/>
        <v>#N/A</v>
      </c>
      <c r="HO23" s="86" t="e">
        <f>HM23*(1+Inputs!$B$10)</f>
        <v>#N/A</v>
      </c>
      <c r="HP23" s="86" t="e">
        <f t="shared" si="459"/>
        <v>#N/A</v>
      </c>
      <c r="HQ23" s="86" t="e">
        <f t="shared" si="459"/>
        <v>#N/A</v>
      </c>
      <c r="HR23" s="86" t="e">
        <f t="shared" si="459"/>
        <v>#N/A</v>
      </c>
      <c r="HS23" s="86" t="e">
        <f t="shared" si="459"/>
        <v>#N/A</v>
      </c>
      <c r="HT23" s="86" t="e">
        <f t="shared" si="459"/>
        <v>#N/A</v>
      </c>
      <c r="HU23" s="86" t="e">
        <f t="shared" si="459"/>
        <v>#N/A</v>
      </c>
      <c r="HV23" s="86" t="e">
        <f t="shared" si="459"/>
        <v>#N/A</v>
      </c>
      <c r="HW23" s="86" t="e">
        <f t="shared" si="459"/>
        <v>#N/A</v>
      </c>
      <c r="HX23" s="86" t="e">
        <f t="shared" si="459"/>
        <v>#N/A</v>
      </c>
      <c r="HY23" s="86" t="e">
        <f t="shared" si="459"/>
        <v>#N/A</v>
      </c>
      <c r="HZ23" s="86" t="e">
        <f t="shared" si="459"/>
        <v>#N/A</v>
      </c>
      <c r="IA23" s="87" t="e">
        <f t="shared" si="460"/>
        <v>#N/A</v>
      </c>
      <c r="IB23" s="86" t="e">
        <f>HZ23*(1+Inputs!$B$10)</f>
        <v>#N/A</v>
      </c>
      <c r="IC23" s="86" t="e">
        <f t="shared" si="461"/>
        <v>#N/A</v>
      </c>
      <c r="ID23" s="86" t="e">
        <f t="shared" si="461"/>
        <v>#N/A</v>
      </c>
      <c r="IE23" s="86" t="e">
        <f t="shared" si="461"/>
        <v>#N/A</v>
      </c>
      <c r="IF23" s="86" t="e">
        <f t="shared" si="461"/>
        <v>#N/A</v>
      </c>
      <c r="IG23" s="86" t="e">
        <f t="shared" si="461"/>
        <v>#N/A</v>
      </c>
      <c r="IH23" s="86" t="e">
        <f t="shared" si="461"/>
        <v>#N/A</v>
      </c>
      <c r="II23" s="86" t="e">
        <f t="shared" si="461"/>
        <v>#N/A</v>
      </c>
      <c r="IJ23" s="86" t="e">
        <f t="shared" si="461"/>
        <v>#N/A</v>
      </c>
      <c r="IK23" s="86" t="e">
        <f t="shared" si="461"/>
        <v>#N/A</v>
      </c>
      <c r="IL23" s="86" t="e">
        <f t="shared" si="461"/>
        <v>#N/A</v>
      </c>
      <c r="IM23" s="86" t="e">
        <f t="shared" si="461"/>
        <v>#N/A</v>
      </c>
      <c r="IN23" s="87" t="e">
        <f t="shared" si="462"/>
        <v>#N/A</v>
      </c>
      <c r="IO23" s="86" t="e">
        <f>IM23*(1+Inputs!$B$10)</f>
        <v>#N/A</v>
      </c>
      <c r="IP23" s="86" t="e">
        <f t="shared" si="463"/>
        <v>#N/A</v>
      </c>
      <c r="IQ23" s="86" t="e">
        <f t="shared" si="463"/>
        <v>#N/A</v>
      </c>
      <c r="IR23" s="86" t="e">
        <f t="shared" si="463"/>
        <v>#N/A</v>
      </c>
      <c r="IS23" s="86" t="e">
        <f t="shared" si="463"/>
        <v>#N/A</v>
      </c>
      <c r="IT23" s="86" t="e">
        <f t="shared" si="463"/>
        <v>#N/A</v>
      </c>
      <c r="IU23" s="86" t="e">
        <f t="shared" si="463"/>
        <v>#N/A</v>
      </c>
      <c r="IV23" s="86" t="e">
        <f t="shared" si="463"/>
        <v>#N/A</v>
      </c>
      <c r="IW23" s="86" t="e">
        <f t="shared" si="463"/>
        <v>#N/A</v>
      </c>
      <c r="IX23" s="86" t="e">
        <f t="shared" si="463"/>
        <v>#N/A</v>
      </c>
      <c r="IY23" s="86" t="e">
        <f t="shared" si="463"/>
        <v>#N/A</v>
      </c>
      <c r="IZ23" s="86" t="e">
        <f t="shared" si="463"/>
        <v>#N/A</v>
      </c>
      <c r="JA23" s="87" t="e">
        <f t="shared" si="464"/>
        <v>#N/A</v>
      </c>
      <c r="JB23" s="86" t="e">
        <f>IZ23*(1+Inputs!$B$10)</f>
        <v>#N/A</v>
      </c>
      <c r="JC23" s="86" t="e">
        <f t="shared" si="465"/>
        <v>#N/A</v>
      </c>
      <c r="JD23" s="86" t="e">
        <f t="shared" si="465"/>
        <v>#N/A</v>
      </c>
      <c r="JE23" s="86" t="e">
        <f t="shared" si="465"/>
        <v>#N/A</v>
      </c>
      <c r="JF23" s="86" t="e">
        <f t="shared" si="465"/>
        <v>#N/A</v>
      </c>
      <c r="JG23" s="86" t="e">
        <f t="shared" si="465"/>
        <v>#N/A</v>
      </c>
      <c r="JH23" s="86" t="e">
        <f t="shared" si="465"/>
        <v>#N/A</v>
      </c>
      <c r="JI23" s="86" t="e">
        <f t="shared" si="465"/>
        <v>#N/A</v>
      </c>
      <c r="JJ23" s="86" t="e">
        <f t="shared" si="465"/>
        <v>#N/A</v>
      </c>
      <c r="JK23" s="86" t="e">
        <f t="shared" si="465"/>
        <v>#N/A</v>
      </c>
      <c r="JL23" s="86" t="e">
        <f t="shared" si="465"/>
        <v>#N/A</v>
      </c>
      <c r="JM23" s="86" t="e">
        <f t="shared" si="465"/>
        <v>#N/A</v>
      </c>
      <c r="JN23" s="87" t="e">
        <f t="shared" si="466"/>
        <v>#N/A</v>
      </c>
      <c r="JO23" s="86" t="e">
        <f>JM23*(1+Inputs!$B$10)</f>
        <v>#N/A</v>
      </c>
      <c r="JP23" s="86" t="e">
        <f t="shared" si="467"/>
        <v>#N/A</v>
      </c>
      <c r="JQ23" s="86" t="e">
        <f t="shared" si="467"/>
        <v>#N/A</v>
      </c>
      <c r="JR23" s="86" t="e">
        <f t="shared" si="467"/>
        <v>#N/A</v>
      </c>
      <c r="JS23" s="86" t="e">
        <f t="shared" si="467"/>
        <v>#N/A</v>
      </c>
      <c r="JT23" s="86" t="e">
        <f t="shared" si="467"/>
        <v>#N/A</v>
      </c>
      <c r="JU23" s="86" t="e">
        <f t="shared" si="467"/>
        <v>#N/A</v>
      </c>
      <c r="JV23" s="86" t="e">
        <f t="shared" si="467"/>
        <v>#N/A</v>
      </c>
      <c r="JW23" s="86" t="e">
        <f t="shared" si="467"/>
        <v>#N/A</v>
      </c>
      <c r="JX23" s="86" t="e">
        <f t="shared" si="467"/>
        <v>#N/A</v>
      </c>
      <c r="JY23" s="86" t="e">
        <f t="shared" si="467"/>
        <v>#N/A</v>
      </c>
      <c r="JZ23" s="86" t="e">
        <f t="shared" si="467"/>
        <v>#N/A</v>
      </c>
      <c r="KA23" s="87" t="e">
        <f t="shared" si="468"/>
        <v>#N/A</v>
      </c>
      <c r="KB23" s="86" t="e">
        <f>JZ23*(1+Inputs!$B$10)</f>
        <v>#N/A</v>
      </c>
      <c r="KC23" s="86" t="e">
        <f t="shared" si="469"/>
        <v>#N/A</v>
      </c>
      <c r="KD23" s="86" t="e">
        <f t="shared" si="469"/>
        <v>#N/A</v>
      </c>
      <c r="KE23" s="86" t="e">
        <f t="shared" si="469"/>
        <v>#N/A</v>
      </c>
      <c r="KF23" s="86" t="e">
        <f t="shared" si="469"/>
        <v>#N/A</v>
      </c>
      <c r="KG23" s="86" t="e">
        <f t="shared" si="469"/>
        <v>#N/A</v>
      </c>
      <c r="KH23" s="86" t="e">
        <f t="shared" si="469"/>
        <v>#N/A</v>
      </c>
      <c r="KI23" s="86" t="e">
        <f t="shared" si="469"/>
        <v>#N/A</v>
      </c>
      <c r="KJ23" s="86" t="e">
        <f t="shared" si="469"/>
        <v>#N/A</v>
      </c>
      <c r="KK23" s="86" t="e">
        <f t="shared" si="469"/>
        <v>#N/A</v>
      </c>
      <c r="KL23" s="86" t="e">
        <f t="shared" si="469"/>
        <v>#N/A</v>
      </c>
      <c r="KM23" s="86" t="e">
        <f t="shared" si="469"/>
        <v>#N/A</v>
      </c>
      <c r="KN23" s="87" t="e">
        <f t="shared" si="470"/>
        <v>#N/A</v>
      </c>
      <c r="KO23" s="86" t="e">
        <f>KM23*(1+Inputs!$B$10)</f>
        <v>#N/A</v>
      </c>
      <c r="KP23" s="86" t="e">
        <f t="shared" si="471"/>
        <v>#N/A</v>
      </c>
      <c r="KQ23" s="86" t="e">
        <f t="shared" si="471"/>
        <v>#N/A</v>
      </c>
      <c r="KR23" s="86" t="e">
        <f t="shared" si="471"/>
        <v>#N/A</v>
      </c>
      <c r="KS23" s="86" t="e">
        <f t="shared" si="471"/>
        <v>#N/A</v>
      </c>
      <c r="KT23" s="86" t="e">
        <f t="shared" si="471"/>
        <v>#N/A</v>
      </c>
      <c r="KU23" s="86" t="e">
        <f t="shared" si="471"/>
        <v>#N/A</v>
      </c>
      <c r="KV23" s="86" t="e">
        <f t="shared" si="471"/>
        <v>#N/A</v>
      </c>
      <c r="KW23" s="86" t="e">
        <f t="shared" si="471"/>
        <v>#N/A</v>
      </c>
      <c r="KX23" s="86" t="e">
        <f t="shared" si="471"/>
        <v>#N/A</v>
      </c>
      <c r="KY23" s="86" t="e">
        <f t="shared" si="471"/>
        <v>#N/A</v>
      </c>
      <c r="KZ23" s="86" t="e">
        <f t="shared" si="471"/>
        <v>#N/A</v>
      </c>
      <c r="LA23" s="87" t="e">
        <f t="shared" si="472"/>
        <v>#N/A</v>
      </c>
      <c r="LB23" s="86" t="e">
        <f>KZ23*(1+Inputs!$B$10)</f>
        <v>#N/A</v>
      </c>
      <c r="LC23" s="86" t="e">
        <f t="shared" si="473"/>
        <v>#N/A</v>
      </c>
      <c r="LD23" s="86" t="e">
        <f t="shared" si="473"/>
        <v>#N/A</v>
      </c>
      <c r="LE23" s="86" t="e">
        <f t="shared" si="473"/>
        <v>#N/A</v>
      </c>
      <c r="LF23" s="86" t="e">
        <f t="shared" si="473"/>
        <v>#N/A</v>
      </c>
      <c r="LG23" s="86" t="e">
        <f t="shared" si="473"/>
        <v>#N/A</v>
      </c>
      <c r="LH23" s="86" t="e">
        <f t="shared" si="473"/>
        <v>#N/A</v>
      </c>
      <c r="LI23" s="86" t="e">
        <f t="shared" si="473"/>
        <v>#N/A</v>
      </c>
      <c r="LJ23" s="86" t="e">
        <f t="shared" si="473"/>
        <v>#N/A</v>
      </c>
      <c r="LK23" s="86" t="e">
        <f t="shared" si="473"/>
        <v>#N/A</v>
      </c>
      <c r="LL23" s="86" t="e">
        <f t="shared" si="473"/>
        <v>#N/A</v>
      </c>
      <c r="LM23" s="86" t="e">
        <f t="shared" si="473"/>
        <v>#N/A</v>
      </c>
      <c r="LN23" s="87" t="e">
        <f t="shared" si="474"/>
        <v>#N/A</v>
      </c>
      <c r="LO23" s="86" t="e">
        <f>LM23*(1+Inputs!$B$10)</f>
        <v>#N/A</v>
      </c>
      <c r="LP23" s="86" t="e">
        <f t="shared" si="475"/>
        <v>#N/A</v>
      </c>
      <c r="LQ23" s="86" t="e">
        <f t="shared" si="475"/>
        <v>#N/A</v>
      </c>
      <c r="LR23" s="86" t="e">
        <f t="shared" si="475"/>
        <v>#N/A</v>
      </c>
      <c r="LS23" s="86" t="e">
        <f t="shared" si="475"/>
        <v>#N/A</v>
      </c>
      <c r="LT23" s="86" t="e">
        <f t="shared" si="475"/>
        <v>#N/A</v>
      </c>
      <c r="LU23" s="86" t="e">
        <f t="shared" si="475"/>
        <v>#N/A</v>
      </c>
      <c r="LV23" s="86" t="e">
        <f t="shared" si="475"/>
        <v>#N/A</v>
      </c>
      <c r="LW23" s="86" t="e">
        <f t="shared" si="475"/>
        <v>#N/A</v>
      </c>
      <c r="LX23" s="86" t="e">
        <f t="shared" si="475"/>
        <v>#N/A</v>
      </c>
      <c r="LY23" s="86" t="e">
        <f t="shared" si="475"/>
        <v>#N/A</v>
      </c>
      <c r="LZ23" s="86" t="e">
        <f t="shared" si="475"/>
        <v>#N/A</v>
      </c>
      <c r="MA23" s="87" t="e">
        <f t="shared" si="476"/>
        <v>#N/A</v>
      </c>
      <c r="MB23" s="86" t="e">
        <f>LZ23*(1+Inputs!$B$10)</f>
        <v>#N/A</v>
      </c>
      <c r="MC23" s="86" t="e">
        <f t="shared" si="477"/>
        <v>#N/A</v>
      </c>
      <c r="MD23" s="86" t="e">
        <f t="shared" si="477"/>
        <v>#N/A</v>
      </c>
      <c r="ME23" s="86" t="e">
        <f t="shared" si="477"/>
        <v>#N/A</v>
      </c>
      <c r="MF23" s="86" t="e">
        <f t="shared" si="477"/>
        <v>#N/A</v>
      </c>
      <c r="MG23" s="86" t="e">
        <f t="shared" si="477"/>
        <v>#N/A</v>
      </c>
      <c r="MH23" s="86" t="e">
        <f t="shared" si="477"/>
        <v>#N/A</v>
      </c>
      <c r="MI23" s="86" t="e">
        <f t="shared" si="477"/>
        <v>#N/A</v>
      </c>
      <c r="MJ23" s="86" t="e">
        <f t="shared" si="477"/>
        <v>#N/A</v>
      </c>
      <c r="MK23" s="86" t="e">
        <f t="shared" si="477"/>
        <v>#N/A</v>
      </c>
      <c r="ML23" s="86" t="e">
        <f t="shared" si="477"/>
        <v>#N/A</v>
      </c>
      <c r="MM23" s="86" t="e">
        <f t="shared" si="477"/>
        <v>#N/A</v>
      </c>
      <c r="MN23" s="87" t="e">
        <f t="shared" si="478"/>
        <v>#N/A</v>
      </c>
      <c r="MO23" s="86" t="e">
        <f>MM23*(1+Inputs!$B$10)</f>
        <v>#N/A</v>
      </c>
      <c r="MP23" s="86" t="e">
        <f t="shared" si="479"/>
        <v>#N/A</v>
      </c>
      <c r="MQ23" s="86" t="e">
        <f t="shared" si="479"/>
        <v>#N/A</v>
      </c>
      <c r="MR23" s="86" t="e">
        <f t="shared" si="479"/>
        <v>#N/A</v>
      </c>
      <c r="MS23" s="86" t="e">
        <f t="shared" si="479"/>
        <v>#N/A</v>
      </c>
      <c r="MT23" s="86" t="e">
        <f t="shared" si="479"/>
        <v>#N/A</v>
      </c>
      <c r="MU23" s="86" t="e">
        <f t="shared" si="479"/>
        <v>#N/A</v>
      </c>
      <c r="MV23" s="86" t="e">
        <f t="shared" si="479"/>
        <v>#N/A</v>
      </c>
      <c r="MW23" s="86" t="e">
        <f t="shared" si="479"/>
        <v>#N/A</v>
      </c>
      <c r="MX23" s="86" t="e">
        <f t="shared" si="479"/>
        <v>#N/A</v>
      </c>
      <c r="MY23" s="86" t="e">
        <f t="shared" si="479"/>
        <v>#N/A</v>
      </c>
      <c r="MZ23" s="86" t="e">
        <f t="shared" si="479"/>
        <v>#N/A</v>
      </c>
      <c r="NA23" s="87" t="e">
        <f t="shared" si="480"/>
        <v>#N/A</v>
      </c>
      <c r="NB23" s="86" t="e">
        <f>MZ23*(1+Inputs!$B$10)</f>
        <v>#N/A</v>
      </c>
      <c r="NC23" s="86" t="e">
        <f t="shared" si="481"/>
        <v>#N/A</v>
      </c>
      <c r="ND23" s="86" t="e">
        <f t="shared" si="481"/>
        <v>#N/A</v>
      </c>
      <c r="NE23" s="86" t="e">
        <f t="shared" si="481"/>
        <v>#N/A</v>
      </c>
      <c r="NF23" s="86" t="e">
        <f t="shared" si="481"/>
        <v>#N/A</v>
      </c>
      <c r="NG23" s="86" t="e">
        <f t="shared" si="481"/>
        <v>#N/A</v>
      </c>
      <c r="NH23" s="86" t="e">
        <f t="shared" si="481"/>
        <v>#N/A</v>
      </c>
      <c r="NI23" s="86" t="e">
        <f t="shared" si="481"/>
        <v>#N/A</v>
      </c>
      <c r="NJ23" s="86" t="e">
        <f t="shared" si="481"/>
        <v>#N/A</v>
      </c>
      <c r="NK23" s="86" t="e">
        <f t="shared" si="481"/>
        <v>#N/A</v>
      </c>
      <c r="NL23" s="86" t="e">
        <f t="shared" si="481"/>
        <v>#N/A</v>
      </c>
      <c r="NM23" s="86" t="e">
        <f t="shared" si="481"/>
        <v>#N/A</v>
      </c>
      <c r="NN23" s="87" t="e">
        <f t="shared" si="482"/>
        <v>#N/A</v>
      </c>
      <c r="NO23" s="86" t="e">
        <f>NM23*(1+Inputs!$B$10)</f>
        <v>#N/A</v>
      </c>
      <c r="NP23" s="86" t="e">
        <f t="shared" si="483"/>
        <v>#N/A</v>
      </c>
      <c r="NQ23" s="86" t="e">
        <f t="shared" si="483"/>
        <v>#N/A</v>
      </c>
      <c r="NR23" s="86" t="e">
        <f t="shared" si="483"/>
        <v>#N/A</v>
      </c>
      <c r="NS23" s="86" t="e">
        <f t="shared" si="483"/>
        <v>#N/A</v>
      </c>
      <c r="NT23" s="86" t="e">
        <f t="shared" si="483"/>
        <v>#N/A</v>
      </c>
      <c r="NU23" s="86" t="e">
        <f t="shared" si="483"/>
        <v>#N/A</v>
      </c>
      <c r="NV23" s="86" t="e">
        <f t="shared" si="483"/>
        <v>#N/A</v>
      </c>
      <c r="NW23" s="86" t="e">
        <f t="shared" si="483"/>
        <v>#N/A</v>
      </c>
      <c r="NX23" s="86" t="e">
        <f t="shared" si="483"/>
        <v>#N/A</v>
      </c>
      <c r="NY23" s="86" t="e">
        <f t="shared" si="483"/>
        <v>#N/A</v>
      </c>
      <c r="NZ23" s="86" t="e">
        <f t="shared" si="483"/>
        <v>#N/A</v>
      </c>
      <c r="OA23" s="87" t="e">
        <f t="shared" si="484"/>
        <v>#N/A</v>
      </c>
      <c r="OB23" s="86" t="e">
        <f>NZ23*(1+Inputs!$B$10)</f>
        <v>#N/A</v>
      </c>
      <c r="OC23" s="86" t="e">
        <f t="shared" si="485"/>
        <v>#N/A</v>
      </c>
      <c r="OD23" s="86" t="e">
        <f t="shared" si="485"/>
        <v>#N/A</v>
      </c>
      <c r="OE23" s="86" t="e">
        <f t="shared" si="485"/>
        <v>#N/A</v>
      </c>
      <c r="OF23" s="86" t="e">
        <f t="shared" si="485"/>
        <v>#N/A</v>
      </c>
      <c r="OG23" s="86" t="e">
        <f t="shared" si="485"/>
        <v>#N/A</v>
      </c>
      <c r="OH23" s="86" t="e">
        <f t="shared" si="485"/>
        <v>#N/A</v>
      </c>
      <c r="OI23" s="86" t="e">
        <f t="shared" si="485"/>
        <v>#N/A</v>
      </c>
      <c r="OJ23" s="86" t="e">
        <f t="shared" si="485"/>
        <v>#N/A</v>
      </c>
      <c r="OK23" s="86" t="e">
        <f t="shared" si="485"/>
        <v>#N/A</v>
      </c>
      <c r="OL23" s="86" t="e">
        <f t="shared" si="485"/>
        <v>#N/A</v>
      </c>
      <c r="OM23" s="86" t="e">
        <f t="shared" si="485"/>
        <v>#N/A</v>
      </c>
      <c r="ON23" s="87" t="e">
        <f t="shared" si="486"/>
        <v>#N/A</v>
      </c>
      <c r="OO23" s="86" t="e">
        <f>OM23*(1+Inputs!$B$10)</f>
        <v>#N/A</v>
      </c>
      <c r="OP23" s="86" t="e">
        <f t="shared" si="487"/>
        <v>#N/A</v>
      </c>
      <c r="OQ23" s="86" t="e">
        <f t="shared" si="487"/>
        <v>#N/A</v>
      </c>
      <c r="OR23" s="86" t="e">
        <f t="shared" si="487"/>
        <v>#N/A</v>
      </c>
      <c r="OS23" s="86" t="e">
        <f t="shared" si="487"/>
        <v>#N/A</v>
      </c>
      <c r="OT23" s="86" t="e">
        <f t="shared" si="487"/>
        <v>#N/A</v>
      </c>
      <c r="OU23" s="86" t="e">
        <f t="shared" si="487"/>
        <v>#N/A</v>
      </c>
      <c r="OV23" s="86" t="e">
        <f t="shared" si="487"/>
        <v>#N/A</v>
      </c>
      <c r="OW23" s="86" t="e">
        <f t="shared" si="487"/>
        <v>#N/A</v>
      </c>
      <c r="OX23" s="86" t="e">
        <f t="shared" si="487"/>
        <v>#N/A</v>
      </c>
      <c r="OY23" s="86" t="e">
        <f t="shared" si="487"/>
        <v>#N/A</v>
      </c>
      <c r="OZ23" s="86" t="e">
        <f t="shared" si="487"/>
        <v>#N/A</v>
      </c>
      <c r="PA23" s="87" t="e">
        <f t="shared" si="488"/>
        <v>#N/A</v>
      </c>
      <c r="PB23" s="86" t="e">
        <f>OZ23*(1+Inputs!$B$10)</f>
        <v>#N/A</v>
      </c>
      <c r="PC23" s="86" t="e">
        <f t="shared" si="489"/>
        <v>#N/A</v>
      </c>
      <c r="PD23" s="86" t="e">
        <f t="shared" si="489"/>
        <v>#N/A</v>
      </c>
      <c r="PE23" s="86" t="e">
        <f t="shared" si="489"/>
        <v>#N/A</v>
      </c>
      <c r="PF23" s="86" t="e">
        <f t="shared" si="489"/>
        <v>#N/A</v>
      </c>
      <c r="PG23" s="86" t="e">
        <f t="shared" si="489"/>
        <v>#N/A</v>
      </c>
      <c r="PH23" s="86" t="e">
        <f t="shared" si="489"/>
        <v>#N/A</v>
      </c>
      <c r="PI23" s="86" t="e">
        <f t="shared" si="489"/>
        <v>#N/A</v>
      </c>
      <c r="PJ23" s="86" t="e">
        <f t="shared" si="489"/>
        <v>#N/A</v>
      </c>
      <c r="PK23" s="86" t="e">
        <f t="shared" si="489"/>
        <v>#N/A</v>
      </c>
      <c r="PL23" s="86" t="e">
        <f t="shared" si="489"/>
        <v>#N/A</v>
      </c>
      <c r="PM23" s="86" t="e">
        <f t="shared" si="489"/>
        <v>#N/A</v>
      </c>
      <c r="PN23" s="87" t="e">
        <f t="shared" si="490"/>
        <v>#N/A</v>
      </c>
      <c r="PO23" s="86" t="e">
        <f>PM23*(1+Inputs!$B$10)</f>
        <v>#N/A</v>
      </c>
      <c r="PP23" s="86" t="e">
        <f t="shared" si="491"/>
        <v>#N/A</v>
      </c>
      <c r="PQ23" s="86" t="e">
        <f t="shared" si="491"/>
        <v>#N/A</v>
      </c>
      <c r="PR23" s="86" t="e">
        <f t="shared" si="491"/>
        <v>#N/A</v>
      </c>
      <c r="PS23" s="86" t="e">
        <f t="shared" si="491"/>
        <v>#N/A</v>
      </c>
      <c r="PT23" s="86" t="e">
        <f t="shared" si="491"/>
        <v>#N/A</v>
      </c>
      <c r="PU23" s="86" t="e">
        <f t="shared" si="491"/>
        <v>#N/A</v>
      </c>
      <c r="PV23" s="86" t="e">
        <f t="shared" si="491"/>
        <v>#N/A</v>
      </c>
      <c r="PW23" s="86" t="e">
        <f t="shared" si="491"/>
        <v>#N/A</v>
      </c>
      <c r="PX23" s="86" t="e">
        <f t="shared" si="491"/>
        <v>#N/A</v>
      </c>
      <c r="PY23" s="86" t="e">
        <f t="shared" si="491"/>
        <v>#N/A</v>
      </c>
      <c r="PZ23" s="86" t="e">
        <f t="shared" si="491"/>
        <v>#N/A</v>
      </c>
      <c r="QA23" s="87" t="e">
        <f t="shared" si="492"/>
        <v>#N/A</v>
      </c>
      <c r="QB23" s="86" t="e">
        <f>PZ23*(1+Inputs!$B$10)</f>
        <v>#N/A</v>
      </c>
      <c r="QC23" s="86" t="e">
        <f t="shared" si="493"/>
        <v>#N/A</v>
      </c>
      <c r="QD23" s="86" t="e">
        <f t="shared" si="493"/>
        <v>#N/A</v>
      </c>
      <c r="QE23" s="86" t="e">
        <f t="shared" si="493"/>
        <v>#N/A</v>
      </c>
      <c r="QF23" s="86" t="e">
        <f t="shared" si="493"/>
        <v>#N/A</v>
      </c>
      <c r="QG23" s="86" t="e">
        <f t="shared" si="493"/>
        <v>#N/A</v>
      </c>
      <c r="QH23" s="86" t="e">
        <f t="shared" si="493"/>
        <v>#N/A</v>
      </c>
      <c r="QI23" s="86" t="e">
        <f t="shared" si="493"/>
        <v>#N/A</v>
      </c>
      <c r="QJ23" s="86" t="e">
        <f t="shared" si="493"/>
        <v>#N/A</v>
      </c>
      <c r="QK23" s="86" t="e">
        <f t="shared" si="493"/>
        <v>#N/A</v>
      </c>
      <c r="QL23" s="86" t="e">
        <f t="shared" si="493"/>
        <v>#N/A</v>
      </c>
      <c r="QM23" s="86" t="e">
        <f t="shared" si="493"/>
        <v>#N/A</v>
      </c>
      <c r="QN23" s="87" t="e">
        <f t="shared" si="494"/>
        <v>#N/A</v>
      </c>
      <c r="QO23" s="86" t="e">
        <f>QM23*(1+Inputs!$B$10)</f>
        <v>#N/A</v>
      </c>
      <c r="QP23" s="86" t="e">
        <f t="shared" si="495"/>
        <v>#N/A</v>
      </c>
      <c r="QQ23" s="86" t="e">
        <f t="shared" si="495"/>
        <v>#N/A</v>
      </c>
      <c r="QR23" s="86" t="e">
        <f t="shared" si="495"/>
        <v>#N/A</v>
      </c>
      <c r="QS23" s="86" t="e">
        <f t="shared" si="495"/>
        <v>#N/A</v>
      </c>
      <c r="QT23" s="86" t="e">
        <f t="shared" si="495"/>
        <v>#N/A</v>
      </c>
      <c r="QU23" s="86" t="e">
        <f t="shared" si="495"/>
        <v>#N/A</v>
      </c>
      <c r="QV23" s="86" t="e">
        <f t="shared" si="495"/>
        <v>#N/A</v>
      </c>
      <c r="QW23" s="86" t="e">
        <f t="shared" si="495"/>
        <v>#N/A</v>
      </c>
      <c r="QX23" s="86" t="e">
        <f t="shared" si="495"/>
        <v>#N/A</v>
      </c>
      <c r="QY23" s="86" t="e">
        <f t="shared" si="495"/>
        <v>#N/A</v>
      </c>
      <c r="QZ23" s="86" t="e">
        <f t="shared" si="495"/>
        <v>#N/A</v>
      </c>
      <c r="RA23" s="87" t="e">
        <f t="shared" si="496"/>
        <v>#N/A</v>
      </c>
      <c r="RB23" s="86" t="e">
        <f>QZ23*(1+Inputs!$B$10)</f>
        <v>#N/A</v>
      </c>
      <c r="RC23" s="86" t="e">
        <f t="shared" si="497"/>
        <v>#N/A</v>
      </c>
      <c r="RD23" s="86" t="e">
        <f t="shared" si="497"/>
        <v>#N/A</v>
      </c>
      <c r="RE23" s="86" t="e">
        <f t="shared" si="497"/>
        <v>#N/A</v>
      </c>
      <c r="RF23" s="86" t="e">
        <f t="shared" si="497"/>
        <v>#N/A</v>
      </c>
      <c r="RG23" s="86" t="e">
        <f t="shared" si="497"/>
        <v>#N/A</v>
      </c>
      <c r="RH23" s="86" t="e">
        <f t="shared" si="497"/>
        <v>#N/A</v>
      </c>
      <c r="RI23" s="86" t="e">
        <f t="shared" si="497"/>
        <v>#N/A</v>
      </c>
      <c r="RJ23" s="86" t="e">
        <f t="shared" si="497"/>
        <v>#N/A</v>
      </c>
      <c r="RK23" s="86" t="e">
        <f t="shared" si="497"/>
        <v>#N/A</v>
      </c>
      <c r="RL23" s="86" t="e">
        <f t="shared" si="497"/>
        <v>#N/A</v>
      </c>
      <c r="RM23" s="86" t="e">
        <f t="shared" si="497"/>
        <v>#N/A</v>
      </c>
      <c r="RN23" s="87" t="e">
        <f t="shared" si="498"/>
        <v>#N/A</v>
      </c>
    </row>
    <row r="24" spans="1:482" hidden="1" outlineLevel="1" x14ac:dyDescent="0.3">
      <c r="A24" s="89" t="s">
        <v>211</v>
      </c>
      <c r="B24" s="86" t="e">
        <f>Inputs!$B$39/12</f>
        <v>#N/A</v>
      </c>
      <c r="C24" s="86" t="e">
        <f t="shared" si="427"/>
        <v>#N/A</v>
      </c>
      <c r="D24" s="86" t="e">
        <f t="shared" si="427"/>
        <v>#N/A</v>
      </c>
      <c r="E24" s="86" t="e">
        <f t="shared" si="427"/>
        <v>#N/A</v>
      </c>
      <c r="F24" s="86" t="e">
        <f t="shared" si="427"/>
        <v>#N/A</v>
      </c>
      <c r="G24" s="86" t="e">
        <f t="shared" si="427"/>
        <v>#N/A</v>
      </c>
      <c r="H24" s="86" t="e">
        <f t="shared" si="427"/>
        <v>#N/A</v>
      </c>
      <c r="I24" s="86" t="e">
        <f t="shared" si="427"/>
        <v>#N/A</v>
      </c>
      <c r="J24" s="86" t="e">
        <f t="shared" si="427"/>
        <v>#N/A</v>
      </c>
      <c r="K24" s="86" t="e">
        <f t="shared" si="427"/>
        <v>#N/A</v>
      </c>
      <c r="L24" s="86" t="e">
        <f t="shared" si="427"/>
        <v>#N/A</v>
      </c>
      <c r="M24" s="86" t="e">
        <f t="shared" si="427"/>
        <v>#N/A</v>
      </c>
      <c r="N24" s="87" t="e">
        <f t="shared" si="353"/>
        <v>#N/A</v>
      </c>
      <c r="O24" s="86" t="e">
        <f>M24*(1+Inputs!$B$10)</f>
        <v>#N/A</v>
      </c>
      <c r="P24" s="86" t="e">
        <f t="shared" si="428"/>
        <v>#N/A</v>
      </c>
      <c r="Q24" s="86" t="e">
        <f t="shared" si="428"/>
        <v>#N/A</v>
      </c>
      <c r="R24" s="86" t="e">
        <f t="shared" si="428"/>
        <v>#N/A</v>
      </c>
      <c r="S24" s="86" t="e">
        <f t="shared" si="428"/>
        <v>#N/A</v>
      </c>
      <c r="T24" s="86" t="e">
        <f t="shared" si="428"/>
        <v>#N/A</v>
      </c>
      <c r="U24" s="86" t="e">
        <f t="shared" si="428"/>
        <v>#N/A</v>
      </c>
      <c r="V24" s="86" t="e">
        <f t="shared" si="428"/>
        <v>#N/A</v>
      </c>
      <c r="W24" s="86" t="e">
        <f t="shared" si="428"/>
        <v>#N/A</v>
      </c>
      <c r="X24" s="86" t="e">
        <f t="shared" si="428"/>
        <v>#N/A</v>
      </c>
      <c r="Y24" s="86" t="e">
        <f t="shared" si="428"/>
        <v>#N/A</v>
      </c>
      <c r="Z24" s="86" t="e">
        <f t="shared" si="428"/>
        <v>#N/A</v>
      </c>
      <c r="AA24" s="87" t="e">
        <f t="shared" si="354"/>
        <v>#N/A</v>
      </c>
      <c r="AB24" s="86" t="e">
        <f>Z24*(1+Inputs!$B$10)</f>
        <v>#N/A</v>
      </c>
      <c r="AC24" s="86" t="e">
        <f t="shared" si="429"/>
        <v>#N/A</v>
      </c>
      <c r="AD24" s="86" t="e">
        <f t="shared" si="429"/>
        <v>#N/A</v>
      </c>
      <c r="AE24" s="86" t="e">
        <f t="shared" si="429"/>
        <v>#N/A</v>
      </c>
      <c r="AF24" s="86" t="e">
        <f t="shared" si="429"/>
        <v>#N/A</v>
      </c>
      <c r="AG24" s="86" t="e">
        <f t="shared" si="429"/>
        <v>#N/A</v>
      </c>
      <c r="AH24" s="86" t="e">
        <f t="shared" si="429"/>
        <v>#N/A</v>
      </c>
      <c r="AI24" s="86" t="e">
        <f t="shared" si="429"/>
        <v>#N/A</v>
      </c>
      <c r="AJ24" s="86" t="e">
        <f t="shared" si="429"/>
        <v>#N/A</v>
      </c>
      <c r="AK24" s="86" t="e">
        <f t="shared" si="429"/>
        <v>#N/A</v>
      </c>
      <c r="AL24" s="86" t="e">
        <f t="shared" si="429"/>
        <v>#N/A</v>
      </c>
      <c r="AM24" s="86" t="e">
        <f t="shared" si="429"/>
        <v>#N/A</v>
      </c>
      <c r="AN24" s="87" t="e">
        <f t="shared" si="430"/>
        <v>#N/A</v>
      </c>
      <c r="AO24" s="86" t="e">
        <f>AM24*(1+Inputs!$B$10)</f>
        <v>#N/A</v>
      </c>
      <c r="AP24" s="86" t="e">
        <f t="shared" si="431"/>
        <v>#N/A</v>
      </c>
      <c r="AQ24" s="86" t="e">
        <f t="shared" si="431"/>
        <v>#N/A</v>
      </c>
      <c r="AR24" s="86" t="e">
        <f t="shared" si="431"/>
        <v>#N/A</v>
      </c>
      <c r="AS24" s="86" t="e">
        <f t="shared" si="431"/>
        <v>#N/A</v>
      </c>
      <c r="AT24" s="86" t="e">
        <f t="shared" si="431"/>
        <v>#N/A</v>
      </c>
      <c r="AU24" s="86" t="e">
        <f t="shared" si="431"/>
        <v>#N/A</v>
      </c>
      <c r="AV24" s="86" t="e">
        <f t="shared" si="431"/>
        <v>#N/A</v>
      </c>
      <c r="AW24" s="86" t="e">
        <f t="shared" si="431"/>
        <v>#N/A</v>
      </c>
      <c r="AX24" s="86" t="e">
        <f t="shared" si="431"/>
        <v>#N/A</v>
      </c>
      <c r="AY24" s="86" t="e">
        <f t="shared" si="431"/>
        <v>#N/A</v>
      </c>
      <c r="AZ24" s="86" t="e">
        <f t="shared" si="431"/>
        <v>#N/A</v>
      </c>
      <c r="BA24" s="87" t="e">
        <f t="shared" si="432"/>
        <v>#N/A</v>
      </c>
      <c r="BB24" s="86" t="e">
        <f>AZ24*(1+Inputs!$B$10)</f>
        <v>#N/A</v>
      </c>
      <c r="BC24" s="86" t="e">
        <f t="shared" si="433"/>
        <v>#N/A</v>
      </c>
      <c r="BD24" s="86" t="e">
        <f t="shared" si="433"/>
        <v>#N/A</v>
      </c>
      <c r="BE24" s="86" t="e">
        <f t="shared" si="433"/>
        <v>#N/A</v>
      </c>
      <c r="BF24" s="86" t="e">
        <f t="shared" si="433"/>
        <v>#N/A</v>
      </c>
      <c r="BG24" s="86" t="e">
        <f t="shared" si="433"/>
        <v>#N/A</v>
      </c>
      <c r="BH24" s="86" t="e">
        <f t="shared" si="433"/>
        <v>#N/A</v>
      </c>
      <c r="BI24" s="86" t="e">
        <f t="shared" si="433"/>
        <v>#N/A</v>
      </c>
      <c r="BJ24" s="86" t="e">
        <f t="shared" si="433"/>
        <v>#N/A</v>
      </c>
      <c r="BK24" s="86" t="e">
        <f t="shared" si="433"/>
        <v>#N/A</v>
      </c>
      <c r="BL24" s="86" t="e">
        <f t="shared" si="433"/>
        <v>#N/A</v>
      </c>
      <c r="BM24" s="86" t="e">
        <f t="shared" si="433"/>
        <v>#N/A</v>
      </c>
      <c r="BN24" s="87" t="e">
        <f t="shared" si="434"/>
        <v>#N/A</v>
      </c>
      <c r="BO24" s="86" t="e">
        <f>BM24*(1+Inputs!$B$10)</f>
        <v>#N/A</v>
      </c>
      <c r="BP24" s="86" t="e">
        <f t="shared" si="435"/>
        <v>#N/A</v>
      </c>
      <c r="BQ24" s="86" t="e">
        <f t="shared" si="435"/>
        <v>#N/A</v>
      </c>
      <c r="BR24" s="86" t="e">
        <f t="shared" si="435"/>
        <v>#N/A</v>
      </c>
      <c r="BS24" s="86" t="e">
        <f t="shared" si="435"/>
        <v>#N/A</v>
      </c>
      <c r="BT24" s="86" t="e">
        <f t="shared" si="435"/>
        <v>#N/A</v>
      </c>
      <c r="BU24" s="86" t="e">
        <f t="shared" si="435"/>
        <v>#N/A</v>
      </c>
      <c r="BV24" s="86" t="e">
        <f t="shared" si="435"/>
        <v>#N/A</v>
      </c>
      <c r="BW24" s="86" t="e">
        <f t="shared" si="435"/>
        <v>#N/A</v>
      </c>
      <c r="BX24" s="86" t="e">
        <f t="shared" si="435"/>
        <v>#N/A</v>
      </c>
      <c r="BY24" s="86" t="e">
        <f t="shared" si="435"/>
        <v>#N/A</v>
      </c>
      <c r="BZ24" s="86" t="e">
        <f t="shared" si="435"/>
        <v>#N/A</v>
      </c>
      <c r="CA24" s="87" t="e">
        <f t="shared" si="436"/>
        <v>#N/A</v>
      </c>
      <c r="CB24" s="86" t="e">
        <f>BZ24*(1+Inputs!$B$10)</f>
        <v>#N/A</v>
      </c>
      <c r="CC24" s="86" t="e">
        <f t="shared" si="437"/>
        <v>#N/A</v>
      </c>
      <c r="CD24" s="86" t="e">
        <f t="shared" si="437"/>
        <v>#N/A</v>
      </c>
      <c r="CE24" s="86" t="e">
        <f t="shared" si="437"/>
        <v>#N/A</v>
      </c>
      <c r="CF24" s="86" t="e">
        <f t="shared" si="437"/>
        <v>#N/A</v>
      </c>
      <c r="CG24" s="86" t="e">
        <f t="shared" si="437"/>
        <v>#N/A</v>
      </c>
      <c r="CH24" s="86" t="e">
        <f t="shared" si="437"/>
        <v>#N/A</v>
      </c>
      <c r="CI24" s="86" t="e">
        <f t="shared" si="437"/>
        <v>#N/A</v>
      </c>
      <c r="CJ24" s="86" t="e">
        <f t="shared" si="437"/>
        <v>#N/A</v>
      </c>
      <c r="CK24" s="86" t="e">
        <f t="shared" si="437"/>
        <v>#N/A</v>
      </c>
      <c r="CL24" s="86" t="e">
        <f t="shared" si="437"/>
        <v>#N/A</v>
      </c>
      <c r="CM24" s="86" t="e">
        <f t="shared" si="437"/>
        <v>#N/A</v>
      </c>
      <c r="CN24" s="87" t="e">
        <f t="shared" si="438"/>
        <v>#N/A</v>
      </c>
      <c r="CO24" s="86" t="e">
        <f>CM24*(1+Inputs!$B$10)</f>
        <v>#N/A</v>
      </c>
      <c r="CP24" s="86" t="e">
        <f t="shared" si="439"/>
        <v>#N/A</v>
      </c>
      <c r="CQ24" s="86" t="e">
        <f t="shared" si="439"/>
        <v>#N/A</v>
      </c>
      <c r="CR24" s="86" t="e">
        <f t="shared" si="439"/>
        <v>#N/A</v>
      </c>
      <c r="CS24" s="86" t="e">
        <f t="shared" si="439"/>
        <v>#N/A</v>
      </c>
      <c r="CT24" s="86" t="e">
        <f t="shared" si="439"/>
        <v>#N/A</v>
      </c>
      <c r="CU24" s="86" t="e">
        <f t="shared" si="439"/>
        <v>#N/A</v>
      </c>
      <c r="CV24" s="86" t="e">
        <f t="shared" si="439"/>
        <v>#N/A</v>
      </c>
      <c r="CW24" s="86" t="e">
        <f t="shared" si="439"/>
        <v>#N/A</v>
      </c>
      <c r="CX24" s="86" t="e">
        <f t="shared" si="439"/>
        <v>#N/A</v>
      </c>
      <c r="CY24" s="86" t="e">
        <f t="shared" si="439"/>
        <v>#N/A</v>
      </c>
      <c r="CZ24" s="86" t="e">
        <f t="shared" si="439"/>
        <v>#N/A</v>
      </c>
      <c r="DA24" s="87" t="e">
        <f t="shared" si="440"/>
        <v>#N/A</v>
      </c>
      <c r="DB24" s="86" t="e">
        <f>CZ24*(1+Inputs!$B$10)</f>
        <v>#N/A</v>
      </c>
      <c r="DC24" s="86" t="e">
        <f t="shared" si="441"/>
        <v>#N/A</v>
      </c>
      <c r="DD24" s="86" t="e">
        <f t="shared" si="441"/>
        <v>#N/A</v>
      </c>
      <c r="DE24" s="86" t="e">
        <f t="shared" si="441"/>
        <v>#N/A</v>
      </c>
      <c r="DF24" s="86" t="e">
        <f t="shared" si="441"/>
        <v>#N/A</v>
      </c>
      <c r="DG24" s="86" t="e">
        <f t="shared" si="441"/>
        <v>#N/A</v>
      </c>
      <c r="DH24" s="86" t="e">
        <f t="shared" si="441"/>
        <v>#N/A</v>
      </c>
      <c r="DI24" s="86" t="e">
        <f t="shared" si="441"/>
        <v>#N/A</v>
      </c>
      <c r="DJ24" s="86" t="e">
        <f t="shared" si="441"/>
        <v>#N/A</v>
      </c>
      <c r="DK24" s="86" t="e">
        <f t="shared" si="441"/>
        <v>#N/A</v>
      </c>
      <c r="DL24" s="86" t="e">
        <f t="shared" si="441"/>
        <v>#N/A</v>
      </c>
      <c r="DM24" s="86" t="e">
        <f t="shared" si="441"/>
        <v>#N/A</v>
      </c>
      <c r="DN24" s="87" t="e">
        <f t="shared" si="442"/>
        <v>#N/A</v>
      </c>
      <c r="DO24" s="86" t="e">
        <f>DM24*(1+Inputs!$B$10)</f>
        <v>#N/A</v>
      </c>
      <c r="DP24" s="86" t="e">
        <f t="shared" si="443"/>
        <v>#N/A</v>
      </c>
      <c r="DQ24" s="86" t="e">
        <f t="shared" si="443"/>
        <v>#N/A</v>
      </c>
      <c r="DR24" s="86" t="e">
        <f t="shared" si="443"/>
        <v>#N/A</v>
      </c>
      <c r="DS24" s="86" t="e">
        <f t="shared" si="443"/>
        <v>#N/A</v>
      </c>
      <c r="DT24" s="86" t="e">
        <f t="shared" si="443"/>
        <v>#N/A</v>
      </c>
      <c r="DU24" s="86" t="e">
        <f t="shared" si="443"/>
        <v>#N/A</v>
      </c>
      <c r="DV24" s="86" t="e">
        <f t="shared" si="443"/>
        <v>#N/A</v>
      </c>
      <c r="DW24" s="86" t="e">
        <f t="shared" si="443"/>
        <v>#N/A</v>
      </c>
      <c r="DX24" s="86" t="e">
        <f t="shared" si="443"/>
        <v>#N/A</v>
      </c>
      <c r="DY24" s="86" t="e">
        <f t="shared" si="443"/>
        <v>#N/A</v>
      </c>
      <c r="DZ24" s="86" t="e">
        <f t="shared" si="443"/>
        <v>#N/A</v>
      </c>
      <c r="EA24" s="87" t="e">
        <f t="shared" si="444"/>
        <v>#N/A</v>
      </c>
      <c r="EB24" s="86" t="e">
        <f>DZ24*(1+Inputs!$B$10)</f>
        <v>#N/A</v>
      </c>
      <c r="EC24" s="86" t="e">
        <f t="shared" si="445"/>
        <v>#N/A</v>
      </c>
      <c r="ED24" s="86" t="e">
        <f t="shared" si="445"/>
        <v>#N/A</v>
      </c>
      <c r="EE24" s="86" t="e">
        <f t="shared" si="445"/>
        <v>#N/A</v>
      </c>
      <c r="EF24" s="86" t="e">
        <f t="shared" si="445"/>
        <v>#N/A</v>
      </c>
      <c r="EG24" s="86" t="e">
        <f t="shared" si="445"/>
        <v>#N/A</v>
      </c>
      <c r="EH24" s="86" t="e">
        <f t="shared" si="445"/>
        <v>#N/A</v>
      </c>
      <c r="EI24" s="86" t="e">
        <f t="shared" si="445"/>
        <v>#N/A</v>
      </c>
      <c r="EJ24" s="86" t="e">
        <f t="shared" si="445"/>
        <v>#N/A</v>
      </c>
      <c r="EK24" s="86" t="e">
        <f t="shared" si="445"/>
        <v>#N/A</v>
      </c>
      <c r="EL24" s="86" t="e">
        <f t="shared" si="445"/>
        <v>#N/A</v>
      </c>
      <c r="EM24" s="86" t="e">
        <f t="shared" si="445"/>
        <v>#N/A</v>
      </c>
      <c r="EN24" s="87" t="e">
        <f t="shared" si="446"/>
        <v>#N/A</v>
      </c>
      <c r="EO24" s="86" t="e">
        <f>EM24*(1+Inputs!$B$10)</f>
        <v>#N/A</v>
      </c>
      <c r="EP24" s="86" t="e">
        <f t="shared" si="447"/>
        <v>#N/A</v>
      </c>
      <c r="EQ24" s="86" t="e">
        <f t="shared" si="447"/>
        <v>#N/A</v>
      </c>
      <c r="ER24" s="86" t="e">
        <f t="shared" si="447"/>
        <v>#N/A</v>
      </c>
      <c r="ES24" s="86" t="e">
        <f t="shared" si="447"/>
        <v>#N/A</v>
      </c>
      <c r="ET24" s="86" t="e">
        <f t="shared" si="447"/>
        <v>#N/A</v>
      </c>
      <c r="EU24" s="86" t="e">
        <f t="shared" si="447"/>
        <v>#N/A</v>
      </c>
      <c r="EV24" s="86" t="e">
        <f t="shared" si="447"/>
        <v>#N/A</v>
      </c>
      <c r="EW24" s="86" t="e">
        <f t="shared" si="447"/>
        <v>#N/A</v>
      </c>
      <c r="EX24" s="86" t="e">
        <f t="shared" si="447"/>
        <v>#N/A</v>
      </c>
      <c r="EY24" s="86" t="e">
        <f t="shared" si="447"/>
        <v>#N/A</v>
      </c>
      <c r="EZ24" s="86" t="e">
        <f t="shared" si="447"/>
        <v>#N/A</v>
      </c>
      <c r="FA24" s="87" t="e">
        <f t="shared" si="448"/>
        <v>#N/A</v>
      </c>
      <c r="FB24" s="86" t="e">
        <f>EZ24*(1+Inputs!$B$10)</f>
        <v>#N/A</v>
      </c>
      <c r="FC24" s="86" t="e">
        <f t="shared" si="449"/>
        <v>#N/A</v>
      </c>
      <c r="FD24" s="86" t="e">
        <f t="shared" si="449"/>
        <v>#N/A</v>
      </c>
      <c r="FE24" s="86" t="e">
        <f t="shared" si="449"/>
        <v>#N/A</v>
      </c>
      <c r="FF24" s="86" t="e">
        <f t="shared" si="449"/>
        <v>#N/A</v>
      </c>
      <c r="FG24" s="86" t="e">
        <f t="shared" si="449"/>
        <v>#N/A</v>
      </c>
      <c r="FH24" s="86" t="e">
        <f t="shared" si="449"/>
        <v>#N/A</v>
      </c>
      <c r="FI24" s="86" t="e">
        <f t="shared" si="449"/>
        <v>#N/A</v>
      </c>
      <c r="FJ24" s="86" t="e">
        <f t="shared" si="449"/>
        <v>#N/A</v>
      </c>
      <c r="FK24" s="86" t="e">
        <f t="shared" si="449"/>
        <v>#N/A</v>
      </c>
      <c r="FL24" s="86" t="e">
        <f t="shared" si="449"/>
        <v>#N/A</v>
      </c>
      <c r="FM24" s="86" t="e">
        <f t="shared" si="449"/>
        <v>#N/A</v>
      </c>
      <c r="FN24" s="87" t="e">
        <f t="shared" si="450"/>
        <v>#N/A</v>
      </c>
      <c r="FO24" s="86" t="e">
        <f>FM24*(1+Inputs!$B$10)</f>
        <v>#N/A</v>
      </c>
      <c r="FP24" s="86" t="e">
        <f t="shared" si="451"/>
        <v>#N/A</v>
      </c>
      <c r="FQ24" s="86" t="e">
        <f t="shared" si="451"/>
        <v>#N/A</v>
      </c>
      <c r="FR24" s="86" t="e">
        <f t="shared" si="451"/>
        <v>#N/A</v>
      </c>
      <c r="FS24" s="86" t="e">
        <f t="shared" si="451"/>
        <v>#N/A</v>
      </c>
      <c r="FT24" s="86" t="e">
        <f t="shared" si="451"/>
        <v>#N/A</v>
      </c>
      <c r="FU24" s="86" t="e">
        <f t="shared" si="451"/>
        <v>#N/A</v>
      </c>
      <c r="FV24" s="86" t="e">
        <f t="shared" si="451"/>
        <v>#N/A</v>
      </c>
      <c r="FW24" s="86" t="e">
        <f t="shared" si="451"/>
        <v>#N/A</v>
      </c>
      <c r="FX24" s="86" t="e">
        <f t="shared" si="451"/>
        <v>#N/A</v>
      </c>
      <c r="FY24" s="86" t="e">
        <f t="shared" si="451"/>
        <v>#N/A</v>
      </c>
      <c r="FZ24" s="86" t="e">
        <f t="shared" si="451"/>
        <v>#N/A</v>
      </c>
      <c r="GA24" s="87" t="e">
        <f t="shared" si="452"/>
        <v>#N/A</v>
      </c>
      <c r="GB24" s="86" t="e">
        <f>FZ24*(1+Inputs!$B$10)</f>
        <v>#N/A</v>
      </c>
      <c r="GC24" s="86" t="e">
        <f t="shared" si="453"/>
        <v>#N/A</v>
      </c>
      <c r="GD24" s="86" t="e">
        <f t="shared" si="453"/>
        <v>#N/A</v>
      </c>
      <c r="GE24" s="86" t="e">
        <f t="shared" si="453"/>
        <v>#N/A</v>
      </c>
      <c r="GF24" s="86" t="e">
        <f t="shared" si="453"/>
        <v>#N/A</v>
      </c>
      <c r="GG24" s="86" t="e">
        <f t="shared" si="453"/>
        <v>#N/A</v>
      </c>
      <c r="GH24" s="86" t="e">
        <f t="shared" si="453"/>
        <v>#N/A</v>
      </c>
      <c r="GI24" s="86" t="e">
        <f t="shared" si="453"/>
        <v>#N/A</v>
      </c>
      <c r="GJ24" s="86" t="e">
        <f t="shared" si="453"/>
        <v>#N/A</v>
      </c>
      <c r="GK24" s="86" t="e">
        <f t="shared" si="453"/>
        <v>#N/A</v>
      </c>
      <c r="GL24" s="86" t="e">
        <f t="shared" si="453"/>
        <v>#N/A</v>
      </c>
      <c r="GM24" s="86" t="e">
        <f t="shared" si="453"/>
        <v>#N/A</v>
      </c>
      <c r="GN24" s="87" t="e">
        <f t="shared" si="454"/>
        <v>#N/A</v>
      </c>
      <c r="GO24" s="86" t="e">
        <f>GM24*(1+Inputs!$B$10)</f>
        <v>#N/A</v>
      </c>
      <c r="GP24" s="86" t="e">
        <f t="shared" si="455"/>
        <v>#N/A</v>
      </c>
      <c r="GQ24" s="86" t="e">
        <f t="shared" si="455"/>
        <v>#N/A</v>
      </c>
      <c r="GR24" s="86" t="e">
        <f t="shared" si="455"/>
        <v>#N/A</v>
      </c>
      <c r="GS24" s="86" t="e">
        <f t="shared" si="455"/>
        <v>#N/A</v>
      </c>
      <c r="GT24" s="86" t="e">
        <f t="shared" si="455"/>
        <v>#N/A</v>
      </c>
      <c r="GU24" s="86" t="e">
        <f t="shared" si="455"/>
        <v>#N/A</v>
      </c>
      <c r="GV24" s="86" t="e">
        <f t="shared" si="455"/>
        <v>#N/A</v>
      </c>
      <c r="GW24" s="86" t="e">
        <f t="shared" si="455"/>
        <v>#N/A</v>
      </c>
      <c r="GX24" s="86" t="e">
        <f t="shared" si="455"/>
        <v>#N/A</v>
      </c>
      <c r="GY24" s="86" t="e">
        <f t="shared" si="455"/>
        <v>#N/A</v>
      </c>
      <c r="GZ24" s="86" t="e">
        <f t="shared" si="455"/>
        <v>#N/A</v>
      </c>
      <c r="HA24" s="87" t="e">
        <f t="shared" si="456"/>
        <v>#N/A</v>
      </c>
      <c r="HB24" s="86" t="e">
        <f>GZ24*(1+Inputs!$B$10)</f>
        <v>#N/A</v>
      </c>
      <c r="HC24" s="86" t="e">
        <f t="shared" si="457"/>
        <v>#N/A</v>
      </c>
      <c r="HD24" s="86" t="e">
        <f t="shared" si="457"/>
        <v>#N/A</v>
      </c>
      <c r="HE24" s="86" t="e">
        <f t="shared" si="457"/>
        <v>#N/A</v>
      </c>
      <c r="HF24" s="86" t="e">
        <f t="shared" si="457"/>
        <v>#N/A</v>
      </c>
      <c r="HG24" s="86" t="e">
        <f t="shared" si="457"/>
        <v>#N/A</v>
      </c>
      <c r="HH24" s="86" t="e">
        <f t="shared" si="457"/>
        <v>#N/A</v>
      </c>
      <c r="HI24" s="86" t="e">
        <f t="shared" si="457"/>
        <v>#N/A</v>
      </c>
      <c r="HJ24" s="86" t="e">
        <f t="shared" si="457"/>
        <v>#N/A</v>
      </c>
      <c r="HK24" s="86" t="e">
        <f t="shared" si="457"/>
        <v>#N/A</v>
      </c>
      <c r="HL24" s="86" t="e">
        <f t="shared" si="457"/>
        <v>#N/A</v>
      </c>
      <c r="HM24" s="86" t="e">
        <f t="shared" si="457"/>
        <v>#N/A</v>
      </c>
      <c r="HN24" s="87" t="e">
        <f t="shared" si="458"/>
        <v>#N/A</v>
      </c>
      <c r="HO24" s="86" t="e">
        <f>HM24*(1+Inputs!$B$10)</f>
        <v>#N/A</v>
      </c>
      <c r="HP24" s="86" t="e">
        <f t="shared" si="459"/>
        <v>#N/A</v>
      </c>
      <c r="HQ24" s="86" t="e">
        <f t="shared" si="459"/>
        <v>#N/A</v>
      </c>
      <c r="HR24" s="86" t="e">
        <f t="shared" si="459"/>
        <v>#N/A</v>
      </c>
      <c r="HS24" s="86" t="e">
        <f t="shared" si="459"/>
        <v>#N/A</v>
      </c>
      <c r="HT24" s="86" t="e">
        <f t="shared" si="459"/>
        <v>#N/A</v>
      </c>
      <c r="HU24" s="86" t="e">
        <f t="shared" si="459"/>
        <v>#N/A</v>
      </c>
      <c r="HV24" s="86" t="e">
        <f t="shared" si="459"/>
        <v>#N/A</v>
      </c>
      <c r="HW24" s="86" t="e">
        <f t="shared" si="459"/>
        <v>#N/A</v>
      </c>
      <c r="HX24" s="86" t="e">
        <f t="shared" si="459"/>
        <v>#N/A</v>
      </c>
      <c r="HY24" s="86" t="e">
        <f t="shared" si="459"/>
        <v>#N/A</v>
      </c>
      <c r="HZ24" s="86" t="e">
        <f t="shared" si="459"/>
        <v>#N/A</v>
      </c>
      <c r="IA24" s="87" t="e">
        <f t="shared" si="460"/>
        <v>#N/A</v>
      </c>
      <c r="IB24" s="86" t="e">
        <f>HZ24*(1+Inputs!$B$10)</f>
        <v>#N/A</v>
      </c>
      <c r="IC24" s="86" t="e">
        <f t="shared" si="461"/>
        <v>#N/A</v>
      </c>
      <c r="ID24" s="86" t="e">
        <f t="shared" si="461"/>
        <v>#N/A</v>
      </c>
      <c r="IE24" s="86" t="e">
        <f t="shared" si="461"/>
        <v>#N/A</v>
      </c>
      <c r="IF24" s="86" t="e">
        <f t="shared" si="461"/>
        <v>#N/A</v>
      </c>
      <c r="IG24" s="86" t="e">
        <f t="shared" si="461"/>
        <v>#N/A</v>
      </c>
      <c r="IH24" s="86" t="e">
        <f t="shared" si="461"/>
        <v>#N/A</v>
      </c>
      <c r="II24" s="86" t="e">
        <f t="shared" si="461"/>
        <v>#N/A</v>
      </c>
      <c r="IJ24" s="86" t="e">
        <f t="shared" si="461"/>
        <v>#N/A</v>
      </c>
      <c r="IK24" s="86" t="e">
        <f t="shared" si="461"/>
        <v>#N/A</v>
      </c>
      <c r="IL24" s="86" t="e">
        <f t="shared" si="461"/>
        <v>#N/A</v>
      </c>
      <c r="IM24" s="86" t="e">
        <f t="shared" si="461"/>
        <v>#N/A</v>
      </c>
      <c r="IN24" s="87" t="e">
        <f t="shared" si="462"/>
        <v>#N/A</v>
      </c>
      <c r="IO24" s="86" t="e">
        <f>IM24*(1+Inputs!$B$10)</f>
        <v>#N/A</v>
      </c>
      <c r="IP24" s="86" t="e">
        <f t="shared" si="463"/>
        <v>#N/A</v>
      </c>
      <c r="IQ24" s="86" t="e">
        <f t="shared" si="463"/>
        <v>#N/A</v>
      </c>
      <c r="IR24" s="86" t="e">
        <f t="shared" si="463"/>
        <v>#N/A</v>
      </c>
      <c r="IS24" s="86" t="e">
        <f t="shared" si="463"/>
        <v>#N/A</v>
      </c>
      <c r="IT24" s="86" t="e">
        <f t="shared" si="463"/>
        <v>#N/A</v>
      </c>
      <c r="IU24" s="86" t="e">
        <f t="shared" si="463"/>
        <v>#N/A</v>
      </c>
      <c r="IV24" s="86" t="e">
        <f t="shared" si="463"/>
        <v>#N/A</v>
      </c>
      <c r="IW24" s="86" t="e">
        <f t="shared" si="463"/>
        <v>#N/A</v>
      </c>
      <c r="IX24" s="86" t="e">
        <f t="shared" si="463"/>
        <v>#N/A</v>
      </c>
      <c r="IY24" s="86" t="e">
        <f t="shared" si="463"/>
        <v>#N/A</v>
      </c>
      <c r="IZ24" s="86" t="e">
        <f t="shared" si="463"/>
        <v>#N/A</v>
      </c>
      <c r="JA24" s="87" t="e">
        <f t="shared" si="464"/>
        <v>#N/A</v>
      </c>
      <c r="JB24" s="86" t="e">
        <f>IZ24*(1+Inputs!$B$10)</f>
        <v>#N/A</v>
      </c>
      <c r="JC24" s="86" t="e">
        <f t="shared" si="465"/>
        <v>#N/A</v>
      </c>
      <c r="JD24" s="86" t="e">
        <f t="shared" si="465"/>
        <v>#N/A</v>
      </c>
      <c r="JE24" s="86" t="e">
        <f t="shared" si="465"/>
        <v>#N/A</v>
      </c>
      <c r="JF24" s="86" t="e">
        <f t="shared" si="465"/>
        <v>#N/A</v>
      </c>
      <c r="JG24" s="86" t="e">
        <f t="shared" si="465"/>
        <v>#N/A</v>
      </c>
      <c r="JH24" s="86" t="e">
        <f t="shared" si="465"/>
        <v>#N/A</v>
      </c>
      <c r="JI24" s="86" t="e">
        <f t="shared" si="465"/>
        <v>#N/A</v>
      </c>
      <c r="JJ24" s="86" t="e">
        <f t="shared" si="465"/>
        <v>#N/A</v>
      </c>
      <c r="JK24" s="86" t="e">
        <f t="shared" si="465"/>
        <v>#N/A</v>
      </c>
      <c r="JL24" s="86" t="e">
        <f t="shared" si="465"/>
        <v>#N/A</v>
      </c>
      <c r="JM24" s="86" t="e">
        <f t="shared" si="465"/>
        <v>#N/A</v>
      </c>
      <c r="JN24" s="87" t="e">
        <f t="shared" si="466"/>
        <v>#N/A</v>
      </c>
      <c r="JO24" s="86" t="e">
        <f>JM24*(1+Inputs!$B$10)</f>
        <v>#N/A</v>
      </c>
      <c r="JP24" s="86" t="e">
        <f t="shared" si="467"/>
        <v>#N/A</v>
      </c>
      <c r="JQ24" s="86" t="e">
        <f t="shared" si="467"/>
        <v>#N/A</v>
      </c>
      <c r="JR24" s="86" t="e">
        <f t="shared" si="467"/>
        <v>#N/A</v>
      </c>
      <c r="JS24" s="86" t="e">
        <f t="shared" si="467"/>
        <v>#N/A</v>
      </c>
      <c r="JT24" s="86" t="e">
        <f t="shared" si="467"/>
        <v>#N/A</v>
      </c>
      <c r="JU24" s="86" t="e">
        <f t="shared" si="467"/>
        <v>#N/A</v>
      </c>
      <c r="JV24" s="86" t="e">
        <f t="shared" si="467"/>
        <v>#N/A</v>
      </c>
      <c r="JW24" s="86" t="e">
        <f t="shared" si="467"/>
        <v>#N/A</v>
      </c>
      <c r="JX24" s="86" t="e">
        <f t="shared" si="467"/>
        <v>#N/A</v>
      </c>
      <c r="JY24" s="86" t="e">
        <f t="shared" si="467"/>
        <v>#N/A</v>
      </c>
      <c r="JZ24" s="86" t="e">
        <f t="shared" si="467"/>
        <v>#N/A</v>
      </c>
      <c r="KA24" s="87" t="e">
        <f t="shared" si="468"/>
        <v>#N/A</v>
      </c>
      <c r="KB24" s="86" t="e">
        <f>JZ24*(1+Inputs!$B$10)</f>
        <v>#N/A</v>
      </c>
      <c r="KC24" s="86" t="e">
        <f t="shared" si="469"/>
        <v>#N/A</v>
      </c>
      <c r="KD24" s="86" t="e">
        <f t="shared" si="469"/>
        <v>#N/A</v>
      </c>
      <c r="KE24" s="86" t="e">
        <f t="shared" si="469"/>
        <v>#N/A</v>
      </c>
      <c r="KF24" s="86" t="e">
        <f t="shared" si="469"/>
        <v>#N/A</v>
      </c>
      <c r="KG24" s="86" t="e">
        <f t="shared" si="469"/>
        <v>#N/A</v>
      </c>
      <c r="KH24" s="86" t="e">
        <f t="shared" si="469"/>
        <v>#N/A</v>
      </c>
      <c r="KI24" s="86" t="e">
        <f t="shared" si="469"/>
        <v>#N/A</v>
      </c>
      <c r="KJ24" s="86" t="e">
        <f t="shared" si="469"/>
        <v>#N/A</v>
      </c>
      <c r="KK24" s="86" t="e">
        <f t="shared" si="469"/>
        <v>#N/A</v>
      </c>
      <c r="KL24" s="86" t="e">
        <f t="shared" si="469"/>
        <v>#N/A</v>
      </c>
      <c r="KM24" s="86" t="e">
        <f t="shared" si="469"/>
        <v>#N/A</v>
      </c>
      <c r="KN24" s="87" t="e">
        <f t="shared" si="470"/>
        <v>#N/A</v>
      </c>
      <c r="KO24" s="86" t="e">
        <f>KM24*(1+Inputs!$B$10)</f>
        <v>#N/A</v>
      </c>
      <c r="KP24" s="86" t="e">
        <f t="shared" si="471"/>
        <v>#N/A</v>
      </c>
      <c r="KQ24" s="86" t="e">
        <f t="shared" si="471"/>
        <v>#N/A</v>
      </c>
      <c r="KR24" s="86" t="e">
        <f t="shared" si="471"/>
        <v>#N/A</v>
      </c>
      <c r="KS24" s="86" t="e">
        <f t="shared" si="471"/>
        <v>#N/A</v>
      </c>
      <c r="KT24" s="86" t="e">
        <f t="shared" si="471"/>
        <v>#N/A</v>
      </c>
      <c r="KU24" s="86" t="e">
        <f t="shared" si="471"/>
        <v>#N/A</v>
      </c>
      <c r="KV24" s="86" t="e">
        <f t="shared" si="471"/>
        <v>#N/A</v>
      </c>
      <c r="KW24" s="86" t="e">
        <f t="shared" si="471"/>
        <v>#N/A</v>
      </c>
      <c r="KX24" s="86" t="e">
        <f t="shared" si="471"/>
        <v>#N/A</v>
      </c>
      <c r="KY24" s="86" t="e">
        <f t="shared" si="471"/>
        <v>#N/A</v>
      </c>
      <c r="KZ24" s="86" t="e">
        <f t="shared" si="471"/>
        <v>#N/A</v>
      </c>
      <c r="LA24" s="87" t="e">
        <f t="shared" si="472"/>
        <v>#N/A</v>
      </c>
      <c r="LB24" s="86" t="e">
        <f>KZ24*(1+Inputs!$B$10)</f>
        <v>#N/A</v>
      </c>
      <c r="LC24" s="86" t="e">
        <f t="shared" si="473"/>
        <v>#N/A</v>
      </c>
      <c r="LD24" s="86" t="e">
        <f t="shared" si="473"/>
        <v>#N/A</v>
      </c>
      <c r="LE24" s="86" t="e">
        <f t="shared" si="473"/>
        <v>#N/A</v>
      </c>
      <c r="LF24" s="86" t="e">
        <f t="shared" si="473"/>
        <v>#N/A</v>
      </c>
      <c r="LG24" s="86" t="e">
        <f t="shared" si="473"/>
        <v>#N/A</v>
      </c>
      <c r="LH24" s="86" t="e">
        <f t="shared" si="473"/>
        <v>#N/A</v>
      </c>
      <c r="LI24" s="86" t="e">
        <f t="shared" si="473"/>
        <v>#N/A</v>
      </c>
      <c r="LJ24" s="86" t="e">
        <f t="shared" si="473"/>
        <v>#N/A</v>
      </c>
      <c r="LK24" s="86" t="e">
        <f t="shared" si="473"/>
        <v>#N/A</v>
      </c>
      <c r="LL24" s="86" t="e">
        <f t="shared" si="473"/>
        <v>#N/A</v>
      </c>
      <c r="LM24" s="86" t="e">
        <f t="shared" si="473"/>
        <v>#N/A</v>
      </c>
      <c r="LN24" s="87" t="e">
        <f t="shared" si="474"/>
        <v>#N/A</v>
      </c>
      <c r="LO24" s="86" t="e">
        <f>LM24*(1+Inputs!$B$10)</f>
        <v>#N/A</v>
      </c>
      <c r="LP24" s="86" t="e">
        <f t="shared" si="475"/>
        <v>#N/A</v>
      </c>
      <c r="LQ24" s="86" t="e">
        <f t="shared" si="475"/>
        <v>#N/A</v>
      </c>
      <c r="LR24" s="86" t="e">
        <f t="shared" si="475"/>
        <v>#N/A</v>
      </c>
      <c r="LS24" s="86" t="e">
        <f t="shared" si="475"/>
        <v>#N/A</v>
      </c>
      <c r="LT24" s="86" t="e">
        <f t="shared" si="475"/>
        <v>#N/A</v>
      </c>
      <c r="LU24" s="86" t="e">
        <f t="shared" si="475"/>
        <v>#N/A</v>
      </c>
      <c r="LV24" s="86" t="e">
        <f t="shared" si="475"/>
        <v>#N/A</v>
      </c>
      <c r="LW24" s="86" t="e">
        <f t="shared" si="475"/>
        <v>#N/A</v>
      </c>
      <c r="LX24" s="86" t="e">
        <f t="shared" si="475"/>
        <v>#N/A</v>
      </c>
      <c r="LY24" s="86" t="e">
        <f t="shared" si="475"/>
        <v>#N/A</v>
      </c>
      <c r="LZ24" s="86" t="e">
        <f t="shared" si="475"/>
        <v>#N/A</v>
      </c>
      <c r="MA24" s="87" t="e">
        <f t="shared" si="476"/>
        <v>#N/A</v>
      </c>
      <c r="MB24" s="86" t="e">
        <f>LZ24*(1+Inputs!$B$10)</f>
        <v>#N/A</v>
      </c>
      <c r="MC24" s="86" t="e">
        <f t="shared" si="477"/>
        <v>#N/A</v>
      </c>
      <c r="MD24" s="86" t="e">
        <f t="shared" si="477"/>
        <v>#N/A</v>
      </c>
      <c r="ME24" s="86" t="e">
        <f t="shared" si="477"/>
        <v>#N/A</v>
      </c>
      <c r="MF24" s="86" t="e">
        <f t="shared" si="477"/>
        <v>#N/A</v>
      </c>
      <c r="MG24" s="86" t="e">
        <f t="shared" si="477"/>
        <v>#N/A</v>
      </c>
      <c r="MH24" s="86" t="e">
        <f t="shared" si="477"/>
        <v>#N/A</v>
      </c>
      <c r="MI24" s="86" t="e">
        <f t="shared" si="477"/>
        <v>#N/A</v>
      </c>
      <c r="MJ24" s="86" t="e">
        <f t="shared" si="477"/>
        <v>#N/A</v>
      </c>
      <c r="MK24" s="86" t="e">
        <f t="shared" si="477"/>
        <v>#N/A</v>
      </c>
      <c r="ML24" s="86" t="e">
        <f t="shared" si="477"/>
        <v>#N/A</v>
      </c>
      <c r="MM24" s="86" t="e">
        <f t="shared" si="477"/>
        <v>#N/A</v>
      </c>
      <c r="MN24" s="87" t="e">
        <f t="shared" si="478"/>
        <v>#N/A</v>
      </c>
      <c r="MO24" s="86" t="e">
        <f>MM24*(1+Inputs!$B$10)</f>
        <v>#N/A</v>
      </c>
      <c r="MP24" s="86" t="e">
        <f t="shared" si="479"/>
        <v>#N/A</v>
      </c>
      <c r="MQ24" s="86" t="e">
        <f t="shared" si="479"/>
        <v>#N/A</v>
      </c>
      <c r="MR24" s="86" t="e">
        <f t="shared" si="479"/>
        <v>#N/A</v>
      </c>
      <c r="MS24" s="86" t="e">
        <f t="shared" si="479"/>
        <v>#N/A</v>
      </c>
      <c r="MT24" s="86" t="e">
        <f t="shared" si="479"/>
        <v>#N/A</v>
      </c>
      <c r="MU24" s="86" t="e">
        <f t="shared" si="479"/>
        <v>#N/A</v>
      </c>
      <c r="MV24" s="86" t="e">
        <f t="shared" si="479"/>
        <v>#N/A</v>
      </c>
      <c r="MW24" s="86" t="e">
        <f t="shared" si="479"/>
        <v>#N/A</v>
      </c>
      <c r="MX24" s="86" t="e">
        <f t="shared" si="479"/>
        <v>#N/A</v>
      </c>
      <c r="MY24" s="86" t="e">
        <f t="shared" si="479"/>
        <v>#N/A</v>
      </c>
      <c r="MZ24" s="86" t="e">
        <f t="shared" si="479"/>
        <v>#N/A</v>
      </c>
      <c r="NA24" s="87" t="e">
        <f t="shared" si="480"/>
        <v>#N/A</v>
      </c>
      <c r="NB24" s="86" t="e">
        <f>MZ24*(1+Inputs!$B$10)</f>
        <v>#N/A</v>
      </c>
      <c r="NC24" s="86" t="e">
        <f t="shared" si="481"/>
        <v>#N/A</v>
      </c>
      <c r="ND24" s="86" t="e">
        <f t="shared" si="481"/>
        <v>#N/A</v>
      </c>
      <c r="NE24" s="86" t="e">
        <f t="shared" si="481"/>
        <v>#N/A</v>
      </c>
      <c r="NF24" s="86" t="e">
        <f t="shared" si="481"/>
        <v>#N/A</v>
      </c>
      <c r="NG24" s="86" t="e">
        <f t="shared" si="481"/>
        <v>#N/A</v>
      </c>
      <c r="NH24" s="86" t="e">
        <f t="shared" si="481"/>
        <v>#N/A</v>
      </c>
      <c r="NI24" s="86" t="e">
        <f t="shared" si="481"/>
        <v>#N/A</v>
      </c>
      <c r="NJ24" s="86" t="e">
        <f t="shared" si="481"/>
        <v>#N/A</v>
      </c>
      <c r="NK24" s="86" t="e">
        <f t="shared" si="481"/>
        <v>#N/A</v>
      </c>
      <c r="NL24" s="86" t="e">
        <f t="shared" si="481"/>
        <v>#N/A</v>
      </c>
      <c r="NM24" s="86" t="e">
        <f t="shared" si="481"/>
        <v>#N/A</v>
      </c>
      <c r="NN24" s="87" t="e">
        <f t="shared" si="482"/>
        <v>#N/A</v>
      </c>
      <c r="NO24" s="86" t="e">
        <f>NM24*(1+Inputs!$B$10)</f>
        <v>#N/A</v>
      </c>
      <c r="NP24" s="86" t="e">
        <f t="shared" si="483"/>
        <v>#N/A</v>
      </c>
      <c r="NQ24" s="86" t="e">
        <f t="shared" si="483"/>
        <v>#N/A</v>
      </c>
      <c r="NR24" s="86" t="e">
        <f t="shared" si="483"/>
        <v>#N/A</v>
      </c>
      <c r="NS24" s="86" t="e">
        <f t="shared" si="483"/>
        <v>#N/A</v>
      </c>
      <c r="NT24" s="86" t="e">
        <f t="shared" si="483"/>
        <v>#N/A</v>
      </c>
      <c r="NU24" s="86" t="e">
        <f t="shared" si="483"/>
        <v>#N/A</v>
      </c>
      <c r="NV24" s="86" t="e">
        <f t="shared" si="483"/>
        <v>#N/A</v>
      </c>
      <c r="NW24" s="86" t="e">
        <f t="shared" si="483"/>
        <v>#N/A</v>
      </c>
      <c r="NX24" s="86" t="e">
        <f t="shared" si="483"/>
        <v>#N/A</v>
      </c>
      <c r="NY24" s="86" t="e">
        <f t="shared" si="483"/>
        <v>#N/A</v>
      </c>
      <c r="NZ24" s="86" t="e">
        <f t="shared" si="483"/>
        <v>#N/A</v>
      </c>
      <c r="OA24" s="87" t="e">
        <f t="shared" si="484"/>
        <v>#N/A</v>
      </c>
      <c r="OB24" s="86" t="e">
        <f>NZ24*(1+Inputs!$B$10)</f>
        <v>#N/A</v>
      </c>
      <c r="OC24" s="86" t="e">
        <f t="shared" si="485"/>
        <v>#N/A</v>
      </c>
      <c r="OD24" s="86" t="e">
        <f t="shared" si="485"/>
        <v>#N/A</v>
      </c>
      <c r="OE24" s="86" t="e">
        <f t="shared" si="485"/>
        <v>#N/A</v>
      </c>
      <c r="OF24" s="86" t="e">
        <f t="shared" si="485"/>
        <v>#N/A</v>
      </c>
      <c r="OG24" s="86" t="e">
        <f t="shared" si="485"/>
        <v>#N/A</v>
      </c>
      <c r="OH24" s="86" t="e">
        <f t="shared" si="485"/>
        <v>#N/A</v>
      </c>
      <c r="OI24" s="86" t="e">
        <f t="shared" si="485"/>
        <v>#N/A</v>
      </c>
      <c r="OJ24" s="86" t="e">
        <f t="shared" si="485"/>
        <v>#N/A</v>
      </c>
      <c r="OK24" s="86" t="e">
        <f t="shared" si="485"/>
        <v>#N/A</v>
      </c>
      <c r="OL24" s="86" t="e">
        <f t="shared" si="485"/>
        <v>#N/A</v>
      </c>
      <c r="OM24" s="86" t="e">
        <f t="shared" si="485"/>
        <v>#N/A</v>
      </c>
      <c r="ON24" s="87" t="e">
        <f t="shared" si="486"/>
        <v>#N/A</v>
      </c>
      <c r="OO24" s="86" t="e">
        <f>OM24*(1+Inputs!$B$10)</f>
        <v>#N/A</v>
      </c>
      <c r="OP24" s="86" t="e">
        <f t="shared" si="487"/>
        <v>#N/A</v>
      </c>
      <c r="OQ24" s="86" t="e">
        <f t="shared" si="487"/>
        <v>#N/A</v>
      </c>
      <c r="OR24" s="86" t="e">
        <f t="shared" si="487"/>
        <v>#N/A</v>
      </c>
      <c r="OS24" s="86" t="e">
        <f t="shared" si="487"/>
        <v>#N/A</v>
      </c>
      <c r="OT24" s="86" t="e">
        <f t="shared" si="487"/>
        <v>#N/A</v>
      </c>
      <c r="OU24" s="86" t="e">
        <f t="shared" si="487"/>
        <v>#N/A</v>
      </c>
      <c r="OV24" s="86" t="e">
        <f t="shared" si="487"/>
        <v>#N/A</v>
      </c>
      <c r="OW24" s="86" t="e">
        <f t="shared" si="487"/>
        <v>#N/A</v>
      </c>
      <c r="OX24" s="86" t="e">
        <f t="shared" si="487"/>
        <v>#N/A</v>
      </c>
      <c r="OY24" s="86" t="e">
        <f t="shared" si="487"/>
        <v>#N/A</v>
      </c>
      <c r="OZ24" s="86" t="e">
        <f t="shared" si="487"/>
        <v>#N/A</v>
      </c>
      <c r="PA24" s="87" t="e">
        <f t="shared" si="488"/>
        <v>#N/A</v>
      </c>
      <c r="PB24" s="86" t="e">
        <f>OZ24*(1+Inputs!$B$10)</f>
        <v>#N/A</v>
      </c>
      <c r="PC24" s="86" t="e">
        <f t="shared" si="489"/>
        <v>#N/A</v>
      </c>
      <c r="PD24" s="86" t="e">
        <f t="shared" si="489"/>
        <v>#N/A</v>
      </c>
      <c r="PE24" s="86" t="e">
        <f t="shared" si="489"/>
        <v>#N/A</v>
      </c>
      <c r="PF24" s="86" t="e">
        <f t="shared" si="489"/>
        <v>#N/A</v>
      </c>
      <c r="PG24" s="86" t="e">
        <f t="shared" si="489"/>
        <v>#N/A</v>
      </c>
      <c r="PH24" s="86" t="e">
        <f t="shared" si="489"/>
        <v>#N/A</v>
      </c>
      <c r="PI24" s="86" t="e">
        <f t="shared" si="489"/>
        <v>#N/A</v>
      </c>
      <c r="PJ24" s="86" t="e">
        <f t="shared" si="489"/>
        <v>#N/A</v>
      </c>
      <c r="PK24" s="86" t="e">
        <f t="shared" si="489"/>
        <v>#N/A</v>
      </c>
      <c r="PL24" s="86" t="e">
        <f t="shared" si="489"/>
        <v>#N/A</v>
      </c>
      <c r="PM24" s="86" t="e">
        <f t="shared" si="489"/>
        <v>#N/A</v>
      </c>
      <c r="PN24" s="87" t="e">
        <f t="shared" si="490"/>
        <v>#N/A</v>
      </c>
      <c r="PO24" s="86" t="e">
        <f>PM24*(1+Inputs!$B$10)</f>
        <v>#N/A</v>
      </c>
      <c r="PP24" s="86" t="e">
        <f t="shared" si="491"/>
        <v>#N/A</v>
      </c>
      <c r="PQ24" s="86" t="e">
        <f t="shared" si="491"/>
        <v>#N/A</v>
      </c>
      <c r="PR24" s="86" t="e">
        <f t="shared" si="491"/>
        <v>#N/A</v>
      </c>
      <c r="PS24" s="86" t="e">
        <f t="shared" si="491"/>
        <v>#N/A</v>
      </c>
      <c r="PT24" s="86" t="e">
        <f t="shared" si="491"/>
        <v>#N/A</v>
      </c>
      <c r="PU24" s="86" t="e">
        <f t="shared" si="491"/>
        <v>#N/A</v>
      </c>
      <c r="PV24" s="86" t="e">
        <f t="shared" si="491"/>
        <v>#N/A</v>
      </c>
      <c r="PW24" s="86" t="e">
        <f t="shared" si="491"/>
        <v>#N/A</v>
      </c>
      <c r="PX24" s="86" t="e">
        <f t="shared" si="491"/>
        <v>#N/A</v>
      </c>
      <c r="PY24" s="86" t="e">
        <f t="shared" si="491"/>
        <v>#N/A</v>
      </c>
      <c r="PZ24" s="86" t="e">
        <f t="shared" si="491"/>
        <v>#N/A</v>
      </c>
      <c r="QA24" s="87" t="e">
        <f t="shared" si="492"/>
        <v>#N/A</v>
      </c>
      <c r="QB24" s="86" t="e">
        <f>PZ24*(1+Inputs!$B$10)</f>
        <v>#N/A</v>
      </c>
      <c r="QC24" s="86" t="e">
        <f t="shared" si="493"/>
        <v>#N/A</v>
      </c>
      <c r="QD24" s="86" t="e">
        <f t="shared" si="493"/>
        <v>#N/A</v>
      </c>
      <c r="QE24" s="86" t="e">
        <f t="shared" si="493"/>
        <v>#N/A</v>
      </c>
      <c r="QF24" s="86" t="e">
        <f t="shared" si="493"/>
        <v>#N/A</v>
      </c>
      <c r="QG24" s="86" t="e">
        <f t="shared" si="493"/>
        <v>#N/A</v>
      </c>
      <c r="QH24" s="86" t="e">
        <f t="shared" si="493"/>
        <v>#N/A</v>
      </c>
      <c r="QI24" s="86" t="e">
        <f t="shared" si="493"/>
        <v>#N/A</v>
      </c>
      <c r="QJ24" s="86" t="e">
        <f t="shared" si="493"/>
        <v>#N/A</v>
      </c>
      <c r="QK24" s="86" t="e">
        <f t="shared" si="493"/>
        <v>#N/A</v>
      </c>
      <c r="QL24" s="86" t="e">
        <f t="shared" si="493"/>
        <v>#N/A</v>
      </c>
      <c r="QM24" s="86" t="e">
        <f t="shared" si="493"/>
        <v>#N/A</v>
      </c>
      <c r="QN24" s="87" t="e">
        <f t="shared" si="494"/>
        <v>#N/A</v>
      </c>
      <c r="QO24" s="86" t="e">
        <f>QM24*(1+Inputs!$B$10)</f>
        <v>#N/A</v>
      </c>
      <c r="QP24" s="86" t="e">
        <f t="shared" si="495"/>
        <v>#N/A</v>
      </c>
      <c r="QQ24" s="86" t="e">
        <f t="shared" si="495"/>
        <v>#N/A</v>
      </c>
      <c r="QR24" s="86" t="e">
        <f t="shared" si="495"/>
        <v>#N/A</v>
      </c>
      <c r="QS24" s="86" t="e">
        <f t="shared" si="495"/>
        <v>#N/A</v>
      </c>
      <c r="QT24" s="86" t="e">
        <f t="shared" si="495"/>
        <v>#N/A</v>
      </c>
      <c r="QU24" s="86" t="e">
        <f t="shared" si="495"/>
        <v>#N/A</v>
      </c>
      <c r="QV24" s="86" t="e">
        <f t="shared" si="495"/>
        <v>#N/A</v>
      </c>
      <c r="QW24" s="86" t="e">
        <f t="shared" si="495"/>
        <v>#N/A</v>
      </c>
      <c r="QX24" s="86" t="e">
        <f t="shared" si="495"/>
        <v>#N/A</v>
      </c>
      <c r="QY24" s="86" t="e">
        <f t="shared" si="495"/>
        <v>#N/A</v>
      </c>
      <c r="QZ24" s="86" t="e">
        <f t="shared" si="495"/>
        <v>#N/A</v>
      </c>
      <c r="RA24" s="87" t="e">
        <f t="shared" si="496"/>
        <v>#N/A</v>
      </c>
      <c r="RB24" s="86" t="e">
        <f>QZ24*(1+Inputs!$B$10)</f>
        <v>#N/A</v>
      </c>
      <c r="RC24" s="86" t="e">
        <f t="shared" si="497"/>
        <v>#N/A</v>
      </c>
      <c r="RD24" s="86" t="e">
        <f t="shared" si="497"/>
        <v>#N/A</v>
      </c>
      <c r="RE24" s="86" t="e">
        <f t="shared" si="497"/>
        <v>#N/A</v>
      </c>
      <c r="RF24" s="86" t="e">
        <f t="shared" si="497"/>
        <v>#N/A</v>
      </c>
      <c r="RG24" s="86" t="e">
        <f t="shared" si="497"/>
        <v>#N/A</v>
      </c>
      <c r="RH24" s="86" t="e">
        <f t="shared" si="497"/>
        <v>#N/A</v>
      </c>
      <c r="RI24" s="86" t="e">
        <f t="shared" si="497"/>
        <v>#N/A</v>
      </c>
      <c r="RJ24" s="86" t="e">
        <f t="shared" si="497"/>
        <v>#N/A</v>
      </c>
      <c r="RK24" s="86" t="e">
        <f t="shared" si="497"/>
        <v>#N/A</v>
      </c>
      <c r="RL24" s="86" t="e">
        <f t="shared" si="497"/>
        <v>#N/A</v>
      </c>
      <c r="RM24" s="86" t="e">
        <f t="shared" si="497"/>
        <v>#N/A</v>
      </c>
      <c r="RN24" s="87" t="e">
        <f t="shared" si="498"/>
        <v>#N/A</v>
      </c>
    </row>
    <row r="25" spans="1:482" hidden="1" outlineLevel="1" x14ac:dyDescent="0.3">
      <c r="A25" s="74" t="s">
        <v>247</v>
      </c>
      <c r="B25" s="90" t="e">
        <f>SUM(B20:B24)</f>
        <v>#N/A</v>
      </c>
      <c r="C25" s="90" t="e">
        <f t="shared" ref="C25:M25" si="499">SUM(C20:C24)</f>
        <v>#N/A</v>
      </c>
      <c r="D25" s="90" t="e">
        <f t="shared" si="499"/>
        <v>#N/A</v>
      </c>
      <c r="E25" s="90" t="e">
        <f t="shared" si="499"/>
        <v>#N/A</v>
      </c>
      <c r="F25" s="90" t="e">
        <f t="shared" si="499"/>
        <v>#N/A</v>
      </c>
      <c r="G25" s="90" t="e">
        <f t="shared" si="499"/>
        <v>#N/A</v>
      </c>
      <c r="H25" s="90" t="e">
        <f t="shared" si="499"/>
        <v>#N/A</v>
      </c>
      <c r="I25" s="90" t="e">
        <f t="shared" si="499"/>
        <v>#N/A</v>
      </c>
      <c r="J25" s="90" t="e">
        <f t="shared" si="499"/>
        <v>#N/A</v>
      </c>
      <c r="K25" s="90" t="e">
        <f t="shared" si="499"/>
        <v>#N/A</v>
      </c>
      <c r="L25" s="90" t="e">
        <f t="shared" si="499"/>
        <v>#N/A</v>
      </c>
      <c r="M25" s="90" t="e">
        <f t="shared" si="499"/>
        <v>#N/A</v>
      </c>
      <c r="N25" s="91" t="e">
        <f t="shared" si="353"/>
        <v>#N/A</v>
      </c>
      <c r="O25" s="90" t="e">
        <f t="shared" ref="O25:Z25" si="500">SUM(O20:O24)</f>
        <v>#N/A</v>
      </c>
      <c r="P25" s="90" t="e">
        <f t="shared" si="500"/>
        <v>#N/A</v>
      </c>
      <c r="Q25" s="90" t="e">
        <f t="shared" si="500"/>
        <v>#N/A</v>
      </c>
      <c r="R25" s="90" t="e">
        <f t="shared" si="500"/>
        <v>#N/A</v>
      </c>
      <c r="S25" s="90" t="e">
        <f t="shared" si="500"/>
        <v>#N/A</v>
      </c>
      <c r="T25" s="90" t="e">
        <f t="shared" si="500"/>
        <v>#N/A</v>
      </c>
      <c r="U25" s="90" t="e">
        <f t="shared" si="500"/>
        <v>#N/A</v>
      </c>
      <c r="V25" s="90" t="e">
        <f t="shared" si="500"/>
        <v>#N/A</v>
      </c>
      <c r="W25" s="90" t="e">
        <f t="shared" si="500"/>
        <v>#N/A</v>
      </c>
      <c r="X25" s="90" t="e">
        <f t="shared" si="500"/>
        <v>#N/A</v>
      </c>
      <c r="Y25" s="90" t="e">
        <f t="shared" si="500"/>
        <v>#N/A</v>
      </c>
      <c r="Z25" s="90" t="e">
        <f t="shared" si="500"/>
        <v>#N/A</v>
      </c>
      <c r="AA25" s="91" t="e">
        <f t="shared" si="354"/>
        <v>#N/A</v>
      </c>
      <c r="AB25" s="90" t="e">
        <f t="shared" ref="AB25:AM25" si="501">SUM(AB20:AB24)</f>
        <v>#N/A</v>
      </c>
      <c r="AC25" s="90" t="e">
        <f t="shared" si="501"/>
        <v>#N/A</v>
      </c>
      <c r="AD25" s="90" t="e">
        <f t="shared" si="501"/>
        <v>#N/A</v>
      </c>
      <c r="AE25" s="90" t="e">
        <f t="shared" si="501"/>
        <v>#N/A</v>
      </c>
      <c r="AF25" s="90" t="e">
        <f t="shared" si="501"/>
        <v>#N/A</v>
      </c>
      <c r="AG25" s="90" t="e">
        <f t="shared" si="501"/>
        <v>#N/A</v>
      </c>
      <c r="AH25" s="90" t="e">
        <f t="shared" si="501"/>
        <v>#N/A</v>
      </c>
      <c r="AI25" s="90" t="e">
        <f t="shared" si="501"/>
        <v>#N/A</v>
      </c>
      <c r="AJ25" s="90" t="e">
        <f t="shared" si="501"/>
        <v>#N/A</v>
      </c>
      <c r="AK25" s="90" t="e">
        <f t="shared" si="501"/>
        <v>#N/A</v>
      </c>
      <c r="AL25" s="90" t="e">
        <f t="shared" si="501"/>
        <v>#N/A</v>
      </c>
      <c r="AM25" s="90" t="e">
        <f t="shared" si="501"/>
        <v>#N/A</v>
      </c>
      <c r="AN25" s="91" t="e">
        <f t="shared" si="430"/>
        <v>#N/A</v>
      </c>
      <c r="AO25" s="90" t="e">
        <f t="shared" ref="AO25:AZ25" si="502">SUM(AO20:AO24)</f>
        <v>#N/A</v>
      </c>
      <c r="AP25" s="90" t="e">
        <f t="shared" si="502"/>
        <v>#N/A</v>
      </c>
      <c r="AQ25" s="90" t="e">
        <f t="shared" si="502"/>
        <v>#N/A</v>
      </c>
      <c r="AR25" s="90" t="e">
        <f t="shared" si="502"/>
        <v>#N/A</v>
      </c>
      <c r="AS25" s="90" t="e">
        <f t="shared" si="502"/>
        <v>#N/A</v>
      </c>
      <c r="AT25" s="90" t="e">
        <f t="shared" si="502"/>
        <v>#N/A</v>
      </c>
      <c r="AU25" s="90" t="e">
        <f t="shared" si="502"/>
        <v>#N/A</v>
      </c>
      <c r="AV25" s="90" t="e">
        <f t="shared" si="502"/>
        <v>#N/A</v>
      </c>
      <c r="AW25" s="90" t="e">
        <f t="shared" si="502"/>
        <v>#N/A</v>
      </c>
      <c r="AX25" s="90" t="e">
        <f t="shared" si="502"/>
        <v>#N/A</v>
      </c>
      <c r="AY25" s="90" t="e">
        <f t="shared" si="502"/>
        <v>#N/A</v>
      </c>
      <c r="AZ25" s="90" t="e">
        <f t="shared" si="502"/>
        <v>#N/A</v>
      </c>
      <c r="BA25" s="91" t="e">
        <f t="shared" si="432"/>
        <v>#N/A</v>
      </c>
      <c r="BB25" s="90" t="e">
        <f t="shared" ref="BB25:BM25" si="503">SUM(BB20:BB24)</f>
        <v>#N/A</v>
      </c>
      <c r="BC25" s="90" t="e">
        <f t="shared" si="503"/>
        <v>#N/A</v>
      </c>
      <c r="BD25" s="90" t="e">
        <f t="shared" si="503"/>
        <v>#N/A</v>
      </c>
      <c r="BE25" s="90" t="e">
        <f t="shared" si="503"/>
        <v>#N/A</v>
      </c>
      <c r="BF25" s="90" t="e">
        <f t="shared" si="503"/>
        <v>#N/A</v>
      </c>
      <c r="BG25" s="90" t="e">
        <f t="shared" si="503"/>
        <v>#N/A</v>
      </c>
      <c r="BH25" s="90" t="e">
        <f t="shared" si="503"/>
        <v>#N/A</v>
      </c>
      <c r="BI25" s="90" t="e">
        <f t="shared" si="503"/>
        <v>#N/A</v>
      </c>
      <c r="BJ25" s="90" t="e">
        <f t="shared" si="503"/>
        <v>#N/A</v>
      </c>
      <c r="BK25" s="90" t="e">
        <f t="shared" si="503"/>
        <v>#N/A</v>
      </c>
      <c r="BL25" s="90" t="e">
        <f t="shared" si="503"/>
        <v>#N/A</v>
      </c>
      <c r="BM25" s="90" t="e">
        <f t="shared" si="503"/>
        <v>#N/A</v>
      </c>
      <c r="BN25" s="91" t="e">
        <f t="shared" si="434"/>
        <v>#N/A</v>
      </c>
      <c r="BO25" s="90" t="e">
        <f t="shared" ref="BO25:BZ25" si="504">SUM(BO20:BO24)</f>
        <v>#N/A</v>
      </c>
      <c r="BP25" s="90" t="e">
        <f t="shared" si="504"/>
        <v>#N/A</v>
      </c>
      <c r="BQ25" s="90" t="e">
        <f t="shared" si="504"/>
        <v>#N/A</v>
      </c>
      <c r="BR25" s="90" t="e">
        <f t="shared" si="504"/>
        <v>#N/A</v>
      </c>
      <c r="BS25" s="90" t="e">
        <f t="shared" si="504"/>
        <v>#N/A</v>
      </c>
      <c r="BT25" s="90" t="e">
        <f t="shared" si="504"/>
        <v>#N/A</v>
      </c>
      <c r="BU25" s="90" t="e">
        <f t="shared" si="504"/>
        <v>#N/A</v>
      </c>
      <c r="BV25" s="90" t="e">
        <f t="shared" si="504"/>
        <v>#N/A</v>
      </c>
      <c r="BW25" s="90" t="e">
        <f t="shared" si="504"/>
        <v>#N/A</v>
      </c>
      <c r="BX25" s="90" t="e">
        <f t="shared" si="504"/>
        <v>#N/A</v>
      </c>
      <c r="BY25" s="90" t="e">
        <f t="shared" si="504"/>
        <v>#N/A</v>
      </c>
      <c r="BZ25" s="90" t="e">
        <f t="shared" si="504"/>
        <v>#N/A</v>
      </c>
      <c r="CA25" s="91" t="e">
        <f t="shared" si="436"/>
        <v>#N/A</v>
      </c>
      <c r="CB25" s="90" t="e">
        <f t="shared" ref="CB25:CM25" si="505">SUM(CB20:CB24)</f>
        <v>#N/A</v>
      </c>
      <c r="CC25" s="90" t="e">
        <f t="shared" si="505"/>
        <v>#N/A</v>
      </c>
      <c r="CD25" s="90" t="e">
        <f t="shared" si="505"/>
        <v>#N/A</v>
      </c>
      <c r="CE25" s="90" t="e">
        <f t="shared" si="505"/>
        <v>#N/A</v>
      </c>
      <c r="CF25" s="90" t="e">
        <f t="shared" si="505"/>
        <v>#N/A</v>
      </c>
      <c r="CG25" s="90" t="e">
        <f t="shared" si="505"/>
        <v>#N/A</v>
      </c>
      <c r="CH25" s="90" t="e">
        <f t="shared" si="505"/>
        <v>#N/A</v>
      </c>
      <c r="CI25" s="90" t="e">
        <f t="shared" si="505"/>
        <v>#N/A</v>
      </c>
      <c r="CJ25" s="90" t="e">
        <f t="shared" si="505"/>
        <v>#N/A</v>
      </c>
      <c r="CK25" s="90" t="e">
        <f t="shared" si="505"/>
        <v>#N/A</v>
      </c>
      <c r="CL25" s="90" t="e">
        <f t="shared" si="505"/>
        <v>#N/A</v>
      </c>
      <c r="CM25" s="90" t="e">
        <f t="shared" si="505"/>
        <v>#N/A</v>
      </c>
      <c r="CN25" s="91" t="e">
        <f t="shared" si="438"/>
        <v>#N/A</v>
      </c>
      <c r="CO25" s="90" t="e">
        <f t="shared" ref="CO25:CZ25" si="506">SUM(CO20:CO24)</f>
        <v>#N/A</v>
      </c>
      <c r="CP25" s="90" t="e">
        <f t="shared" si="506"/>
        <v>#N/A</v>
      </c>
      <c r="CQ25" s="90" t="e">
        <f t="shared" si="506"/>
        <v>#N/A</v>
      </c>
      <c r="CR25" s="90" t="e">
        <f t="shared" si="506"/>
        <v>#N/A</v>
      </c>
      <c r="CS25" s="90" t="e">
        <f t="shared" si="506"/>
        <v>#N/A</v>
      </c>
      <c r="CT25" s="90" t="e">
        <f t="shared" si="506"/>
        <v>#N/A</v>
      </c>
      <c r="CU25" s="90" t="e">
        <f t="shared" si="506"/>
        <v>#N/A</v>
      </c>
      <c r="CV25" s="90" t="e">
        <f t="shared" si="506"/>
        <v>#N/A</v>
      </c>
      <c r="CW25" s="90" t="e">
        <f t="shared" si="506"/>
        <v>#N/A</v>
      </c>
      <c r="CX25" s="90" t="e">
        <f t="shared" si="506"/>
        <v>#N/A</v>
      </c>
      <c r="CY25" s="90" t="e">
        <f t="shared" si="506"/>
        <v>#N/A</v>
      </c>
      <c r="CZ25" s="90" t="e">
        <f t="shared" si="506"/>
        <v>#N/A</v>
      </c>
      <c r="DA25" s="91" t="e">
        <f t="shared" si="440"/>
        <v>#N/A</v>
      </c>
      <c r="DB25" s="90" t="e">
        <f t="shared" ref="DB25:DM25" si="507">SUM(DB20:DB24)</f>
        <v>#N/A</v>
      </c>
      <c r="DC25" s="90" t="e">
        <f t="shared" si="507"/>
        <v>#N/A</v>
      </c>
      <c r="DD25" s="90" t="e">
        <f t="shared" si="507"/>
        <v>#N/A</v>
      </c>
      <c r="DE25" s="90" t="e">
        <f t="shared" si="507"/>
        <v>#N/A</v>
      </c>
      <c r="DF25" s="90" t="e">
        <f t="shared" si="507"/>
        <v>#N/A</v>
      </c>
      <c r="DG25" s="90" t="e">
        <f t="shared" si="507"/>
        <v>#N/A</v>
      </c>
      <c r="DH25" s="90" t="e">
        <f t="shared" si="507"/>
        <v>#N/A</v>
      </c>
      <c r="DI25" s="90" t="e">
        <f t="shared" si="507"/>
        <v>#N/A</v>
      </c>
      <c r="DJ25" s="90" t="e">
        <f t="shared" si="507"/>
        <v>#N/A</v>
      </c>
      <c r="DK25" s="90" t="e">
        <f t="shared" si="507"/>
        <v>#N/A</v>
      </c>
      <c r="DL25" s="90" t="e">
        <f t="shared" si="507"/>
        <v>#N/A</v>
      </c>
      <c r="DM25" s="90" t="e">
        <f t="shared" si="507"/>
        <v>#N/A</v>
      </c>
      <c r="DN25" s="91" t="e">
        <f t="shared" si="442"/>
        <v>#N/A</v>
      </c>
      <c r="DO25" s="90" t="e">
        <f t="shared" ref="DO25:DZ25" si="508">SUM(DO20:DO24)</f>
        <v>#N/A</v>
      </c>
      <c r="DP25" s="90" t="e">
        <f t="shared" si="508"/>
        <v>#N/A</v>
      </c>
      <c r="DQ25" s="90" t="e">
        <f t="shared" si="508"/>
        <v>#N/A</v>
      </c>
      <c r="DR25" s="90" t="e">
        <f t="shared" si="508"/>
        <v>#N/A</v>
      </c>
      <c r="DS25" s="90" t="e">
        <f t="shared" si="508"/>
        <v>#N/A</v>
      </c>
      <c r="DT25" s="90" t="e">
        <f t="shared" si="508"/>
        <v>#N/A</v>
      </c>
      <c r="DU25" s="90" t="e">
        <f t="shared" si="508"/>
        <v>#N/A</v>
      </c>
      <c r="DV25" s="90" t="e">
        <f t="shared" si="508"/>
        <v>#N/A</v>
      </c>
      <c r="DW25" s="90" t="e">
        <f t="shared" si="508"/>
        <v>#N/A</v>
      </c>
      <c r="DX25" s="90" t="e">
        <f t="shared" si="508"/>
        <v>#N/A</v>
      </c>
      <c r="DY25" s="90" t="e">
        <f t="shared" si="508"/>
        <v>#N/A</v>
      </c>
      <c r="DZ25" s="90" t="e">
        <f t="shared" si="508"/>
        <v>#N/A</v>
      </c>
      <c r="EA25" s="91" t="e">
        <f t="shared" si="444"/>
        <v>#N/A</v>
      </c>
      <c r="EB25" s="90" t="e">
        <f t="shared" ref="EB25:EM25" si="509">SUM(EB20:EB24)</f>
        <v>#N/A</v>
      </c>
      <c r="EC25" s="90" t="e">
        <f t="shared" si="509"/>
        <v>#N/A</v>
      </c>
      <c r="ED25" s="90" t="e">
        <f t="shared" si="509"/>
        <v>#N/A</v>
      </c>
      <c r="EE25" s="90" t="e">
        <f t="shared" si="509"/>
        <v>#N/A</v>
      </c>
      <c r="EF25" s="90" t="e">
        <f t="shared" si="509"/>
        <v>#N/A</v>
      </c>
      <c r="EG25" s="90" t="e">
        <f t="shared" si="509"/>
        <v>#N/A</v>
      </c>
      <c r="EH25" s="90" t="e">
        <f t="shared" si="509"/>
        <v>#N/A</v>
      </c>
      <c r="EI25" s="90" t="e">
        <f t="shared" si="509"/>
        <v>#N/A</v>
      </c>
      <c r="EJ25" s="90" t="e">
        <f t="shared" si="509"/>
        <v>#N/A</v>
      </c>
      <c r="EK25" s="90" t="e">
        <f t="shared" si="509"/>
        <v>#N/A</v>
      </c>
      <c r="EL25" s="90" t="e">
        <f t="shared" si="509"/>
        <v>#N/A</v>
      </c>
      <c r="EM25" s="90" t="e">
        <f t="shared" si="509"/>
        <v>#N/A</v>
      </c>
      <c r="EN25" s="91" t="e">
        <f t="shared" si="446"/>
        <v>#N/A</v>
      </c>
      <c r="EO25" s="90" t="e">
        <f t="shared" ref="EO25:EZ25" si="510">SUM(EO20:EO24)</f>
        <v>#N/A</v>
      </c>
      <c r="EP25" s="90" t="e">
        <f t="shared" si="510"/>
        <v>#N/A</v>
      </c>
      <c r="EQ25" s="90" t="e">
        <f t="shared" si="510"/>
        <v>#N/A</v>
      </c>
      <c r="ER25" s="90" t="e">
        <f t="shared" si="510"/>
        <v>#N/A</v>
      </c>
      <c r="ES25" s="90" t="e">
        <f t="shared" si="510"/>
        <v>#N/A</v>
      </c>
      <c r="ET25" s="90" t="e">
        <f t="shared" si="510"/>
        <v>#N/A</v>
      </c>
      <c r="EU25" s="90" t="e">
        <f t="shared" si="510"/>
        <v>#N/A</v>
      </c>
      <c r="EV25" s="90" t="e">
        <f t="shared" si="510"/>
        <v>#N/A</v>
      </c>
      <c r="EW25" s="90" t="e">
        <f t="shared" si="510"/>
        <v>#N/A</v>
      </c>
      <c r="EX25" s="90" t="e">
        <f t="shared" si="510"/>
        <v>#N/A</v>
      </c>
      <c r="EY25" s="90" t="e">
        <f t="shared" si="510"/>
        <v>#N/A</v>
      </c>
      <c r="EZ25" s="90" t="e">
        <f t="shared" si="510"/>
        <v>#N/A</v>
      </c>
      <c r="FA25" s="91" t="e">
        <f t="shared" si="448"/>
        <v>#N/A</v>
      </c>
      <c r="FB25" s="90" t="e">
        <f t="shared" ref="FB25:FM25" si="511">SUM(FB20:FB24)</f>
        <v>#N/A</v>
      </c>
      <c r="FC25" s="90" t="e">
        <f t="shared" si="511"/>
        <v>#N/A</v>
      </c>
      <c r="FD25" s="90" t="e">
        <f t="shared" si="511"/>
        <v>#N/A</v>
      </c>
      <c r="FE25" s="90" t="e">
        <f t="shared" si="511"/>
        <v>#N/A</v>
      </c>
      <c r="FF25" s="90" t="e">
        <f t="shared" si="511"/>
        <v>#N/A</v>
      </c>
      <c r="FG25" s="90" t="e">
        <f t="shared" si="511"/>
        <v>#N/A</v>
      </c>
      <c r="FH25" s="90" t="e">
        <f t="shared" si="511"/>
        <v>#N/A</v>
      </c>
      <c r="FI25" s="90" t="e">
        <f t="shared" si="511"/>
        <v>#N/A</v>
      </c>
      <c r="FJ25" s="90" t="e">
        <f t="shared" si="511"/>
        <v>#N/A</v>
      </c>
      <c r="FK25" s="90" t="e">
        <f t="shared" si="511"/>
        <v>#N/A</v>
      </c>
      <c r="FL25" s="90" t="e">
        <f t="shared" si="511"/>
        <v>#N/A</v>
      </c>
      <c r="FM25" s="90" t="e">
        <f t="shared" si="511"/>
        <v>#N/A</v>
      </c>
      <c r="FN25" s="91" t="e">
        <f t="shared" si="450"/>
        <v>#N/A</v>
      </c>
      <c r="FO25" s="90" t="e">
        <f t="shared" ref="FO25:FZ25" si="512">SUM(FO20:FO24)</f>
        <v>#N/A</v>
      </c>
      <c r="FP25" s="90" t="e">
        <f t="shared" si="512"/>
        <v>#N/A</v>
      </c>
      <c r="FQ25" s="90" t="e">
        <f t="shared" si="512"/>
        <v>#N/A</v>
      </c>
      <c r="FR25" s="90" t="e">
        <f t="shared" si="512"/>
        <v>#N/A</v>
      </c>
      <c r="FS25" s="90" t="e">
        <f t="shared" si="512"/>
        <v>#N/A</v>
      </c>
      <c r="FT25" s="90" t="e">
        <f t="shared" si="512"/>
        <v>#N/A</v>
      </c>
      <c r="FU25" s="90" t="e">
        <f t="shared" si="512"/>
        <v>#N/A</v>
      </c>
      <c r="FV25" s="90" t="e">
        <f t="shared" si="512"/>
        <v>#N/A</v>
      </c>
      <c r="FW25" s="90" t="e">
        <f t="shared" si="512"/>
        <v>#N/A</v>
      </c>
      <c r="FX25" s="90" t="e">
        <f t="shared" si="512"/>
        <v>#N/A</v>
      </c>
      <c r="FY25" s="90" t="e">
        <f t="shared" si="512"/>
        <v>#N/A</v>
      </c>
      <c r="FZ25" s="90" t="e">
        <f t="shared" si="512"/>
        <v>#N/A</v>
      </c>
      <c r="GA25" s="91" t="e">
        <f t="shared" si="452"/>
        <v>#N/A</v>
      </c>
      <c r="GB25" s="90" t="e">
        <f t="shared" ref="GB25:GM25" si="513">SUM(GB20:GB24)</f>
        <v>#N/A</v>
      </c>
      <c r="GC25" s="90" t="e">
        <f t="shared" si="513"/>
        <v>#N/A</v>
      </c>
      <c r="GD25" s="90" t="e">
        <f t="shared" si="513"/>
        <v>#N/A</v>
      </c>
      <c r="GE25" s="90" t="e">
        <f t="shared" si="513"/>
        <v>#N/A</v>
      </c>
      <c r="GF25" s="90" t="e">
        <f t="shared" si="513"/>
        <v>#N/A</v>
      </c>
      <c r="GG25" s="90" t="e">
        <f t="shared" si="513"/>
        <v>#N/A</v>
      </c>
      <c r="GH25" s="90" t="e">
        <f t="shared" si="513"/>
        <v>#N/A</v>
      </c>
      <c r="GI25" s="90" t="e">
        <f t="shared" si="513"/>
        <v>#N/A</v>
      </c>
      <c r="GJ25" s="90" t="e">
        <f t="shared" si="513"/>
        <v>#N/A</v>
      </c>
      <c r="GK25" s="90" t="e">
        <f t="shared" si="513"/>
        <v>#N/A</v>
      </c>
      <c r="GL25" s="90" t="e">
        <f t="shared" si="513"/>
        <v>#N/A</v>
      </c>
      <c r="GM25" s="90" t="e">
        <f t="shared" si="513"/>
        <v>#N/A</v>
      </c>
      <c r="GN25" s="91" t="e">
        <f t="shared" si="454"/>
        <v>#N/A</v>
      </c>
      <c r="GO25" s="90" t="e">
        <f t="shared" ref="GO25:GZ25" si="514">SUM(GO20:GO24)</f>
        <v>#N/A</v>
      </c>
      <c r="GP25" s="90" t="e">
        <f t="shared" si="514"/>
        <v>#N/A</v>
      </c>
      <c r="GQ25" s="90" t="e">
        <f t="shared" si="514"/>
        <v>#N/A</v>
      </c>
      <c r="GR25" s="90" t="e">
        <f t="shared" si="514"/>
        <v>#N/A</v>
      </c>
      <c r="GS25" s="90" t="e">
        <f t="shared" si="514"/>
        <v>#N/A</v>
      </c>
      <c r="GT25" s="90" t="e">
        <f t="shared" si="514"/>
        <v>#N/A</v>
      </c>
      <c r="GU25" s="90" t="e">
        <f t="shared" si="514"/>
        <v>#N/A</v>
      </c>
      <c r="GV25" s="90" t="e">
        <f t="shared" si="514"/>
        <v>#N/A</v>
      </c>
      <c r="GW25" s="90" t="e">
        <f t="shared" si="514"/>
        <v>#N/A</v>
      </c>
      <c r="GX25" s="90" t="e">
        <f t="shared" si="514"/>
        <v>#N/A</v>
      </c>
      <c r="GY25" s="90" t="e">
        <f t="shared" si="514"/>
        <v>#N/A</v>
      </c>
      <c r="GZ25" s="90" t="e">
        <f t="shared" si="514"/>
        <v>#N/A</v>
      </c>
      <c r="HA25" s="91" t="e">
        <f t="shared" si="456"/>
        <v>#N/A</v>
      </c>
      <c r="HB25" s="90" t="e">
        <f t="shared" ref="HB25:HM25" si="515">SUM(HB20:HB24)</f>
        <v>#N/A</v>
      </c>
      <c r="HC25" s="90" t="e">
        <f t="shared" si="515"/>
        <v>#N/A</v>
      </c>
      <c r="HD25" s="90" t="e">
        <f t="shared" si="515"/>
        <v>#N/A</v>
      </c>
      <c r="HE25" s="90" t="e">
        <f t="shared" si="515"/>
        <v>#N/A</v>
      </c>
      <c r="HF25" s="90" t="e">
        <f t="shared" si="515"/>
        <v>#N/A</v>
      </c>
      <c r="HG25" s="90" t="e">
        <f t="shared" si="515"/>
        <v>#N/A</v>
      </c>
      <c r="HH25" s="90" t="e">
        <f t="shared" si="515"/>
        <v>#N/A</v>
      </c>
      <c r="HI25" s="90" t="e">
        <f t="shared" si="515"/>
        <v>#N/A</v>
      </c>
      <c r="HJ25" s="90" t="e">
        <f t="shared" si="515"/>
        <v>#N/A</v>
      </c>
      <c r="HK25" s="90" t="e">
        <f t="shared" si="515"/>
        <v>#N/A</v>
      </c>
      <c r="HL25" s="90" t="e">
        <f t="shared" si="515"/>
        <v>#N/A</v>
      </c>
      <c r="HM25" s="90" t="e">
        <f t="shared" si="515"/>
        <v>#N/A</v>
      </c>
      <c r="HN25" s="91" t="e">
        <f t="shared" si="458"/>
        <v>#N/A</v>
      </c>
      <c r="HO25" s="90" t="e">
        <f t="shared" ref="HO25:HZ25" si="516">SUM(HO20:HO24)</f>
        <v>#N/A</v>
      </c>
      <c r="HP25" s="90" t="e">
        <f t="shared" si="516"/>
        <v>#N/A</v>
      </c>
      <c r="HQ25" s="90" t="e">
        <f t="shared" si="516"/>
        <v>#N/A</v>
      </c>
      <c r="HR25" s="90" t="e">
        <f t="shared" si="516"/>
        <v>#N/A</v>
      </c>
      <c r="HS25" s="90" t="e">
        <f t="shared" si="516"/>
        <v>#N/A</v>
      </c>
      <c r="HT25" s="90" t="e">
        <f t="shared" si="516"/>
        <v>#N/A</v>
      </c>
      <c r="HU25" s="90" t="e">
        <f t="shared" si="516"/>
        <v>#N/A</v>
      </c>
      <c r="HV25" s="90" t="e">
        <f t="shared" si="516"/>
        <v>#N/A</v>
      </c>
      <c r="HW25" s="90" t="e">
        <f t="shared" si="516"/>
        <v>#N/A</v>
      </c>
      <c r="HX25" s="90" t="e">
        <f t="shared" si="516"/>
        <v>#N/A</v>
      </c>
      <c r="HY25" s="90" t="e">
        <f t="shared" si="516"/>
        <v>#N/A</v>
      </c>
      <c r="HZ25" s="90" t="e">
        <f t="shared" si="516"/>
        <v>#N/A</v>
      </c>
      <c r="IA25" s="91" t="e">
        <f t="shared" si="460"/>
        <v>#N/A</v>
      </c>
      <c r="IB25" s="90" t="e">
        <f t="shared" ref="IB25:IM25" si="517">SUM(IB20:IB24)</f>
        <v>#N/A</v>
      </c>
      <c r="IC25" s="90" t="e">
        <f t="shared" si="517"/>
        <v>#N/A</v>
      </c>
      <c r="ID25" s="90" t="e">
        <f t="shared" si="517"/>
        <v>#N/A</v>
      </c>
      <c r="IE25" s="90" t="e">
        <f t="shared" si="517"/>
        <v>#N/A</v>
      </c>
      <c r="IF25" s="90" t="e">
        <f t="shared" si="517"/>
        <v>#N/A</v>
      </c>
      <c r="IG25" s="90" t="e">
        <f t="shared" si="517"/>
        <v>#N/A</v>
      </c>
      <c r="IH25" s="90" t="e">
        <f t="shared" si="517"/>
        <v>#N/A</v>
      </c>
      <c r="II25" s="90" t="e">
        <f t="shared" si="517"/>
        <v>#N/A</v>
      </c>
      <c r="IJ25" s="90" t="e">
        <f t="shared" si="517"/>
        <v>#N/A</v>
      </c>
      <c r="IK25" s="90" t="e">
        <f t="shared" si="517"/>
        <v>#N/A</v>
      </c>
      <c r="IL25" s="90" t="e">
        <f t="shared" si="517"/>
        <v>#N/A</v>
      </c>
      <c r="IM25" s="90" t="e">
        <f t="shared" si="517"/>
        <v>#N/A</v>
      </c>
      <c r="IN25" s="91" t="e">
        <f t="shared" si="462"/>
        <v>#N/A</v>
      </c>
      <c r="IO25" s="90" t="e">
        <f t="shared" ref="IO25:IZ25" si="518">SUM(IO20:IO24)</f>
        <v>#N/A</v>
      </c>
      <c r="IP25" s="90" t="e">
        <f t="shared" si="518"/>
        <v>#N/A</v>
      </c>
      <c r="IQ25" s="90" t="e">
        <f t="shared" si="518"/>
        <v>#N/A</v>
      </c>
      <c r="IR25" s="90" t="e">
        <f t="shared" si="518"/>
        <v>#N/A</v>
      </c>
      <c r="IS25" s="90" t="e">
        <f t="shared" si="518"/>
        <v>#N/A</v>
      </c>
      <c r="IT25" s="90" t="e">
        <f t="shared" si="518"/>
        <v>#N/A</v>
      </c>
      <c r="IU25" s="90" t="e">
        <f t="shared" si="518"/>
        <v>#N/A</v>
      </c>
      <c r="IV25" s="90" t="e">
        <f t="shared" si="518"/>
        <v>#N/A</v>
      </c>
      <c r="IW25" s="90" t="e">
        <f t="shared" si="518"/>
        <v>#N/A</v>
      </c>
      <c r="IX25" s="90" t="e">
        <f t="shared" si="518"/>
        <v>#N/A</v>
      </c>
      <c r="IY25" s="90" t="e">
        <f t="shared" si="518"/>
        <v>#N/A</v>
      </c>
      <c r="IZ25" s="90" t="e">
        <f t="shared" si="518"/>
        <v>#N/A</v>
      </c>
      <c r="JA25" s="91" t="e">
        <f t="shared" si="464"/>
        <v>#N/A</v>
      </c>
      <c r="JB25" s="90" t="e">
        <f t="shared" ref="JB25:JM25" si="519">SUM(JB20:JB24)</f>
        <v>#N/A</v>
      </c>
      <c r="JC25" s="90" t="e">
        <f t="shared" si="519"/>
        <v>#N/A</v>
      </c>
      <c r="JD25" s="90" t="e">
        <f t="shared" si="519"/>
        <v>#N/A</v>
      </c>
      <c r="JE25" s="90" t="e">
        <f t="shared" si="519"/>
        <v>#N/A</v>
      </c>
      <c r="JF25" s="90" t="e">
        <f t="shared" si="519"/>
        <v>#N/A</v>
      </c>
      <c r="JG25" s="90" t="e">
        <f t="shared" si="519"/>
        <v>#N/A</v>
      </c>
      <c r="JH25" s="90" t="e">
        <f t="shared" si="519"/>
        <v>#N/A</v>
      </c>
      <c r="JI25" s="90" t="e">
        <f t="shared" si="519"/>
        <v>#N/A</v>
      </c>
      <c r="JJ25" s="90" t="e">
        <f t="shared" si="519"/>
        <v>#N/A</v>
      </c>
      <c r="JK25" s="90" t="e">
        <f t="shared" si="519"/>
        <v>#N/A</v>
      </c>
      <c r="JL25" s="90" t="e">
        <f t="shared" si="519"/>
        <v>#N/A</v>
      </c>
      <c r="JM25" s="90" t="e">
        <f t="shared" si="519"/>
        <v>#N/A</v>
      </c>
      <c r="JN25" s="91" t="e">
        <f t="shared" si="466"/>
        <v>#N/A</v>
      </c>
      <c r="JO25" s="90" t="e">
        <f t="shared" ref="JO25:JZ25" si="520">SUM(JO20:JO24)</f>
        <v>#N/A</v>
      </c>
      <c r="JP25" s="90" t="e">
        <f t="shared" si="520"/>
        <v>#N/A</v>
      </c>
      <c r="JQ25" s="90" t="e">
        <f t="shared" si="520"/>
        <v>#N/A</v>
      </c>
      <c r="JR25" s="90" t="e">
        <f t="shared" si="520"/>
        <v>#N/A</v>
      </c>
      <c r="JS25" s="90" t="e">
        <f t="shared" si="520"/>
        <v>#N/A</v>
      </c>
      <c r="JT25" s="90" t="e">
        <f t="shared" si="520"/>
        <v>#N/A</v>
      </c>
      <c r="JU25" s="90" t="e">
        <f t="shared" si="520"/>
        <v>#N/A</v>
      </c>
      <c r="JV25" s="90" t="e">
        <f t="shared" si="520"/>
        <v>#N/A</v>
      </c>
      <c r="JW25" s="90" t="e">
        <f t="shared" si="520"/>
        <v>#N/A</v>
      </c>
      <c r="JX25" s="90" t="e">
        <f t="shared" si="520"/>
        <v>#N/A</v>
      </c>
      <c r="JY25" s="90" t="e">
        <f t="shared" si="520"/>
        <v>#N/A</v>
      </c>
      <c r="JZ25" s="90" t="e">
        <f t="shared" si="520"/>
        <v>#N/A</v>
      </c>
      <c r="KA25" s="91" t="e">
        <f t="shared" si="468"/>
        <v>#N/A</v>
      </c>
      <c r="KB25" s="90" t="e">
        <f t="shared" ref="KB25:KM25" si="521">SUM(KB20:KB24)</f>
        <v>#N/A</v>
      </c>
      <c r="KC25" s="90" t="e">
        <f t="shared" si="521"/>
        <v>#N/A</v>
      </c>
      <c r="KD25" s="90" t="e">
        <f t="shared" si="521"/>
        <v>#N/A</v>
      </c>
      <c r="KE25" s="90" t="e">
        <f t="shared" si="521"/>
        <v>#N/A</v>
      </c>
      <c r="KF25" s="90" t="e">
        <f t="shared" si="521"/>
        <v>#N/A</v>
      </c>
      <c r="KG25" s="90" t="e">
        <f t="shared" si="521"/>
        <v>#N/A</v>
      </c>
      <c r="KH25" s="90" t="e">
        <f t="shared" si="521"/>
        <v>#N/A</v>
      </c>
      <c r="KI25" s="90" t="e">
        <f t="shared" si="521"/>
        <v>#N/A</v>
      </c>
      <c r="KJ25" s="90" t="e">
        <f t="shared" si="521"/>
        <v>#N/A</v>
      </c>
      <c r="KK25" s="90" t="e">
        <f t="shared" si="521"/>
        <v>#N/A</v>
      </c>
      <c r="KL25" s="90" t="e">
        <f t="shared" si="521"/>
        <v>#N/A</v>
      </c>
      <c r="KM25" s="90" t="e">
        <f t="shared" si="521"/>
        <v>#N/A</v>
      </c>
      <c r="KN25" s="91" t="e">
        <f t="shared" si="470"/>
        <v>#N/A</v>
      </c>
      <c r="KO25" s="90" t="e">
        <f t="shared" ref="KO25:KZ25" si="522">SUM(KO20:KO24)</f>
        <v>#N/A</v>
      </c>
      <c r="KP25" s="90" t="e">
        <f t="shared" si="522"/>
        <v>#N/A</v>
      </c>
      <c r="KQ25" s="90" t="e">
        <f t="shared" si="522"/>
        <v>#N/A</v>
      </c>
      <c r="KR25" s="90" t="e">
        <f t="shared" si="522"/>
        <v>#N/A</v>
      </c>
      <c r="KS25" s="90" t="e">
        <f t="shared" si="522"/>
        <v>#N/A</v>
      </c>
      <c r="KT25" s="90" t="e">
        <f t="shared" si="522"/>
        <v>#N/A</v>
      </c>
      <c r="KU25" s="90" t="e">
        <f t="shared" si="522"/>
        <v>#N/A</v>
      </c>
      <c r="KV25" s="90" t="e">
        <f t="shared" si="522"/>
        <v>#N/A</v>
      </c>
      <c r="KW25" s="90" t="e">
        <f t="shared" si="522"/>
        <v>#N/A</v>
      </c>
      <c r="KX25" s="90" t="e">
        <f t="shared" si="522"/>
        <v>#N/A</v>
      </c>
      <c r="KY25" s="90" t="e">
        <f t="shared" si="522"/>
        <v>#N/A</v>
      </c>
      <c r="KZ25" s="90" t="e">
        <f t="shared" si="522"/>
        <v>#N/A</v>
      </c>
      <c r="LA25" s="91" t="e">
        <f t="shared" si="472"/>
        <v>#N/A</v>
      </c>
      <c r="LB25" s="90" t="e">
        <f t="shared" ref="LB25:LM25" si="523">SUM(LB20:LB24)</f>
        <v>#N/A</v>
      </c>
      <c r="LC25" s="90" t="e">
        <f t="shared" si="523"/>
        <v>#N/A</v>
      </c>
      <c r="LD25" s="90" t="e">
        <f t="shared" si="523"/>
        <v>#N/A</v>
      </c>
      <c r="LE25" s="90" t="e">
        <f t="shared" si="523"/>
        <v>#N/A</v>
      </c>
      <c r="LF25" s="90" t="e">
        <f t="shared" si="523"/>
        <v>#N/A</v>
      </c>
      <c r="LG25" s="90" t="e">
        <f t="shared" si="523"/>
        <v>#N/A</v>
      </c>
      <c r="LH25" s="90" t="e">
        <f t="shared" si="523"/>
        <v>#N/A</v>
      </c>
      <c r="LI25" s="90" t="e">
        <f t="shared" si="523"/>
        <v>#N/A</v>
      </c>
      <c r="LJ25" s="90" t="e">
        <f t="shared" si="523"/>
        <v>#N/A</v>
      </c>
      <c r="LK25" s="90" t="e">
        <f t="shared" si="523"/>
        <v>#N/A</v>
      </c>
      <c r="LL25" s="90" t="e">
        <f t="shared" si="523"/>
        <v>#N/A</v>
      </c>
      <c r="LM25" s="90" t="e">
        <f t="shared" si="523"/>
        <v>#N/A</v>
      </c>
      <c r="LN25" s="91" t="e">
        <f t="shared" si="474"/>
        <v>#N/A</v>
      </c>
      <c r="LO25" s="90" t="e">
        <f t="shared" ref="LO25:LZ25" si="524">SUM(LO20:LO24)</f>
        <v>#N/A</v>
      </c>
      <c r="LP25" s="90" t="e">
        <f t="shared" si="524"/>
        <v>#N/A</v>
      </c>
      <c r="LQ25" s="90" t="e">
        <f t="shared" si="524"/>
        <v>#N/A</v>
      </c>
      <c r="LR25" s="90" t="e">
        <f t="shared" si="524"/>
        <v>#N/A</v>
      </c>
      <c r="LS25" s="90" t="e">
        <f t="shared" si="524"/>
        <v>#N/A</v>
      </c>
      <c r="LT25" s="90" t="e">
        <f t="shared" si="524"/>
        <v>#N/A</v>
      </c>
      <c r="LU25" s="90" t="e">
        <f t="shared" si="524"/>
        <v>#N/A</v>
      </c>
      <c r="LV25" s="90" t="e">
        <f t="shared" si="524"/>
        <v>#N/A</v>
      </c>
      <c r="LW25" s="90" t="e">
        <f t="shared" si="524"/>
        <v>#N/A</v>
      </c>
      <c r="LX25" s="90" t="e">
        <f t="shared" si="524"/>
        <v>#N/A</v>
      </c>
      <c r="LY25" s="90" t="e">
        <f t="shared" si="524"/>
        <v>#N/A</v>
      </c>
      <c r="LZ25" s="90" t="e">
        <f t="shared" si="524"/>
        <v>#N/A</v>
      </c>
      <c r="MA25" s="91" t="e">
        <f t="shared" si="476"/>
        <v>#N/A</v>
      </c>
      <c r="MB25" s="90" t="e">
        <f t="shared" ref="MB25:MM25" si="525">SUM(MB20:MB24)</f>
        <v>#N/A</v>
      </c>
      <c r="MC25" s="90" t="e">
        <f t="shared" si="525"/>
        <v>#N/A</v>
      </c>
      <c r="MD25" s="90" t="e">
        <f t="shared" si="525"/>
        <v>#N/A</v>
      </c>
      <c r="ME25" s="90" t="e">
        <f t="shared" si="525"/>
        <v>#N/A</v>
      </c>
      <c r="MF25" s="90" t="e">
        <f t="shared" si="525"/>
        <v>#N/A</v>
      </c>
      <c r="MG25" s="90" t="e">
        <f t="shared" si="525"/>
        <v>#N/A</v>
      </c>
      <c r="MH25" s="90" t="e">
        <f t="shared" si="525"/>
        <v>#N/A</v>
      </c>
      <c r="MI25" s="90" t="e">
        <f t="shared" si="525"/>
        <v>#N/A</v>
      </c>
      <c r="MJ25" s="90" t="e">
        <f t="shared" si="525"/>
        <v>#N/A</v>
      </c>
      <c r="MK25" s="90" t="e">
        <f t="shared" si="525"/>
        <v>#N/A</v>
      </c>
      <c r="ML25" s="90" t="e">
        <f t="shared" si="525"/>
        <v>#N/A</v>
      </c>
      <c r="MM25" s="90" t="e">
        <f t="shared" si="525"/>
        <v>#N/A</v>
      </c>
      <c r="MN25" s="91" t="e">
        <f t="shared" si="478"/>
        <v>#N/A</v>
      </c>
      <c r="MO25" s="90" t="e">
        <f t="shared" ref="MO25:MZ25" si="526">SUM(MO20:MO24)</f>
        <v>#N/A</v>
      </c>
      <c r="MP25" s="90" t="e">
        <f t="shared" si="526"/>
        <v>#N/A</v>
      </c>
      <c r="MQ25" s="90" t="e">
        <f t="shared" si="526"/>
        <v>#N/A</v>
      </c>
      <c r="MR25" s="90" t="e">
        <f t="shared" si="526"/>
        <v>#N/A</v>
      </c>
      <c r="MS25" s="90" t="e">
        <f t="shared" si="526"/>
        <v>#N/A</v>
      </c>
      <c r="MT25" s="90" t="e">
        <f t="shared" si="526"/>
        <v>#N/A</v>
      </c>
      <c r="MU25" s="90" t="e">
        <f t="shared" si="526"/>
        <v>#N/A</v>
      </c>
      <c r="MV25" s="90" t="e">
        <f t="shared" si="526"/>
        <v>#N/A</v>
      </c>
      <c r="MW25" s="90" t="e">
        <f t="shared" si="526"/>
        <v>#N/A</v>
      </c>
      <c r="MX25" s="90" t="e">
        <f t="shared" si="526"/>
        <v>#N/A</v>
      </c>
      <c r="MY25" s="90" t="e">
        <f t="shared" si="526"/>
        <v>#N/A</v>
      </c>
      <c r="MZ25" s="90" t="e">
        <f t="shared" si="526"/>
        <v>#N/A</v>
      </c>
      <c r="NA25" s="91" t="e">
        <f t="shared" si="480"/>
        <v>#N/A</v>
      </c>
      <c r="NB25" s="90" t="e">
        <f t="shared" ref="NB25:NM25" si="527">SUM(NB20:NB24)</f>
        <v>#N/A</v>
      </c>
      <c r="NC25" s="90" t="e">
        <f t="shared" si="527"/>
        <v>#N/A</v>
      </c>
      <c r="ND25" s="90" t="e">
        <f t="shared" si="527"/>
        <v>#N/A</v>
      </c>
      <c r="NE25" s="90" t="e">
        <f t="shared" si="527"/>
        <v>#N/A</v>
      </c>
      <c r="NF25" s="90" t="e">
        <f t="shared" si="527"/>
        <v>#N/A</v>
      </c>
      <c r="NG25" s="90" t="e">
        <f t="shared" si="527"/>
        <v>#N/A</v>
      </c>
      <c r="NH25" s="90" t="e">
        <f t="shared" si="527"/>
        <v>#N/A</v>
      </c>
      <c r="NI25" s="90" t="e">
        <f t="shared" si="527"/>
        <v>#N/A</v>
      </c>
      <c r="NJ25" s="90" t="e">
        <f t="shared" si="527"/>
        <v>#N/A</v>
      </c>
      <c r="NK25" s="90" t="e">
        <f t="shared" si="527"/>
        <v>#N/A</v>
      </c>
      <c r="NL25" s="90" t="e">
        <f t="shared" si="527"/>
        <v>#N/A</v>
      </c>
      <c r="NM25" s="90" t="e">
        <f t="shared" si="527"/>
        <v>#N/A</v>
      </c>
      <c r="NN25" s="91" t="e">
        <f t="shared" si="482"/>
        <v>#N/A</v>
      </c>
      <c r="NO25" s="90" t="e">
        <f t="shared" ref="NO25:NZ25" si="528">SUM(NO20:NO24)</f>
        <v>#N/A</v>
      </c>
      <c r="NP25" s="90" t="e">
        <f t="shared" si="528"/>
        <v>#N/A</v>
      </c>
      <c r="NQ25" s="90" t="e">
        <f t="shared" si="528"/>
        <v>#N/A</v>
      </c>
      <c r="NR25" s="90" t="e">
        <f t="shared" si="528"/>
        <v>#N/A</v>
      </c>
      <c r="NS25" s="90" t="e">
        <f t="shared" si="528"/>
        <v>#N/A</v>
      </c>
      <c r="NT25" s="90" t="e">
        <f t="shared" si="528"/>
        <v>#N/A</v>
      </c>
      <c r="NU25" s="90" t="e">
        <f t="shared" si="528"/>
        <v>#N/A</v>
      </c>
      <c r="NV25" s="90" t="e">
        <f t="shared" si="528"/>
        <v>#N/A</v>
      </c>
      <c r="NW25" s="90" t="e">
        <f t="shared" si="528"/>
        <v>#N/A</v>
      </c>
      <c r="NX25" s="90" t="e">
        <f t="shared" si="528"/>
        <v>#N/A</v>
      </c>
      <c r="NY25" s="90" t="e">
        <f t="shared" si="528"/>
        <v>#N/A</v>
      </c>
      <c r="NZ25" s="90" t="e">
        <f t="shared" si="528"/>
        <v>#N/A</v>
      </c>
      <c r="OA25" s="91" t="e">
        <f t="shared" si="484"/>
        <v>#N/A</v>
      </c>
      <c r="OB25" s="90" t="e">
        <f t="shared" ref="OB25:OM25" si="529">SUM(OB20:OB24)</f>
        <v>#N/A</v>
      </c>
      <c r="OC25" s="90" t="e">
        <f t="shared" si="529"/>
        <v>#N/A</v>
      </c>
      <c r="OD25" s="90" t="e">
        <f t="shared" si="529"/>
        <v>#N/A</v>
      </c>
      <c r="OE25" s="90" t="e">
        <f t="shared" si="529"/>
        <v>#N/A</v>
      </c>
      <c r="OF25" s="90" t="e">
        <f t="shared" si="529"/>
        <v>#N/A</v>
      </c>
      <c r="OG25" s="90" t="e">
        <f t="shared" si="529"/>
        <v>#N/A</v>
      </c>
      <c r="OH25" s="90" t="e">
        <f t="shared" si="529"/>
        <v>#N/A</v>
      </c>
      <c r="OI25" s="90" t="e">
        <f t="shared" si="529"/>
        <v>#N/A</v>
      </c>
      <c r="OJ25" s="90" t="e">
        <f t="shared" si="529"/>
        <v>#N/A</v>
      </c>
      <c r="OK25" s="90" t="e">
        <f t="shared" si="529"/>
        <v>#N/A</v>
      </c>
      <c r="OL25" s="90" t="e">
        <f t="shared" si="529"/>
        <v>#N/A</v>
      </c>
      <c r="OM25" s="90" t="e">
        <f t="shared" si="529"/>
        <v>#N/A</v>
      </c>
      <c r="ON25" s="91" t="e">
        <f t="shared" si="486"/>
        <v>#N/A</v>
      </c>
      <c r="OO25" s="90" t="e">
        <f t="shared" ref="OO25:OZ25" si="530">SUM(OO20:OO24)</f>
        <v>#N/A</v>
      </c>
      <c r="OP25" s="90" t="e">
        <f t="shared" si="530"/>
        <v>#N/A</v>
      </c>
      <c r="OQ25" s="90" t="e">
        <f t="shared" si="530"/>
        <v>#N/A</v>
      </c>
      <c r="OR25" s="90" t="e">
        <f t="shared" si="530"/>
        <v>#N/A</v>
      </c>
      <c r="OS25" s="90" t="e">
        <f t="shared" si="530"/>
        <v>#N/A</v>
      </c>
      <c r="OT25" s="90" t="e">
        <f t="shared" si="530"/>
        <v>#N/A</v>
      </c>
      <c r="OU25" s="90" t="e">
        <f t="shared" si="530"/>
        <v>#N/A</v>
      </c>
      <c r="OV25" s="90" t="e">
        <f t="shared" si="530"/>
        <v>#N/A</v>
      </c>
      <c r="OW25" s="90" t="e">
        <f t="shared" si="530"/>
        <v>#N/A</v>
      </c>
      <c r="OX25" s="90" t="e">
        <f t="shared" si="530"/>
        <v>#N/A</v>
      </c>
      <c r="OY25" s="90" t="e">
        <f t="shared" si="530"/>
        <v>#N/A</v>
      </c>
      <c r="OZ25" s="90" t="e">
        <f t="shared" si="530"/>
        <v>#N/A</v>
      </c>
      <c r="PA25" s="91" t="e">
        <f t="shared" si="488"/>
        <v>#N/A</v>
      </c>
      <c r="PB25" s="90" t="e">
        <f t="shared" ref="PB25:PM25" si="531">SUM(PB20:PB24)</f>
        <v>#N/A</v>
      </c>
      <c r="PC25" s="90" t="e">
        <f t="shared" si="531"/>
        <v>#N/A</v>
      </c>
      <c r="PD25" s="90" t="e">
        <f t="shared" si="531"/>
        <v>#N/A</v>
      </c>
      <c r="PE25" s="90" t="e">
        <f t="shared" si="531"/>
        <v>#N/A</v>
      </c>
      <c r="PF25" s="90" t="e">
        <f t="shared" si="531"/>
        <v>#N/A</v>
      </c>
      <c r="PG25" s="90" t="e">
        <f t="shared" si="531"/>
        <v>#N/A</v>
      </c>
      <c r="PH25" s="90" t="e">
        <f t="shared" si="531"/>
        <v>#N/A</v>
      </c>
      <c r="PI25" s="90" t="e">
        <f t="shared" si="531"/>
        <v>#N/A</v>
      </c>
      <c r="PJ25" s="90" t="e">
        <f t="shared" si="531"/>
        <v>#N/A</v>
      </c>
      <c r="PK25" s="90" t="e">
        <f t="shared" si="531"/>
        <v>#N/A</v>
      </c>
      <c r="PL25" s="90" t="e">
        <f t="shared" si="531"/>
        <v>#N/A</v>
      </c>
      <c r="PM25" s="90" t="e">
        <f t="shared" si="531"/>
        <v>#N/A</v>
      </c>
      <c r="PN25" s="91" t="e">
        <f t="shared" si="490"/>
        <v>#N/A</v>
      </c>
      <c r="PO25" s="90" t="e">
        <f t="shared" ref="PO25:PZ25" si="532">SUM(PO20:PO24)</f>
        <v>#N/A</v>
      </c>
      <c r="PP25" s="90" t="e">
        <f t="shared" si="532"/>
        <v>#N/A</v>
      </c>
      <c r="PQ25" s="90" t="e">
        <f t="shared" si="532"/>
        <v>#N/A</v>
      </c>
      <c r="PR25" s="90" t="e">
        <f t="shared" si="532"/>
        <v>#N/A</v>
      </c>
      <c r="PS25" s="90" t="e">
        <f t="shared" si="532"/>
        <v>#N/A</v>
      </c>
      <c r="PT25" s="90" t="e">
        <f t="shared" si="532"/>
        <v>#N/A</v>
      </c>
      <c r="PU25" s="90" t="e">
        <f t="shared" si="532"/>
        <v>#N/A</v>
      </c>
      <c r="PV25" s="90" t="e">
        <f t="shared" si="532"/>
        <v>#N/A</v>
      </c>
      <c r="PW25" s="90" t="e">
        <f t="shared" si="532"/>
        <v>#N/A</v>
      </c>
      <c r="PX25" s="90" t="e">
        <f t="shared" si="532"/>
        <v>#N/A</v>
      </c>
      <c r="PY25" s="90" t="e">
        <f t="shared" si="532"/>
        <v>#N/A</v>
      </c>
      <c r="PZ25" s="90" t="e">
        <f t="shared" si="532"/>
        <v>#N/A</v>
      </c>
      <c r="QA25" s="91" t="e">
        <f t="shared" si="492"/>
        <v>#N/A</v>
      </c>
      <c r="QB25" s="90" t="e">
        <f t="shared" ref="QB25:QM25" si="533">SUM(QB20:QB24)</f>
        <v>#N/A</v>
      </c>
      <c r="QC25" s="90" t="e">
        <f t="shared" si="533"/>
        <v>#N/A</v>
      </c>
      <c r="QD25" s="90" t="e">
        <f t="shared" si="533"/>
        <v>#N/A</v>
      </c>
      <c r="QE25" s="90" t="e">
        <f t="shared" si="533"/>
        <v>#N/A</v>
      </c>
      <c r="QF25" s="90" t="e">
        <f t="shared" si="533"/>
        <v>#N/A</v>
      </c>
      <c r="QG25" s="90" t="e">
        <f t="shared" si="533"/>
        <v>#N/A</v>
      </c>
      <c r="QH25" s="90" t="e">
        <f t="shared" si="533"/>
        <v>#N/A</v>
      </c>
      <c r="QI25" s="90" t="e">
        <f t="shared" si="533"/>
        <v>#N/A</v>
      </c>
      <c r="QJ25" s="90" t="e">
        <f t="shared" si="533"/>
        <v>#N/A</v>
      </c>
      <c r="QK25" s="90" t="e">
        <f t="shared" si="533"/>
        <v>#N/A</v>
      </c>
      <c r="QL25" s="90" t="e">
        <f t="shared" si="533"/>
        <v>#N/A</v>
      </c>
      <c r="QM25" s="90" t="e">
        <f t="shared" si="533"/>
        <v>#N/A</v>
      </c>
      <c r="QN25" s="91" t="e">
        <f t="shared" si="494"/>
        <v>#N/A</v>
      </c>
      <c r="QO25" s="90" t="e">
        <f t="shared" ref="QO25:QZ25" si="534">SUM(QO20:QO24)</f>
        <v>#N/A</v>
      </c>
      <c r="QP25" s="90" t="e">
        <f t="shared" si="534"/>
        <v>#N/A</v>
      </c>
      <c r="QQ25" s="90" t="e">
        <f t="shared" si="534"/>
        <v>#N/A</v>
      </c>
      <c r="QR25" s="90" t="e">
        <f t="shared" si="534"/>
        <v>#N/A</v>
      </c>
      <c r="QS25" s="90" t="e">
        <f t="shared" si="534"/>
        <v>#N/A</v>
      </c>
      <c r="QT25" s="90" t="e">
        <f t="shared" si="534"/>
        <v>#N/A</v>
      </c>
      <c r="QU25" s="90" t="e">
        <f t="shared" si="534"/>
        <v>#N/A</v>
      </c>
      <c r="QV25" s="90" t="e">
        <f t="shared" si="534"/>
        <v>#N/A</v>
      </c>
      <c r="QW25" s="90" t="e">
        <f t="shared" si="534"/>
        <v>#N/A</v>
      </c>
      <c r="QX25" s="90" t="e">
        <f t="shared" si="534"/>
        <v>#N/A</v>
      </c>
      <c r="QY25" s="90" t="e">
        <f t="shared" si="534"/>
        <v>#N/A</v>
      </c>
      <c r="QZ25" s="90" t="e">
        <f t="shared" si="534"/>
        <v>#N/A</v>
      </c>
      <c r="RA25" s="91" t="e">
        <f t="shared" si="496"/>
        <v>#N/A</v>
      </c>
      <c r="RB25" s="90" t="e">
        <f t="shared" ref="RB25:RM25" si="535">SUM(RB20:RB24)</f>
        <v>#N/A</v>
      </c>
      <c r="RC25" s="90" t="e">
        <f t="shared" si="535"/>
        <v>#N/A</v>
      </c>
      <c r="RD25" s="90" t="e">
        <f t="shared" si="535"/>
        <v>#N/A</v>
      </c>
      <c r="RE25" s="90" t="e">
        <f t="shared" si="535"/>
        <v>#N/A</v>
      </c>
      <c r="RF25" s="90" t="e">
        <f t="shared" si="535"/>
        <v>#N/A</v>
      </c>
      <c r="RG25" s="90" t="e">
        <f t="shared" si="535"/>
        <v>#N/A</v>
      </c>
      <c r="RH25" s="90" t="e">
        <f t="shared" si="535"/>
        <v>#N/A</v>
      </c>
      <c r="RI25" s="90" t="e">
        <f t="shared" si="535"/>
        <v>#N/A</v>
      </c>
      <c r="RJ25" s="90" t="e">
        <f t="shared" si="535"/>
        <v>#N/A</v>
      </c>
      <c r="RK25" s="90" t="e">
        <f t="shared" si="535"/>
        <v>#N/A</v>
      </c>
      <c r="RL25" s="90" t="e">
        <f t="shared" si="535"/>
        <v>#N/A</v>
      </c>
      <c r="RM25" s="90" t="e">
        <f t="shared" si="535"/>
        <v>#N/A</v>
      </c>
      <c r="RN25" s="91" t="e">
        <f t="shared" si="498"/>
        <v>#N/A</v>
      </c>
    </row>
    <row r="26" spans="1:482" hidden="1" outlineLevel="1" x14ac:dyDescent="0.3">
      <c r="A26" s="74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1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1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1"/>
      <c r="AO26" s="90"/>
      <c r="AP26" s="90"/>
      <c r="AQ26" s="90"/>
      <c r="AR26" s="90"/>
      <c r="AS26" s="90"/>
      <c r="AT26" s="90"/>
      <c r="AU26" s="90"/>
      <c r="AV26" s="90"/>
      <c r="AW26" s="90"/>
      <c r="AX26" s="90"/>
      <c r="AY26" s="90"/>
      <c r="AZ26" s="90"/>
      <c r="BA26" s="91"/>
      <c r="BB26" s="90"/>
      <c r="BC26" s="90"/>
      <c r="BD26" s="90"/>
      <c r="BE26" s="90"/>
      <c r="BF26" s="90"/>
      <c r="BG26" s="90"/>
      <c r="BH26" s="90"/>
      <c r="BI26" s="90"/>
      <c r="BJ26" s="90"/>
      <c r="BK26" s="90"/>
      <c r="BL26" s="90"/>
      <c r="BM26" s="90"/>
      <c r="BN26" s="91"/>
      <c r="BO26" s="90"/>
      <c r="BP26" s="90"/>
      <c r="BQ26" s="90"/>
      <c r="BR26" s="90"/>
      <c r="BS26" s="90"/>
      <c r="BT26" s="90"/>
      <c r="BU26" s="90"/>
      <c r="BV26" s="90"/>
      <c r="BW26" s="90"/>
      <c r="BX26" s="90"/>
      <c r="BY26" s="90"/>
      <c r="BZ26" s="90"/>
      <c r="CA26" s="91"/>
      <c r="CB26" s="90"/>
      <c r="CC26" s="90"/>
      <c r="CD26" s="90"/>
      <c r="CE26" s="90"/>
      <c r="CF26" s="90"/>
      <c r="CG26" s="90"/>
      <c r="CH26" s="90"/>
      <c r="CI26" s="90"/>
      <c r="CJ26" s="90"/>
      <c r="CK26" s="90"/>
      <c r="CL26" s="90"/>
      <c r="CM26" s="90"/>
      <c r="CN26" s="91"/>
      <c r="CO26" s="90"/>
      <c r="CP26" s="90"/>
      <c r="CQ26" s="90"/>
      <c r="CR26" s="90"/>
      <c r="CS26" s="90"/>
      <c r="CT26" s="90"/>
      <c r="CU26" s="90"/>
      <c r="CV26" s="90"/>
      <c r="CW26" s="90"/>
      <c r="CX26" s="90"/>
      <c r="CY26" s="90"/>
      <c r="CZ26" s="90"/>
      <c r="DA26" s="91"/>
      <c r="DB26" s="90"/>
      <c r="DC26" s="90"/>
      <c r="DD26" s="90"/>
      <c r="DE26" s="90"/>
      <c r="DF26" s="90"/>
      <c r="DG26" s="90"/>
      <c r="DH26" s="90"/>
      <c r="DI26" s="90"/>
      <c r="DJ26" s="90"/>
      <c r="DK26" s="90"/>
      <c r="DL26" s="90"/>
      <c r="DM26" s="90"/>
      <c r="DN26" s="91"/>
      <c r="DO26" s="90"/>
      <c r="DP26" s="90"/>
      <c r="DQ26" s="90"/>
      <c r="DR26" s="90"/>
      <c r="DS26" s="90"/>
      <c r="DT26" s="90"/>
      <c r="DU26" s="90"/>
      <c r="DV26" s="90"/>
      <c r="DW26" s="90"/>
      <c r="DX26" s="90"/>
      <c r="DY26" s="90"/>
      <c r="DZ26" s="90"/>
      <c r="EA26" s="91"/>
      <c r="EB26" s="90"/>
      <c r="EC26" s="90"/>
      <c r="ED26" s="90"/>
      <c r="EE26" s="90"/>
      <c r="EF26" s="90"/>
      <c r="EG26" s="90"/>
      <c r="EH26" s="90"/>
      <c r="EI26" s="90"/>
      <c r="EJ26" s="90"/>
      <c r="EK26" s="90"/>
      <c r="EL26" s="90"/>
      <c r="EM26" s="90"/>
      <c r="EN26" s="91"/>
      <c r="EO26" s="90"/>
      <c r="EP26" s="90"/>
      <c r="EQ26" s="90"/>
      <c r="ER26" s="90"/>
      <c r="ES26" s="90"/>
      <c r="ET26" s="90"/>
      <c r="EU26" s="90"/>
      <c r="EV26" s="90"/>
      <c r="EW26" s="90"/>
      <c r="EX26" s="90"/>
      <c r="EY26" s="90"/>
      <c r="EZ26" s="90"/>
      <c r="FA26" s="91"/>
      <c r="FB26" s="90"/>
      <c r="FC26" s="90"/>
      <c r="FD26" s="90"/>
      <c r="FE26" s="90"/>
      <c r="FF26" s="90"/>
      <c r="FG26" s="90"/>
      <c r="FH26" s="90"/>
      <c r="FI26" s="90"/>
      <c r="FJ26" s="90"/>
      <c r="FK26" s="90"/>
      <c r="FL26" s="90"/>
      <c r="FM26" s="90"/>
      <c r="FN26" s="91"/>
      <c r="FO26" s="90"/>
      <c r="FP26" s="90"/>
      <c r="FQ26" s="90"/>
      <c r="FR26" s="90"/>
      <c r="FS26" s="90"/>
      <c r="FT26" s="90"/>
      <c r="FU26" s="90"/>
      <c r="FV26" s="90"/>
      <c r="FW26" s="90"/>
      <c r="FX26" s="90"/>
      <c r="FY26" s="90"/>
      <c r="FZ26" s="90"/>
      <c r="GA26" s="91"/>
      <c r="GB26" s="90"/>
      <c r="GC26" s="90"/>
      <c r="GD26" s="90"/>
      <c r="GE26" s="90"/>
      <c r="GF26" s="90"/>
      <c r="GG26" s="90"/>
      <c r="GH26" s="90"/>
      <c r="GI26" s="90"/>
      <c r="GJ26" s="90"/>
      <c r="GK26" s="90"/>
      <c r="GL26" s="90"/>
      <c r="GM26" s="90"/>
      <c r="GN26" s="91"/>
      <c r="GO26" s="90"/>
      <c r="GP26" s="90"/>
      <c r="GQ26" s="90"/>
      <c r="GR26" s="90"/>
      <c r="GS26" s="90"/>
      <c r="GT26" s="90"/>
      <c r="GU26" s="90"/>
      <c r="GV26" s="90"/>
      <c r="GW26" s="90"/>
      <c r="GX26" s="90"/>
      <c r="GY26" s="90"/>
      <c r="GZ26" s="90"/>
      <c r="HA26" s="91"/>
      <c r="HB26" s="90"/>
      <c r="HC26" s="90"/>
      <c r="HD26" s="90"/>
      <c r="HE26" s="90"/>
      <c r="HF26" s="90"/>
      <c r="HG26" s="90"/>
      <c r="HH26" s="90"/>
      <c r="HI26" s="90"/>
      <c r="HJ26" s="90"/>
      <c r="HK26" s="90"/>
      <c r="HL26" s="90"/>
      <c r="HM26" s="90"/>
      <c r="HN26" s="91"/>
      <c r="HO26" s="90"/>
      <c r="HP26" s="90"/>
      <c r="HQ26" s="90"/>
      <c r="HR26" s="90"/>
      <c r="HS26" s="90"/>
      <c r="HT26" s="90"/>
      <c r="HU26" s="90"/>
      <c r="HV26" s="90"/>
      <c r="HW26" s="90"/>
      <c r="HX26" s="90"/>
      <c r="HY26" s="90"/>
      <c r="HZ26" s="90"/>
      <c r="IA26" s="91"/>
      <c r="IB26" s="90"/>
      <c r="IC26" s="90"/>
      <c r="ID26" s="90"/>
      <c r="IE26" s="90"/>
      <c r="IF26" s="90"/>
      <c r="IG26" s="90"/>
      <c r="IH26" s="90"/>
      <c r="II26" s="90"/>
      <c r="IJ26" s="90"/>
      <c r="IK26" s="90"/>
      <c r="IL26" s="90"/>
      <c r="IM26" s="90"/>
      <c r="IN26" s="91"/>
      <c r="IO26" s="90"/>
      <c r="IP26" s="90"/>
      <c r="IQ26" s="90"/>
      <c r="IR26" s="90"/>
      <c r="IS26" s="90"/>
      <c r="IT26" s="90"/>
      <c r="IU26" s="90"/>
      <c r="IV26" s="90"/>
      <c r="IW26" s="90"/>
      <c r="IX26" s="90"/>
      <c r="IY26" s="90"/>
      <c r="IZ26" s="90"/>
      <c r="JA26" s="91"/>
      <c r="JB26" s="90"/>
      <c r="JC26" s="90"/>
      <c r="JD26" s="90"/>
      <c r="JE26" s="90"/>
      <c r="JF26" s="90"/>
      <c r="JG26" s="90"/>
      <c r="JH26" s="90"/>
      <c r="JI26" s="90"/>
      <c r="JJ26" s="90"/>
      <c r="JK26" s="90"/>
      <c r="JL26" s="90"/>
      <c r="JM26" s="90"/>
      <c r="JN26" s="91"/>
      <c r="JO26" s="90"/>
      <c r="JP26" s="90"/>
      <c r="JQ26" s="90"/>
      <c r="JR26" s="90"/>
      <c r="JS26" s="90"/>
      <c r="JT26" s="90"/>
      <c r="JU26" s="90"/>
      <c r="JV26" s="90"/>
      <c r="JW26" s="90"/>
      <c r="JX26" s="90"/>
      <c r="JY26" s="90"/>
      <c r="JZ26" s="90"/>
      <c r="KA26" s="91"/>
      <c r="KB26" s="90"/>
      <c r="KC26" s="90"/>
      <c r="KD26" s="90"/>
      <c r="KE26" s="90"/>
      <c r="KF26" s="90"/>
      <c r="KG26" s="90"/>
      <c r="KH26" s="90"/>
      <c r="KI26" s="90"/>
      <c r="KJ26" s="90"/>
      <c r="KK26" s="90"/>
      <c r="KL26" s="90"/>
      <c r="KM26" s="90"/>
      <c r="KN26" s="91"/>
      <c r="KO26" s="90"/>
      <c r="KP26" s="90"/>
      <c r="KQ26" s="90"/>
      <c r="KR26" s="90"/>
      <c r="KS26" s="90"/>
      <c r="KT26" s="90"/>
      <c r="KU26" s="90"/>
      <c r="KV26" s="90"/>
      <c r="KW26" s="90"/>
      <c r="KX26" s="90"/>
      <c r="KY26" s="90"/>
      <c r="KZ26" s="90"/>
      <c r="LA26" s="91"/>
      <c r="LB26" s="90"/>
      <c r="LC26" s="90"/>
      <c r="LD26" s="90"/>
      <c r="LE26" s="90"/>
      <c r="LF26" s="90"/>
      <c r="LG26" s="90"/>
      <c r="LH26" s="90"/>
      <c r="LI26" s="90"/>
      <c r="LJ26" s="90"/>
      <c r="LK26" s="90"/>
      <c r="LL26" s="90"/>
      <c r="LM26" s="90"/>
      <c r="LN26" s="91"/>
      <c r="LO26" s="90"/>
      <c r="LP26" s="90"/>
      <c r="LQ26" s="90"/>
      <c r="LR26" s="90"/>
      <c r="LS26" s="90"/>
      <c r="LT26" s="90"/>
      <c r="LU26" s="90"/>
      <c r="LV26" s="90"/>
      <c r="LW26" s="90"/>
      <c r="LX26" s="90"/>
      <c r="LY26" s="90"/>
      <c r="LZ26" s="90"/>
      <c r="MA26" s="91"/>
      <c r="MB26" s="90"/>
      <c r="MC26" s="90"/>
      <c r="MD26" s="90"/>
      <c r="ME26" s="90"/>
      <c r="MF26" s="90"/>
      <c r="MG26" s="90"/>
      <c r="MH26" s="90"/>
      <c r="MI26" s="90"/>
      <c r="MJ26" s="90"/>
      <c r="MK26" s="90"/>
      <c r="ML26" s="90"/>
      <c r="MM26" s="90"/>
      <c r="MN26" s="91"/>
      <c r="MO26" s="90"/>
      <c r="MP26" s="90"/>
      <c r="MQ26" s="90"/>
      <c r="MR26" s="90"/>
      <c r="MS26" s="90"/>
      <c r="MT26" s="90"/>
      <c r="MU26" s="90"/>
      <c r="MV26" s="90"/>
      <c r="MW26" s="90"/>
      <c r="MX26" s="90"/>
      <c r="MY26" s="90"/>
      <c r="MZ26" s="90"/>
      <c r="NA26" s="91"/>
      <c r="NB26" s="90"/>
      <c r="NC26" s="90"/>
      <c r="ND26" s="90"/>
      <c r="NE26" s="90"/>
      <c r="NF26" s="90"/>
      <c r="NG26" s="90"/>
      <c r="NH26" s="90"/>
      <c r="NI26" s="90"/>
      <c r="NJ26" s="90"/>
      <c r="NK26" s="90"/>
      <c r="NL26" s="90"/>
      <c r="NM26" s="90"/>
      <c r="NN26" s="91"/>
      <c r="NO26" s="90"/>
      <c r="NP26" s="90"/>
      <c r="NQ26" s="90"/>
      <c r="NR26" s="90"/>
      <c r="NS26" s="90"/>
      <c r="NT26" s="90"/>
      <c r="NU26" s="90"/>
      <c r="NV26" s="90"/>
      <c r="NW26" s="90"/>
      <c r="NX26" s="90"/>
      <c r="NY26" s="90"/>
      <c r="NZ26" s="90"/>
      <c r="OA26" s="91"/>
      <c r="OB26" s="90"/>
      <c r="OC26" s="90"/>
      <c r="OD26" s="90"/>
      <c r="OE26" s="90"/>
      <c r="OF26" s="90"/>
      <c r="OG26" s="90"/>
      <c r="OH26" s="90"/>
      <c r="OI26" s="90"/>
      <c r="OJ26" s="90"/>
      <c r="OK26" s="90"/>
      <c r="OL26" s="90"/>
      <c r="OM26" s="90"/>
      <c r="ON26" s="91"/>
      <c r="OO26" s="90"/>
      <c r="OP26" s="90"/>
      <c r="OQ26" s="90"/>
      <c r="OR26" s="90"/>
      <c r="OS26" s="90"/>
      <c r="OT26" s="90"/>
      <c r="OU26" s="90"/>
      <c r="OV26" s="90"/>
      <c r="OW26" s="90"/>
      <c r="OX26" s="90"/>
      <c r="OY26" s="90"/>
      <c r="OZ26" s="90"/>
      <c r="PA26" s="91"/>
      <c r="PB26" s="90"/>
      <c r="PC26" s="90"/>
      <c r="PD26" s="90"/>
      <c r="PE26" s="90"/>
      <c r="PF26" s="90"/>
      <c r="PG26" s="90"/>
      <c r="PH26" s="90"/>
      <c r="PI26" s="90"/>
      <c r="PJ26" s="90"/>
      <c r="PK26" s="90"/>
      <c r="PL26" s="90"/>
      <c r="PM26" s="90"/>
      <c r="PN26" s="91"/>
      <c r="PO26" s="90"/>
      <c r="PP26" s="90"/>
      <c r="PQ26" s="90"/>
      <c r="PR26" s="90"/>
      <c r="PS26" s="90"/>
      <c r="PT26" s="90"/>
      <c r="PU26" s="90"/>
      <c r="PV26" s="90"/>
      <c r="PW26" s="90"/>
      <c r="PX26" s="90"/>
      <c r="PY26" s="90"/>
      <c r="PZ26" s="90"/>
      <c r="QA26" s="91"/>
      <c r="QB26" s="90"/>
      <c r="QC26" s="90"/>
      <c r="QD26" s="90"/>
      <c r="QE26" s="90"/>
      <c r="QF26" s="90"/>
      <c r="QG26" s="90"/>
      <c r="QH26" s="90"/>
      <c r="QI26" s="90"/>
      <c r="QJ26" s="90"/>
      <c r="QK26" s="90"/>
      <c r="QL26" s="90"/>
      <c r="QM26" s="90"/>
      <c r="QN26" s="91"/>
      <c r="QO26" s="90"/>
      <c r="QP26" s="90"/>
      <c r="QQ26" s="90"/>
      <c r="QR26" s="90"/>
      <c r="QS26" s="90"/>
      <c r="QT26" s="90"/>
      <c r="QU26" s="90"/>
      <c r="QV26" s="90"/>
      <c r="QW26" s="90"/>
      <c r="QX26" s="90"/>
      <c r="QY26" s="90"/>
      <c r="QZ26" s="90"/>
      <c r="RA26" s="91"/>
      <c r="RB26" s="90"/>
      <c r="RC26" s="90"/>
      <c r="RD26" s="90"/>
      <c r="RE26" s="90"/>
      <c r="RF26" s="90"/>
      <c r="RG26" s="90"/>
      <c r="RH26" s="90"/>
      <c r="RI26" s="90"/>
      <c r="RJ26" s="90"/>
      <c r="RK26" s="90"/>
      <c r="RL26" s="90"/>
      <c r="RM26" s="90"/>
      <c r="RN26" s="91"/>
    </row>
    <row r="27" spans="1:482" hidden="1" outlineLevel="1" x14ac:dyDescent="0.3">
      <c r="A27" s="74" t="s">
        <v>248</v>
      </c>
      <c r="B27" s="90" t="e">
        <f>B18-B25</f>
        <v>#N/A</v>
      </c>
      <c r="C27" s="90" t="e">
        <f t="shared" ref="C27:L27" si="536">C18-C25</f>
        <v>#N/A</v>
      </c>
      <c r="D27" s="90" t="e">
        <f t="shared" si="536"/>
        <v>#N/A</v>
      </c>
      <c r="E27" s="90" t="e">
        <f t="shared" si="536"/>
        <v>#N/A</v>
      </c>
      <c r="F27" s="90" t="e">
        <f t="shared" si="536"/>
        <v>#N/A</v>
      </c>
      <c r="G27" s="90" t="e">
        <f t="shared" si="536"/>
        <v>#N/A</v>
      </c>
      <c r="H27" s="90" t="e">
        <f t="shared" si="536"/>
        <v>#N/A</v>
      </c>
      <c r="I27" s="90" t="e">
        <f t="shared" si="536"/>
        <v>#N/A</v>
      </c>
      <c r="J27" s="90" t="e">
        <f t="shared" si="536"/>
        <v>#N/A</v>
      </c>
      <c r="K27" s="90" t="e">
        <f t="shared" si="536"/>
        <v>#N/A</v>
      </c>
      <c r="L27" s="90" t="e">
        <f t="shared" si="536"/>
        <v>#N/A</v>
      </c>
      <c r="M27" s="90" t="e">
        <f>M18-M25</f>
        <v>#N/A</v>
      </c>
      <c r="N27" s="91" t="e">
        <f t="shared" si="353"/>
        <v>#N/A</v>
      </c>
      <c r="O27" s="90" t="e">
        <f t="shared" ref="O27:Z27" si="537">O18-O25</f>
        <v>#N/A</v>
      </c>
      <c r="P27" s="90" t="e">
        <f t="shared" si="537"/>
        <v>#N/A</v>
      </c>
      <c r="Q27" s="90" t="e">
        <f t="shared" si="537"/>
        <v>#N/A</v>
      </c>
      <c r="R27" s="90" t="e">
        <f t="shared" si="537"/>
        <v>#N/A</v>
      </c>
      <c r="S27" s="90" t="e">
        <f t="shared" si="537"/>
        <v>#N/A</v>
      </c>
      <c r="T27" s="90" t="e">
        <f t="shared" si="537"/>
        <v>#N/A</v>
      </c>
      <c r="U27" s="90" t="e">
        <f t="shared" si="537"/>
        <v>#N/A</v>
      </c>
      <c r="V27" s="90" t="e">
        <f t="shared" si="537"/>
        <v>#N/A</v>
      </c>
      <c r="W27" s="90" t="e">
        <f t="shared" si="537"/>
        <v>#N/A</v>
      </c>
      <c r="X27" s="90" t="e">
        <f t="shared" si="537"/>
        <v>#N/A</v>
      </c>
      <c r="Y27" s="90" t="e">
        <f t="shared" si="537"/>
        <v>#N/A</v>
      </c>
      <c r="Z27" s="90" t="e">
        <f t="shared" si="537"/>
        <v>#N/A</v>
      </c>
      <c r="AA27" s="91" t="e">
        <f t="shared" si="354"/>
        <v>#N/A</v>
      </c>
      <c r="AB27" s="90" t="e">
        <f t="shared" ref="AB27:AM27" si="538">AB18-AB25</f>
        <v>#N/A</v>
      </c>
      <c r="AC27" s="90" t="e">
        <f t="shared" si="538"/>
        <v>#N/A</v>
      </c>
      <c r="AD27" s="90" t="e">
        <f t="shared" si="538"/>
        <v>#N/A</v>
      </c>
      <c r="AE27" s="90" t="e">
        <f t="shared" si="538"/>
        <v>#N/A</v>
      </c>
      <c r="AF27" s="90" t="e">
        <f t="shared" si="538"/>
        <v>#N/A</v>
      </c>
      <c r="AG27" s="90" t="e">
        <f t="shared" si="538"/>
        <v>#N/A</v>
      </c>
      <c r="AH27" s="90" t="e">
        <f t="shared" si="538"/>
        <v>#N/A</v>
      </c>
      <c r="AI27" s="90" t="e">
        <f t="shared" si="538"/>
        <v>#N/A</v>
      </c>
      <c r="AJ27" s="90" t="e">
        <f t="shared" si="538"/>
        <v>#N/A</v>
      </c>
      <c r="AK27" s="90" t="e">
        <f t="shared" si="538"/>
        <v>#N/A</v>
      </c>
      <c r="AL27" s="90" t="e">
        <f t="shared" si="538"/>
        <v>#N/A</v>
      </c>
      <c r="AM27" s="90" t="e">
        <f t="shared" si="538"/>
        <v>#N/A</v>
      </c>
      <c r="AN27" s="91" t="e">
        <f t="shared" ref="AN27" si="539">SUM(AB27:AM27)</f>
        <v>#N/A</v>
      </c>
      <c r="AO27" s="90" t="e">
        <f t="shared" ref="AO27:AZ27" si="540">AO18-AO25</f>
        <v>#N/A</v>
      </c>
      <c r="AP27" s="90" t="e">
        <f t="shared" si="540"/>
        <v>#N/A</v>
      </c>
      <c r="AQ27" s="90" t="e">
        <f t="shared" si="540"/>
        <v>#N/A</v>
      </c>
      <c r="AR27" s="90" t="e">
        <f t="shared" si="540"/>
        <v>#N/A</v>
      </c>
      <c r="AS27" s="90" t="e">
        <f t="shared" si="540"/>
        <v>#N/A</v>
      </c>
      <c r="AT27" s="90" t="e">
        <f t="shared" si="540"/>
        <v>#N/A</v>
      </c>
      <c r="AU27" s="90" t="e">
        <f t="shared" si="540"/>
        <v>#N/A</v>
      </c>
      <c r="AV27" s="90" t="e">
        <f t="shared" si="540"/>
        <v>#N/A</v>
      </c>
      <c r="AW27" s="90" t="e">
        <f t="shared" si="540"/>
        <v>#N/A</v>
      </c>
      <c r="AX27" s="90" t="e">
        <f t="shared" si="540"/>
        <v>#N/A</v>
      </c>
      <c r="AY27" s="90" t="e">
        <f t="shared" si="540"/>
        <v>#N/A</v>
      </c>
      <c r="AZ27" s="90" t="e">
        <f t="shared" si="540"/>
        <v>#N/A</v>
      </c>
      <c r="BA27" s="91" t="e">
        <f t="shared" ref="BA27" si="541">SUM(AO27:AZ27)</f>
        <v>#N/A</v>
      </c>
      <c r="BB27" s="90" t="e">
        <f t="shared" ref="BB27:BM27" si="542">BB18-BB25</f>
        <v>#N/A</v>
      </c>
      <c r="BC27" s="90" t="e">
        <f t="shared" si="542"/>
        <v>#N/A</v>
      </c>
      <c r="BD27" s="90" t="e">
        <f t="shared" si="542"/>
        <v>#N/A</v>
      </c>
      <c r="BE27" s="90" t="e">
        <f t="shared" si="542"/>
        <v>#N/A</v>
      </c>
      <c r="BF27" s="90" t="e">
        <f t="shared" si="542"/>
        <v>#N/A</v>
      </c>
      <c r="BG27" s="90" t="e">
        <f t="shared" si="542"/>
        <v>#N/A</v>
      </c>
      <c r="BH27" s="90" t="e">
        <f t="shared" si="542"/>
        <v>#N/A</v>
      </c>
      <c r="BI27" s="90" t="e">
        <f t="shared" si="542"/>
        <v>#N/A</v>
      </c>
      <c r="BJ27" s="90" t="e">
        <f t="shared" si="542"/>
        <v>#N/A</v>
      </c>
      <c r="BK27" s="90" t="e">
        <f t="shared" si="542"/>
        <v>#N/A</v>
      </c>
      <c r="BL27" s="90" t="e">
        <f t="shared" si="542"/>
        <v>#N/A</v>
      </c>
      <c r="BM27" s="90" t="e">
        <f t="shared" si="542"/>
        <v>#N/A</v>
      </c>
      <c r="BN27" s="91" t="e">
        <f t="shared" ref="BN27" si="543">SUM(BB27:BM27)</f>
        <v>#N/A</v>
      </c>
      <c r="BO27" s="90" t="e">
        <f t="shared" ref="BO27:BZ27" si="544">BO18-BO25</f>
        <v>#N/A</v>
      </c>
      <c r="BP27" s="90" t="e">
        <f t="shared" si="544"/>
        <v>#N/A</v>
      </c>
      <c r="BQ27" s="90" t="e">
        <f t="shared" si="544"/>
        <v>#N/A</v>
      </c>
      <c r="BR27" s="90" t="e">
        <f t="shared" si="544"/>
        <v>#N/A</v>
      </c>
      <c r="BS27" s="90" t="e">
        <f t="shared" si="544"/>
        <v>#N/A</v>
      </c>
      <c r="BT27" s="90" t="e">
        <f t="shared" si="544"/>
        <v>#N/A</v>
      </c>
      <c r="BU27" s="90" t="e">
        <f t="shared" si="544"/>
        <v>#N/A</v>
      </c>
      <c r="BV27" s="90" t="e">
        <f t="shared" si="544"/>
        <v>#N/A</v>
      </c>
      <c r="BW27" s="90" t="e">
        <f t="shared" si="544"/>
        <v>#N/A</v>
      </c>
      <c r="BX27" s="90" t="e">
        <f t="shared" si="544"/>
        <v>#N/A</v>
      </c>
      <c r="BY27" s="90" t="e">
        <f t="shared" si="544"/>
        <v>#N/A</v>
      </c>
      <c r="BZ27" s="90" t="e">
        <f t="shared" si="544"/>
        <v>#N/A</v>
      </c>
      <c r="CA27" s="91" t="e">
        <f t="shared" ref="CA27" si="545">SUM(BO27:BZ27)</f>
        <v>#N/A</v>
      </c>
      <c r="CB27" s="90" t="e">
        <f t="shared" ref="CB27:CM27" si="546">CB18-CB25</f>
        <v>#N/A</v>
      </c>
      <c r="CC27" s="90" t="e">
        <f t="shared" si="546"/>
        <v>#N/A</v>
      </c>
      <c r="CD27" s="90" t="e">
        <f t="shared" si="546"/>
        <v>#N/A</v>
      </c>
      <c r="CE27" s="90" t="e">
        <f t="shared" si="546"/>
        <v>#N/A</v>
      </c>
      <c r="CF27" s="90" t="e">
        <f t="shared" si="546"/>
        <v>#N/A</v>
      </c>
      <c r="CG27" s="90" t="e">
        <f t="shared" si="546"/>
        <v>#N/A</v>
      </c>
      <c r="CH27" s="90" t="e">
        <f t="shared" si="546"/>
        <v>#N/A</v>
      </c>
      <c r="CI27" s="90" t="e">
        <f t="shared" si="546"/>
        <v>#N/A</v>
      </c>
      <c r="CJ27" s="90" t="e">
        <f t="shared" si="546"/>
        <v>#N/A</v>
      </c>
      <c r="CK27" s="90" t="e">
        <f t="shared" si="546"/>
        <v>#N/A</v>
      </c>
      <c r="CL27" s="90" t="e">
        <f t="shared" si="546"/>
        <v>#N/A</v>
      </c>
      <c r="CM27" s="90" t="e">
        <f t="shared" si="546"/>
        <v>#N/A</v>
      </c>
      <c r="CN27" s="91" t="e">
        <f t="shared" ref="CN27" si="547">SUM(CB27:CM27)</f>
        <v>#N/A</v>
      </c>
      <c r="CO27" s="90" t="e">
        <f t="shared" ref="CO27:CZ27" si="548">CO18-CO25</f>
        <v>#N/A</v>
      </c>
      <c r="CP27" s="90" t="e">
        <f t="shared" si="548"/>
        <v>#N/A</v>
      </c>
      <c r="CQ27" s="90" t="e">
        <f t="shared" si="548"/>
        <v>#N/A</v>
      </c>
      <c r="CR27" s="90" t="e">
        <f t="shared" si="548"/>
        <v>#N/A</v>
      </c>
      <c r="CS27" s="90" t="e">
        <f t="shared" si="548"/>
        <v>#N/A</v>
      </c>
      <c r="CT27" s="90" t="e">
        <f t="shared" si="548"/>
        <v>#N/A</v>
      </c>
      <c r="CU27" s="90" t="e">
        <f t="shared" si="548"/>
        <v>#N/A</v>
      </c>
      <c r="CV27" s="90" t="e">
        <f t="shared" si="548"/>
        <v>#N/A</v>
      </c>
      <c r="CW27" s="90" t="e">
        <f t="shared" si="548"/>
        <v>#N/A</v>
      </c>
      <c r="CX27" s="90" t="e">
        <f t="shared" si="548"/>
        <v>#N/A</v>
      </c>
      <c r="CY27" s="90" t="e">
        <f t="shared" si="548"/>
        <v>#N/A</v>
      </c>
      <c r="CZ27" s="90" t="e">
        <f t="shared" si="548"/>
        <v>#N/A</v>
      </c>
      <c r="DA27" s="91" t="e">
        <f t="shared" ref="DA27" si="549">SUM(CO27:CZ27)</f>
        <v>#N/A</v>
      </c>
      <c r="DB27" s="90" t="e">
        <f t="shared" ref="DB27:DM27" si="550">DB18-DB25</f>
        <v>#N/A</v>
      </c>
      <c r="DC27" s="90" t="e">
        <f t="shared" si="550"/>
        <v>#N/A</v>
      </c>
      <c r="DD27" s="90" t="e">
        <f t="shared" si="550"/>
        <v>#N/A</v>
      </c>
      <c r="DE27" s="90" t="e">
        <f t="shared" si="550"/>
        <v>#N/A</v>
      </c>
      <c r="DF27" s="90" t="e">
        <f t="shared" si="550"/>
        <v>#N/A</v>
      </c>
      <c r="DG27" s="90" t="e">
        <f t="shared" si="550"/>
        <v>#N/A</v>
      </c>
      <c r="DH27" s="90" t="e">
        <f t="shared" si="550"/>
        <v>#N/A</v>
      </c>
      <c r="DI27" s="90" t="e">
        <f t="shared" si="550"/>
        <v>#N/A</v>
      </c>
      <c r="DJ27" s="90" t="e">
        <f t="shared" si="550"/>
        <v>#N/A</v>
      </c>
      <c r="DK27" s="90" t="e">
        <f t="shared" si="550"/>
        <v>#N/A</v>
      </c>
      <c r="DL27" s="90" t="e">
        <f t="shared" si="550"/>
        <v>#N/A</v>
      </c>
      <c r="DM27" s="90" t="e">
        <f t="shared" si="550"/>
        <v>#N/A</v>
      </c>
      <c r="DN27" s="91" t="e">
        <f t="shared" ref="DN27" si="551">SUM(DB27:DM27)</f>
        <v>#N/A</v>
      </c>
      <c r="DO27" s="90" t="e">
        <f t="shared" ref="DO27:DZ27" si="552">DO18-DO25</f>
        <v>#N/A</v>
      </c>
      <c r="DP27" s="90" t="e">
        <f t="shared" si="552"/>
        <v>#N/A</v>
      </c>
      <c r="DQ27" s="90" t="e">
        <f t="shared" si="552"/>
        <v>#N/A</v>
      </c>
      <c r="DR27" s="90" t="e">
        <f t="shared" si="552"/>
        <v>#N/A</v>
      </c>
      <c r="DS27" s="90" t="e">
        <f t="shared" si="552"/>
        <v>#N/A</v>
      </c>
      <c r="DT27" s="90" t="e">
        <f t="shared" si="552"/>
        <v>#N/A</v>
      </c>
      <c r="DU27" s="90" t="e">
        <f t="shared" si="552"/>
        <v>#N/A</v>
      </c>
      <c r="DV27" s="90" t="e">
        <f t="shared" si="552"/>
        <v>#N/A</v>
      </c>
      <c r="DW27" s="90" t="e">
        <f t="shared" si="552"/>
        <v>#N/A</v>
      </c>
      <c r="DX27" s="90" t="e">
        <f t="shared" si="552"/>
        <v>#N/A</v>
      </c>
      <c r="DY27" s="90" t="e">
        <f t="shared" si="552"/>
        <v>#N/A</v>
      </c>
      <c r="DZ27" s="90" t="e">
        <f t="shared" si="552"/>
        <v>#N/A</v>
      </c>
      <c r="EA27" s="91" t="e">
        <f t="shared" ref="EA27" si="553">SUM(DO27:DZ27)</f>
        <v>#N/A</v>
      </c>
      <c r="EB27" s="90" t="e">
        <f t="shared" ref="EB27:EM27" si="554">EB18-EB25</f>
        <v>#N/A</v>
      </c>
      <c r="EC27" s="90" t="e">
        <f t="shared" si="554"/>
        <v>#N/A</v>
      </c>
      <c r="ED27" s="90" t="e">
        <f t="shared" si="554"/>
        <v>#N/A</v>
      </c>
      <c r="EE27" s="90" t="e">
        <f t="shared" si="554"/>
        <v>#N/A</v>
      </c>
      <c r="EF27" s="90" t="e">
        <f t="shared" si="554"/>
        <v>#N/A</v>
      </c>
      <c r="EG27" s="90" t="e">
        <f t="shared" si="554"/>
        <v>#N/A</v>
      </c>
      <c r="EH27" s="90" t="e">
        <f t="shared" si="554"/>
        <v>#N/A</v>
      </c>
      <c r="EI27" s="90" t="e">
        <f t="shared" si="554"/>
        <v>#N/A</v>
      </c>
      <c r="EJ27" s="90" t="e">
        <f t="shared" si="554"/>
        <v>#N/A</v>
      </c>
      <c r="EK27" s="90" t="e">
        <f t="shared" si="554"/>
        <v>#N/A</v>
      </c>
      <c r="EL27" s="90" t="e">
        <f t="shared" si="554"/>
        <v>#N/A</v>
      </c>
      <c r="EM27" s="90" t="e">
        <f t="shared" si="554"/>
        <v>#N/A</v>
      </c>
      <c r="EN27" s="91" t="e">
        <f t="shared" ref="EN27" si="555">SUM(EB27:EM27)</f>
        <v>#N/A</v>
      </c>
      <c r="EO27" s="90" t="e">
        <f t="shared" ref="EO27:EZ27" si="556">EO18-EO25</f>
        <v>#N/A</v>
      </c>
      <c r="EP27" s="90" t="e">
        <f t="shared" si="556"/>
        <v>#N/A</v>
      </c>
      <c r="EQ27" s="90" t="e">
        <f t="shared" si="556"/>
        <v>#N/A</v>
      </c>
      <c r="ER27" s="90" t="e">
        <f t="shared" si="556"/>
        <v>#N/A</v>
      </c>
      <c r="ES27" s="90" t="e">
        <f t="shared" si="556"/>
        <v>#N/A</v>
      </c>
      <c r="ET27" s="90" t="e">
        <f t="shared" si="556"/>
        <v>#N/A</v>
      </c>
      <c r="EU27" s="90" t="e">
        <f t="shared" si="556"/>
        <v>#N/A</v>
      </c>
      <c r="EV27" s="90" t="e">
        <f t="shared" si="556"/>
        <v>#N/A</v>
      </c>
      <c r="EW27" s="90" t="e">
        <f t="shared" si="556"/>
        <v>#N/A</v>
      </c>
      <c r="EX27" s="90" t="e">
        <f t="shared" si="556"/>
        <v>#N/A</v>
      </c>
      <c r="EY27" s="90" t="e">
        <f t="shared" si="556"/>
        <v>#N/A</v>
      </c>
      <c r="EZ27" s="90" t="e">
        <f t="shared" si="556"/>
        <v>#N/A</v>
      </c>
      <c r="FA27" s="91" t="e">
        <f t="shared" ref="FA27" si="557">SUM(EO27:EZ27)</f>
        <v>#N/A</v>
      </c>
      <c r="FB27" s="90" t="e">
        <f t="shared" ref="FB27:FM27" si="558">FB18-FB25</f>
        <v>#N/A</v>
      </c>
      <c r="FC27" s="90" t="e">
        <f t="shared" si="558"/>
        <v>#N/A</v>
      </c>
      <c r="FD27" s="90" t="e">
        <f t="shared" si="558"/>
        <v>#N/A</v>
      </c>
      <c r="FE27" s="90" t="e">
        <f t="shared" si="558"/>
        <v>#N/A</v>
      </c>
      <c r="FF27" s="90" t="e">
        <f t="shared" si="558"/>
        <v>#N/A</v>
      </c>
      <c r="FG27" s="90" t="e">
        <f t="shared" si="558"/>
        <v>#N/A</v>
      </c>
      <c r="FH27" s="90" t="e">
        <f t="shared" si="558"/>
        <v>#N/A</v>
      </c>
      <c r="FI27" s="90" t="e">
        <f t="shared" si="558"/>
        <v>#N/A</v>
      </c>
      <c r="FJ27" s="90" t="e">
        <f t="shared" si="558"/>
        <v>#N/A</v>
      </c>
      <c r="FK27" s="90" t="e">
        <f t="shared" si="558"/>
        <v>#N/A</v>
      </c>
      <c r="FL27" s="90" t="e">
        <f t="shared" si="558"/>
        <v>#N/A</v>
      </c>
      <c r="FM27" s="90" t="e">
        <f t="shared" si="558"/>
        <v>#N/A</v>
      </c>
      <c r="FN27" s="91" t="e">
        <f t="shared" ref="FN27" si="559">SUM(FB27:FM27)</f>
        <v>#N/A</v>
      </c>
      <c r="FO27" s="90" t="e">
        <f t="shared" ref="FO27:FZ27" si="560">FO18-FO25</f>
        <v>#N/A</v>
      </c>
      <c r="FP27" s="90" t="e">
        <f t="shared" si="560"/>
        <v>#N/A</v>
      </c>
      <c r="FQ27" s="90" t="e">
        <f t="shared" si="560"/>
        <v>#N/A</v>
      </c>
      <c r="FR27" s="90" t="e">
        <f t="shared" si="560"/>
        <v>#N/A</v>
      </c>
      <c r="FS27" s="90" t="e">
        <f t="shared" si="560"/>
        <v>#N/A</v>
      </c>
      <c r="FT27" s="90" t="e">
        <f t="shared" si="560"/>
        <v>#N/A</v>
      </c>
      <c r="FU27" s="90" t="e">
        <f t="shared" si="560"/>
        <v>#N/A</v>
      </c>
      <c r="FV27" s="90" t="e">
        <f t="shared" si="560"/>
        <v>#N/A</v>
      </c>
      <c r="FW27" s="90" t="e">
        <f t="shared" si="560"/>
        <v>#N/A</v>
      </c>
      <c r="FX27" s="90" t="e">
        <f t="shared" si="560"/>
        <v>#N/A</v>
      </c>
      <c r="FY27" s="90" t="e">
        <f t="shared" si="560"/>
        <v>#N/A</v>
      </c>
      <c r="FZ27" s="90" t="e">
        <f t="shared" si="560"/>
        <v>#N/A</v>
      </c>
      <c r="GA27" s="91" t="e">
        <f t="shared" ref="GA27" si="561">SUM(FO27:FZ27)</f>
        <v>#N/A</v>
      </c>
      <c r="GB27" s="90" t="e">
        <f t="shared" ref="GB27:GM27" si="562">GB18-GB25</f>
        <v>#N/A</v>
      </c>
      <c r="GC27" s="90" t="e">
        <f t="shared" si="562"/>
        <v>#N/A</v>
      </c>
      <c r="GD27" s="90" t="e">
        <f t="shared" si="562"/>
        <v>#N/A</v>
      </c>
      <c r="GE27" s="90" t="e">
        <f t="shared" si="562"/>
        <v>#N/A</v>
      </c>
      <c r="GF27" s="90" t="e">
        <f t="shared" si="562"/>
        <v>#N/A</v>
      </c>
      <c r="GG27" s="90" t="e">
        <f t="shared" si="562"/>
        <v>#N/A</v>
      </c>
      <c r="GH27" s="90" t="e">
        <f t="shared" si="562"/>
        <v>#N/A</v>
      </c>
      <c r="GI27" s="90" t="e">
        <f t="shared" si="562"/>
        <v>#N/A</v>
      </c>
      <c r="GJ27" s="90" t="e">
        <f t="shared" si="562"/>
        <v>#N/A</v>
      </c>
      <c r="GK27" s="90" t="e">
        <f t="shared" si="562"/>
        <v>#N/A</v>
      </c>
      <c r="GL27" s="90" t="e">
        <f t="shared" si="562"/>
        <v>#N/A</v>
      </c>
      <c r="GM27" s="90" t="e">
        <f t="shared" si="562"/>
        <v>#N/A</v>
      </c>
      <c r="GN27" s="91" t="e">
        <f t="shared" ref="GN27" si="563">SUM(GB27:GM27)</f>
        <v>#N/A</v>
      </c>
      <c r="GO27" s="90" t="e">
        <f t="shared" ref="GO27:GZ27" si="564">GO18-GO25</f>
        <v>#N/A</v>
      </c>
      <c r="GP27" s="90" t="e">
        <f t="shared" si="564"/>
        <v>#N/A</v>
      </c>
      <c r="GQ27" s="90" t="e">
        <f t="shared" si="564"/>
        <v>#N/A</v>
      </c>
      <c r="GR27" s="90" t="e">
        <f t="shared" si="564"/>
        <v>#N/A</v>
      </c>
      <c r="GS27" s="90" t="e">
        <f t="shared" si="564"/>
        <v>#N/A</v>
      </c>
      <c r="GT27" s="90" t="e">
        <f t="shared" si="564"/>
        <v>#N/A</v>
      </c>
      <c r="GU27" s="90" t="e">
        <f t="shared" si="564"/>
        <v>#N/A</v>
      </c>
      <c r="GV27" s="90" t="e">
        <f t="shared" si="564"/>
        <v>#N/A</v>
      </c>
      <c r="GW27" s="90" t="e">
        <f t="shared" si="564"/>
        <v>#N/A</v>
      </c>
      <c r="GX27" s="90" t="e">
        <f t="shared" si="564"/>
        <v>#N/A</v>
      </c>
      <c r="GY27" s="90" t="e">
        <f t="shared" si="564"/>
        <v>#N/A</v>
      </c>
      <c r="GZ27" s="90" t="e">
        <f t="shared" si="564"/>
        <v>#N/A</v>
      </c>
      <c r="HA27" s="91" t="e">
        <f t="shared" ref="HA27" si="565">SUM(GO27:GZ27)</f>
        <v>#N/A</v>
      </c>
      <c r="HB27" s="90" t="e">
        <f t="shared" ref="HB27:HM27" si="566">HB18-HB25</f>
        <v>#N/A</v>
      </c>
      <c r="HC27" s="90" t="e">
        <f t="shared" si="566"/>
        <v>#N/A</v>
      </c>
      <c r="HD27" s="90" t="e">
        <f t="shared" si="566"/>
        <v>#N/A</v>
      </c>
      <c r="HE27" s="90" t="e">
        <f t="shared" si="566"/>
        <v>#N/A</v>
      </c>
      <c r="HF27" s="90" t="e">
        <f t="shared" si="566"/>
        <v>#N/A</v>
      </c>
      <c r="HG27" s="90" t="e">
        <f t="shared" si="566"/>
        <v>#N/A</v>
      </c>
      <c r="HH27" s="90" t="e">
        <f t="shared" si="566"/>
        <v>#N/A</v>
      </c>
      <c r="HI27" s="90" t="e">
        <f t="shared" si="566"/>
        <v>#N/A</v>
      </c>
      <c r="HJ27" s="90" t="e">
        <f t="shared" si="566"/>
        <v>#N/A</v>
      </c>
      <c r="HK27" s="90" t="e">
        <f t="shared" si="566"/>
        <v>#N/A</v>
      </c>
      <c r="HL27" s="90" t="e">
        <f t="shared" si="566"/>
        <v>#N/A</v>
      </c>
      <c r="HM27" s="90" t="e">
        <f t="shared" si="566"/>
        <v>#N/A</v>
      </c>
      <c r="HN27" s="91" t="e">
        <f t="shared" ref="HN27" si="567">SUM(HB27:HM27)</f>
        <v>#N/A</v>
      </c>
      <c r="HO27" s="90" t="e">
        <f t="shared" ref="HO27:HZ27" si="568">HO18-HO25</f>
        <v>#N/A</v>
      </c>
      <c r="HP27" s="90" t="e">
        <f t="shared" si="568"/>
        <v>#N/A</v>
      </c>
      <c r="HQ27" s="90" t="e">
        <f t="shared" si="568"/>
        <v>#N/A</v>
      </c>
      <c r="HR27" s="90" t="e">
        <f t="shared" si="568"/>
        <v>#N/A</v>
      </c>
      <c r="HS27" s="90" t="e">
        <f t="shared" si="568"/>
        <v>#N/A</v>
      </c>
      <c r="HT27" s="90" t="e">
        <f t="shared" si="568"/>
        <v>#N/A</v>
      </c>
      <c r="HU27" s="90" t="e">
        <f t="shared" si="568"/>
        <v>#N/A</v>
      </c>
      <c r="HV27" s="90" t="e">
        <f t="shared" si="568"/>
        <v>#N/A</v>
      </c>
      <c r="HW27" s="90" t="e">
        <f t="shared" si="568"/>
        <v>#N/A</v>
      </c>
      <c r="HX27" s="90" t="e">
        <f t="shared" si="568"/>
        <v>#N/A</v>
      </c>
      <c r="HY27" s="90" t="e">
        <f t="shared" si="568"/>
        <v>#N/A</v>
      </c>
      <c r="HZ27" s="90" t="e">
        <f t="shared" si="568"/>
        <v>#N/A</v>
      </c>
      <c r="IA27" s="91" t="e">
        <f t="shared" ref="IA27" si="569">SUM(HO27:HZ27)</f>
        <v>#N/A</v>
      </c>
      <c r="IB27" s="90" t="e">
        <f t="shared" ref="IB27:IM27" si="570">IB18-IB25</f>
        <v>#N/A</v>
      </c>
      <c r="IC27" s="90" t="e">
        <f t="shared" si="570"/>
        <v>#N/A</v>
      </c>
      <c r="ID27" s="90" t="e">
        <f t="shared" si="570"/>
        <v>#N/A</v>
      </c>
      <c r="IE27" s="90" t="e">
        <f t="shared" si="570"/>
        <v>#N/A</v>
      </c>
      <c r="IF27" s="90" t="e">
        <f t="shared" si="570"/>
        <v>#N/A</v>
      </c>
      <c r="IG27" s="90" t="e">
        <f t="shared" si="570"/>
        <v>#N/A</v>
      </c>
      <c r="IH27" s="90" t="e">
        <f t="shared" si="570"/>
        <v>#N/A</v>
      </c>
      <c r="II27" s="90" t="e">
        <f t="shared" si="570"/>
        <v>#N/A</v>
      </c>
      <c r="IJ27" s="90" t="e">
        <f t="shared" si="570"/>
        <v>#N/A</v>
      </c>
      <c r="IK27" s="90" t="e">
        <f t="shared" si="570"/>
        <v>#N/A</v>
      </c>
      <c r="IL27" s="90" t="e">
        <f t="shared" si="570"/>
        <v>#N/A</v>
      </c>
      <c r="IM27" s="90" t="e">
        <f t="shared" si="570"/>
        <v>#N/A</v>
      </c>
      <c r="IN27" s="91" t="e">
        <f t="shared" ref="IN27" si="571">SUM(IB27:IM27)</f>
        <v>#N/A</v>
      </c>
      <c r="IO27" s="90" t="e">
        <f t="shared" ref="IO27:IZ27" si="572">IO18-IO25</f>
        <v>#N/A</v>
      </c>
      <c r="IP27" s="90" t="e">
        <f t="shared" si="572"/>
        <v>#N/A</v>
      </c>
      <c r="IQ27" s="90" t="e">
        <f t="shared" si="572"/>
        <v>#N/A</v>
      </c>
      <c r="IR27" s="90" t="e">
        <f t="shared" si="572"/>
        <v>#N/A</v>
      </c>
      <c r="IS27" s="90" t="e">
        <f t="shared" si="572"/>
        <v>#N/A</v>
      </c>
      <c r="IT27" s="90" t="e">
        <f t="shared" si="572"/>
        <v>#N/A</v>
      </c>
      <c r="IU27" s="90" t="e">
        <f t="shared" si="572"/>
        <v>#N/A</v>
      </c>
      <c r="IV27" s="90" t="e">
        <f t="shared" si="572"/>
        <v>#N/A</v>
      </c>
      <c r="IW27" s="90" t="e">
        <f t="shared" si="572"/>
        <v>#N/A</v>
      </c>
      <c r="IX27" s="90" t="e">
        <f t="shared" si="572"/>
        <v>#N/A</v>
      </c>
      <c r="IY27" s="90" t="e">
        <f t="shared" si="572"/>
        <v>#N/A</v>
      </c>
      <c r="IZ27" s="90" t="e">
        <f t="shared" si="572"/>
        <v>#N/A</v>
      </c>
      <c r="JA27" s="91" t="e">
        <f t="shared" ref="JA27" si="573">SUM(IO27:IZ27)</f>
        <v>#N/A</v>
      </c>
      <c r="JB27" s="90" t="e">
        <f t="shared" ref="JB27:JM27" si="574">JB18-JB25</f>
        <v>#N/A</v>
      </c>
      <c r="JC27" s="90" t="e">
        <f t="shared" si="574"/>
        <v>#N/A</v>
      </c>
      <c r="JD27" s="90" t="e">
        <f t="shared" si="574"/>
        <v>#N/A</v>
      </c>
      <c r="JE27" s="90" t="e">
        <f t="shared" si="574"/>
        <v>#N/A</v>
      </c>
      <c r="JF27" s="90" t="e">
        <f t="shared" si="574"/>
        <v>#N/A</v>
      </c>
      <c r="JG27" s="90" t="e">
        <f t="shared" si="574"/>
        <v>#N/A</v>
      </c>
      <c r="JH27" s="90" t="e">
        <f t="shared" si="574"/>
        <v>#N/A</v>
      </c>
      <c r="JI27" s="90" t="e">
        <f t="shared" si="574"/>
        <v>#N/A</v>
      </c>
      <c r="JJ27" s="90" t="e">
        <f t="shared" si="574"/>
        <v>#N/A</v>
      </c>
      <c r="JK27" s="90" t="e">
        <f t="shared" si="574"/>
        <v>#N/A</v>
      </c>
      <c r="JL27" s="90" t="e">
        <f t="shared" si="574"/>
        <v>#N/A</v>
      </c>
      <c r="JM27" s="90" t="e">
        <f t="shared" si="574"/>
        <v>#N/A</v>
      </c>
      <c r="JN27" s="91" t="e">
        <f t="shared" ref="JN27" si="575">SUM(JB27:JM27)</f>
        <v>#N/A</v>
      </c>
      <c r="JO27" s="90" t="e">
        <f t="shared" ref="JO27:JZ27" si="576">JO18-JO25</f>
        <v>#N/A</v>
      </c>
      <c r="JP27" s="90" t="e">
        <f t="shared" si="576"/>
        <v>#N/A</v>
      </c>
      <c r="JQ27" s="90" t="e">
        <f t="shared" si="576"/>
        <v>#N/A</v>
      </c>
      <c r="JR27" s="90" t="e">
        <f t="shared" si="576"/>
        <v>#N/A</v>
      </c>
      <c r="JS27" s="90" t="e">
        <f t="shared" si="576"/>
        <v>#N/A</v>
      </c>
      <c r="JT27" s="90" t="e">
        <f t="shared" si="576"/>
        <v>#N/A</v>
      </c>
      <c r="JU27" s="90" t="e">
        <f t="shared" si="576"/>
        <v>#N/A</v>
      </c>
      <c r="JV27" s="90" t="e">
        <f t="shared" si="576"/>
        <v>#N/A</v>
      </c>
      <c r="JW27" s="90" t="e">
        <f t="shared" si="576"/>
        <v>#N/A</v>
      </c>
      <c r="JX27" s="90" t="e">
        <f t="shared" si="576"/>
        <v>#N/A</v>
      </c>
      <c r="JY27" s="90" t="e">
        <f t="shared" si="576"/>
        <v>#N/A</v>
      </c>
      <c r="JZ27" s="90" t="e">
        <f t="shared" si="576"/>
        <v>#N/A</v>
      </c>
      <c r="KA27" s="91" t="e">
        <f t="shared" ref="KA27" si="577">SUM(JO27:JZ27)</f>
        <v>#N/A</v>
      </c>
      <c r="KB27" s="90" t="e">
        <f t="shared" ref="KB27:KM27" si="578">KB18-KB25</f>
        <v>#N/A</v>
      </c>
      <c r="KC27" s="90" t="e">
        <f t="shared" si="578"/>
        <v>#N/A</v>
      </c>
      <c r="KD27" s="90" t="e">
        <f t="shared" si="578"/>
        <v>#N/A</v>
      </c>
      <c r="KE27" s="90" t="e">
        <f t="shared" si="578"/>
        <v>#N/A</v>
      </c>
      <c r="KF27" s="90" t="e">
        <f t="shared" si="578"/>
        <v>#N/A</v>
      </c>
      <c r="KG27" s="90" t="e">
        <f t="shared" si="578"/>
        <v>#N/A</v>
      </c>
      <c r="KH27" s="90" t="e">
        <f t="shared" si="578"/>
        <v>#N/A</v>
      </c>
      <c r="KI27" s="90" t="e">
        <f t="shared" si="578"/>
        <v>#N/A</v>
      </c>
      <c r="KJ27" s="90" t="e">
        <f t="shared" si="578"/>
        <v>#N/A</v>
      </c>
      <c r="KK27" s="90" t="e">
        <f t="shared" si="578"/>
        <v>#N/A</v>
      </c>
      <c r="KL27" s="90" t="e">
        <f t="shared" si="578"/>
        <v>#N/A</v>
      </c>
      <c r="KM27" s="90" t="e">
        <f t="shared" si="578"/>
        <v>#N/A</v>
      </c>
      <c r="KN27" s="91" t="e">
        <f t="shared" ref="KN27" si="579">SUM(KB27:KM27)</f>
        <v>#N/A</v>
      </c>
      <c r="KO27" s="90" t="e">
        <f t="shared" ref="KO27:KZ27" si="580">KO18-KO25</f>
        <v>#N/A</v>
      </c>
      <c r="KP27" s="90" t="e">
        <f t="shared" si="580"/>
        <v>#N/A</v>
      </c>
      <c r="KQ27" s="90" t="e">
        <f t="shared" si="580"/>
        <v>#N/A</v>
      </c>
      <c r="KR27" s="90" t="e">
        <f t="shared" si="580"/>
        <v>#N/A</v>
      </c>
      <c r="KS27" s="90" t="e">
        <f t="shared" si="580"/>
        <v>#N/A</v>
      </c>
      <c r="KT27" s="90" t="e">
        <f t="shared" si="580"/>
        <v>#N/A</v>
      </c>
      <c r="KU27" s="90" t="e">
        <f t="shared" si="580"/>
        <v>#N/A</v>
      </c>
      <c r="KV27" s="90" t="e">
        <f t="shared" si="580"/>
        <v>#N/A</v>
      </c>
      <c r="KW27" s="90" t="e">
        <f t="shared" si="580"/>
        <v>#N/A</v>
      </c>
      <c r="KX27" s="90" t="e">
        <f t="shared" si="580"/>
        <v>#N/A</v>
      </c>
      <c r="KY27" s="90" t="e">
        <f t="shared" si="580"/>
        <v>#N/A</v>
      </c>
      <c r="KZ27" s="90" t="e">
        <f t="shared" si="580"/>
        <v>#N/A</v>
      </c>
      <c r="LA27" s="91" t="e">
        <f t="shared" ref="LA27" si="581">SUM(KO27:KZ27)</f>
        <v>#N/A</v>
      </c>
      <c r="LB27" s="90" t="e">
        <f t="shared" ref="LB27:LM27" si="582">LB18-LB25</f>
        <v>#N/A</v>
      </c>
      <c r="LC27" s="90" t="e">
        <f t="shared" si="582"/>
        <v>#N/A</v>
      </c>
      <c r="LD27" s="90" t="e">
        <f t="shared" si="582"/>
        <v>#N/A</v>
      </c>
      <c r="LE27" s="90" t="e">
        <f t="shared" si="582"/>
        <v>#N/A</v>
      </c>
      <c r="LF27" s="90" t="e">
        <f t="shared" si="582"/>
        <v>#N/A</v>
      </c>
      <c r="LG27" s="90" t="e">
        <f t="shared" si="582"/>
        <v>#N/A</v>
      </c>
      <c r="LH27" s="90" t="e">
        <f t="shared" si="582"/>
        <v>#N/A</v>
      </c>
      <c r="LI27" s="90" t="e">
        <f t="shared" si="582"/>
        <v>#N/A</v>
      </c>
      <c r="LJ27" s="90" t="e">
        <f t="shared" si="582"/>
        <v>#N/A</v>
      </c>
      <c r="LK27" s="90" t="e">
        <f t="shared" si="582"/>
        <v>#N/A</v>
      </c>
      <c r="LL27" s="90" t="e">
        <f t="shared" si="582"/>
        <v>#N/A</v>
      </c>
      <c r="LM27" s="90" t="e">
        <f t="shared" si="582"/>
        <v>#N/A</v>
      </c>
      <c r="LN27" s="91" t="e">
        <f t="shared" ref="LN27" si="583">SUM(LB27:LM27)</f>
        <v>#N/A</v>
      </c>
      <c r="LO27" s="90" t="e">
        <f t="shared" ref="LO27:LZ27" si="584">LO18-LO25</f>
        <v>#N/A</v>
      </c>
      <c r="LP27" s="90" t="e">
        <f t="shared" si="584"/>
        <v>#N/A</v>
      </c>
      <c r="LQ27" s="90" t="e">
        <f t="shared" si="584"/>
        <v>#N/A</v>
      </c>
      <c r="LR27" s="90" t="e">
        <f t="shared" si="584"/>
        <v>#N/A</v>
      </c>
      <c r="LS27" s="90" t="e">
        <f t="shared" si="584"/>
        <v>#N/A</v>
      </c>
      <c r="LT27" s="90" t="e">
        <f t="shared" si="584"/>
        <v>#N/A</v>
      </c>
      <c r="LU27" s="90" t="e">
        <f t="shared" si="584"/>
        <v>#N/A</v>
      </c>
      <c r="LV27" s="90" t="e">
        <f t="shared" si="584"/>
        <v>#N/A</v>
      </c>
      <c r="LW27" s="90" t="e">
        <f t="shared" si="584"/>
        <v>#N/A</v>
      </c>
      <c r="LX27" s="90" t="e">
        <f t="shared" si="584"/>
        <v>#N/A</v>
      </c>
      <c r="LY27" s="90" t="e">
        <f t="shared" si="584"/>
        <v>#N/A</v>
      </c>
      <c r="LZ27" s="90" t="e">
        <f t="shared" si="584"/>
        <v>#N/A</v>
      </c>
      <c r="MA27" s="91" t="e">
        <f t="shared" ref="MA27" si="585">SUM(LO27:LZ27)</f>
        <v>#N/A</v>
      </c>
      <c r="MB27" s="90" t="e">
        <f t="shared" ref="MB27:MM27" si="586">MB18-MB25</f>
        <v>#N/A</v>
      </c>
      <c r="MC27" s="90" t="e">
        <f t="shared" si="586"/>
        <v>#N/A</v>
      </c>
      <c r="MD27" s="90" t="e">
        <f t="shared" si="586"/>
        <v>#N/A</v>
      </c>
      <c r="ME27" s="90" t="e">
        <f t="shared" si="586"/>
        <v>#N/A</v>
      </c>
      <c r="MF27" s="90" t="e">
        <f t="shared" si="586"/>
        <v>#N/A</v>
      </c>
      <c r="MG27" s="90" t="e">
        <f t="shared" si="586"/>
        <v>#N/A</v>
      </c>
      <c r="MH27" s="90" t="e">
        <f t="shared" si="586"/>
        <v>#N/A</v>
      </c>
      <c r="MI27" s="90" t="e">
        <f t="shared" si="586"/>
        <v>#N/A</v>
      </c>
      <c r="MJ27" s="90" t="e">
        <f t="shared" si="586"/>
        <v>#N/A</v>
      </c>
      <c r="MK27" s="90" t="e">
        <f t="shared" si="586"/>
        <v>#N/A</v>
      </c>
      <c r="ML27" s="90" t="e">
        <f t="shared" si="586"/>
        <v>#N/A</v>
      </c>
      <c r="MM27" s="90" t="e">
        <f t="shared" si="586"/>
        <v>#N/A</v>
      </c>
      <c r="MN27" s="91" t="e">
        <f t="shared" ref="MN27" si="587">SUM(MB27:MM27)</f>
        <v>#N/A</v>
      </c>
      <c r="MO27" s="90" t="e">
        <f t="shared" ref="MO27:MZ27" si="588">MO18-MO25</f>
        <v>#N/A</v>
      </c>
      <c r="MP27" s="90" t="e">
        <f t="shared" si="588"/>
        <v>#N/A</v>
      </c>
      <c r="MQ27" s="90" t="e">
        <f t="shared" si="588"/>
        <v>#N/A</v>
      </c>
      <c r="MR27" s="90" t="e">
        <f t="shared" si="588"/>
        <v>#N/A</v>
      </c>
      <c r="MS27" s="90" t="e">
        <f t="shared" si="588"/>
        <v>#N/A</v>
      </c>
      <c r="MT27" s="90" t="e">
        <f t="shared" si="588"/>
        <v>#N/A</v>
      </c>
      <c r="MU27" s="90" t="e">
        <f t="shared" si="588"/>
        <v>#N/A</v>
      </c>
      <c r="MV27" s="90" t="e">
        <f t="shared" si="588"/>
        <v>#N/A</v>
      </c>
      <c r="MW27" s="90" t="e">
        <f t="shared" si="588"/>
        <v>#N/A</v>
      </c>
      <c r="MX27" s="90" t="e">
        <f t="shared" si="588"/>
        <v>#N/A</v>
      </c>
      <c r="MY27" s="90" t="e">
        <f t="shared" si="588"/>
        <v>#N/A</v>
      </c>
      <c r="MZ27" s="90" t="e">
        <f t="shared" si="588"/>
        <v>#N/A</v>
      </c>
      <c r="NA27" s="91" t="e">
        <f t="shared" ref="NA27" si="589">SUM(MO27:MZ27)</f>
        <v>#N/A</v>
      </c>
      <c r="NB27" s="90" t="e">
        <f t="shared" ref="NB27:NM27" si="590">NB18-NB25</f>
        <v>#N/A</v>
      </c>
      <c r="NC27" s="90" t="e">
        <f t="shared" si="590"/>
        <v>#N/A</v>
      </c>
      <c r="ND27" s="90" t="e">
        <f t="shared" si="590"/>
        <v>#N/A</v>
      </c>
      <c r="NE27" s="90" t="e">
        <f t="shared" si="590"/>
        <v>#N/A</v>
      </c>
      <c r="NF27" s="90" t="e">
        <f t="shared" si="590"/>
        <v>#N/A</v>
      </c>
      <c r="NG27" s="90" t="e">
        <f t="shared" si="590"/>
        <v>#N/A</v>
      </c>
      <c r="NH27" s="90" t="e">
        <f t="shared" si="590"/>
        <v>#N/A</v>
      </c>
      <c r="NI27" s="90" t="e">
        <f t="shared" si="590"/>
        <v>#N/A</v>
      </c>
      <c r="NJ27" s="90" t="e">
        <f t="shared" si="590"/>
        <v>#N/A</v>
      </c>
      <c r="NK27" s="90" t="e">
        <f t="shared" si="590"/>
        <v>#N/A</v>
      </c>
      <c r="NL27" s="90" t="e">
        <f t="shared" si="590"/>
        <v>#N/A</v>
      </c>
      <c r="NM27" s="90" t="e">
        <f t="shared" si="590"/>
        <v>#N/A</v>
      </c>
      <c r="NN27" s="91" t="e">
        <f t="shared" ref="NN27" si="591">SUM(NB27:NM27)</f>
        <v>#N/A</v>
      </c>
      <c r="NO27" s="90" t="e">
        <f t="shared" ref="NO27:NZ27" si="592">NO18-NO25</f>
        <v>#N/A</v>
      </c>
      <c r="NP27" s="90" t="e">
        <f t="shared" si="592"/>
        <v>#N/A</v>
      </c>
      <c r="NQ27" s="90" t="e">
        <f t="shared" si="592"/>
        <v>#N/A</v>
      </c>
      <c r="NR27" s="90" t="e">
        <f t="shared" si="592"/>
        <v>#N/A</v>
      </c>
      <c r="NS27" s="90" t="e">
        <f t="shared" si="592"/>
        <v>#N/A</v>
      </c>
      <c r="NT27" s="90" t="e">
        <f t="shared" si="592"/>
        <v>#N/A</v>
      </c>
      <c r="NU27" s="90" t="e">
        <f t="shared" si="592"/>
        <v>#N/A</v>
      </c>
      <c r="NV27" s="90" t="e">
        <f t="shared" si="592"/>
        <v>#N/A</v>
      </c>
      <c r="NW27" s="90" t="e">
        <f t="shared" si="592"/>
        <v>#N/A</v>
      </c>
      <c r="NX27" s="90" t="e">
        <f t="shared" si="592"/>
        <v>#N/A</v>
      </c>
      <c r="NY27" s="90" t="e">
        <f t="shared" si="592"/>
        <v>#N/A</v>
      </c>
      <c r="NZ27" s="90" t="e">
        <f t="shared" si="592"/>
        <v>#N/A</v>
      </c>
      <c r="OA27" s="91" t="e">
        <f t="shared" ref="OA27" si="593">SUM(NO27:NZ27)</f>
        <v>#N/A</v>
      </c>
      <c r="OB27" s="90" t="e">
        <f t="shared" ref="OB27:OM27" si="594">OB18-OB25</f>
        <v>#N/A</v>
      </c>
      <c r="OC27" s="90" t="e">
        <f t="shared" si="594"/>
        <v>#N/A</v>
      </c>
      <c r="OD27" s="90" t="e">
        <f t="shared" si="594"/>
        <v>#N/A</v>
      </c>
      <c r="OE27" s="90" t="e">
        <f t="shared" si="594"/>
        <v>#N/A</v>
      </c>
      <c r="OF27" s="90" t="e">
        <f t="shared" si="594"/>
        <v>#N/A</v>
      </c>
      <c r="OG27" s="90" t="e">
        <f t="shared" si="594"/>
        <v>#N/A</v>
      </c>
      <c r="OH27" s="90" t="e">
        <f t="shared" si="594"/>
        <v>#N/A</v>
      </c>
      <c r="OI27" s="90" t="e">
        <f t="shared" si="594"/>
        <v>#N/A</v>
      </c>
      <c r="OJ27" s="90" t="e">
        <f t="shared" si="594"/>
        <v>#N/A</v>
      </c>
      <c r="OK27" s="90" t="e">
        <f t="shared" si="594"/>
        <v>#N/A</v>
      </c>
      <c r="OL27" s="90" t="e">
        <f t="shared" si="594"/>
        <v>#N/A</v>
      </c>
      <c r="OM27" s="90" t="e">
        <f t="shared" si="594"/>
        <v>#N/A</v>
      </c>
      <c r="ON27" s="91" t="e">
        <f t="shared" ref="ON27" si="595">SUM(OB27:OM27)</f>
        <v>#N/A</v>
      </c>
      <c r="OO27" s="90" t="e">
        <f t="shared" ref="OO27:OZ27" si="596">OO18-OO25</f>
        <v>#N/A</v>
      </c>
      <c r="OP27" s="90" t="e">
        <f t="shared" si="596"/>
        <v>#N/A</v>
      </c>
      <c r="OQ27" s="90" t="e">
        <f t="shared" si="596"/>
        <v>#N/A</v>
      </c>
      <c r="OR27" s="90" t="e">
        <f t="shared" si="596"/>
        <v>#N/A</v>
      </c>
      <c r="OS27" s="90" t="e">
        <f t="shared" si="596"/>
        <v>#N/A</v>
      </c>
      <c r="OT27" s="90" t="e">
        <f t="shared" si="596"/>
        <v>#N/A</v>
      </c>
      <c r="OU27" s="90" t="e">
        <f t="shared" si="596"/>
        <v>#N/A</v>
      </c>
      <c r="OV27" s="90" t="e">
        <f t="shared" si="596"/>
        <v>#N/A</v>
      </c>
      <c r="OW27" s="90" t="e">
        <f t="shared" si="596"/>
        <v>#N/A</v>
      </c>
      <c r="OX27" s="90" t="e">
        <f t="shared" si="596"/>
        <v>#N/A</v>
      </c>
      <c r="OY27" s="90" t="e">
        <f t="shared" si="596"/>
        <v>#N/A</v>
      </c>
      <c r="OZ27" s="90" t="e">
        <f t="shared" si="596"/>
        <v>#N/A</v>
      </c>
      <c r="PA27" s="91" t="e">
        <f t="shared" ref="PA27" si="597">SUM(OO27:OZ27)</f>
        <v>#N/A</v>
      </c>
      <c r="PB27" s="90" t="e">
        <f t="shared" ref="PB27:PM27" si="598">PB18-PB25</f>
        <v>#N/A</v>
      </c>
      <c r="PC27" s="90" t="e">
        <f t="shared" si="598"/>
        <v>#N/A</v>
      </c>
      <c r="PD27" s="90" t="e">
        <f t="shared" si="598"/>
        <v>#N/A</v>
      </c>
      <c r="PE27" s="90" t="e">
        <f t="shared" si="598"/>
        <v>#N/A</v>
      </c>
      <c r="PF27" s="90" t="e">
        <f t="shared" si="598"/>
        <v>#N/A</v>
      </c>
      <c r="PG27" s="90" t="e">
        <f t="shared" si="598"/>
        <v>#N/A</v>
      </c>
      <c r="PH27" s="90" t="e">
        <f t="shared" si="598"/>
        <v>#N/A</v>
      </c>
      <c r="PI27" s="90" t="e">
        <f t="shared" si="598"/>
        <v>#N/A</v>
      </c>
      <c r="PJ27" s="90" t="e">
        <f t="shared" si="598"/>
        <v>#N/A</v>
      </c>
      <c r="PK27" s="90" t="e">
        <f t="shared" si="598"/>
        <v>#N/A</v>
      </c>
      <c r="PL27" s="90" t="e">
        <f t="shared" si="598"/>
        <v>#N/A</v>
      </c>
      <c r="PM27" s="90" t="e">
        <f t="shared" si="598"/>
        <v>#N/A</v>
      </c>
      <c r="PN27" s="91" t="e">
        <f t="shared" ref="PN27" si="599">SUM(PB27:PM27)</f>
        <v>#N/A</v>
      </c>
      <c r="PO27" s="90" t="e">
        <f t="shared" ref="PO27:PZ27" si="600">PO18-PO25</f>
        <v>#N/A</v>
      </c>
      <c r="PP27" s="90" t="e">
        <f t="shared" si="600"/>
        <v>#N/A</v>
      </c>
      <c r="PQ27" s="90" t="e">
        <f t="shared" si="600"/>
        <v>#N/A</v>
      </c>
      <c r="PR27" s="90" t="e">
        <f t="shared" si="600"/>
        <v>#N/A</v>
      </c>
      <c r="PS27" s="90" t="e">
        <f t="shared" si="600"/>
        <v>#N/A</v>
      </c>
      <c r="PT27" s="90" t="e">
        <f t="shared" si="600"/>
        <v>#N/A</v>
      </c>
      <c r="PU27" s="90" t="e">
        <f t="shared" si="600"/>
        <v>#N/A</v>
      </c>
      <c r="PV27" s="90" t="e">
        <f t="shared" si="600"/>
        <v>#N/A</v>
      </c>
      <c r="PW27" s="90" t="e">
        <f t="shared" si="600"/>
        <v>#N/A</v>
      </c>
      <c r="PX27" s="90" t="e">
        <f t="shared" si="600"/>
        <v>#N/A</v>
      </c>
      <c r="PY27" s="90" t="e">
        <f t="shared" si="600"/>
        <v>#N/A</v>
      </c>
      <c r="PZ27" s="90" t="e">
        <f t="shared" si="600"/>
        <v>#N/A</v>
      </c>
      <c r="QA27" s="91" t="e">
        <f t="shared" ref="QA27" si="601">SUM(PO27:PZ27)</f>
        <v>#N/A</v>
      </c>
      <c r="QB27" s="90" t="e">
        <f t="shared" ref="QB27:QM27" si="602">QB18-QB25</f>
        <v>#N/A</v>
      </c>
      <c r="QC27" s="90" t="e">
        <f t="shared" si="602"/>
        <v>#N/A</v>
      </c>
      <c r="QD27" s="90" t="e">
        <f t="shared" si="602"/>
        <v>#N/A</v>
      </c>
      <c r="QE27" s="90" t="e">
        <f t="shared" si="602"/>
        <v>#N/A</v>
      </c>
      <c r="QF27" s="90" t="e">
        <f t="shared" si="602"/>
        <v>#N/A</v>
      </c>
      <c r="QG27" s="90" t="e">
        <f t="shared" si="602"/>
        <v>#N/A</v>
      </c>
      <c r="QH27" s="90" t="e">
        <f t="shared" si="602"/>
        <v>#N/A</v>
      </c>
      <c r="QI27" s="90" t="e">
        <f t="shared" si="602"/>
        <v>#N/A</v>
      </c>
      <c r="QJ27" s="90" t="e">
        <f t="shared" si="602"/>
        <v>#N/A</v>
      </c>
      <c r="QK27" s="90" t="e">
        <f t="shared" si="602"/>
        <v>#N/A</v>
      </c>
      <c r="QL27" s="90" t="e">
        <f t="shared" si="602"/>
        <v>#N/A</v>
      </c>
      <c r="QM27" s="90" t="e">
        <f t="shared" si="602"/>
        <v>#N/A</v>
      </c>
      <c r="QN27" s="91" t="e">
        <f t="shared" ref="QN27" si="603">SUM(QB27:QM27)</f>
        <v>#N/A</v>
      </c>
      <c r="QO27" s="90" t="e">
        <f t="shared" ref="QO27:QZ27" si="604">QO18-QO25</f>
        <v>#N/A</v>
      </c>
      <c r="QP27" s="90" t="e">
        <f t="shared" si="604"/>
        <v>#N/A</v>
      </c>
      <c r="QQ27" s="90" t="e">
        <f t="shared" si="604"/>
        <v>#N/A</v>
      </c>
      <c r="QR27" s="90" t="e">
        <f t="shared" si="604"/>
        <v>#N/A</v>
      </c>
      <c r="QS27" s="90" t="e">
        <f t="shared" si="604"/>
        <v>#N/A</v>
      </c>
      <c r="QT27" s="90" t="e">
        <f t="shared" si="604"/>
        <v>#N/A</v>
      </c>
      <c r="QU27" s="90" t="e">
        <f t="shared" si="604"/>
        <v>#N/A</v>
      </c>
      <c r="QV27" s="90" t="e">
        <f t="shared" si="604"/>
        <v>#N/A</v>
      </c>
      <c r="QW27" s="90" t="e">
        <f t="shared" si="604"/>
        <v>#N/A</v>
      </c>
      <c r="QX27" s="90" t="e">
        <f t="shared" si="604"/>
        <v>#N/A</v>
      </c>
      <c r="QY27" s="90" t="e">
        <f t="shared" si="604"/>
        <v>#N/A</v>
      </c>
      <c r="QZ27" s="90" t="e">
        <f t="shared" si="604"/>
        <v>#N/A</v>
      </c>
      <c r="RA27" s="91" t="e">
        <f t="shared" ref="RA27" si="605">SUM(QO27:QZ27)</f>
        <v>#N/A</v>
      </c>
      <c r="RB27" s="90" t="e">
        <f t="shared" ref="RB27:RM27" si="606">RB18-RB25</f>
        <v>#N/A</v>
      </c>
      <c r="RC27" s="90" t="e">
        <f t="shared" si="606"/>
        <v>#N/A</v>
      </c>
      <c r="RD27" s="90" t="e">
        <f t="shared" si="606"/>
        <v>#N/A</v>
      </c>
      <c r="RE27" s="90" t="e">
        <f t="shared" si="606"/>
        <v>#N/A</v>
      </c>
      <c r="RF27" s="90" t="e">
        <f t="shared" si="606"/>
        <v>#N/A</v>
      </c>
      <c r="RG27" s="90" t="e">
        <f t="shared" si="606"/>
        <v>#N/A</v>
      </c>
      <c r="RH27" s="90" t="e">
        <f t="shared" si="606"/>
        <v>#N/A</v>
      </c>
      <c r="RI27" s="90" t="e">
        <f t="shared" si="606"/>
        <v>#N/A</v>
      </c>
      <c r="RJ27" s="90" t="e">
        <f t="shared" si="606"/>
        <v>#N/A</v>
      </c>
      <c r="RK27" s="90" t="e">
        <f t="shared" si="606"/>
        <v>#N/A</v>
      </c>
      <c r="RL27" s="90" t="e">
        <f t="shared" si="606"/>
        <v>#N/A</v>
      </c>
      <c r="RM27" s="90" t="e">
        <f t="shared" si="606"/>
        <v>#N/A</v>
      </c>
      <c r="RN27" s="91" t="e">
        <f t="shared" ref="RN27" si="607">SUM(RB27:RM27)</f>
        <v>#N/A</v>
      </c>
    </row>
    <row r="28" spans="1:482" hidden="1" outlineLevel="1" x14ac:dyDescent="0.3">
      <c r="A28" s="74" t="s">
        <v>249</v>
      </c>
      <c r="B28" s="92" t="e">
        <f>B27/B$18</f>
        <v>#N/A</v>
      </c>
      <c r="C28" s="92" t="e">
        <f t="shared" ref="C28:BN28" si="608">C27/C$18</f>
        <v>#N/A</v>
      </c>
      <c r="D28" s="92" t="e">
        <f t="shared" si="608"/>
        <v>#N/A</v>
      </c>
      <c r="E28" s="92" t="e">
        <f t="shared" si="608"/>
        <v>#N/A</v>
      </c>
      <c r="F28" s="92" t="e">
        <f t="shared" si="608"/>
        <v>#N/A</v>
      </c>
      <c r="G28" s="92" t="e">
        <f t="shared" si="608"/>
        <v>#N/A</v>
      </c>
      <c r="H28" s="92" t="e">
        <f t="shared" si="608"/>
        <v>#N/A</v>
      </c>
      <c r="I28" s="92" t="e">
        <f t="shared" si="608"/>
        <v>#N/A</v>
      </c>
      <c r="J28" s="92" t="e">
        <f t="shared" si="608"/>
        <v>#N/A</v>
      </c>
      <c r="K28" s="92" t="e">
        <f t="shared" si="608"/>
        <v>#N/A</v>
      </c>
      <c r="L28" s="92" t="e">
        <f t="shared" si="608"/>
        <v>#N/A</v>
      </c>
      <c r="M28" s="92" t="e">
        <f t="shared" si="608"/>
        <v>#N/A</v>
      </c>
      <c r="N28" s="88" t="e">
        <f t="shared" si="608"/>
        <v>#N/A</v>
      </c>
      <c r="O28" s="92" t="e">
        <f t="shared" si="608"/>
        <v>#N/A</v>
      </c>
      <c r="P28" s="92" t="e">
        <f t="shared" si="608"/>
        <v>#N/A</v>
      </c>
      <c r="Q28" s="92" t="e">
        <f t="shared" si="608"/>
        <v>#N/A</v>
      </c>
      <c r="R28" s="92" t="e">
        <f t="shared" si="608"/>
        <v>#N/A</v>
      </c>
      <c r="S28" s="92" t="e">
        <f t="shared" si="608"/>
        <v>#N/A</v>
      </c>
      <c r="T28" s="92" t="e">
        <f t="shared" si="608"/>
        <v>#N/A</v>
      </c>
      <c r="U28" s="92" t="e">
        <f t="shared" si="608"/>
        <v>#N/A</v>
      </c>
      <c r="V28" s="92" t="e">
        <f t="shared" si="608"/>
        <v>#N/A</v>
      </c>
      <c r="W28" s="92" t="e">
        <f t="shared" si="608"/>
        <v>#N/A</v>
      </c>
      <c r="X28" s="92" t="e">
        <f t="shared" si="608"/>
        <v>#N/A</v>
      </c>
      <c r="Y28" s="92" t="e">
        <f t="shared" si="608"/>
        <v>#N/A</v>
      </c>
      <c r="Z28" s="92" t="e">
        <f t="shared" si="608"/>
        <v>#N/A</v>
      </c>
      <c r="AA28" s="88" t="e">
        <f t="shared" si="608"/>
        <v>#N/A</v>
      </c>
      <c r="AB28" s="92" t="e">
        <f t="shared" si="608"/>
        <v>#N/A</v>
      </c>
      <c r="AC28" s="92" t="e">
        <f t="shared" si="608"/>
        <v>#N/A</v>
      </c>
      <c r="AD28" s="92" t="e">
        <f t="shared" si="608"/>
        <v>#N/A</v>
      </c>
      <c r="AE28" s="92" t="e">
        <f t="shared" si="608"/>
        <v>#N/A</v>
      </c>
      <c r="AF28" s="92" t="e">
        <f t="shared" si="608"/>
        <v>#N/A</v>
      </c>
      <c r="AG28" s="92" t="e">
        <f t="shared" si="608"/>
        <v>#N/A</v>
      </c>
      <c r="AH28" s="92" t="e">
        <f t="shared" si="608"/>
        <v>#N/A</v>
      </c>
      <c r="AI28" s="92" t="e">
        <f t="shared" si="608"/>
        <v>#N/A</v>
      </c>
      <c r="AJ28" s="92" t="e">
        <f t="shared" si="608"/>
        <v>#N/A</v>
      </c>
      <c r="AK28" s="92" t="e">
        <f t="shared" si="608"/>
        <v>#N/A</v>
      </c>
      <c r="AL28" s="92" t="e">
        <f t="shared" si="608"/>
        <v>#N/A</v>
      </c>
      <c r="AM28" s="92" t="e">
        <f t="shared" si="608"/>
        <v>#N/A</v>
      </c>
      <c r="AN28" s="88" t="e">
        <f t="shared" si="608"/>
        <v>#N/A</v>
      </c>
      <c r="AO28" s="92" t="e">
        <f t="shared" si="608"/>
        <v>#N/A</v>
      </c>
      <c r="AP28" s="92" t="e">
        <f t="shared" si="608"/>
        <v>#N/A</v>
      </c>
      <c r="AQ28" s="92" t="e">
        <f t="shared" si="608"/>
        <v>#N/A</v>
      </c>
      <c r="AR28" s="92" t="e">
        <f t="shared" si="608"/>
        <v>#N/A</v>
      </c>
      <c r="AS28" s="92" t="e">
        <f t="shared" si="608"/>
        <v>#N/A</v>
      </c>
      <c r="AT28" s="92" t="e">
        <f t="shared" si="608"/>
        <v>#N/A</v>
      </c>
      <c r="AU28" s="92" t="e">
        <f t="shared" si="608"/>
        <v>#N/A</v>
      </c>
      <c r="AV28" s="92" t="e">
        <f t="shared" si="608"/>
        <v>#N/A</v>
      </c>
      <c r="AW28" s="92" t="e">
        <f t="shared" si="608"/>
        <v>#N/A</v>
      </c>
      <c r="AX28" s="92" t="e">
        <f t="shared" si="608"/>
        <v>#N/A</v>
      </c>
      <c r="AY28" s="92" t="e">
        <f t="shared" si="608"/>
        <v>#N/A</v>
      </c>
      <c r="AZ28" s="92" t="e">
        <f t="shared" si="608"/>
        <v>#N/A</v>
      </c>
      <c r="BA28" s="88" t="e">
        <f t="shared" si="608"/>
        <v>#N/A</v>
      </c>
      <c r="BB28" s="92" t="e">
        <f t="shared" si="608"/>
        <v>#N/A</v>
      </c>
      <c r="BC28" s="92" t="e">
        <f t="shared" si="608"/>
        <v>#N/A</v>
      </c>
      <c r="BD28" s="92" t="e">
        <f t="shared" si="608"/>
        <v>#N/A</v>
      </c>
      <c r="BE28" s="92" t="e">
        <f t="shared" si="608"/>
        <v>#N/A</v>
      </c>
      <c r="BF28" s="92" t="e">
        <f t="shared" si="608"/>
        <v>#N/A</v>
      </c>
      <c r="BG28" s="92" t="e">
        <f t="shared" si="608"/>
        <v>#N/A</v>
      </c>
      <c r="BH28" s="92" t="e">
        <f t="shared" si="608"/>
        <v>#N/A</v>
      </c>
      <c r="BI28" s="92" t="e">
        <f t="shared" si="608"/>
        <v>#N/A</v>
      </c>
      <c r="BJ28" s="92" t="e">
        <f t="shared" si="608"/>
        <v>#N/A</v>
      </c>
      <c r="BK28" s="92" t="e">
        <f t="shared" si="608"/>
        <v>#N/A</v>
      </c>
      <c r="BL28" s="92" t="e">
        <f t="shared" si="608"/>
        <v>#N/A</v>
      </c>
      <c r="BM28" s="92" t="e">
        <f t="shared" si="608"/>
        <v>#N/A</v>
      </c>
      <c r="BN28" s="88" t="e">
        <f t="shared" si="608"/>
        <v>#N/A</v>
      </c>
      <c r="BO28" s="92" t="e">
        <f t="shared" ref="BO28:DZ28" si="609">BO27/BO$18</f>
        <v>#N/A</v>
      </c>
      <c r="BP28" s="92" t="e">
        <f t="shared" si="609"/>
        <v>#N/A</v>
      </c>
      <c r="BQ28" s="92" t="e">
        <f t="shared" si="609"/>
        <v>#N/A</v>
      </c>
      <c r="BR28" s="92" t="e">
        <f t="shared" si="609"/>
        <v>#N/A</v>
      </c>
      <c r="BS28" s="92" t="e">
        <f t="shared" si="609"/>
        <v>#N/A</v>
      </c>
      <c r="BT28" s="92" t="e">
        <f t="shared" si="609"/>
        <v>#N/A</v>
      </c>
      <c r="BU28" s="92" t="e">
        <f t="shared" si="609"/>
        <v>#N/A</v>
      </c>
      <c r="BV28" s="92" t="e">
        <f t="shared" si="609"/>
        <v>#N/A</v>
      </c>
      <c r="BW28" s="92" t="e">
        <f t="shared" si="609"/>
        <v>#N/A</v>
      </c>
      <c r="BX28" s="92" t="e">
        <f t="shared" si="609"/>
        <v>#N/A</v>
      </c>
      <c r="BY28" s="92" t="e">
        <f t="shared" si="609"/>
        <v>#N/A</v>
      </c>
      <c r="BZ28" s="92" t="e">
        <f t="shared" si="609"/>
        <v>#N/A</v>
      </c>
      <c r="CA28" s="88" t="e">
        <f t="shared" si="609"/>
        <v>#N/A</v>
      </c>
      <c r="CB28" s="92" t="e">
        <f t="shared" si="609"/>
        <v>#N/A</v>
      </c>
      <c r="CC28" s="92" t="e">
        <f t="shared" si="609"/>
        <v>#N/A</v>
      </c>
      <c r="CD28" s="92" t="e">
        <f t="shared" si="609"/>
        <v>#N/A</v>
      </c>
      <c r="CE28" s="92" t="e">
        <f t="shared" si="609"/>
        <v>#N/A</v>
      </c>
      <c r="CF28" s="92" t="e">
        <f t="shared" si="609"/>
        <v>#N/A</v>
      </c>
      <c r="CG28" s="92" t="e">
        <f t="shared" si="609"/>
        <v>#N/A</v>
      </c>
      <c r="CH28" s="92" t="e">
        <f t="shared" si="609"/>
        <v>#N/A</v>
      </c>
      <c r="CI28" s="92" t="e">
        <f t="shared" si="609"/>
        <v>#N/A</v>
      </c>
      <c r="CJ28" s="92" t="e">
        <f t="shared" si="609"/>
        <v>#N/A</v>
      </c>
      <c r="CK28" s="92" t="e">
        <f t="shared" si="609"/>
        <v>#N/A</v>
      </c>
      <c r="CL28" s="92" t="e">
        <f t="shared" si="609"/>
        <v>#N/A</v>
      </c>
      <c r="CM28" s="92" t="e">
        <f t="shared" si="609"/>
        <v>#N/A</v>
      </c>
      <c r="CN28" s="88" t="e">
        <f t="shared" si="609"/>
        <v>#N/A</v>
      </c>
      <c r="CO28" s="92" t="e">
        <f t="shared" si="609"/>
        <v>#N/A</v>
      </c>
      <c r="CP28" s="92" t="e">
        <f t="shared" si="609"/>
        <v>#N/A</v>
      </c>
      <c r="CQ28" s="92" t="e">
        <f t="shared" si="609"/>
        <v>#N/A</v>
      </c>
      <c r="CR28" s="92" t="e">
        <f t="shared" si="609"/>
        <v>#N/A</v>
      </c>
      <c r="CS28" s="92" t="e">
        <f t="shared" si="609"/>
        <v>#N/A</v>
      </c>
      <c r="CT28" s="92" t="e">
        <f t="shared" si="609"/>
        <v>#N/A</v>
      </c>
      <c r="CU28" s="92" t="e">
        <f t="shared" si="609"/>
        <v>#N/A</v>
      </c>
      <c r="CV28" s="92" t="e">
        <f t="shared" si="609"/>
        <v>#N/A</v>
      </c>
      <c r="CW28" s="92" t="e">
        <f t="shared" si="609"/>
        <v>#N/A</v>
      </c>
      <c r="CX28" s="92" t="e">
        <f t="shared" si="609"/>
        <v>#N/A</v>
      </c>
      <c r="CY28" s="92" t="e">
        <f t="shared" si="609"/>
        <v>#N/A</v>
      </c>
      <c r="CZ28" s="92" t="e">
        <f t="shared" si="609"/>
        <v>#N/A</v>
      </c>
      <c r="DA28" s="88" t="e">
        <f t="shared" si="609"/>
        <v>#N/A</v>
      </c>
      <c r="DB28" s="92" t="e">
        <f t="shared" si="609"/>
        <v>#N/A</v>
      </c>
      <c r="DC28" s="92" t="e">
        <f t="shared" si="609"/>
        <v>#N/A</v>
      </c>
      <c r="DD28" s="92" t="e">
        <f t="shared" si="609"/>
        <v>#N/A</v>
      </c>
      <c r="DE28" s="92" t="e">
        <f t="shared" si="609"/>
        <v>#N/A</v>
      </c>
      <c r="DF28" s="92" t="e">
        <f t="shared" si="609"/>
        <v>#N/A</v>
      </c>
      <c r="DG28" s="92" t="e">
        <f t="shared" si="609"/>
        <v>#N/A</v>
      </c>
      <c r="DH28" s="92" t="e">
        <f t="shared" si="609"/>
        <v>#N/A</v>
      </c>
      <c r="DI28" s="92" t="e">
        <f t="shared" si="609"/>
        <v>#N/A</v>
      </c>
      <c r="DJ28" s="92" t="e">
        <f t="shared" si="609"/>
        <v>#N/A</v>
      </c>
      <c r="DK28" s="92" t="e">
        <f t="shared" si="609"/>
        <v>#N/A</v>
      </c>
      <c r="DL28" s="92" t="e">
        <f t="shared" si="609"/>
        <v>#N/A</v>
      </c>
      <c r="DM28" s="92" t="e">
        <f t="shared" si="609"/>
        <v>#N/A</v>
      </c>
      <c r="DN28" s="88" t="e">
        <f t="shared" si="609"/>
        <v>#N/A</v>
      </c>
      <c r="DO28" s="92" t="e">
        <f t="shared" si="609"/>
        <v>#N/A</v>
      </c>
      <c r="DP28" s="92" t="e">
        <f t="shared" si="609"/>
        <v>#N/A</v>
      </c>
      <c r="DQ28" s="92" t="e">
        <f t="shared" si="609"/>
        <v>#N/A</v>
      </c>
      <c r="DR28" s="92" t="e">
        <f t="shared" si="609"/>
        <v>#N/A</v>
      </c>
      <c r="DS28" s="92" t="e">
        <f t="shared" si="609"/>
        <v>#N/A</v>
      </c>
      <c r="DT28" s="92" t="e">
        <f t="shared" si="609"/>
        <v>#N/A</v>
      </c>
      <c r="DU28" s="92" t="e">
        <f t="shared" si="609"/>
        <v>#N/A</v>
      </c>
      <c r="DV28" s="92" t="e">
        <f t="shared" si="609"/>
        <v>#N/A</v>
      </c>
      <c r="DW28" s="92" t="e">
        <f t="shared" si="609"/>
        <v>#N/A</v>
      </c>
      <c r="DX28" s="92" t="e">
        <f t="shared" si="609"/>
        <v>#N/A</v>
      </c>
      <c r="DY28" s="92" t="e">
        <f t="shared" si="609"/>
        <v>#N/A</v>
      </c>
      <c r="DZ28" s="92" t="e">
        <f t="shared" si="609"/>
        <v>#N/A</v>
      </c>
      <c r="EA28" s="88" t="e">
        <f t="shared" ref="EA28:GL28" si="610">EA27/EA$18</f>
        <v>#N/A</v>
      </c>
      <c r="EB28" s="92" t="e">
        <f t="shared" si="610"/>
        <v>#N/A</v>
      </c>
      <c r="EC28" s="92" t="e">
        <f t="shared" si="610"/>
        <v>#N/A</v>
      </c>
      <c r="ED28" s="92" t="e">
        <f t="shared" si="610"/>
        <v>#N/A</v>
      </c>
      <c r="EE28" s="92" t="e">
        <f t="shared" si="610"/>
        <v>#N/A</v>
      </c>
      <c r="EF28" s="92" t="e">
        <f t="shared" si="610"/>
        <v>#N/A</v>
      </c>
      <c r="EG28" s="92" t="e">
        <f t="shared" si="610"/>
        <v>#N/A</v>
      </c>
      <c r="EH28" s="92" t="e">
        <f t="shared" si="610"/>
        <v>#N/A</v>
      </c>
      <c r="EI28" s="92" t="e">
        <f t="shared" si="610"/>
        <v>#N/A</v>
      </c>
      <c r="EJ28" s="92" t="e">
        <f t="shared" si="610"/>
        <v>#N/A</v>
      </c>
      <c r="EK28" s="92" t="e">
        <f t="shared" si="610"/>
        <v>#N/A</v>
      </c>
      <c r="EL28" s="92" t="e">
        <f t="shared" si="610"/>
        <v>#N/A</v>
      </c>
      <c r="EM28" s="92" t="e">
        <f t="shared" si="610"/>
        <v>#N/A</v>
      </c>
      <c r="EN28" s="88" t="e">
        <f t="shared" si="610"/>
        <v>#N/A</v>
      </c>
      <c r="EO28" s="92" t="e">
        <f t="shared" si="610"/>
        <v>#N/A</v>
      </c>
      <c r="EP28" s="92" t="e">
        <f t="shared" si="610"/>
        <v>#N/A</v>
      </c>
      <c r="EQ28" s="92" t="e">
        <f t="shared" si="610"/>
        <v>#N/A</v>
      </c>
      <c r="ER28" s="92" t="e">
        <f t="shared" si="610"/>
        <v>#N/A</v>
      </c>
      <c r="ES28" s="92" t="e">
        <f t="shared" si="610"/>
        <v>#N/A</v>
      </c>
      <c r="ET28" s="92" t="e">
        <f t="shared" si="610"/>
        <v>#N/A</v>
      </c>
      <c r="EU28" s="92" t="e">
        <f t="shared" si="610"/>
        <v>#N/A</v>
      </c>
      <c r="EV28" s="92" t="e">
        <f t="shared" si="610"/>
        <v>#N/A</v>
      </c>
      <c r="EW28" s="92" t="e">
        <f t="shared" si="610"/>
        <v>#N/A</v>
      </c>
      <c r="EX28" s="92" t="e">
        <f t="shared" si="610"/>
        <v>#N/A</v>
      </c>
      <c r="EY28" s="92" t="e">
        <f t="shared" si="610"/>
        <v>#N/A</v>
      </c>
      <c r="EZ28" s="92" t="e">
        <f t="shared" si="610"/>
        <v>#N/A</v>
      </c>
      <c r="FA28" s="88" t="e">
        <f t="shared" si="610"/>
        <v>#N/A</v>
      </c>
      <c r="FB28" s="92" t="e">
        <f t="shared" si="610"/>
        <v>#N/A</v>
      </c>
      <c r="FC28" s="92" t="e">
        <f t="shared" si="610"/>
        <v>#N/A</v>
      </c>
      <c r="FD28" s="92" t="e">
        <f t="shared" si="610"/>
        <v>#N/A</v>
      </c>
      <c r="FE28" s="92" t="e">
        <f t="shared" si="610"/>
        <v>#N/A</v>
      </c>
      <c r="FF28" s="92" t="e">
        <f t="shared" si="610"/>
        <v>#N/A</v>
      </c>
      <c r="FG28" s="92" t="e">
        <f t="shared" si="610"/>
        <v>#N/A</v>
      </c>
      <c r="FH28" s="92" t="e">
        <f t="shared" si="610"/>
        <v>#N/A</v>
      </c>
      <c r="FI28" s="92" t="e">
        <f t="shared" si="610"/>
        <v>#N/A</v>
      </c>
      <c r="FJ28" s="92" t="e">
        <f t="shared" si="610"/>
        <v>#N/A</v>
      </c>
      <c r="FK28" s="92" t="e">
        <f t="shared" si="610"/>
        <v>#N/A</v>
      </c>
      <c r="FL28" s="92" t="e">
        <f t="shared" si="610"/>
        <v>#N/A</v>
      </c>
      <c r="FM28" s="92" t="e">
        <f t="shared" si="610"/>
        <v>#N/A</v>
      </c>
      <c r="FN28" s="88" t="e">
        <f t="shared" si="610"/>
        <v>#N/A</v>
      </c>
      <c r="FO28" s="92" t="e">
        <f t="shared" si="610"/>
        <v>#N/A</v>
      </c>
      <c r="FP28" s="92" t="e">
        <f t="shared" si="610"/>
        <v>#N/A</v>
      </c>
      <c r="FQ28" s="92" t="e">
        <f t="shared" si="610"/>
        <v>#N/A</v>
      </c>
      <c r="FR28" s="92" t="e">
        <f t="shared" si="610"/>
        <v>#N/A</v>
      </c>
      <c r="FS28" s="92" t="e">
        <f t="shared" si="610"/>
        <v>#N/A</v>
      </c>
      <c r="FT28" s="92" t="e">
        <f t="shared" si="610"/>
        <v>#N/A</v>
      </c>
      <c r="FU28" s="92" t="e">
        <f t="shared" si="610"/>
        <v>#N/A</v>
      </c>
      <c r="FV28" s="92" t="e">
        <f t="shared" si="610"/>
        <v>#N/A</v>
      </c>
      <c r="FW28" s="92" t="e">
        <f t="shared" si="610"/>
        <v>#N/A</v>
      </c>
      <c r="FX28" s="92" t="e">
        <f t="shared" si="610"/>
        <v>#N/A</v>
      </c>
      <c r="FY28" s="92" t="e">
        <f t="shared" si="610"/>
        <v>#N/A</v>
      </c>
      <c r="FZ28" s="92" t="e">
        <f t="shared" si="610"/>
        <v>#N/A</v>
      </c>
      <c r="GA28" s="88" t="e">
        <f t="shared" si="610"/>
        <v>#N/A</v>
      </c>
      <c r="GB28" s="92" t="e">
        <f t="shared" si="610"/>
        <v>#N/A</v>
      </c>
      <c r="GC28" s="92" t="e">
        <f t="shared" si="610"/>
        <v>#N/A</v>
      </c>
      <c r="GD28" s="92" t="e">
        <f t="shared" si="610"/>
        <v>#N/A</v>
      </c>
      <c r="GE28" s="92" t="e">
        <f t="shared" si="610"/>
        <v>#N/A</v>
      </c>
      <c r="GF28" s="92" t="e">
        <f t="shared" si="610"/>
        <v>#N/A</v>
      </c>
      <c r="GG28" s="92" t="e">
        <f t="shared" si="610"/>
        <v>#N/A</v>
      </c>
      <c r="GH28" s="92" t="e">
        <f t="shared" si="610"/>
        <v>#N/A</v>
      </c>
      <c r="GI28" s="92" t="e">
        <f t="shared" si="610"/>
        <v>#N/A</v>
      </c>
      <c r="GJ28" s="92" t="e">
        <f t="shared" si="610"/>
        <v>#N/A</v>
      </c>
      <c r="GK28" s="92" t="e">
        <f t="shared" si="610"/>
        <v>#N/A</v>
      </c>
      <c r="GL28" s="92" t="e">
        <f t="shared" si="610"/>
        <v>#N/A</v>
      </c>
      <c r="GM28" s="92" t="e">
        <f t="shared" ref="GM28:IX28" si="611">GM27/GM$18</f>
        <v>#N/A</v>
      </c>
      <c r="GN28" s="88" t="e">
        <f t="shared" si="611"/>
        <v>#N/A</v>
      </c>
      <c r="GO28" s="92" t="e">
        <f t="shared" si="611"/>
        <v>#N/A</v>
      </c>
      <c r="GP28" s="92" t="e">
        <f t="shared" si="611"/>
        <v>#N/A</v>
      </c>
      <c r="GQ28" s="92" t="e">
        <f t="shared" si="611"/>
        <v>#N/A</v>
      </c>
      <c r="GR28" s="92" t="e">
        <f t="shared" si="611"/>
        <v>#N/A</v>
      </c>
      <c r="GS28" s="92" t="e">
        <f t="shared" si="611"/>
        <v>#N/A</v>
      </c>
      <c r="GT28" s="92" t="e">
        <f t="shared" si="611"/>
        <v>#N/A</v>
      </c>
      <c r="GU28" s="92" t="e">
        <f t="shared" si="611"/>
        <v>#N/A</v>
      </c>
      <c r="GV28" s="92" t="e">
        <f t="shared" si="611"/>
        <v>#N/A</v>
      </c>
      <c r="GW28" s="92" t="e">
        <f t="shared" si="611"/>
        <v>#N/A</v>
      </c>
      <c r="GX28" s="92" t="e">
        <f t="shared" si="611"/>
        <v>#N/A</v>
      </c>
      <c r="GY28" s="92" t="e">
        <f t="shared" si="611"/>
        <v>#N/A</v>
      </c>
      <c r="GZ28" s="92" t="e">
        <f t="shared" si="611"/>
        <v>#N/A</v>
      </c>
      <c r="HA28" s="88" t="e">
        <f t="shared" si="611"/>
        <v>#N/A</v>
      </c>
      <c r="HB28" s="92" t="e">
        <f t="shared" si="611"/>
        <v>#N/A</v>
      </c>
      <c r="HC28" s="92" t="e">
        <f t="shared" si="611"/>
        <v>#N/A</v>
      </c>
      <c r="HD28" s="92" t="e">
        <f t="shared" si="611"/>
        <v>#N/A</v>
      </c>
      <c r="HE28" s="92" t="e">
        <f t="shared" si="611"/>
        <v>#N/A</v>
      </c>
      <c r="HF28" s="92" t="e">
        <f t="shared" si="611"/>
        <v>#N/A</v>
      </c>
      <c r="HG28" s="92" t="e">
        <f t="shared" si="611"/>
        <v>#N/A</v>
      </c>
      <c r="HH28" s="92" t="e">
        <f t="shared" si="611"/>
        <v>#N/A</v>
      </c>
      <c r="HI28" s="92" t="e">
        <f t="shared" si="611"/>
        <v>#N/A</v>
      </c>
      <c r="HJ28" s="92" t="e">
        <f t="shared" si="611"/>
        <v>#N/A</v>
      </c>
      <c r="HK28" s="92" t="e">
        <f t="shared" si="611"/>
        <v>#N/A</v>
      </c>
      <c r="HL28" s="92" t="e">
        <f t="shared" si="611"/>
        <v>#N/A</v>
      </c>
      <c r="HM28" s="92" t="e">
        <f t="shared" si="611"/>
        <v>#N/A</v>
      </c>
      <c r="HN28" s="88" t="e">
        <f t="shared" si="611"/>
        <v>#N/A</v>
      </c>
      <c r="HO28" s="92" t="e">
        <f t="shared" si="611"/>
        <v>#N/A</v>
      </c>
      <c r="HP28" s="92" t="e">
        <f t="shared" si="611"/>
        <v>#N/A</v>
      </c>
      <c r="HQ28" s="92" t="e">
        <f t="shared" si="611"/>
        <v>#N/A</v>
      </c>
      <c r="HR28" s="92" t="e">
        <f t="shared" si="611"/>
        <v>#N/A</v>
      </c>
      <c r="HS28" s="92" t="e">
        <f t="shared" si="611"/>
        <v>#N/A</v>
      </c>
      <c r="HT28" s="92" t="e">
        <f t="shared" si="611"/>
        <v>#N/A</v>
      </c>
      <c r="HU28" s="92" t="e">
        <f t="shared" si="611"/>
        <v>#N/A</v>
      </c>
      <c r="HV28" s="92" t="e">
        <f t="shared" si="611"/>
        <v>#N/A</v>
      </c>
      <c r="HW28" s="92" t="e">
        <f t="shared" si="611"/>
        <v>#N/A</v>
      </c>
      <c r="HX28" s="92" t="e">
        <f t="shared" si="611"/>
        <v>#N/A</v>
      </c>
      <c r="HY28" s="92" t="e">
        <f t="shared" si="611"/>
        <v>#N/A</v>
      </c>
      <c r="HZ28" s="92" t="e">
        <f t="shared" si="611"/>
        <v>#N/A</v>
      </c>
      <c r="IA28" s="88" t="e">
        <f t="shared" si="611"/>
        <v>#N/A</v>
      </c>
      <c r="IB28" s="92" t="e">
        <f t="shared" si="611"/>
        <v>#N/A</v>
      </c>
      <c r="IC28" s="92" t="e">
        <f t="shared" si="611"/>
        <v>#N/A</v>
      </c>
      <c r="ID28" s="92" t="e">
        <f t="shared" si="611"/>
        <v>#N/A</v>
      </c>
      <c r="IE28" s="92" t="e">
        <f t="shared" si="611"/>
        <v>#N/A</v>
      </c>
      <c r="IF28" s="92" t="e">
        <f t="shared" si="611"/>
        <v>#N/A</v>
      </c>
      <c r="IG28" s="92" t="e">
        <f t="shared" si="611"/>
        <v>#N/A</v>
      </c>
      <c r="IH28" s="92" t="e">
        <f t="shared" si="611"/>
        <v>#N/A</v>
      </c>
      <c r="II28" s="92" t="e">
        <f t="shared" si="611"/>
        <v>#N/A</v>
      </c>
      <c r="IJ28" s="92" t="e">
        <f t="shared" si="611"/>
        <v>#N/A</v>
      </c>
      <c r="IK28" s="92" t="e">
        <f t="shared" si="611"/>
        <v>#N/A</v>
      </c>
      <c r="IL28" s="92" t="e">
        <f t="shared" si="611"/>
        <v>#N/A</v>
      </c>
      <c r="IM28" s="92" t="e">
        <f t="shared" si="611"/>
        <v>#N/A</v>
      </c>
      <c r="IN28" s="88" t="e">
        <f t="shared" si="611"/>
        <v>#N/A</v>
      </c>
      <c r="IO28" s="92" t="e">
        <f t="shared" si="611"/>
        <v>#N/A</v>
      </c>
      <c r="IP28" s="92" t="e">
        <f t="shared" si="611"/>
        <v>#N/A</v>
      </c>
      <c r="IQ28" s="92" t="e">
        <f t="shared" si="611"/>
        <v>#N/A</v>
      </c>
      <c r="IR28" s="92" t="e">
        <f t="shared" si="611"/>
        <v>#N/A</v>
      </c>
      <c r="IS28" s="92" t="e">
        <f t="shared" si="611"/>
        <v>#N/A</v>
      </c>
      <c r="IT28" s="92" t="e">
        <f t="shared" si="611"/>
        <v>#N/A</v>
      </c>
      <c r="IU28" s="92" t="e">
        <f t="shared" si="611"/>
        <v>#N/A</v>
      </c>
      <c r="IV28" s="92" t="e">
        <f t="shared" si="611"/>
        <v>#N/A</v>
      </c>
      <c r="IW28" s="92" t="e">
        <f t="shared" si="611"/>
        <v>#N/A</v>
      </c>
      <c r="IX28" s="92" t="e">
        <f t="shared" si="611"/>
        <v>#N/A</v>
      </c>
      <c r="IY28" s="92" t="e">
        <f t="shared" ref="IY28:LJ28" si="612">IY27/IY$18</f>
        <v>#N/A</v>
      </c>
      <c r="IZ28" s="92" t="e">
        <f t="shared" si="612"/>
        <v>#N/A</v>
      </c>
      <c r="JA28" s="88" t="e">
        <f t="shared" si="612"/>
        <v>#N/A</v>
      </c>
      <c r="JB28" s="92" t="e">
        <f t="shared" si="612"/>
        <v>#N/A</v>
      </c>
      <c r="JC28" s="92" t="e">
        <f t="shared" si="612"/>
        <v>#N/A</v>
      </c>
      <c r="JD28" s="92" t="e">
        <f t="shared" si="612"/>
        <v>#N/A</v>
      </c>
      <c r="JE28" s="92" t="e">
        <f t="shared" si="612"/>
        <v>#N/A</v>
      </c>
      <c r="JF28" s="92" t="e">
        <f t="shared" si="612"/>
        <v>#N/A</v>
      </c>
      <c r="JG28" s="92" t="e">
        <f t="shared" si="612"/>
        <v>#N/A</v>
      </c>
      <c r="JH28" s="92" t="e">
        <f t="shared" si="612"/>
        <v>#N/A</v>
      </c>
      <c r="JI28" s="92" t="e">
        <f t="shared" si="612"/>
        <v>#N/A</v>
      </c>
      <c r="JJ28" s="92" t="e">
        <f t="shared" si="612"/>
        <v>#N/A</v>
      </c>
      <c r="JK28" s="92" t="e">
        <f t="shared" si="612"/>
        <v>#N/A</v>
      </c>
      <c r="JL28" s="92" t="e">
        <f t="shared" si="612"/>
        <v>#N/A</v>
      </c>
      <c r="JM28" s="92" t="e">
        <f t="shared" si="612"/>
        <v>#N/A</v>
      </c>
      <c r="JN28" s="88" t="e">
        <f t="shared" si="612"/>
        <v>#N/A</v>
      </c>
      <c r="JO28" s="92" t="e">
        <f t="shared" si="612"/>
        <v>#N/A</v>
      </c>
      <c r="JP28" s="92" t="e">
        <f t="shared" si="612"/>
        <v>#N/A</v>
      </c>
      <c r="JQ28" s="92" t="e">
        <f t="shared" si="612"/>
        <v>#N/A</v>
      </c>
      <c r="JR28" s="92" t="e">
        <f t="shared" si="612"/>
        <v>#N/A</v>
      </c>
      <c r="JS28" s="92" t="e">
        <f t="shared" si="612"/>
        <v>#N/A</v>
      </c>
      <c r="JT28" s="92" t="e">
        <f t="shared" si="612"/>
        <v>#N/A</v>
      </c>
      <c r="JU28" s="92" t="e">
        <f t="shared" si="612"/>
        <v>#N/A</v>
      </c>
      <c r="JV28" s="92" t="e">
        <f t="shared" si="612"/>
        <v>#N/A</v>
      </c>
      <c r="JW28" s="92" t="e">
        <f t="shared" si="612"/>
        <v>#N/A</v>
      </c>
      <c r="JX28" s="92" t="e">
        <f t="shared" si="612"/>
        <v>#N/A</v>
      </c>
      <c r="JY28" s="92" t="e">
        <f t="shared" si="612"/>
        <v>#N/A</v>
      </c>
      <c r="JZ28" s="92" t="e">
        <f t="shared" si="612"/>
        <v>#N/A</v>
      </c>
      <c r="KA28" s="88" t="e">
        <f t="shared" si="612"/>
        <v>#N/A</v>
      </c>
      <c r="KB28" s="92" t="e">
        <f t="shared" si="612"/>
        <v>#N/A</v>
      </c>
      <c r="KC28" s="92" t="e">
        <f t="shared" si="612"/>
        <v>#N/A</v>
      </c>
      <c r="KD28" s="92" t="e">
        <f t="shared" si="612"/>
        <v>#N/A</v>
      </c>
      <c r="KE28" s="92" t="e">
        <f t="shared" si="612"/>
        <v>#N/A</v>
      </c>
      <c r="KF28" s="92" t="e">
        <f t="shared" si="612"/>
        <v>#N/A</v>
      </c>
      <c r="KG28" s="92" t="e">
        <f t="shared" si="612"/>
        <v>#N/A</v>
      </c>
      <c r="KH28" s="92" t="e">
        <f t="shared" si="612"/>
        <v>#N/A</v>
      </c>
      <c r="KI28" s="92" t="e">
        <f t="shared" si="612"/>
        <v>#N/A</v>
      </c>
      <c r="KJ28" s="92" t="e">
        <f t="shared" si="612"/>
        <v>#N/A</v>
      </c>
      <c r="KK28" s="92" t="e">
        <f t="shared" si="612"/>
        <v>#N/A</v>
      </c>
      <c r="KL28" s="92" t="e">
        <f t="shared" si="612"/>
        <v>#N/A</v>
      </c>
      <c r="KM28" s="92" t="e">
        <f t="shared" si="612"/>
        <v>#N/A</v>
      </c>
      <c r="KN28" s="88" t="e">
        <f t="shared" si="612"/>
        <v>#N/A</v>
      </c>
      <c r="KO28" s="92" t="e">
        <f t="shared" si="612"/>
        <v>#N/A</v>
      </c>
      <c r="KP28" s="92" t="e">
        <f t="shared" si="612"/>
        <v>#N/A</v>
      </c>
      <c r="KQ28" s="92" t="e">
        <f t="shared" si="612"/>
        <v>#N/A</v>
      </c>
      <c r="KR28" s="92" t="e">
        <f t="shared" si="612"/>
        <v>#N/A</v>
      </c>
      <c r="KS28" s="92" t="e">
        <f t="shared" si="612"/>
        <v>#N/A</v>
      </c>
      <c r="KT28" s="92" t="e">
        <f t="shared" si="612"/>
        <v>#N/A</v>
      </c>
      <c r="KU28" s="92" t="e">
        <f t="shared" si="612"/>
        <v>#N/A</v>
      </c>
      <c r="KV28" s="92" t="e">
        <f t="shared" si="612"/>
        <v>#N/A</v>
      </c>
      <c r="KW28" s="92" t="e">
        <f t="shared" si="612"/>
        <v>#N/A</v>
      </c>
      <c r="KX28" s="92" t="e">
        <f t="shared" si="612"/>
        <v>#N/A</v>
      </c>
      <c r="KY28" s="92" t="e">
        <f t="shared" si="612"/>
        <v>#N/A</v>
      </c>
      <c r="KZ28" s="92" t="e">
        <f t="shared" si="612"/>
        <v>#N/A</v>
      </c>
      <c r="LA28" s="88" t="e">
        <f t="shared" si="612"/>
        <v>#N/A</v>
      </c>
      <c r="LB28" s="92" t="e">
        <f t="shared" si="612"/>
        <v>#N/A</v>
      </c>
      <c r="LC28" s="92" t="e">
        <f t="shared" si="612"/>
        <v>#N/A</v>
      </c>
      <c r="LD28" s="92" t="e">
        <f t="shared" si="612"/>
        <v>#N/A</v>
      </c>
      <c r="LE28" s="92" t="e">
        <f t="shared" si="612"/>
        <v>#N/A</v>
      </c>
      <c r="LF28" s="92" t="e">
        <f t="shared" si="612"/>
        <v>#N/A</v>
      </c>
      <c r="LG28" s="92" t="e">
        <f t="shared" si="612"/>
        <v>#N/A</v>
      </c>
      <c r="LH28" s="92" t="e">
        <f t="shared" si="612"/>
        <v>#N/A</v>
      </c>
      <c r="LI28" s="92" t="e">
        <f t="shared" si="612"/>
        <v>#N/A</v>
      </c>
      <c r="LJ28" s="92" t="e">
        <f t="shared" si="612"/>
        <v>#N/A</v>
      </c>
      <c r="LK28" s="92" t="e">
        <f t="shared" ref="LK28:NV28" si="613">LK27/LK$18</f>
        <v>#N/A</v>
      </c>
      <c r="LL28" s="92" t="e">
        <f t="shared" si="613"/>
        <v>#N/A</v>
      </c>
      <c r="LM28" s="92" t="e">
        <f t="shared" si="613"/>
        <v>#N/A</v>
      </c>
      <c r="LN28" s="88" t="e">
        <f t="shared" si="613"/>
        <v>#N/A</v>
      </c>
      <c r="LO28" s="92" t="e">
        <f t="shared" si="613"/>
        <v>#N/A</v>
      </c>
      <c r="LP28" s="92" t="e">
        <f t="shared" si="613"/>
        <v>#N/A</v>
      </c>
      <c r="LQ28" s="92" t="e">
        <f t="shared" si="613"/>
        <v>#N/A</v>
      </c>
      <c r="LR28" s="92" t="e">
        <f t="shared" si="613"/>
        <v>#N/A</v>
      </c>
      <c r="LS28" s="92" t="e">
        <f t="shared" si="613"/>
        <v>#N/A</v>
      </c>
      <c r="LT28" s="92" t="e">
        <f t="shared" si="613"/>
        <v>#N/A</v>
      </c>
      <c r="LU28" s="92" t="e">
        <f t="shared" si="613"/>
        <v>#N/A</v>
      </c>
      <c r="LV28" s="92" t="e">
        <f t="shared" si="613"/>
        <v>#N/A</v>
      </c>
      <c r="LW28" s="92" t="e">
        <f t="shared" si="613"/>
        <v>#N/A</v>
      </c>
      <c r="LX28" s="92" t="e">
        <f t="shared" si="613"/>
        <v>#N/A</v>
      </c>
      <c r="LY28" s="92" t="e">
        <f t="shared" si="613"/>
        <v>#N/A</v>
      </c>
      <c r="LZ28" s="92" t="e">
        <f t="shared" si="613"/>
        <v>#N/A</v>
      </c>
      <c r="MA28" s="88" t="e">
        <f t="shared" si="613"/>
        <v>#N/A</v>
      </c>
      <c r="MB28" s="92" t="e">
        <f t="shared" si="613"/>
        <v>#N/A</v>
      </c>
      <c r="MC28" s="92" t="e">
        <f t="shared" si="613"/>
        <v>#N/A</v>
      </c>
      <c r="MD28" s="92" t="e">
        <f t="shared" si="613"/>
        <v>#N/A</v>
      </c>
      <c r="ME28" s="92" t="e">
        <f t="shared" si="613"/>
        <v>#N/A</v>
      </c>
      <c r="MF28" s="92" t="e">
        <f t="shared" si="613"/>
        <v>#N/A</v>
      </c>
      <c r="MG28" s="92" t="e">
        <f t="shared" si="613"/>
        <v>#N/A</v>
      </c>
      <c r="MH28" s="92" t="e">
        <f t="shared" si="613"/>
        <v>#N/A</v>
      </c>
      <c r="MI28" s="92" t="e">
        <f t="shared" si="613"/>
        <v>#N/A</v>
      </c>
      <c r="MJ28" s="92" t="e">
        <f t="shared" si="613"/>
        <v>#N/A</v>
      </c>
      <c r="MK28" s="92" t="e">
        <f t="shared" si="613"/>
        <v>#N/A</v>
      </c>
      <c r="ML28" s="92" t="e">
        <f t="shared" si="613"/>
        <v>#N/A</v>
      </c>
      <c r="MM28" s="92" t="e">
        <f t="shared" si="613"/>
        <v>#N/A</v>
      </c>
      <c r="MN28" s="88" t="e">
        <f t="shared" si="613"/>
        <v>#N/A</v>
      </c>
      <c r="MO28" s="92" t="e">
        <f t="shared" si="613"/>
        <v>#N/A</v>
      </c>
      <c r="MP28" s="92" t="e">
        <f t="shared" si="613"/>
        <v>#N/A</v>
      </c>
      <c r="MQ28" s="92" t="e">
        <f t="shared" si="613"/>
        <v>#N/A</v>
      </c>
      <c r="MR28" s="92" t="e">
        <f t="shared" si="613"/>
        <v>#N/A</v>
      </c>
      <c r="MS28" s="92" t="e">
        <f t="shared" si="613"/>
        <v>#N/A</v>
      </c>
      <c r="MT28" s="92" t="e">
        <f t="shared" si="613"/>
        <v>#N/A</v>
      </c>
      <c r="MU28" s="92" t="e">
        <f t="shared" si="613"/>
        <v>#N/A</v>
      </c>
      <c r="MV28" s="92" t="e">
        <f t="shared" si="613"/>
        <v>#N/A</v>
      </c>
      <c r="MW28" s="92" t="e">
        <f t="shared" si="613"/>
        <v>#N/A</v>
      </c>
      <c r="MX28" s="92" t="e">
        <f t="shared" si="613"/>
        <v>#N/A</v>
      </c>
      <c r="MY28" s="92" t="e">
        <f t="shared" si="613"/>
        <v>#N/A</v>
      </c>
      <c r="MZ28" s="92" t="e">
        <f t="shared" si="613"/>
        <v>#N/A</v>
      </c>
      <c r="NA28" s="88" t="e">
        <f t="shared" si="613"/>
        <v>#N/A</v>
      </c>
      <c r="NB28" s="92" t="e">
        <f t="shared" si="613"/>
        <v>#N/A</v>
      </c>
      <c r="NC28" s="92" t="e">
        <f t="shared" si="613"/>
        <v>#N/A</v>
      </c>
      <c r="ND28" s="92" t="e">
        <f t="shared" si="613"/>
        <v>#N/A</v>
      </c>
      <c r="NE28" s="92" t="e">
        <f t="shared" si="613"/>
        <v>#N/A</v>
      </c>
      <c r="NF28" s="92" t="e">
        <f t="shared" si="613"/>
        <v>#N/A</v>
      </c>
      <c r="NG28" s="92" t="e">
        <f t="shared" si="613"/>
        <v>#N/A</v>
      </c>
      <c r="NH28" s="92" t="e">
        <f t="shared" si="613"/>
        <v>#N/A</v>
      </c>
      <c r="NI28" s="92" t="e">
        <f t="shared" si="613"/>
        <v>#N/A</v>
      </c>
      <c r="NJ28" s="92" t="e">
        <f t="shared" si="613"/>
        <v>#N/A</v>
      </c>
      <c r="NK28" s="92" t="e">
        <f t="shared" si="613"/>
        <v>#N/A</v>
      </c>
      <c r="NL28" s="92" t="e">
        <f t="shared" si="613"/>
        <v>#N/A</v>
      </c>
      <c r="NM28" s="92" t="e">
        <f t="shared" si="613"/>
        <v>#N/A</v>
      </c>
      <c r="NN28" s="88" t="e">
        <f t="shared" si="613"/>
        <v>#N/A</v>
      </c>
      <c r="NO28" s="92" t="e">
        <f t="shared" si="613"/>
        <v>#N/A</v>
      </c>
      <c r="NP28" s="92" t="e">
        <f t="shared" si="613"/>
        <v>#N/A</v>
      </c>
      <c r="NQ28" s="92" t="e">
        <f t="shared" si="613"/>
        <v>#N/A</v>
      </c>
      <c r="NR28" s="92" t="e">
        <f t="shared" si="613"/>
        <v>#N/A</v>
      </c>
      <c r="NS28" s="92" t="e">
        <f t="shared" si="613"/>
        <v>#N/A</v>
      </c>
      <c r="NT28" s="92" t="e">
        <f t="shared" si="613"/>
        <v>#N/A</v>
      </c>
      <c r="NU28" s="92" t="e">
        <f t="shared" si="613"/>
        <v>#N/A</v>
      </c>
      <c r="NV28" s="92" t="e">
        <f t="shared" si="613"/>
        <v>#N/A</v>
      </c>
      <c r="NW28" s="92" t="e">
        <f t="shared" ref="NW28:QH28" si="614">NW27/NW$18</f>
        <v>#N/A</v>
      </c>
      <c r="NX28" s="92" t="e">
        <f t="shared" si="614"/>
        <v>#N/A</v>
      </c>
      <c r="NY28" s="92" t="e">
        <f t="shared" si="614"/>
        <v>#N/A</v>
      </c>
      <c r="NZ28" s="92" t="e">
        <f t="shared" si="614"/>
        <v>#N/A</v>
      </c>
      <c r="OA28" s="88" t="e">
        <f t="shared" si="614"/>
        <v>#N/A</v>
      </c>
      <c r="OB28" s="92" t="e">
        <f t="shared" si="614"/>
        <v>#N/A</v>
      </c>
      <c r="OC28" s="92" t="e">
        <f t="shared" si="614"/>
        <v>#N/A</v>
      </c>
      <c r="OD28" s="92" t="e">
        <f t="shared" si="614"/>
        <v>#N/A</v>
      </c>
      <c r="OE28" s="92" t="e">
        <f t="shared" si="614"/>
        <v>#N/A</v>
      </c>
      <c r="OF28" s="92" t="e">
        <f t="shared" si="614"/>
        <v>#N/A</v>
      </c>
      <c r="OG28" s="92" t="e">
        <f t="shared" si="614"/>
        <v>#N/A</v>
      </c>
      <c r="OH28" s="92" t="e">
        <f t="shared" si="614"/>
        <v>#N/A</v>
      </c>
      <c r="OI28" s="92" t="e">
        <f t="shared" si="614"/>
        <v>#N/A</v>
      </c>
      <c r="OJ28" s="92" t="e">
        <f t="shared" si="614"/>
        <v>#N/A</v>
      </c>
      <c r="OK28" s="92" t="e">
        <f t="shared" si="614"/>
        <v>#N/A</v>
      </c>
      <c r="OL28" s="92" t="e">
        <f t="shared" si="614"/>
        <v>#N/A</v>
      </c>
      <c r="OM28" s="92" t="e">
        <f t="shared" si="614"/>
        <v>#N/A</v>
      </c>
      <c r="ON28" s="88" t="e">
        <f t="shared" si="614"/>
        <v>#N/A</v>
      </c>
      <c r="OO28" s="92" t="e">
        <f t="shared" si="614"/>
        <v>#N/A</v>
      </c>
      <c r="OP28" s="92" t="e">
        <f t="shared" si="614"/>
        <v>#N/A</v>
      </c>
      <c r="OQ28" s="92" t="e">
        <f t="shared" si="614"/>
        <v>#N/A</v>
      </c>
      <c r="OR28" s="92" t="e">
        <f t="shared" si="614"/>
        <v>#N/A</v>
      </c>
      <c r="OS28" s="92" t="e">
        <f t="shared" si="614"/>
        <v>#N/A</v>
      </c>
      <c r="OT28" s="92" t="e">
        <f t="shared" si="614"/>
        <v>#N/A</v>
      </c>
      <c r="OU28" s="92" t="e">
        <f t="shared" si="614"/>
        <v>#N/A</v>
      </c>
      <c r="OV28" s="92" t="e">
        <f t="shared" si="614"/>
        <v>#N/A</v>
      </c>
      <c r="OW28" s="92" t="e">
        <f t="shared" si="614"/>
        <v>#N/A</v>
      </c>
      <c r="OX28" s="92" t="e">
        <f t="shared" si="614"/>
        <v>#N/A</v>
      </c>
      <c r="OY28" s="92" t="e">
        <f t="shared" si="614"/>
        <v>#N/A</v>
      </c>
      <c r="OZ28" s="92" t="e">
        <f t="shared" si="614"/>
        <v>#N/A</v>
      </c>
      <c r="PA28" s="88" t="e">
        <f t="shared" si="614"/>
        <v>#N/A</v>
      </c>
      <c r="PB28" s="92" t="e">
        <f t="shared" si="614"/>
        <v>#N/A</v>
      </c>
      <c r="PC28" s="92" t="e">
        <f t="shared" si="614"/>
        <v>#N/A</v>
      </c>
      <c r="PD28" s="92" t="e">
        <f t="shared" si="614"/>
        <v>#N/A</v>
      </c>
      <c r="PE28" s="92" t="e">
        <f t="shared" si="614"/>
        <v>#N/A</v>
      </c>
      <c r="PF28" s="92" t="e">
        <f t="shared" si="614"/>
        <v>#N/A</v>
      </c>
      <c r="PG28" s="92" t="e">
        <f t="shared" si="614"/>
        <v>#N/A</v>
      </c>
      <c r="PH28" s="92" t="e">
        <f t="shared" si="614"/>
        <v>#N/A</v>
      </c>
      <c r="PI28" s="92" t="e">
        <f t="shared" si="614"/>
        <v>#N/A</v>
      </c>
      <c r="PJ28" s="92" t="e">
        <f t="shared" si="614"/>
        <v>#N/A</v>
      </c>
      <c r="PK28" s="92" t="e">
        <f t="shared" si="614"/>
        <v>#N/A</v>
      </c>
      <c r="PL28" s="92" t="e">
        <f t="shared" si="614"/>
        <v>#N/A</v>
      </c>
      <c r="PM28" s="92" t="e">
        <f t="shared" si="614"/>
        <v>#N/A</v>
      </c>
      <c r="PN28" s="88" t="e">
        <f t="shared" si="614"/>
        <v>#N/A</v>
      </c>
      <c r="PO28" s="92" t="e">
        <f t="shared" si="614"/>
        <v>#N/A</v>
      </c>
      <c r="PP28" s="92" t="e">
        <f t="shared" si="614"/>
        <v>#N/A</v>
      </c>
      <c r="PQ28" s="92" t="e">
        <f t="shared" si="614"/>
        <v>#N/A</v>
      </c>
      <c r="PR28" s="92" t="e">
        <f t="shared" si="614"/>
        <v>#N/A</v>
      </c>
      <c r="PS28" s="92" t="e">
        <f t="shared" si="614"/>
        <v>#N/A</v>
      </c>
      <c r="PT28" s="92" t="e">
        <f t="shared" si="614"/>
        <v>#N/A</v>
      </c>
      <c r="PU28" s="92" t="e">
        <f t="shared" si="614"/>
        <v>#N/A</v>
      </c>
      <c r="PV28" s="92" t="e">
        <f t="shared" si="614"/>
        <v>#N/A</v>
      </c>
      <c r="PW28" s="92" t="e">
        <f t="shared" si="614"/>
        <v>#N/A</v>
      </c>
      <c r="PX28" s="92" t="e">
        <f t="shared" si="614"/>
        <v>#N/A</v>
      </c>
      <c r="PY28" s="92" t="e">
        <f t="shared" si="614"/>
        <v>#N/A</v>
      </c>
      <c r="PZ28" s="92" t="e">
        <f t="shared" si="614"/>
        <v>#N/A</v>
      </c>
      <c r="QA28" s="88" t="e">
        <f t="shared" si="614"/>
        <v>#N/A</v>
      </c>
      <c r="QB28" s="92" t="e">
        <f t="shared" si="614"/>
        <v>#N/A</v>
      </c>
      <c r="QC28" s="92" t="e">
        <f t="shared" si="614"/>
        <v>#N/A</v>
      </c>
      <c r="QD28" s="92" t="e">
        <f t="shared" si="614"/>
        <v>#N/A</v>
      </c>
      <c r="QE28" s="92" t="e">
        <f t="shared" si="614"/>
        <v>#N/A</v>
      </c>
      <c r="QF28" s="92" t="e">
        <f t="shared" si="614"/>
        <v>#N/A</v>
      </c>
      <c r="QG28" s="92" t="e">
        <f t="shared" si="614"/>
        <v>#N/A</v>
      </c>
      <c r="QH28" s="92" t="e">
        <f t="shared" si="614"/>
        <v>#N/A</v>
      </c>
      <c r="QI28" s="92" t="e">
        <f t="shared" ref="QI28:RN28" si="615">QI27/QI$18</f>
        <v>#N/A</v>
      </c>
      <c r="QJ28" s="92" t="e">
        <f t="shared" si="615"/>
        <v>#N/A</v>
      </c>
      <c r="QK28" s="92" t="e">
        <f t="shared" si="615"/>
        <v>#N/A</v>
      </c>
      <c r="QL28" s="92" t="e">
        <f t="shared" si="615"/>
        <v>#N/A</v>
      </c>
      <c r="QM28" s="92" t="e">
        <f t="shared" si="615"/>
        <v>#N/A</v>
      </c>
      <c r="QN28" s="88" t="e">
        <f t="shared" si="615"/>
        <v>#N/A</v>
      </c>
      <c r="QO28" s="92" t="e">
        <f t="shared" si="615"/>
        <v>#N/A</v>
      </c>
      <c r="QP28" s="92" t="e">
        <f t="shared" si="615"/>
        <v>#N/A</v>
      </c>
      <c r="QQ28" s="92" t="e">
        <f t="shared" si="615"/>
        <v>#N/A</v>
      </c>
      <c r="QR28" s="92" t="e">
        <f t="shared" si="615"/>
        <v>#N/A</v>
      </c>
      <c r="QS28" s="92" t="e">
        <f t="shared" si="615"/>
        <v>#N/A</v>
      </c>
      <c r="QT28" s="92" t="e">
        <f t="shared" si="615"/>
        <v>#N/A</v>
      </c>
      <c r="QU28" s="92" t="e">
        <f t="shared" si="615"/>
        <v>#N/A</v>
      </c>
      <c r="QV28" s="92" t="e">
        <f t="shared" si="615"/>
        <v>#N/A</v>
      </c>
      <c r="QW28" s="92" t="e">
        <f t="shared" si="615"/>
        <v>#N/A</v>
      </c>
      <c r="QX28" s="92" t="e">
        <f t="shared" si="615"/>
        <v>#N/A</v>
      </c>
      <c r="QY28" s="92" t="e">
        <f t="shared" si="615"/>
        <v>#N/A</v>
      </c>
      <c r="QZ28" s="92" t="e">
        <f t="shared" si="615"/>
        <v>#N/A</v>
      </c>
      <c r="RA28" s="88" t="e">
        <f t="shared" si="615"/>
        <v>#N/A</v>
      </c>
      <c r="RB28" s="92" t="e">
        <f t="shared" si="615"/>
        <v>#N/A</v>
      </c>
      <c r="RC28" s="92" t="e">
        <f t="shared" si="615"/>
        <v>#N/A</v>
      </c>
      <c r="RD28" s="92" t="e">
        <f t="shared" si="615"/>
        <v>#N/A</v>
      </c>
      <c r="RE28" s="92" t="e">
        <f t="shared" si="615"/>
        <v>#N/A</v>
      </c>
      <c r="RF28" s="92" t="e">
        <f t="shared" si="615"/>
        <v>#N/A</v>
      </c>
      <c r="RG28" s="92" t="e">
        <f t="shared" si="615"/>
        <v>#N/A</v>
      </c>
      <c r="RH28" s="92" t="e">
        <f t="shared" si="615"/>
        <v>#N/A</v>
      </c>
      <c r="RI28" s="92" t="e">
        <f t="shared" si="615"/>
        <v>#N/A</v>
      </c>
      <c r="RJ28" s="92" t="e">
        <f t="shared" si="615"/>
        <v>#N/A</v>
      </c>
      <c r="RK28" s="92" t="e">
        <f t="shared" si="615"/>
        <v>#N/A</v>
      </c>
      <c r="RL28" s="92" t="e">
        <f t="shared" si="615"/>
        <v>#N/A</v>
      </c>
      <c r="RM28" s="92" t="e">
        <f t="shared" si="615"/>
        <v>#N/A</v>
      </c>
      <c r="RN28" s="88" t="e">
        <f t="shared" si="615"/>
        <v>#N/A</v>
      </c>
    </row>
    <row r="29" spans="1:482" hidden="1" outlineLevel="1" x14ac:dyDescent="0.3">
      <c r="AA29" s="93"/>
      <c r="AN29" s="93"/>
      <c r="BA29" s="93"/>
      <c r="BN29" s="93"/>
      <c r="CA29" s="93"/>
      <c r="CN29" s="93"/>
      <c r="DA29" s="93"/>
      <c r="DN29" s="93"/>
      <c r="EA29" s="93"/>
      <c r="EN29" s="93"/>
      <c r="FA29" s="93"/>
      <c r="FN29" s="93"/>
      <c r="GA29" s="93"/>
      <c r="GN29" s="93"/>
      <c r="HA29" s="93"/>
      <c r="HN29" s="93"/>
      <c r="IA29" s="93"/>
      <c r="IN29" s="93"/>
      <c r="JA29" s="93"/>
      <c r="JN29" s="93"/>
      <c r="KA29" s="93"/>
      <c r="KN29" s="93"/>
      <c r="LA29" s="93"/>
      <c r="LN29" s="93"/>
      <c r="MA29" s="93"/>
      <c r="MN29" s="93"/>
      <c r="NA29" s="93"/>
      <c r="NN29" s="93"/>
      <c r="OA29" s="93"/>
      <c r="ON29" s="93"/>
      <c r="PA29" s="93"/>
      <c r="PN29" s="93"/>
      <c r="QA29" s="93"/>
      <c r="QN29" s="93"/>
      <c r="RA29" s="93"/>
      <c r="RN29" s="93"/>
    </row>
    <row r="30" spans="1:482" hidden="1" outlineLevel="1" x14ac:dyDescent="0.3">
      <c r="A30" s="89" t="s">
        <v>250</v>
      </c>
      <c r="B30" s="86">
        <f>Inputs!$B$34/12</f>
        <v>0</v>
      </c>
      <c r="C30" s="86">
        <f t="shared" ref="C30:M31" si="616">B30</f>
        <v>0</v>
      </c>
      <c r="D30" s="86">
        <f t="shared" si="616"/>
        <v>0</v>
      </c>
      <c r="E30" s="86">
        <f t="shared" si="616"/>
        <v>0</v>
      </c>
      <c r="F30" s="86">
        <f t="shared" si="616"/>
        <v>0</v>
      </c>
      <c r="G30" s="86">
        <f t="shared" si="616"/>
        <v>0</v>
      </c>
      <c r="H30" s="86">
        <f t="shared" si="616"/>
        <v>0</v>
      </c>
      <c r="I30" s="86">
        <f t="shared" si="616"/>
        <v>0</v>
      </c>
      <c r="J30" s="86">
        <f t="shared" si="616"/>
        <v>0</v>
      </c>
      <c r="K30" s="86">
        <f t="shared" si="616"/>
        <v>0</v>
      </c>
      <c r="L30" s="86">
        <f t="shared" si="616"/>
        <v>0</v>
      </c>
      <c r="M30" s="86">
        <f t="shared" si="616"/>
        <v>0</v>
      </c>
      <c r="N30" s="87">
        <f t="shared" ref="N30:N32" si="617">SUM(B30:M30)</f>
        <v>0</v>
      </c>
      <c r="O30" s="86">
        <f>M30*(1+Inputs!$B$10)</f>
        <v>0</v>
      </c>
      <c r="P30" s="86">
        <f t="shared" ref="P30:Z31" si="618">O30</f>
        <v>0</v>
      </c>
      <c r="Q30" s="86">
        <f t="shared" si="618"/>
        <v>0</v>
      </c>
      <c r="R30" s="86">
        <f t="shared" si="618"/>
        <v>0</v>
      </c>
      <c r="S30" s="86">
        <f t="shared" si="618"/>
        <v>0</v>
      </c>
      <c r="T30" s="86">
        <f t="shared" si="618"/>
        <v>0</v>
      </c>
      <c r="U30" s="86">
        <f t="shared" si="618"/>
        <v>0</v>
      </c>
      <c r="V30" s="86">
        <f t="shared" si="618"/>
        <v>0</v>
      </c>
      <c r="W30" s="86">
        <f t="shared" si="618"/>
        <v>0</v>
      </c>
      <c r="X30" s="86">
        <f t="shared" si="618"/>
        <v>0</v>
      </c>
      <c r="Y30" s="86">
        <f t="shared" si="618"/>
        <v>0</v>
      </c>
      <c r="Z30" s="86">
        <f t="shared" si="618"/>
        <v>0</v>
      </c>
      <c r="AA30" s="87">
        <f t="shared" ref="AA30:AA32" si="619">SUM(O30:Z30)</f>
        <v>0</v>
      </c>
      <c r="AB30" s="86">
        <f>Z30*(1+Inputs!$B$10)</f>
        <v>0</v>
      </c>
      <c r="AC30" s="86">
        <f t="shared" ref="AC30:AM31" si="620">AB30</f>
        <v>0</v>
      </c>
      <c r="AD30" s="86">
        <f t="shared" si="620"/>
        <v>0</v>
      </c>
      <c r="AE30" s="86">
        <f t="shared" si="620"/>
        <v>0</v>
      </c>
      <c r="AF30" s="86">
        <f t="shared" si="620"/>
        <v>0</v>
      </c>
      <c r="AG30" s="86">
        <f t="shared" si="620"/>
        <v>0</v>
      </c>
      <c r="AH30" s="86">
        <f t="shared" si="620"/>
        <v>0</v>
      </c>
      <c r="AI30" s="86">
        <f t="shared" si="620"/>
        <v>0</v>
      </c>
      <c r="AJ30" s="86">
        <f t="shared" si="620"/>
        <v>0</v>
      </c>
      <c r="AK30" s="86">
        <f t="shared" si="620"/>
        <v>0</v>
      </c>
      <c r="AL30" s="86">
        <f t="shared" si="620"/>
        <v>0</v>
      </c>
      <c r="AM30" s="86">
        <f t="shared" si="620"/>
        <v>0</v>
      </c>
      <c r="AN30" s="87">
        <f t="shared" ref="AN30:AN32" si="621">SUM(AB30:AM30)</f>
        <v>0</v>
      </c>
      <c r="AO30" s="86">
        <f>AM30*(1+Inputs!$B$10)</f>
        <v>0</v>
      </c>
      <c r="AP30" s="86">
        <f t="shared" ref="AP30:AZ31" si="622">AO30</f>
        <v>0</v>
      </c>
      <c r="AQ30" s="86">
        <f t="shared" si="622"/>
        <v>0</v>
      </c>
      <c r="AR30" s="86">
        <f t="shared" si="622"/>
        <v>0</v>
      </c>
      <c r="AS30" s="86">
        <f t="shared" si="622"/>
        <v>0</v>
      </c>
      <c r="AT30" s="86">
        <f t="shared" si="622"/>
        <v>0</v>
      </c>
      <c r="AU30" s="86">
        <f t="shared" si="622"/>
        <v>0</v>
      </c>
      <c r="AV30" s="86">
        <f t="shared" si="622"/>
        <v>0</v>
      </c>
      <c r="AW30" s="86">
        <f t="shared" si="622"/>
        <v>0</v>
      </c>
      <c r="AX30" s="86">
        <f t="shared" si="622"/>
        <v>0</v>
      </c>
      <c r="AY30" s="86">
        <f t="shared" si="622"/>
        <v>0</v>
      </c>
      <c r="AZ30" s="86">
        <f t="shared" si="622"/>
        <v>0</v>
      </c>
      <c r="BA30" s="87">
        <f t="shared" ref="BA30:BA32" si="623">SUM(AO30:AZ30)</f>
        <v>0</v>
      </c>
      <c r="BB30" s="86">
        <f>AZ30*(1+Inputs!$B$10)</f>
        <v>0</v>
      </c>
      <c r="BC30" s="86">
        <f t="shared" ref="BC30:BM31" si="624">BB30</f>
        <v>0</v>
      </c>
      <c r="BD30" s="86">
        <f t="shared" si="624"/>
        <v>0</v>
      </c>
      <c r="BE30" s="86">
        <f t="shared" si="624"/>
        <v>0</v>
      </c>
      <c r="BF30" s="86">
        <f t="shared" si="624"/>
        <v>0</v>
      </c>
      <c r="BG30" s="86">
        <f t="shared" si="624"/>
        <v>0</v>
      </c>
      <c r="BH30" s="86">
        <f t="shared" si="624"/>
        <v>0</v>
      </c>
      <c r="BI30" s="86">
        <f t="shared" si="624"/>
        <v>0</v>
      </c>
      <c r="BJ30" s="86">
        <f t="shared" si="624"/>
        <v>0</v>
      </c>
      <c r="BK30" s="86">
        <f t="shared" si="624"/>
        <v>0</v>
      </c>
      <c r="BL30" s="86">
        <f t="shared" si="624"/>
        <v>0</v>
      </c>
      <c r="BM30" s="86">
        <f t="shared" si="624"/>
        <v>0</v>
      </c>
      <c r="BN30" s="87">
        <f t="shared" ref="BN30:BN32" si="625">SUM(BB30:BM30)</f>
        <v>0</v>
      </c>
      <c r="BO30" s="86">
        <f>BM30*(1+Inputs!$B$10)</f>
        <v>0</v>
      </c>
      <c r="BP30" s="86">
        <f t="shared" ref="BP30:BZ31" si="626">BO30</f>
        <v>0</v>
      </c>
      <c r="BQ30" s="86">
        <f t="shared" si="626"/>
        <v>0</v>
      </c>
      <c r="BR30" s="86">
        <f t="shared" si="626"/>
        <v>0</v>
      </c>
      <c r="BS30" s="86">
        <f t="shared" si="626"/>
        <v>0</v>
      </c>
      <c r="BT30" s="86">
        <f t="shared" si="626"/>
        <v>0</v>
      </c>
      <c r="BU30" s="86">
        <f t="shared" si="626"/>
        <v>0</v>
      </c>
      <c r="BV30" s="86">
        <f t="shared" si="626"/>
        <v>0</v>
      </c>
      <c r="BW30" s="86">
        <f t="shared" si="626"/>
        <v>0</v>
      </c>
      <c r="BX30" s="86">
        <f t="shared" si="626"/>
        <v>0</v>
      </c>
      <c r="BY30" s="86">
        <f t="shared" si="626"/>
        <v>0</v>
      </c>
      <c r="BZ30" s="86">
        <f t="shared" si="626"/>
        <v>0</v>
      </c>
      <c r="CA30" s="87">
        <f t="shared" ref="CA30:CA32" si="627">SUM(BO30:BZ30)</f>
        <v>0</v>
      </c>
      <c r="CB30" s="86">
        <f>BZ30*(1+Inputs!$B$10)</f>
        <v>0</v>
      </c>
      <c r="CC30" s="86">
        <f t="shared" ref="CC30:CM31" si="628">CB30</f>
        <v>0</v>
      </c>
      <c r="CD30" s="86">
        <f t="shared" si="628"/>
        <v>0</v>
      </c>
      <c r="CE30" s="86">
        <f t="shared" si="628"/>
        <v>0</v>
      </c>
      <c r="CF30" s="86">
        <f t="shared" si="628"/>
        <v>0</v>
      </c>
      <c r="CG30" s="86">
        <f t="shared" si="628"/>
        <v>0</v>
      </c>
      <c r="CH30" s="86">
        <f t="shared" si="628"/>
        <v>0</v>
      </c>
      <c r="CI30" s="86">
        <f t="shared" si="628"/>
        <v>0</v>
      </c>
      <c r="CJ30" s="86">
        <f t="shared" si="628"/>
        <v>0</v>
      </c>
      <c r="CK30" s="86">
        <f t="shared" si="628"/>
        <v>0</v>
      </c>
      <c r="CL30" s="86">
        <f t="shared" si="628"/>
        <v>0</v>
      </c>
      <c r="CM30" s="86">
        <f t="shared" si="628"/>
        <v>0</v>
      </c>
      <c r="CN30" s="87">
        <f t="shared" ref="CN30:CN32" si="629">SUM(CB30:CM30)</f>
        <v>0</v>
      </c>
      <c r="CO30" s="86">
        <f>CM30*(1+Inputs!$B$10)</f>
        <v>0</v>
      </c>
      <c r="CP30" s="86">
        <f t="shared" ref="CP30:CZ31" si="630">CO30</f>
        <v>0</v>
      </c>
      <c r="CQ30" s="86">
        <f t="shared" si="630"/>
        <v>0</v>
      </c>
      <c r="CR30" s="86">
        <f t="shared" si="630"/>
        <v>0</v>
      </c>
      <c r="CS30" s="86">
        <f t="shared" si="630"/>
        <v>0</v>
      </c>
      <c r="CT30" s="86">
        <f t="shared" si="630"/>
        <v>0</v>
      </c>
      <c r="CU30" s="86">
        <f t="shared" si="630"/>
        <v>0</v>
      </c>
      <c r="CV30" s="86">
        <f t="shared" si="630"/>
        <v>0</v>
      </c>
      <c r="CW30" s="86">
        <f t="shared" si="630"/>
        <v>0</v>
      </c>
      <c r="CX30" s="86">
        <f t="shared" si="630"/>
        <v>0</v>
      </c>
      <c r="CY30" s="86">
        <f t="shared" si="630"/>
        <v>0</v>
      </c>
      <c r="CZ30" s="86">
        <f t="shared" si="630"/>
        <v>0</v>
      </c>
      <c r="DA30" s="87">
        <f t="shared" ref="DA30:DA32" si="631">SUM(CO30:CZ30)</f>
        <v>0</v>
      </c>
      <c r="DB30" s="86">
        <f>CZ30*(1+Inputs!$B$10)</f>
        <v>0</v>
      </c>
      <c r="DC30" s="86">
        <f t="shared" ref="DC30:DM31" si="632">DB30</f>
        <v>0</v>
      </c>
      <c r="DD30" s="86">
        <f t="shared" si="632"/>
        <v>0</v>
      </c>
      <c r="DE30" s="86">
        <f t="shared" si="632"/>
        <v>0</v>
      </c>
      <c r="DF30" s="86">
        <f t="shared" si="632"/>
        <v>0</v>
      </c>
      <c r="DG30" s="86">
        <f t="shared" si="632"/>
        <v>0</v>
      </c>
      <c r="DH30" s="86">
        <f t="shared" si="632"/>
        <v>0</v>
      </c>
      <c r="DI30" s="86">
        <f t="shared" si="632"/>
        <v>0</v>
      </c>
      <c r="DJ30" s="86">
        <f t="shared" si="632"/>
        <v>0</v>
      </c>
      <c r="DK30" s="86">
        <f t="shared" si="632"/>
        <v>0</v>
      </c>
      <c r="DL30" s="86">
        <f t="shared" si="632"/>
        <v>0</v>
      </c>
      <c r="DM30" s="86">
        <f t="shared" si="632"/>
        <v>0</v>
      </c>
      <c r="DN30" s="87">
        <f t="shared" ref="DN30:DN32" si="633">SUM(DB30:DM30)</f>
        <v>0</v>
      </c>
      <c r="DO30" s="86">
        <f>DM30*(1+Inputs!$B$10)</f>
        <v>0</v>
      </c>
      <c r="DP30" s="86">
        <f t="shared" ref="DP30:DZ31" si="634">DO30</f>
        <v>0</v>
      </c>
      <c r="DQ30" s="86">
        <f t="shared" si="634"/>
        <v>0</v>
      </c>
      <c r="DR30" s="86">
        <f t="shared" si="634"/>
        <v>0</v>
      </c>
      <c r="DS30" s="86">
        <f t="shared" si="634"/>
        <v>0</v>
      </c>
      <c r="DT30" s="86">
        <f t="shared" si="634"/>
        <v>0</v>
      </c>
      <c r="DU30" s="86">
        <f t="shared" si="634"/>
        <v>0</v>
      </c>
      <c r="DV30" s="86">
        <f t="shared" si="634"/>
        <v>0</v>
      </c>
      <c r="DW30" s="86">
        <f t="shared" si="634"/>
        <v>0</v>
      </c>
      <c r="DX30" s="86">
        <f t="shared" si="634"/>
        <v>0</v>
      </c>
      <c r="DY30" s="86">
        <f t="shared" si="634"/>
        <v>0</v>
      </c>
      <c r="DZ30" s="86">
        <f t="shared" si="634"/>
        <v>0</v>
      </c>
      <c r="EA30" s="87">
        <f t="shared" ref="EA30:EA32" si="635">SUM(DO30:DZ30)</f>
        <v>0</v>
      </c>
      <c r="EB30" s="86">
        <f>DZ30*(1+Inputs!$B$10)</f>
        <v>0</v>
      </c>
      <c r="EC30" s="86">
        <f t="shared" ref="EC30:EM31" si="636">EB30</f>
        <v>0</v>
      </c>
      <c r="ED30" s="86">
        <f t="shared" si="636"/>
        <v>0</v>
      </c>
      <c r="EE30" s="86">
        <f t="shared" si="636"/>
        <v>0</v>
      </c>
      <c r="EF30" s="86">
        <f t="shared" si="636"/>
        <v>0</v>
      </c>
      <c r="EG30" s="86">
        <f t="shared" si="636"/>
        <v>0</v>
      </c>
      <c r="EH30" s="86">
        <f t="shared" si="636"/>
        <v>0</v>
      </c>
      <c r="EI30" s="86">
        <f t="shared" si="636"/>
        <v>0</v>
      </c>
      <c r="EJ30" s="86">
        <f t="shared" si="636"/>
        <v>0</v>
      </c>
      <c r="EK30" s="86">
        <f t="shared" si="636"/>
        <v>0</v>
      </c>
      <c r="EL30" s="86">
        <f t="shared" si="636"/>
        <v>0</v>
      </c>
      <c r="EM30" s="86">
        <f t="shared" si="636"/>
        <v>0</v>
      </c>
      <c r="EN30" s="87">
        <f t="shared" ref="EN30:EN32" si="637">SUM(EB30:EM30)</f>
        <v>0</v>
      </c>
      <c r="EO30" s="86">
        <f>EM30*(1+Inputs!$B$10)</f>
        <v>0</v>
      </c>
      <c r="EP30" s="86">
        <f t="shared" ref="EP30:EZ31" si="638">EO30</f>
        <v>0</v>
      </c>
      <c r="EQ30" s="86">
        <f t="shared" si="638"/>
        <v>0</v>
      </c>
      <c r="ER30" s="86">
        <f t="shared" si="638"/>
        <v>0</v>
      </c>
      <c r="ES30" s="86">
        <f t="shared" si="638"/>
        <v>0</v>
      </c>
      <c r="ET30" s="86">
        <f t="shared" si="638"/>
        <v>0</v>
      </c>
      <c r="EU30" s="86">
        <f t="shared" si="638"/>
        <v>0</v>
      </c>
      <c r="EV30" s="86">
        <f t="shared" si="638"/>
        <v>0</v>
      </c>
      <c r="EW30" s="86">
        <f t="shared" si="638"/>
        <v>0</v>
      </c>
      <c r="EX30" s="86">
        <f t="shared" si="638"/>
        <v>0</v>
      </c>
      <c r="EY30" s="86">
        <f t="shared" si="638"/>
        <v>0</v>
      </c>
      <c r="EZ30" s="86">
        <f t="shared" si="638"/>
        <v>0</v>
      </c>
      <c r="FA30" s="87">
        <f t="shared" ref="FA30:FA32" si="639">SUM(EO30:EZ30)</f>
        <v>0</v>
      </c>
      <c r="FB30" s="86">
        <f>EZ30*(1+Inputs!$B$10)</f>
        <v>0</v>
      </c>
      <c r="FC30" s="86">
        <f t="shared" ref="FC30:FM31" si="640">FB30</f>
        <v>0</v>
      </c>
      <c r="FD30" s="86">
        <f t="shared" si="640"/>
        <v>0</v>
      </c>
      <c r="FE30" s="86">
        <f t="shared" si="640"/>
        <v>0</v>
      </c>
      <c r="FF30" s="86">
        <f t="shared" si="640"/>
        <v>0</v>
      </c>
      <c r="FG30" s="86">
        <f t="shared" si="640"/>
        <v>0</v>
      </c>
      <c r="FH30" s="86">
        <f t="shared" si="640"/>
        <v>0</v>
      </c>
      <c r="FI30" s="86">
        <f t="shared" si="640"/>
        <v>0</v>
      </c>
      <c r="FJ30" s="86">
        <f t="shared" si="640"/>
        <v>0</v>
      </c>
      <c r="FK30" s="86">
        <f t="shared" si="640"/>
        <v>0</v>
      </c>
      <c r="FL30" s="86">
        <f t="shared" si="640"/>
        <v>0</v>
      </c>
      <c r="FM30" s="86">
        <f t="shared" si="640"/>
        <v>0</v>
      </c>
      <c r="FN30" s="87">
        <f t="shared" ref="FN30:FN32" si="641">SUM(FB30:FM30)</f>
        <v>0</v>
      </c>
      <c r="FO30" s="86">
        <f>FM30*(1+Inputs!$B$10)</f>
        <v>0</v>
      </c>
      <c r="FP30" s="86">
        <f t="shared" ref="FP30:FZ31" si="642">FO30</f>
        <v>0</v>
      </c>
      <c r="FQ30" s="86">
        <f t="shared" si="642"/>
        <v>0</v>
      </c>
      <c r="FR30" s="86">
        <f t="shared" si="642"/>
        <v>0</v>
      </c>
      <c r="FS30" s="86">
        <f t="shared" si="642"/>
        <v>0</v>
      </c>
      <c r="FT30" s="86">
        <f t="shared" si="642"/>
        <v>0</v>
      </c>
      <c r="FU30" s="86">
        <f t="shared" si="642"/>
        <v>0</v>
      </c>
      <c r="FV30" s="86">
        <f t="shared" si="642"/>
        <v>0</v>
      </c>
      <c r="FW30" s="86">
        <f t="shared" si="642"/>
        <v>0</v>
      </c>
      <c r="FX30" s="86">
        <f t="shared" si="642"/>
        <v>0</v>
      </c>
      <c r="FY30" s="86">
        <f t="shared" si="642"/>
        <v>0</v>
      </c>
      <c r="FZ30" s="86">
        <f t="shared" si="642"/>
        <v>0</v>
      </c>
      <c r="GA30" s="87">
        <f t="shared" ref="GA30:GA32" si="643">SUM(FO30:FZ30)</f>
        <v>0</v>
      </c>
      <c r="GB30" s="86">
        <f>FZ30*(1+Inputs!$B$10)</f>
        <v>0</v>
      </c>
      <c r="GC30" s="86">
        <f t="shared" ref="GC30:GM31" si="644">GB30</f>
        <v>0</v>
      </c>
      <c r="GD30" s="86">
        <f t="shared" si="644"/>
        <v>0</v>
      </c>
      <c r="GE30" s="86">
        <f t="shared" si="644"/>
        <v>0</v>
      </c>
      <c r="GF30" s="86">
        <f t="shared" si="644"/>
        <v>0</v>
      </c>
      <c r="GG30" s="86">
        <f t="shared" si="644"/>
        <v>0</v>
      </c>
      <c r="GH30" s="86">
        <f t="shared" si="644"/>
        <v>0</v>
      </c>
      <c r="GI30" s="86">
        <f t="shared" si="644"/>
        <v>0</v>
      </c>
      <c r="GJ30" s="86">
        <f t="shared" si="644"/>
        <v>0</v>
      </c>
      <c r="GK30" s="86">
        <f t="shared" si="644"/>
        <v>0</v>
      </c>
      <c r="GL30" s="86">
        <f t="shared" si="644"/>
        <v>0</v>
      </c>
      <c r="GM30" s="86">
        <f t="shared" si="644"/>
        <v>0</v>
      </c>
      <c r="GN30" s="87">
        <f t="shared" ref="GN30:GN32" si="645">SUM(GB30:GM30)</f>
        <v>0</v>
      </c>
      <c r="GO30" s="86">
        <f>GM30*(1+Inputs!$B$10)</f>
        <v>0</v>
      </c>
      <c r="GP30" s="86">
        <f t="shared" ref="GP30:GZ31" si="646">GO30</f>
        <v>0</v>
      </c>
      <c r="GQ30" s="86">
        <f t="shared" si="646"/>
        <v>0</v>
      </c>
      <c r="GR30" s="86">
        <f t="shared" si="646"/>
        <v>0</v>
      </c>
      <c r="GS30" s="86">
        <f t="shared" si="646"/>
        <v>0</v>
      </c>
      <c r="GT30" s="86">
        <f t="shared" si="646"/>
        <v>0</v>
      </c>
      <c r="GU30" s="86">
        <f t="shared" si="646"/>
        <v>0</v>
      </c>
      <c r="GV30" s="86">
        <f t="shared" si="646"/>
        <v>0</v>
      </c>
      <c r="GW30" s="86">
        <f t="shared" si="646"/>
        <v>0</v>
      </c>
      <c r="GX30" s="86">
        <f t="shared" si="646"/>
        <v>0</v>
      </c>
      <c r="GY30" s="86">
        <f t="shared" si="646"/>
        <v>0</v>
      </c>
      <c r="GZ30" s="86">
        <f t="shared" si="646"/>
        <v>0</v>
      </c>
      <c r="HA30" s="87">
        <f t="shared" ref="HA30:HA32" si="647">SUM(GO30:GZ30)</f>
        <v>0</v>
      </c>
      <c r="HB30" s="86">
        <f>GZ30*(1+Inputs!$B$10)</f>
        <v>0</v>
      </c>
      <c r="HC30" s="86">
        <f t="shared" ref="HC30:HM31" si="648">HB30</f>
        <v>0</v>
      </c>
      <c r="HD30" s="86">
        <f t="shared" si="648"/>
        <v>0</v>
      </c>
      <c r="HE30" s="86">
        <f t="shared" si="648"/>
        <v>0</v>
      </c>
      <c r="HF30" s="86">
        <f t="shared" si="648"/>
        <v>0</v>
      </c>
      <c r="HG30" s="86">
        <f t="shared" si="648"/>
        <v>0</v>
      </c>
      <c r="HH30" s="86">
        <f t="shared" si="648"/>
        <v>0</v>
      </c>
      <c r="HI30" s="86">
        <f t="shared" si="648"/>
        <v>0</v>
      </c>
      <c r="HJ30" s="86">
        <f t="shared" si="648"/>
        <v>0</v>
      </c>
      <c r="HK30" s="86">
        <f t="shared" si="648"/>
        <v>0</v>
      </c>
      <c r="HL30" s="86">
        <f t="shared" si="648"/>
        <v>0</v>
      </c>
      <c r="HM30" s="86">
        <f t="shared" si="648"/>
        <v>0</v>
      </c>
      <c r="HN30" s="87">
        <f t="shared" ref="HN30:HN32" si="649">SUM(HB30:HM30)</f>
        <v>0</v>
      </c>
      <c r="HO30" s="86">
        <f>HM30*(1+Inputs!$B$10)</f>
        <v>0</v>
      </c>
      <c r="HP30" s="86">
        <f t="shared" ref="HP30:HZ31" si="650">HO30</f>
        <v>0</v>
      </c>
      <c r="HQ30" s="86">
        <f t="shared" si="650"/>
        <v>0</v>
      </c>
      <c r="HR30" s="86">
        <f t="shared" si="650"/>
        <v>0</v>
      </c>
      <c r="HS30" s="86">
        <f t="shared" si="650"/>
        <v>0</v>
      </c>
      <c r="HT30" s="86">
        <f t="shared" si="650"/>
        <v>0</v>
      </c>
      <c r="HU30" s="86">
        <f t="shared" si="650"/>
        <v>0</v>
      </c>
      <c r="HV30" s="86">
        <f t="shared" si="650"/>
        <v>0</v>
      </c>
      <c r="HW30" s="86">
        <f t="shared" si="650"/>
        <v>0</v>
      </c>
      <c r="HX30" s="86">
        <f t="shared" si="650"/>
        <v>0</v>
      </c>
      <c r="HY30" s="86">
        <f t="shared" si="650"/>
        <v>0</v>
      </c>
      <c r="HZ30" s="86">
        <f t="shared" si="650"/>
        <v>0</v>
      </c>
      <c r="IA30" s="87">
        <f t="shared" ref="IA30:IA32" si="651">SUM(HO30:HZ30)</f>
        <v>0</v>
      </c>
      <c r="IB30" s="86">
        <f>HZ30*(1+Inputs!$B$10)</f>
        <v>0</v>
      </c>
      <c r="IC30" s="86">
        <f t="shared" ref="IC30:IM31" si="652">IB30</f>
        <v>0</v>
      </c>
      <c r="ID30" s="86">
        <f t="shared" si="652"/>
        <v>0</v>
      </c>
      <c r="IE30" s="86">
        <f t="shared" si="652"/>
        <v>0</v>
      </c>
      <c r="IF30" s="86">
        <f t="shared" si="652"/>
        <v>0</v>
      </c>
      <c r="IG30" s="86">
        <f t="shared" si="652"/>
        <v>0</v>
      </c>
      <c r="IH30" s="86">
        <f t="shared" si="652"/>
        <v>0</v>
      </c>
      <c r="II30" s="86">
        <f t="shared" si="652"/>
        <v>0</v>
      </c>
      <c r="IJ30" s="86">
        <f t="shared" si="652"/>
        <v>0</v>
      </c>
      <c r="IK30" s="86">
        <f t="shared" si="652"/>
        <v>0</v>
      </c>
      <c r="IL30" s="86">
        <f t="shared" si="652"/>
        <v>0</v>
      </c>
      <c r="IM30" s="86">
        <f t="shared" si="652"/>
        <v>0</v>
      </c>
      <c r="IN30" s="87">
        <f t="shared" ref="IN30:IN32" si="653">SUM(IB30:IM30)</f>
        <v>0</v>
      </c>
      <c r="IO30" s="86">
        <f>IM30*(1+Inputs!$B$10)</f>
        <v>0</v>
      </c>
      <c r="IP30" s="86">
        <f t="shared" ref="IP30:IZ31" si="654">IO30</f>
        <v>0</v>
      </c>
      <c r="IQ30" s="86">
        <f t="shared" si="654"/>
        <v>0</v>
      </c>
      <c r="IR30" s="86">
        <f t="shared" si="654"/>
        <v>0</v>
      </c>
      <c r="IS30" s="86">
        <f t="shared" si="654"/>
        <v>0</v>
      </c>
      <c r="IT30" s="86">
        <f t="shared" si="654"/>
        <v>0</v>
      </c>
      <c r="IU30" s="86">
        <f t="shared" si="654"/>
        <v>0</v>
      </c>
      <c r="IV30" s="86">
        <f t="shared" si="654"/>
        <v>0</v>
      </c>
      <c r="IW30" s="86">
        <f t="shared" si="654"/>
        <v>0</v>
      </c>
      <c r="IX30" s="86">
        <f t="shared" si="654"/>
        <v>0</v>
      </c>
      <c r="IY30" s="86">
        <f t="shared" si="654"/>
        <v>0</v>
      </c>
      <c r="IZ30" s="86">
        <f t="shared" si="654"/>
        <v>0</v>
      </c>
      <c r="JA30" s="87">
        <f t="shared" ref="JA30:JA32" si="655">SUM(IO30:IZ30)</f>
        <v>0</v>
      </c>
      <c r="JB30" s="86">
        <f>IZ30*(1+Inputs!$B$10)</f>
        <v>0</v>
      </c>
      <c r="JC30" s="86">
        <f t="shared" ref="JC30:JM31" si="656">JB30</f>
        <v>0</v>
      </c>
      <c r="JD30" s="86">
        <f t="shared" si="656"/>
        <v>0</v>
      </c>
      <c r="JE30" s="86">
        <f t="shared" si="656"/>
        <v>0</v>
      </c>
      <c r="JF30" s="86">
        <f t="shared" si="656"/>
        <v>0</v>
      </c>
      <c r="JG30" s="86">
        <f t="shared" si="656"/>
        <v>0</v>
      </c>
      <c r="JH30" s="86">
        <f t="shared" si="656"/>
        <v>0</v>
      </c>
      <c r="JI30" s="86">
        <f t="shared" si="656"/>
        <v>0</v>
      </c>
      <c r="JJ30" s="86">
        <f t="shared" si="656"/>
        <v>0</v>
      </c>
      <c r="JK30" s="86">
        <f t="shared" si="656"/>
        <v>0</v>
      </c>
      <c r="JL30" s="86">
        <f t="shared" si="656"/>
        <v>0</v>
      </c>
      <c r="JM30" s="86">
        <f t="shared" si="656"/>
        <v>0</v>
      </c>
      <c r="JN30" s="87">
        <f t="shared" ref="JN30:JN32" si="657">SUM(JB30:JM30)</f>
        <v>0</v>
      </c>
      <c r="JO30" s="86">
        <f>JM30*(1+Inputs!$B$10)</f>
        <v>0</v>
      </c>
      <c r="JP30" s="86">
        <f t="shared" ref="JP30:JZ31" si="658">JO30</f>
        <v>0</v>
      </c>
      <c r="JQ30" s="86">
        <f t="shared" si="658"/>
        <v>0</v>
      </c>
      <c r="JR30" s="86">
        <f t="shared" si="658"/>
        <v>0</v>
      </c>
      <c r="JS30" s="86">
        <f t="shared" si="658"/>
        <v>0</v>
      </c>
      <c r="JT30" s="86">
        <f t="shared" si="658"/>
        <v>0</v>
      </c>
      <c r="JU30" s="86">
        <f t="shared" si="658"/>
        <v>0</v>
      </c>
      <c r="JV30" s="86">
        <f t="shared" si="658"/>
        <v>0</v>
      </c>
      <c r="JW30" s="86">
        <f t="shared" si="658"/>
        <v>0</v>
      </c>
      <c r="JX30" s="86">
        <f t="shared" si="658"/>
        <v>0</v>
      </c>
      <c r="JY30" s="86">
        <f t="shared" si="658"/>
        <v>0</v>
      </c>
      <c r="JZ30" s="86">
        <f t="shared" si="658"/>
        <v>0</v>
      </c>
      <c r="KA30" s="87">
        <f t="shared" ref="KA30:KA32" si="659">SUM(JO30:JZ30)</f>
        <v>0</v>
      </c>
      <c r="KB30" s="86">
        <f>JZ30*(1+Inputs!$B$10)</f>
        <v>0</v>
      </c>
      <c r="KC30" s="86">
        <f t="shared" ref="KC30:KM31" si="660">KB30</f>
        <v>0</v>
      </c>
      <c r="KD30" s="86">
        <f t="shared" si="660"/>
        <v>0</v>
      </c>
      <c r="KE30" s="86">
        <f t="shared" si="660"/>
        <v>0</v>
      </c>
      <c r="KF30" s="86">
        <f t="shared" si="660"/>
        <v>0</v>
      </c>
      <c r="KG30" s="86">
        <f t="shared" si="660"/>
        <v>0</v>
      </c>
      <c r="KH30" s="86">
        <f t="shared" si="660"/>
        <v>0</v>
      </c>
      <c r="KI30" s="86">
        <f t="shared" si="660"/>
        <v>0</v>
      </c>
      <c r="KJ30" s="86">
        <f t="shared" si="660"/>
        <v>0</v>
      </c>
      <c r="KK30" s="86">
        <f t="shared" si="660"/>
        <v>0</v>
      </c>
      <c r="KL30" s="86">
        <f t="shared" si="660"/>
        <v>0</v>
      </c>
      <c r="KM30" s="86">
        <f t="shared" si="660"/>
        <v>0</v>
      </c>
      <c r="KN30" s="87">
        <f t="shared" ref="KN30:KN32" si="661">SUM(KB30:KM30)</f>
        <v>0</v>
      </c>
      <c r="KO30" s="86">
        <f>KM30*(1+Inputs!$B$10)</f>
        <v>0</v>
      </c>
      <c r="KP30" s="86">
        <f t="shared" ref="KP30:KZ31" si="662">KO30</f>
        <v>0</v>
      </c>
      <c r="KQ30" s="86">
        <f t="shared" si="662"/>
        <v>0</v>
      </c>
      <c r="KR30" s="86">
        <f t="shared" si="662"/>
        <v>0</v>
      </c>
      <c r="KS30" s="86">
        <f t="shared" si="662"/>
        <v>0</v>
      </c>
      <c r="KT30" s="86">
        <f t="shared" si="662"/>
        <v>0</v>
      </c>
      <c r="KU30" s="86">
        <f t="shared" si="662"/>
        <v>0</v>
      </c>
      <c r="KV30" s="86">
        <f t="shared" si="662"/>
        <v>0</v>
      </c>
      <c r="KW30" s="86">
        <f t="shared" si="662"/>
        <v>0</v>
      </c>
      <c r="KX30" s="86">
        <f t="shared" si="662"/>
        <v>0</v>
      </c>
      <c r="KY30" s="86">
        <f t="shared" si="662"/>
        <v>0</v>
      </c>
      <c r="KZ30" s="86">
        <f t="shared" si="662"/>
        <v>0</v>
      </c>
      <c r="LA30" s="87">
        <f t="shared" ref="LA30:LA32" si="663">SUM(KO30:KZ30)</f>
        <v>0</v>
      </c>
      <c r="LB30" s="86">
        <f>KZ30*(1+Inputs!$B$10)</f>
        <v>0</v>
      </c>
      <c r="LC30" s="86">
        <f t="shared" ref="LC30:LM31" si="664">LB30</f>
        <v>0</v>
      </c>
      <c r="LD30" s="86">
        <f t="shared" si="664"/>
        <v>0</v>
      </c>
      <c r="LE30" s="86">
        <f t="shared" si="664"/>
        <v>0</v>
      </c>
      <c r="LF30" s="86">
        <f t="shared" si="664"/>
        <v>0</v>
      </c>
      <c r="LG30" s="86">
        <f t="shared" si="664"/>
        <v>0</v>
      </c>
      <c r="LH30" s="86">
        <f t="shared" si="664"/>
        <v>0</v>
      </c>
      <c r="LI30" s="86">
        <f t="shared" si="664"/>
        <v>0</v>
      </c>
      <c r="LJ30" s="86">
        <f t="shared" si="664"/>
        <v>0</v>
      </c>
      <c r="LK30" s="86">
        <f t="shared" si="664"/>
        <v>0</v>
      </c>
      <c r="LL30" s="86">
        <f t="shared" si="664"/>
        <v>0</v>
      </c>
      <c r="LM30" s="86">
        <f t="shared" si="664"/>
        <v>0</v>
      </c>
      <c r="LN30" s="87">
        <f t="shared" ref="LN30:LN32" si="665">SUM(LB30:LM30)</f>
        <v>0</v>
      </c>
      <c r="LO30" s="86">
        <f>LM30*(1+Inputs!$B$10)</f>
        <v>0</v>
      </c>
      <c r="LP30" s="86">
        <f t="shared" ref="LP30:LZ31" si="666">LO30</f>
        <v>0</v>
      </c>
      <c r="LQ30" s="86">
        <f t="shared" si="666"/>
        <v>0</v>
      </c>
      <c r="LR30" s="86">
        <f t="shared" si="666"/>
        <v>0</v>
      </c>
      <c r="LS30" s="86">
        <f t="shared" si="666"/>
        <v>0</v>
      </c>
      <c r="LT30" s="86">
        <f t="shared" si="666"/>
        <v>0</v>
      </c>
      <c r="LU30" s="86">
        <f t="shared" si="666"/>
        <v>0</v>
      </c>
      <c r="LV30" s="86">
        <f t="shared" si="666"/>
        <v>0</v>
      </c>
      <c r="LW30" s="86">
        <f t="shared" si="666"/>
        <v>0</v>
      </c>
      <c r="LX30" s="86">
        <f t="shared" si="666"/>
        <v>0</v>
      </c>
      <c r="LY30" s="86">
        <f t="shared" si="666"/>
        <v>0</v>
      </c>
      <c r="LZ30" s="86">
        <f t="shared" si="666"/>
        <v>0</v>
      </c>
      <c r="MA30" s="87">
        <f t="shared" ref="MA30:MA32" si="667">SUM(LO30:LZ30)</f>
        <v>0</v>
      </c>
      <c r="MB30" s="86">
        <f>LZ30*(1+Inputs!$B$10)</f>
        <v>0</v>
      </c>
      <c r="MC30" s="86">
        <f t="shared" ref="MC30:MM31" si="668">MB30</f>
        <v>0</v>
      </c>
      <c r="MD30" s="86">
        <f t="shared" si="668"/>
        <v>0</v>
      </c>
      <c r="ME30" s="86">
        <f t="shared" si="668"/>
        <v>0</v>
      </c>
      <c r="MF30" s="86">
        <f t="shared" si="668"/>
        <v>0</v>
      </c>
      <c r="MG30" s="86">
        <f t="shared" si="668"/>
        <v>0</v>
      </c>
      <c r="MH30" s="86">
        <f t="shared" si="668"/>
        <v>0</v>
      </c>
      <c r="MI30" s="86">
        <f t="shared" si="668"/>
        <v>0</v>
      </c>
      <c r="MJ30" s="86">
        <f t="shared" si="668"/>
        <v>0</v>
      </c>
      <c r="MK30" s="86">
        <f t="shared" si="668"/>
        <v>0</v>
      </c>
      <c r="ML30" s="86">
        <f t="shared" si="668"/>
        <v>0</v>
      </c>
      <c r="MM30" s="86">
        <f t="shared" si="668"/>
        <v>0</v>
      </c>
      <c r="MN30" s="87">
        <f t="shared" ref="MN30:MN32" si="669">SUM(MB30:MM30)</f>
        <v>0</v>
      </c>
      <c r="MO30" s="86">
        <f>MM30*(1+Inputs!$B$10)</f>
        <v>0</v>
      </c>
      <c r="MP30" s="86">
        <f t="shared" ref="MP30:MZ31" si="670">MO30</f>
        <v>0</v>
      </c>
      <c r="MQ30" s="86">
        <f t="shared" si="670"/>
        <v>0</v>
      </c>
      <c r="MR30" s="86">
        <f t="shared" si="670"/>
        <v>0</v>
      </c>
      <c r="MS30" s="86">
        <f t="shared" si="670"/>
        <v>0</v>
      </c>
      <c r="MT30" s="86">
        <f t="shared" si="670"/>
        <v>0</v>
      </c>
      <c r="MU30" s="86">
        <f t="shared" si="670"/>
        <v>0</v>
      </c>
      <c r="MV30" s="86">
        <f t="shared" si="670"/>
        <v>0</v>
      </c>
      <c r="MW30" s="86">
        <f t="shared" si="670"/>
        <v>0</v>
      </c>
      <c r="MX30" s="86">
        <f t="shared" si="670"/>
        <v>0</v>
      </c>
      <c r="MY30" s="86">
        <f t="shared" si="670"/>
        <v>0</v>
      </c>
      <c r="MZ30" s="86">
        <f t="shared" si="670"/>
        <v>0</v>
      </c>
      <c r="NA30" s="87">
        <f t="shared" ref="NA30:NA32" si="671">SUM(MO30:MZ30)</f>
        <v>0</v>
      </c>
      <c r="NB30" s="86">
        <f>MZ30*(1+Inputs!$B$10)</f>
        <v>0</v>
      </c>
      <c r="NC30" s="86">
        <f t="shared" ref="NC30:NM31" si="672">NB30</f>
        <v>0</v>
      </c>
      <c r="ND30" s="86">
        <f t="shared" si="672"/>
        <v>0</v>
      </c>
      <c r="NE30" s="86">
        <f t="shared" si="672"/>
        <v>0</v>
      </c>
      <c r="NF30" s="86">
        <f t="shared" si="672"/>
        <v>0</v>
      </c>
      <c r="NG30" s="86">
        <f t="shared" si="672"/>
        <v>0</v>
      </c>
      <c r="NH30" s="86">
        <f t="shared" si="672"/>
        <v>0</v>
      </c>
      <c r="NI30" s="86">
        <f t="shared" si="672"/>
        <v>0</v>
      </c>
      <c r="NJ30" s="86">
        <f t="shared" si="672"/>
        <v>0</v>
      </c>
      <c r="NK30" s="86">
        <f t="shared" si="672"/>
        <v>0</v>
      </c>
      <c r="NL30" s="86">
        <f t="shared" si="672"/>
        <v>0</v>
      </c>
      <c r="NM30" s="86">
        <f t="shared" si="672"/>
        <v>0</v>
      </c>
      <c r="NN30" s="87">
        <f t="shared" ref="NN30:NN32" si="673">SUM(NB30:NM30)</f>
        <v>0</v>
      </c>
      <c r="NO30" s="86">
        <f>NM30*(1+Inputs!$B$10)</f>
        <v>0</v>
      </c>
      <c r="NP30" s="86">
        <f t="shared" ref="NP30:NZ31" si="674">NO30</f>
        <v>0</v>
      </c>
      <c r="NQ30" s="86">
        <f t="shared" si="674"/>
        <v>0</v>
      </c>
      <c r="NR30" s="86">
        <f t="shared" si="674"/>
        <v>0</v>
      </c>
      <c r="NS30" s="86">
        <f t="shared" si="674"/>
        <v>0</v>
      </c>
      <c r="NT30" s="86">
        <f t="shared" si="674"/>
        <v>0</v>
      </c>
      <c r="NU30" s="86">
        <f t="shared" si="674"/>
        <v>0</v>
      </c>
      <c r="NV30" s="86">
        <f t="shared" si="674"/>
        <v>0</v>
      </c>
      <c r="NW30" s="86">
        <f t="shared" si="674"/>
        <v>0</v>
      </c>
      <c r="NX30" s="86">
        <f t="shared" si="674"/>
        <v>0</v>
      </c>
      <c r="NY30" s="86">
        <f t="shared" si="674"/>
        <v>0</v>
      </c>
      <c r="NZ30" s="86">
        <f t="shared" si="674"/>
        <v>0</v>
      </c>
      <c r="OA30" s="87">
        <f t="shared" ref="OA30:OA32" si="675">SUM(NO30:NZ30)</f>
        <v>0</v>
      </c>
      <c r="OB30" s="86">
        <f>NZ30*(1+Inputs!$B$10)</f>
        <v>0</v>
      </c>
      <c r="OC30" s="86">
        <f t="shared" ref="OC30:OM31" si="676">OB30</f>
        <v>0</v>
      </c>
      <c r="OD30" s="86">
        <f t="shared" si="676"/>
        <v>0</v>
      </c>
      <c r="OE30" s="86">
        <f t="shared" si="676"/>
        <v>0</v>
      </c>
      <c r="OF30" s="86">
        <f t="shared" si="676"/>
        <v>0</v>
      </c>
      <c r="OG30" s="86">
        <f t="shared" si="676"/>
        <v>0</v>
      </c>
      <c r="OH30" s="86">
        <f t="shared" si="676"/>
        <v>0</v>
      </c>
      <c r="OI30" s="86">
        <f t="shared" si="676"/>
        <v>0</v>
      </c>
      <c r="OJ30" s="86">
        <f t="shared" si="676"/>
        <v>0</v>
      </c>
      <c r="OK30" s="86">
        <f t="shared" si="676"/>
        <v>0</v>
      </c>
      <c r="OL30" s="86">
        <f t="shared" si="676"/>
        <v>0</v>
      </c>
      <c r="OM30" s="86">
        <f t="shared" si="676"/>
        <v>0</v>
      </c>
      <c r="ON30" s="87">
        <f t="shared" ref="ON30:ON32" si="677">SUM(OB30:OM30)</f>
        <v>0</v>
      </c>
      <c r="OO30" s="86">
        <f>OM30*(1+Inputs!$B$10)</f>
        <v>0</v>
      </c>
      <c r="OP30" s="86">
        <f t="shared" ref="OP30:OZ31" si="678">OO30</f>
        <v>0</v>
      </c>
      <c r="OQ30" s="86">
        <f t="shared" si="678"/>
        <v>0</v>
      </c>
      <c r="OR30" s="86">
        <f t="shared" si="678"/>
        <v>0</v>
      </c>
      <c r="OS30" s="86">
        <f t="shared" si="678"/>
        <v>0</v>
      </c>
      <c r="OT30" s="86">
        <f t="shared" si="678"/>
        <v>0</v>
      </c>
      <c r="OU30" s="86">
        <f t="shared" si="678"/>
        <v>0</v>
      </c>
      <c r="OV30" s="86">
        <f t="shared" si="678"/>
        <v>0</v>
      </c>
      <c r="OW30" s="86">
        <f t="shared" si="678"/>
        <v>0</v>
      </c>
      <c r="OX30" s="86">
        <f t="shared" si="678"/>
        <v>0</v>
      </c>
      <c r="OY30" s="86">
        <f t="shared" si="678"/>
        <v>0</v>
      </c>
      <c r="OZ30" s="86">
        <f t="shared" si="678"/>
        <v>0</v>
      </c>
      <c r="PA30" s="87">
        <f t="shared" ref="PA30:PA32" si="679">SUM(OO30:OZ30)</f>
        <v>0</v>
      </c>
      <c r="PB30" s="86">
        <f>OZ30*(1+Inputs!$B$10)</f>
        <v>0</v>
      </c>
      <c r="PC30" s="86">
        <f t="shared" ref="PC30:PM31" si="680">PB30</f>
        <v>0</v>
      </c>
      <c r="PD30" s="86">
        <f t="shared" si="680"/>
        <v>0</v>
      </c>
      <c r="PE30" s="86">
        <f t="shared" si="680"/>
        <v>0</v>
      </c>
      <c r="PF30" s="86">
        <f t="shared" si="680"/>
        <v>0</v>
      </c>
      <c r="PG30" s="86">
        <f t="shared" si="680"/>
        <v>0</v>
      </c>
      <c r="PH30" s="86">
        <f t="shared" si="680"/>
        <v>0</v>
      </c>
      <c r="PI30" s="86">
        <f t="shared" si="680"/>
        <v>0</v>
      </c>
      <c r="PJ30" s="86">
        <f t="shared" si="680"/>
        <v>0</v>
      </c>
      <c r="PK30" s="86">
        <f t="shared" si="680"/>
        <v>0</v>
      </c>
      <c r="PL30" s="86">
        <f t="shared" si="680"/>
        <v>0</v>
      </c>
      <c r="PM30" s="86">
        <f t="shared" si="680"/>
        <v>0</v>
      </c>
      <c r="PN30" s="87">
        <f t="shared" ref="PN30:PN32" si="681">SUM(PB30:PM30)</f>
        <v>0</v>
      </c>
      <c r="PO30" s="86">
        <f>PM30*(1+Inputs!$B$10)</f>
        <v>0</v>
      </c>
      <c r="PP30" s="86">
        <f t="shared" ref="PP30:PZ31" si="682">PO30</f>
        <v>0</v>
      </c>
      <c r="PQ30" s="86">
        <f t="shared" si="682"/>
        <v>0</v>
      </c>
      <c r="PR30" s="86">
        <f t="shared" si="682"/>
        <v>0</v>
      </c>
      <c r="PS30" s="86">
        <f t="shared" si="682"/>
        <v>0</v>
      </c>
      <c r="PT30" s="86">
        <f t="shared" si="682"/>
        <v>0</v>
      </c>
      <c r="PU30" s="86">
        <f t="shared" si="682"/>
        <v>0</v>
      </c>
      <c r="PV30" s="86">
        <f t="shared" si="682"/>
        <v>0</v>
      </c>
      <c r="PW30" s="86">
        <f t="shared" si="682"/>
        <v>0</v>
      </c>
      <c r="PX30" s="86">
        <f t="shared" si="682"/>
        <v>0</v>
      </c>
      <c r="PY30" s="86">
        <f t="shared" si="682"/>
        <v>0</v>
      </c>
      <c r="PZ30" s="86">
        <f t="shared" si="682"/>
        <v>0</v>
      </c>
      <c r="QA30" s="87">
        <f t="shared" ref="QA30:QA32" si="683">SUM(PO30:PZ30)</f>
        <v>0</v>
      </c>
      <c r="QB30" s="86">
        <f>PZ30*(1+Inputs!$B$10)</f>
        <v>0</v>
      </c>
      <c r="QC30" s="86">
        <f t="shared" ref="QC30:QM31" si="684">QB30</f>
        <v>0</v>
      </c>
      <c r="QD30" s="86">
        <f t="shared" si="684"/>
        <v>0</v>
      </c>
      <c r="QE30" s="86">
        <f t="shared" si="684"/>
        <v>0</v>
      </c>
      <c r="QF30" s="86">
        <f t="shared" si="684"/>
        <v>0</v>
      </c>
      <c r="QG30" s="86">
        <f t="shared" si="684"/>
        <v>0</v>
      </c>
      <c r="QH30" s="86">
        <f t="shared" si="684"/>
        <v>0</v>
      </c>
      <c r="QI30" s="86">
        <f t="shared" si="684"/>
        <v>0</v>
      </c>
      <c r="QJ30" s="86">
        <f t="shared" si="684"/>
        <v>0</v>
      </c>
      <c r="QK30" s="86">
        <f t="shared" si="684"/>
        <v>0</v>
      </c>
      <c r="QL30" s="86">
        <f t="shared" si="684"/>
        <v>0</v>
      </c>
      <c r="QM30" s="86">
        <f t="shared" si="684"/>
        <v>0</v>
      </c>
      <c r="QN30" s="87">
        <f t="shared" ref="QN30:QN32" si="685">SUM(QB30:QM30)</f>
        <v>0</v>
      </c>
      <c r="QO30" s="86">
        <f>QM30*(1+Inputs!$B$10)</f>
        <v>0</v>
      </c>
      <c r="QP30" s="86">
        <f t="shared" ref="QP30:QZ31" si="686">QO30</f>
        <v>0</v>
      </c>
      <c r="QQ30" s="86">
        <f t="shared" si="686"/>
        <v>0</v>
      </c>
      <c r="QR30" s="86">
        <f t="shared" si="686"/>
        <v>0</v>
      </c>
      <c r="QS30" s="86">
        <f t="shared" si="686"/>
        <v>0</v>
      </c>
      <c r="QT30" s="86">
        <f t="shared" si="686"/>
        <v>0</v>
      </c>
      <c r="QU30" s="86">
        <f t="shared" si="686"/>
        <v>0</v>
      </c>
      <c r="QV30" s="86">
        <f t="shared" si="686"/>
        <v>0</v>
      </c>
      <c r="QW30" s="86">
        <f t="shared" si="686"/>
        <v>0</v>
      </c>
      <c r="QX30" s="86">
        <f t="shared" si="686"/>
        <v>0</v>
      </c>
      <c r="QY30" s="86">
        <f t="shared" si="686"/>
        <v>0</v>
      </c>
      <c r="QZ30" s="86">
        <f t="shared" si="686"/>
        <v>0</v>
      </c>
      <c r="RA30" s="87">
        <f t="shared" ref="RA30:RA32" si="687">SUM(QO30:QZ30)</f>
        <v>0</v>
      </c>
      <c r="RB30" s="86">
        <f>QZ30*(1+Inputs!$B$10)</f>
        <v>0</v>
      </c>
      <c r="RC30" s="86">
        <f t="shared" ref="RC30:RM31" si="688">RB30</f>
        <v>0</v>
      </c>
      <c r="RD30" s="86">
        <f t="shared" si="688"/>
        <v>0</v>
      </c>
      <c r="RE30" s="86">
        <f t="shared" si="688"/>
        <v>0</v>
      </c>
      <c r="RF30" s="86">
        <f t="shared" si="688"/>
        <v>0</v>
      </c>
      <c r="RG30" s="86">
        <f t="shared" si="688"/>
        <v>0</v>
      </c>
      <c r="RH30" s="86">
        <f t="shared" si="688"/>
        <v>0</v>
      </c>
      <c r="RI30" s="86">
        <f t="shared" si="688"/>
        <v>0</v>
      </c>
      <c r="RJ30" s="86">
        <f t="shared" si="688"/>
        <v>0</v>
      </c>
      <c r="RK30" s="86">
        <f t="shared" si="688"/>
        <v>0</v>
      </c>
      <c r="RL30" s="86">
        <f t="shared" si="688"/>
        <v>0</v>
      </c>
      <c r="RM30" s="86">
        <f t="shared" si="688"/>
        <v>0</v>
      </c>
      <c r="RN30" s="87">
        <f t="shared" ref="RN30:RN32" si="689">SUM(RB30:RM30)</f>
        <v>0</v>
      </c>
    </row>
    <row r="31" spans="1:482" hidden="1" outlineLevel="1" x14ac:dyDescent="0.3">
      <c r="A31" s="89" t="s">
        <v>206</v>
      </c>
      <c r="B31" s="86">
        <f>Inputs!$B$33/12</f>
        <v>87.5</v>
      </c>
      <c r="C31" s="86">
        <f t="shared" si="616"/>
        <v>87.5</v>
      </c>
      <c r="D31" s="86">
        <f t="shared" si="616"/>
        <v>87.5</v>
      </c>
      <c r="E31" s="86">
        <f t="shared" si="616"/>
        <v>87.5</v>
      </c>
      <c r="F31" s="86">
        <f t="shared" si="616"/>
        <v>87.5</v>
      </c>
      <c r="G31" s="86">
        <f t="shared" si="616"/>
        <v>87.5</v>
      </c>
      <c r="H31" s="86">
        <f t="shared" si="616"/>
        <v>87.5</v>
      </c>
      <c r="I31" s="86">
        <f t="shared" si="616"/>
        <v>87.5</v>
      </c>
      <c r="J31" s="86">
        <f t="shared" si="616"/>
        <v>87.5</v>
      </c>
      <c r="K31" s="86">
        <f t="shared" si="616"/>
        <v>87.5</v>
      </c>
      <c r="L31" s="86">
        <f t="shared" si="616"/>
        <v>87.5</v>
      </c>
      <c r="M31" s="86">
        <f t="shared" si="616"/>
        <v>87.5</v>
      </c>
      <c r="N31" s="87">
        <f t="shared" si="617"/>
        <v>1050</v>
      </c>
      <c r="O31" s="86">
        <f>M31*(1+Inputs!$B$10)</f>
        <v>89.687499999999986</v>
      </c>
      <c r="P31" s="86">
        <f t="shared" si="618"/>
        <v>89.687499999999986</v>
      </c>
      <c r="Q31" s="86">
        <f t="shared" si="618"/>
        <v>89.687499999999986</v>
      </c>
      <c r="R31" s="86">
        <f t="shared" si="618"/>
        <v>89.687499999999986</v>
      </c>
      <c r="S31" s="86">
        <f t="shared" si="618"/>
        <v>89.687499999999986</v>
      </c>
      <c r="T31" s="86">
        <f t="shared" si="618"/>
        <v>89.687499999999986</v>
      </c>
      <c r="U31" s="86">
        <f t="shared" si="618"/>
        <v>89.687499999999986</v>
      </c>
      <c r="V31" s="86">
        <f t="shared" si="618"/>
        <v>89.687499999999986</v>
      </c>
      <c r="W31" s="86">
        <f t="shared" si="618"/>
        <v>89.687499999999986</v>
      </c>
      <c r="X31" s="86">
        <f t="shared" si="618"/>
        <v>89.687499999999986</v>
      </c>
      <c r="Y31" s="86">
        <f t="shared" si="618"/>
        <v>89.687499999999986</v>
      </c>
      <c r="Z31" s="86">
        <f t="shared" si="618"/>
        <v>89.687499999999986</v>
      </c>
      <c r="AA31" s="87">
        <f t="shared" si="619"/>
        <v>1076.2499999999998</v>
      </c>
      <c r="AB31" s="86">
        <f>Z31*(1+Inputs!$B$10)</f>
        <v>91.929687499999972</v>
      </c>
      <c r="AC31" s="86">
        <f t="shared" si="620"/>
        <v>91.929687499999972</v>
      </c>
      <c r="AD31" s="86">
        <f t="shared" si="620"/>
        <v>91.929687499999972</v>
      </c>
      <c r="AE31" s="86">
        <f t="shared" si="620"/>
        <v>91.929687499999972</v>
      </c>
      <c r="AF31" s="86">
        <f t="shared" si="620"/>
        <v>91.929687499999972</v>
      </c>
      <c r="AG31" s="86">
        <f t="shared" si="620"/>
        <v>91.929687499999972</v>
      </c>
      <c r="AH31" s="86">
        <f t="shared" si="620"/>
        <v>91.929687499999972</v>
      </c>
      <c r="AI31" s="86">
        <f t="shared" si="620"/>
        <v>91.929687499999972</v>
      </c>
      <c r="AJ31" s="86">
        <f t="shared" si="620"/>
        <v>91.929687499999972</v>
      </c>
      <c r="AK31" s="86">
        <f t="shared" si="620"/>
        <v>91.929687499999972</v>
      </c>
      <c r="AL31" s="86">
        <f t="shared" si="620"/>
        <v>91.929687499999972</v>
      </c>
      <c r="AM31" s="86">
        <f t="shared" si="620"/>
        <v>91.929687499999972</v>
      </c>
      <c r="AN31" s="87">
        <f t="shared" si="621"/>
        <v>1103.1562499999998</v>
      </c>
      <c r="AO31" s="86">
        <f>AM31*(1+Inputs!$B$10)</f>
        <v>94.227929687499966</v>
      </c>
      <c r="AP31" s="86">
        <f t="shared" si="622"/>
        <v>94.227929687499966</v>
      </c>
      <c r="AQ31" s="86">
        <f t="shared" si="622"/>
        <v>94.227929687499966</v>
      </c>
      <c r="AR31" s="86">
        <f t="shared" si="622"/>
        <v>94.227929687499966</v>
      </c>
      <c r="AS31" s="86">
        <f t="shared" si="622"/>
        <v>94.227929687499966</v>
      </c>
      <c r="AT31" s="86">
        <f t="shared" si="622"/>
        <v>94.227929687499966</v>
      </c>
      <c r="AU31" s="86">
        <f t="shared" si="622"/>
        <v>94.227929687499966</v>
      </c>
      <c r="AV31" s="86">
        <f t="shared" si="622"/>
        <v>94.227929687499966</v>
      </c>
      <c r="AW31" s="86">
        <f t="shared" si="622"/>
        <v>94.227929687499966</v>
      </c>
      <c r="AX31" s="86">
        <f t="shared" si="622"/>
        <v>94.227929687499966</v>
      </c>
      <c r="AY31" s="86">
        <f t="shared" si="622"/>
        <v>94.227929687499966</v>
      </c>
      <c r="AZ31" s="86">
        <f t="shared" si="622"/>
        <v>94.227929687499966</v>
      </c>
      <c r="BA31" s="87">
        <f t="shared" si="623"/>
        <v>1130.7351562499994</v>
      </c>
      <c r="BB31" s="86">
        <f>AZ31*(1+Inputs!$B$10)</f>
        <v>96.583627929687452</v>
      </c>
      <c r="BC31" s="86">
        <f t="shared" si="624"/>
        <v>96.583627929687452</v>
      </c>
      <c r="BD31" s="86">
        <f t="shared" si="624"/>
        <v>96.583627929687452</v>
      </c>
      <c r="BE31" s="86">
        <f t="shared" si="624"/>
        <v>96.583627929687452</v>
      </c>
      <c r="BF31" s="86">
        <f t="shared" si="624"/>
        <v>96.583627929687452</v>
      </c>
      <c r="BG31" s="86">
        <f t="shared" si="624"/>
        <v>96.583627929687452</v>
      </c>
      <c r="BH31" s="86">
        <f t="shared" si="624"/>
        <v>96.583627929687452</v>
      </c>
      <c r="BI31" s="86">
        <f t="shared" si="624"/>
        <v>96.583627929687452</v>
      </c>
      <c r="BJ31" s="86">
        <f t="shared" si="624"/>
        <v>96.583627929687452</v>
      </c>
      <c r="BK31" s="86">
        <f t="shared" si="624"/>
        <v>96.583627929687452</v>
      </c>
      <c r="BL31" s="86">
        <f t="shared" si="624"/>
        <v>96.583627929687452</v>
      </c>
      <c r="BM31" s="86">
        <f t="shared" si="624"/>
        <v>96.583627929687452</v>
      </c>
      <c r="BN31" s="87">
        <f t="shared" si="625"/>
        <v>1159.0035351562497</v>
      </c>
      <c r="BO31" s="86">
        <f>BM31*(1+Inputs!$B$10)</f>
        <v>98.998218627929631</v>
      </c>
      <c r="BP31" s="86">
        <f t="shared" si="626"/>
        <v>98.998218627929631</v>
      </c>
      <c r="BQ31" s="86">
        <f t="shared" si="626"/>
        <v>98.998218627929631</v>
      </c>
      <c r="BR31" s="86">
        <f t="shared" si="626"/>
        <v>98.998218627929631</v>
      </c>
      <c r="BS31" s="86">
        <f t="shared" si="626"/>
        <v>98.998218627929631</v>
      </c>
      <c r="BT31" s="86">
        <f t="shared" si="626"/>
        <v>98.998218627929631</v>
      </c>
      <c r="BU31" s="86">
        <f t="shared" si="626"/>
        <v>98.998218627929631</v>
      </c>
      <c r="BV31" s="86">
        <f t="shared" si="626"/>
        <v>98.998218627929631</v>
      </c>
      <c r="BW31" s="86">
        <f t="shared" si="626"/>
        <v>98.998218627929631</v>
      </c>
      <c r="BX31" s="86">
        <f t="shared" si="626"/>
        <v>98.998218627929631</v>
      </c>
      <c r="BY31" s="86">
        <f t="shared" si="626"/>
        <v>98.998218627929631</v>
      </c>
      <c r="BZ31" s="86">
        <f t="shared" si="626"/>
        <v>98.998218627929631</v>
      </c>
      <c r="CA31" s="87">
        <f t="shared" si="627"/>
        <v>1187.9786235351555</v>
      </c>
      <c r="CB31" s="86">
        <f>BZ31*(1+Inputs!$B$10)</f>
        <v>101.47317409362786</v>
      </c>
      <c r="CC31" s="86">
        <f t="shared" si="628"/>
        <v>101.47317409362786</v>
      </c>
      <c r="CD31" s="86">
        <f t="shared" si="628"/>
        <v>101.47317409362786</v>
      </c>
      <c r="CE31" s="86">
        <f t="shared" si="628"/>
        <v>101.47317409362786</v>
      </c>
      <c r="CF31" s="86">
        <f t="shared" si="628"/>
        <v>101.47317409362786</v>
      </c>
      <c r="CG31" s="86">
        <f t="shared" si="628"/>
        <v>101.47317409362786</v>
      </c>
      <c r="CH31" s="86">
        <f t="shared" si="628"/>
        <v>101.47317409362786</v>
      </c>
      <c r="CI31" s="86">
        <f t="shared" si="628"/>
        <v>101.47317409362786</v>
      </c>
      <c r="CJ31" s="86">
        <f t="shared" si="628"/>
        <v>101.47317409362786</v>
      </c>
      <c r="CK31" s="86">
        <f t="shared" si="628"/>
        <v>101.47317409362786</v>
      </c>
      <c r="CL31" s="86">
        <f t="shared" si="628"/>
        <v>101.47317409362786</v>
      </c>
      <c r="CM31" s="86">
        <f t="shared" si="628"/>
        <v>101.47317409362786</v>
      </c>
      <c r="CN31" s="87">
        <f t="shared" si="629"/>
        <v>1217.6780891235346</v>
      </c>
      <c r="CO31" s="86">
        <f>CM31*(1+Inputs!$B$10)</f>
        <v>104.01000344596855</v>
      </c>
      <c r="CP31" s="86">
        <f t="shared" si="630"/>
        <v>104.01000344596855</v>
      </c>
      <c r="CQ31" s="86">
        <f t="shared" si="630"/>
        <v>104.01000344596855</v>
      </c>
      <c r="CR31" s="86">
        <f t="shared" si="630"/>
        <v>104.01000344596855</v>
      </c>
      <c r="CS31" s="86">
        <f t="shared" si="630"/>
        <v>104.01000344596855</v>
      </c>
      <c r="CT31" s="86">
        <f t="shared" si="630"/>
        <v>104.01000344596855</v>
      </c>
      <c r="CU31" s="86">
        <f t="shared" si="630"/>
        <v>104.01000344596855</v>
      </c>
      <c r="CV31" s="86">
        <f t="shared" si="630"/>
        <v>104.01000344596855</v>
      </c>
      <c r="CW31" s="86">
        <f t="shared" si="630"/>
        <v>104.01000344596855</v>
      </c>
      <c r="CX31" s="86">
        <f t="shared" si="630"/>
        <v>104.01000344596855</v>
      </c>
      <c r="CY31" s="86">
        <f t="shared" si="630"/>
        <v>104.01000344596855</v>
      </c>
      <c r="CZ31" s="86">
        <f t="shared" si="630"/>
        <v>104.01000344596855</v>
      </c>
      <c r="DA31" s="87">
        <f t="shared" si="631"/>
        <v>1248.1200413516226</v>
      </c>
      <c r="DB31" s="86">
        <f>CZ31*(1+Inputs!$B$10)</f>
        <v>106.61025353211775</v>
      </c>
      <c r="DC31" s="86">
        <f t="shared" si="632"/>
        <v>106.61025353211775</v>
      </c>
      <c r="DD31" s="86">
        <f t="shared" si="632"/>
        <v>106.61025353211775</v>
      </c>
      <c r="DE31" s="86">
        <f t="shared" si="632"/>
        <v>106.61025353211775</v>
      </c>
      <c r="DF31" s="86">
        <f t="shared" si="632"/>
        <v>106.61025353211775</v>
      </c>
      <c r="DG31" s="86">
        <f t="shared" si="632"/>
        <v>106.61025353211775</v>
      </c>
      <c r="DH31" s="86">
        <f t="shared" si="632"/>
        <v>106.61025353211775</v>
      </c>
      <c r="DI31" s="86">
        <f t="shared" si="632"/>
        <v>106.61025353211775</v>
      </c>
      <c r="DJ31" s="86">
        <f t="shared" si="632"/>
        <v>106.61025353211775</v>
      </c>
      <c r="DK31" s="86">
        <f t="shared" si="632"/>
        <v>106.61025353211775</v>
      </c>
      <c r="DL31" s="86">
        <f t="shared" si="632"/>
        <v>106.61025353211775</v>
      </c>
      <c r="DM31" s="86">
        <f t="shared" si="632"/>
        <v>106.61025353211775</v>
      </c>
      <c r="DN31" s="87">
        <f t="shared" si="633"/>
        <v>1279.3230423854129</v>
      </c>
      <c r="DO31" s="86">
        <f>DM31*(1+Inputs!$B$10)</f>
        <v>109.27550987042069</v>
      </c>
      <c r="DP31" s="86">
        <f t="shared" si="634"/>
        <v>109.27550987042069</v>
      </c>
      <c r="DQ31" s="86">
        <f t="shared" si="634"/>
        <v>109.27550987042069</v>
      </c>
      <c r="DR31" s="86">
        <f t="shared" si="634"/>
        <v>109.27550987042069</v>
      </c>
      <c r="DS31" s="86">
        <f t="shared" si="634"/>
        <v>109.27550987042069</v>
      </c>
      <c r="DT31" s="86">
        <f t="shared" si="634"/>
        <v>109.27550987042069</v>
      </c>
      <c r="DU31" s="86">
        <f t="shared" si="634"/>
        <v>109.27550987042069</v>
      </c>
      <c r="DV31" s="86">
        <f t="shared" si="634"/>
        <v>109.27550987042069</v>
      </c>
      <c r="DW31" s="86">
        <f t="shared" si="634"/>
        <v>109.27550987042069</v>
      </c>
      <c r="DX31" s="86">
        <f t="shared" si="634"/>
        <v>109.27550987042069</v>
      </c>
      <c r="DY31" s="86">
        <f t="shared" si="634"/>
        <v>109.27550987042069</v>
      </c>
      <c r="DZ31" s="86">
        <f t="shared" si="634"/>
        <v>109.27550987042069</v>
      </c>
      <c r="EA31" s="87">
        <f t="shared" si="635"/>
        <v>1311.306118445048</v>
      </c>
      <c r="EB31" s="86">
        <f>DZ31*(1+Inputs!$B$10)</f>
        <v>112.0073976171812</v>
      </c>
      <c r="EC31" s="86">
        <f t="shared" si="636"/>
        <v>112.0073976171812</v>
      </c>
      <c r="ED31" s="86">
        <f t="shared" si="636"/>
        <v>112.0073976171812</v>
      </c>
      <c r="EE31" s="86">
        <f t="shared" si="636"/>
        <v>112.0073976171812</v>
      </c>
      <c r="EF31" s="86">
        <f t="shared" si="636"/>
        <v>112.0073976171812</v>
      </c>
      <c r="EG31" s="86">
        <f t="shared" si="636"/>
        <v>112.0073976171812</v>
      </c>
      <c r="EH31" s="86">
        <f t="shared" si="636"/>
        <v>112.0073976171812</v>
      </c>
      <c r="EI31" s="86">
        <f t="shared" si="636"/>
        <v>112.0073976171812</v>
      </c>
      <c r="EJ31" s="86">
        <f t="shared" si="636"/>
        <v>112.0073976171812</v>
      </c>
      <c r="EK31" s="86">
        <f t="shared" si="636"/>
        <v>112.0073976171812</v>
      </c>
      <c r="EL31" s="86">
        <f t="shared" si="636"/>
        <v>112.0073976171812</v>
      </c>
      <c r="EM31" s="86">
        <f t="shared" si="636"/>
        <v>112.0073976171812</v>
      </c>
      <c r="EN31" s="87">
        <f t="shared" si="637"/>
        <v>1344.0887714061739</v>
      </c>
      <c r="EO31" s="86">
        <f>EM31*(1+Inputs!$B$10)</f>
        <v>114.80758255761071</v>
      </c>
      <c r="EP31" s="86">
        <f t="shared" si="638"/>
        <v>114.80758255761071</v>
      </c>
      <c r="EQ31" s="86">
        <f t="shared" si="638"/>
        <v>114.80758255761071</v>
      </c>
      <c r="ER31" s="86">
        <f t="shared" si="638"/>
        <v>114.80758255761071</v>
      </c>
      <c r="ES31" s="86">
        <f t="shared" si="638"/>
        <v>114.80758255761071</v>
      </c>
      <c r="ET31" s="86">
        <f t="shared" si="638"/>
        <v>114.80758255761071</v>
      </c>
      <c r="EU31" s="86">
        <f t="shared" si="638"/>
        <v>114.80758255761071</v>
      </c>
      <c r="EV31" s="86">
        <f t="shared" si="638"/>
        <v>114.80758255761071</v>
      </c>
      <c r="EW31" s="86">
        <f t="shared" si="638"/>
        <v>114.80758255761071</v>
      </c>
      <c r="EX31" s="86">
        <f t="shared" si="638"/>
        <v>114.80758255761071</v>
      </c>
      <c r="EY31" s="86">
        <f t="shared" si="638"/>
        <v>114.80758255761071</v>
      </c>
      <c r="EZ31" s="86">
        <f t="shared" si="638"/>
        <v>114.80758255761071</v>
      </c>
      <c r="FA31" s="87">
        <f t="shared" si="639"/>
        <v>1377.6909906913281</v>
      </c>
      <c r="FB31" s="86">
        <f>EZ31*(1+Inputs!$B$10)</f>
        <v>117.67777212155097</v>
      </c>
      <c r="FC31" s="86">
        <f t="shared" si="640"/>
        <v>117.67777212155097</v>
      </c>
      <c r="FD31" s="86">
        <f t="shared" si="640"/>
        <v>117.67777212155097</v>
      </c>
      <c r="FE31" s="86">
        <f t="shared" si="640"/>
        <v>117.67777212155097</v>
      </c>
      <c r="FF31" s="86">
        <f t="shared" si="640"/>
        <v>117.67777212155097</v>
      </c>
      <c r="FG31" s="86">
        <f t="shared" si="640"/>
        <v>117.67777212155097</v>
      </c>
      <c r="FH31" s="86">
        <f t="shared" si="640"/>
        <v>117.67777212155097</v>
      </c>
      <c r="FI31" s="86">
        <f t="shared" si="640"/>
        <v>117.67777212155097</v>
      </c>
      <c r="FJ31" s="86">
        <f t="shared" si="640"/>
        <v>117.67777212155097</v>
      </c>
      <c r="FK31" s="86">
        <f t="shared" si="640"/>
        <v>117.67777212155097</v>
      </c>
      <c r="FL31" s="86">
        <f t="shared" si="640"/>
        <v>117.67777212155097</v>
      </c>
      <c r="FM31" s="86">
        <f t="shared" si="640"/>
        <v>117.67777212155097</v>
      </c>
      <c r="FN31" s="87">
        <f t="shared" si="641"/>
        <v>1412.133265458612</v>
      </c>
      <c r="FO31" s="86">
        <f>FM31*(1+Inputs!$B$10)</f>
        <v>120.61971642458974</v>
      </c>
      <c r="FP31" s="86">
        <f t="shared" si="642"/>
        <v>120.61971642458974</v>
      </c>
      <c r="FQ31" s="86">
        <f t="shared" si="642"/>
        <v>120.61971642458974</v>
      </c>
      <c r="FR31" s="86">
        <f t="shared" si="642"/>
        <v>120.61971642458974</v>
      </c>
      <c r="FS31" s="86">
        <f t="shared" si="642"/>
        <v>120.61971642458974</v>
      </c>
      <c r="FT31" s="86">
        <f t="shared" si="642"/>
        <v>120.61971642458974</v>
      </c>
      <c r="FU31" s="86">
        <f t="shared" si="642"/>
        <v>120.61971642458974</v>
      </c>
      <c r="FV31" s="86">
        <f t="shared" si="642"/>
        <v>120.61971642458974</v>
      </c>
      <c r="FW31" s="86">
        <f t="shared" si="642"/>
        <v>120.61971642458974</v>
      </c>
      <c r="FX31" s="86">
        <f t="shared" si="642"/>
        <v>120.61971642458974</v>
      </c>
      <c r="FY31" s="86">
        <f t="shared" si="642"/>
        <v>120.61971642458974</v>
      </c>
      <c r="FZ31" s="86">
        <f t="shared" si="642"/>
        <v>120.61971642458974</v>
      </c>
      <c r="GA31" s="87">
        <f t="shared" si="643"/>
        <v>1447.4365970950773</v>
      </c>
      <c r="GB31" s="86">
        <f>FZ31*(1+Inputs!$B$10)</f>
        <v>123.63520933520448</v>
      </c>
      <c r="GC31" s="86">
        <f t="shared" si="644"/>
        <v>123.63520933520448</v>
      </c>
      <c r="GD31" s="86">
        <f t="shared" si="644"/>
        <v>123.63520933520448</v>
      </c>
      <c r="GE31" s="86">
        <f t="shared" si="644"/>
        <v>123.63520933520448</v>
      </c>
      <c r="GF31" s="86">
        <f t="shared" si="644"/>
        <v>123.63520933520448</v>
      </c>
      <c r="GG31" s="86">
        <f t="shared" si="644"/>
        <v>123.63520933520448</v>
      </c>
      <c r="GH31" s="86">
        <f t="shared" si="644"/>
        <v>123.63520933520448</v>
      </c>
      <c r="GI31" s="86">
        <f t="shared" si="644"/>
        <v>123.63520933520448</v>
      </c>
      <c r="GJ31" s="86">
        <f t="shared" si="644"/>
        <v>123.63520933520448</v>
      </c>
      <c r="GK31" s="86">
        <f t="shared" si="644"/>
        <v>123.63520933520448</v>
      </c>
      <c r="GL31" s="86">
        <f t="shared" si="644"/>
        <v>123.63520933520448</v>
      </c>
      <c r="GM31" s="86">
        <f t="shared" si="644"/>
        <v>123.63520933520448</v>
      </c>
      <c r="GN31" s="87">
        <f t="shared" si="645"/>
        <v>1483.6225120224542</v>
      </c>
      <c r="GO31" s="86">
        <f>GM31*(1+Inputs!$B$10)</f>
        <v>126.72608956858458</v>
      </c>
      <c r="GP31" s="86">
        <f t="shared" si="646"/>
        <v>126.72608956858458</v>
      </c>
      <c r="GQ31" s="86">
        <f t="shared" si="646"/>
        <v>126.72608956858458</v>
      </c>
      <c r="GR31" s="86">
        <f t="shared" si="646"/>
        <v>126.72608956858458</v>
      </c>
      <c r="GS31" s="86">
        <f t="shared" si="646"/>
        <v>126.72608956858458</v>
      </c>
      <c r="GT31" s="86">
        <f t="shared" si="646"/>
        <v>126.72608956858458</v>
      </c>
      <c r="GU31" s="86">
        <f t="shared" si="646"/>
        <v>126.72608956858458</v>
      </c>
      <c r="GV31" s="86">
        <f t="shared" si="646"/>
        <v>126.72608956858458</v>
      </c>
      <c r="GW31" s="86">
        <f t="shared" si="646"/>
        <v>126.72608956858458</v>
      </c>
      <c r="GX31" s="86">
        <f t="shared" si="646"/>
        <v>126.72608956858458</v>
      </c>
      <c r="GY31" s="86">
        <f t="shared" si="646"/>
        <v>126.72608956858458</v>
      </c>
      <c r="GZ31" s="86">
        <f t="shared" si="646"/>
        <v>126.72608956858458</v>
      </c>
      <c r="HA31" s="87">
        <f t="shared" si="647"/>
        <v>1520.7130748230147</v>
      </c>
      <c r="HB31" s="86">
        <f>GZ31*(1+Inputs!$B$10)</f>
        <v>129.89424180779918</v>
      </c>
      <c r="HC31" s="86">
        <f t="shared" si="648"/>
        <v>129.89424180779918</v>
      </c>
      <c r="HD31" s="86">
        <f t="shared" si="648"/>
        <v>129.89424180779918</v>
      </c>
      <c r="HE31" s="86">
        <f t="shared" si="648"/>
        <v>129.89424180779918</v>
      </c>
      <c r="HF31" s="86">
        <f t="shared" si="648"/>
        <v>129.89424180779918</v>
      </c>
      <c r="HG31" s="86">
        <f t="shared" si="648"/>
        <v>129.89424180779918</v>
      </c>
      <c r="HH31" s="86">
        <f t="shared" si="648"/>
        <v>129.89424180779918</v>
      </c>
      <c r="HI31" s="86">
        <f t="shared" si="648"/>
        <v>129.89424180779918</v>
      </c>
      <c r="HJ31" s="86">
        <f t="shared" si="648"/>
        <v>129.89424180779918</v>
      </c>
      <c r="HK31" s="86">
        <f t="shared" si="648"/>
        <v>129.89424180779918</v>
      </c>
      <c r="HL31" s="86">
        <f t="shared" si="648"/>
        <v>129.89424180779918</v>
      </c>
      <c r="HM31" s="86">
        <f t="shared" si="648"/>
        <v>129.89424180779918</v>
      </c>
      <c r="HN31" s="87">
        <f t="shared" si="649"/>
        <v>1558.7309016935897</v>
      </c>
      <c r="HO31" s="86">
        <f>HM31*(1+Inputs!$B$10)</f>
        <v>133.14159785299415</v>
      </c>
      <c r="HP31" s="86">
        <f t="shared" si="650"/>
        <v>133.14159785299415</v>
      </c>
      <c r="HQ31" s="86">
        <f t="shared" si="650"/>
        <v>133.14159785299415</v>
      </c>
      <c r="HR31" s="86">
        <f t="shared" si="650"/>
        <v>133.14159785299415</v>
      </c>
      <c r="HS31" s="86">
        <f t="shared" si="650"/>
        <v>133.14159785299415</v>
      </c>
      <c r="HT31" s="86">
        <f t="shared" si="650"/>
        <v>133.14159785299415</v>
      </c>
      <c r="HU31" s="86">
        <f t="shared" si="650"/>
        <v>133.14159785299415</v>
      </c>
      <c r="HV31" s="86">
        <f t="shared" si="650"/>
        <v>133.14159785299415</v>
      </c>
      <c r="HW31" s="86">
        <f t="shared" si="650"/>
        <v>133.14159785299415</v>
      </c>
      <c r="HX31" s="86">
        <f t="shared" si="650"/>
        <v>133.14159785299415</v>
      </c>
      <c r="HY31" s="86">
        <f t="shared" si="650"/>
        <v>133.14159785299415</v>
      </c>
      <c r="HZ31" s="86">
        <f t="shared" si="650"/>
        <v>133.14159785299415</v>
      </c>
      <c r="IA31" s="87">
        <f t="shared" si="651"/>
        <v>1597.6991742359303</v>
      </c>
      <c r="IB31" s="86">
        <f>HZ31*(1+Inputs!$B$10)</f>
        <v>136.47013779931899</v>
      </c>
      <c r="IC31" s="86">
        <f t="shared" si="652"/>
        <v>136.47013779931899</v>
      </c>
      <c r="ID31" s="86">
        <f t="shared" si="652"/>
        <v>136.47013779931899</v>
      </c>
      <c r="IE31" s="86">
        <f t="shared" si="652"/>
        <v>136.47013779931899</v>
      </c>
      <c r="IF31" s="86">
        <f t="shared" si="652"/>
        <v>136.47013779931899</v>
      </c>
      <c r="IG31" s="86">
        <f t="shared" si="652"/>
        <v>136.47013779931899</v>
      </c>
      <c r="IH31" s="86">
        <f t="shared" si="652"/>
        <v>136.47013779931899</v>
      </c>
      <c r="II31" s="86">
        <f t="shared" si="652"/>
        <v>136.47013779931899</v>
      </c>
      <c r="IJ31" s="86">
        <f t="shared" si="652"/>
        <v>136.47013779931899</v>
      </c>
      <c r="IK31" s="86">
        <f t="shared" si="652"/>
        <v>136.47013779931899</v>
      </c>
      <c r="IL31" s="86">
        <f t="shared" si="652"/>
        <v>136.47013779931899</v>
      </c>
      <c r="IM31" s="86">
        <f t="shared" si="652"/>
        <v>136.47013779931899</v>
      </c>
      <c r="IN31" s="87">
        <f t="shared" si="653"/>
        <v>1637.6416535918279</v>
      </c>
      <c r="IO31" s="86">
        <f>IM31*(1+Inputs!$B$10)</f>
        <v>139.88189124430195</v>
      </c>
      <c r="IP31" s="86">
        <f t="shared" si="654"/>
        <v>139.88189124430195</v>
      </c>
      <c r="IQ31" s="86">
        <f t="shared" si="654"/>
        <v>139.88189124430195</v>
      </c>
      <c r="IR31" s="86">
        <f t="shared" si="654"/>
        <v>139.88189124430195</v>
      </c>
      <c r="IS31" s="86">
        <f t="shared" si="654"/>
        <v>139.88189124430195</v>
      </c>
      <c r="IT31" s="86">
        <f t="shared" si="654"/>
        <v>139.88189124430195</v>
      </c>
      <c r="IU31" s="86">
        <f t="shared" si="654"/>
        <v>139.88189124430195</v>
      </c>
      <c r="IV31" s="86">
        <f t="shared" si="654"/>
        <v>139.88189124430195</v>
      </c>
      <c r="IW31" s="86">
        <f t="shared" si="654"/>
        <v>139.88189124430195</v>
      </c>
      <c r="IX31" s="86">
        <f t="shared" si="654"/>
        <v>139.88189124430195</v>
      </c>
      <c r="IY31" s="86">
        <f t="shared" si="654"/>
        <v>139.88189124430195</v>
      </c>
      <c r="IZ31" s="86">
        <f t="shared" si="654"/>
        <v>139.88189124430195</v>
      </c>
      <c r="JA31" s="87">
        <f t="shared" si="655"/>
        <v>1678.5826949316231</v>
      </c>
      <c r="JB31" s="86">
        <f>IZ31*(1+Inputs!$B$10)</f>
        <v>143.3789385254095</v>
      </c>
      <c r="JC31" s="86">
        <f t="shared" si="656"/>
        <v>143.3789385254095</v>
      </c>
      <c r="JD31" s="86">
        <f t="shared" si="656"/>
        <v>143.3789385254095</v>
      </c>
      <c r="JE31" s="86">
        <f t="shared" si="656"/>
        <v>143.3789385254095</v>
      </c>
      <c r="JF31" s="86">
        <f t="shared" si="656"/>
        <v>143.3789385254095</v>
      </c>
      <c r="JG31" s="86">
        <f t="shared" si="656"/>
        <v>143.3789385254095</v>
      </c>
      <c r="JH31" s="86">
        <f t="shared" si="656"/>
        <v>143.3789385254095</v>
      </c>
      <c r="JI31" s="86">
        <f t="shared" si="656"/>
        <v>143.3789385254095</v>
      </c>
      <c r="JJ31" s="86">
        <f t="shared" si="656"/>
        <v>143.3789385254095</v>
      </c>
      <c r="JK31" s="86">
        <f t="shared" si="656"/>
        <v>143.3789385254095</v>
      </c>
      <c r="JL31" s="86">
        <f t="shared" si="656"/>
        <v>143.3789385254095</v>
      </c>
      <c r="JM31" s="86">
        <f t="shared" si="656"/>
        <v>143.3789385254095</v>
      </c>
      <c r="JN31" s="87">
        <f t="shared" si="657"/>
        <v>1720.5472623049138</v>
      </c>
      <c r="JO31" s="86">
        <f>JM31*(1+Inputs!$B$10)</f>
        <v>146.96341198854472</v>
      </c>
      <c r="JP31" s="86">
        <f t="shared" si="658"/>
        <v>146.96341198854472</v>
      </c>
      <c r="JQ31" s="86">
        <f t="shared" si="658"/>
        <v>146.96341198854472</v>
      </c>
      <c r="JR31" s="86">
        <f t="shared" si="658"/>
        <v>146.96341198854472</v>
      </c>
      <c r="JS31" s="86">
        <f t="shared" si="658"/>
        <v>146.96341198854472</v>
      </c>
      <c r="JT31" s="86">
        <f t="shared" si="658"/>
        <v>146.96341198854472</v>
      </c>
      <c r="JU31" s="86">
        <f t="shared" si="658"/>
        <v>146.96341198854472</v>
      </c>
      <c r="JV31" s="86">
        <f t="shared" si="658"/>
        <v>146.96341198854472</v>
      </c>
      <c r="JW31" s="86">
        <f t="shared" si="658"/>
        <v>146.96341198854472</v>
      </c>
      <c r="JX31" s="86">
        <f t="shared" si="658"/>
        <v>146.96341198854472</v>
      </c>
      <c r="JY31" s="86">
        <f t="shared" si="658"/>
        <v>146.96341198854472</v>
      </c>
      <c r="JZ31" s="86">
        <f t="shared" si="658"/>
        <v>146.96341198854472</v>
      </c>
      <c r="KA31" s="87">
        <f t="shared" si="659"/>
        <v>1763.5609438625368</v>
      </c>
      <c r="KB31" s="86">
        <f>JZ31*(1+Inputs!$B$10)</f>
        <v>150.63749728825832</v>
      </c>
      <c r="KC31" s="86">
        <f t="shared" si="660"/>
        <v>150.63749728825832</v>
      </c>
      <c r="KD31" s="86">
        <f t="shared" si="660"/>
        <v>150.63749728825832</v>
      </c>
      <c r="KE31" s="86">
        <f t="shared" si="660"/>
        <v>150.63749728825832</v>
      </c>
      <c r="KF31" s="86">
        <f t="shared" si="660"/>
        <v>150.63749728825832</v>
      </c>
      <c r="KG31" s="86">
        <f t="shared" si="660"/>
        <v>150.63749728825832</v>
      </c>
      <c r="KH31" s="86">
        <f t="shared" si="660"/>
        <v>150.63749728825832</v>
      </c>
      <c r="KI31" s="86">
        <f t="shared" si="660"/>
        <v>150.63749728825832</v>
      </c>
      <c r="KJ31" s="86">
        <f t="shared" si="660"/>
        <v>150.63749728825832</v>
      </c>
      <c r="KK31" s="86">
        <f t="shared" si="660"/>
        <v>150.63749728825832</v>
      </c>
      <c r="KL31" s="86">
        <f t="shared" si="660"/>
        <v>150.63749728825832</v>
      </c>
      <c r="KM31" s="86">
        <f t="shared" si="660"/>
        <v>150.63749728825832</v>
      </c>
      <c r="KN31" s="87">
        <f t="shared" si="661"/>
        <v>1807.6499674591003</v>
      </c>
      <c r="KO31" s="86">
        <f>KM31*(1+Inputs!$B$10)</f>
        <v>154.40343472046476</v>
      </c>
      <c r="KP31" s="86">
        <f t="shared" si="662"/>
        <v>154.40343472046476</v>
      </c>
      <c r="KQ31" s="86">
        <f t="shared" si="662"/>
        <v>154.40343472046476</v>
      </c>
      <c r="KR31" s="86">
        <f t="shared" si="662"/>
        <v>154.40343472046476</v>
      </c>
      <c r="KS31" s="86">
        <f t="shared" si="662"/>
        <v>154.40343472046476</v>
      </c>
      <c r="KT31" s="86">
        <f t="shared" si="662"/>
        <v>154.40343472046476</v>
      </c>
      <c r="KU31" s="86">
        <f t="shared" si="662"/>
        <v>154.40343472046476</v>
      </c>
      <c r="KV31" s="86">
        <f t="shared" si="662"/>
        <v>154.40343472046476</v>
      </c>
      <c r="KW31" s="86">
        <f t="shared" si="662"/>
        <v>154.40343472046476</v>
      </c>
      <c r="KX31" s="86">
        <f t="shared" si="662"/>
        <v>154.40343472046476</v>
      </c>
      <c r="KY31" s="86">
        <f t="shared" si="662"/>
        <v>154.40343472046476</v>
      </c>
      <c r="KZ31" s="86">
        <f t="shared" si="662"/>
        <v>154.40343472046476</v>
      </c>
      <c r="LA31" s="87">
        <f t="shared" si="663"/>
        <v>1852.8412166455767</v>
      </c>
      <c r="LB31" s="86">
        <f>KZ31*(1+Inputs!$B$10)</f>
        <v>158.26352058847635</v>
      </c>
      <c r="LC31" s="86">
        <f t="shared" si="664"/>
        <v>158.26352058847635</v>
      </c>
      <c r="LD31" s="86">
        <f t="shared" si="664"/>
        <v>158.26352058847635</v>
      </c>
      <c r="LE31" s="86">
        <f t="shared" si="664"/>
        <v>158.26352058847635</v>
      </c>
      <c r="LF31" s="86">
        <f t="shared" si="664"/>
        <v>158.26352058847635</v>
      </c>
      <c r="LG31" s="86">
        <f t="shared" si="664"/>
        <v>158.26352058847635</v>
      </c>
      <c r="LH31" s="86">
        <f t="shared" si="664"/>
        <v>158.26352058847635</v>
      </c>
      <c r="LI31" s="86">
        <f t="shared" si="664"/>
        <v>158.26352058847635</v>
      </c>
      <c r="LJ31" s="86">
        <f t="shared" si="664"/>
        <v>158.26352058847635</v>
      </c>
      <c r="LK31" s="86">
        <f t="shared" si="664"/>
        <v>158.26352058847635</v>
      </c>
      <c r="LL31" s="86">
        <f t="shared" si="664"/>
        <v>158.26352058847635</v>
      </c>
      <c r="LM31" s="86">
        <f t="shared" si="664"/>
        <v>158.26352058847635</v>
      </c>
      <c r="LN31" s="87">
        <f t="shared" si="665"/>
        <v>1899.1622470617158</v>
      </c>
      <c r="LO31" s="86">
        <f>LM31*(1+Inputs!$B$10)</f>
        <v>162.22010860318824</v>
      </c>
      <c r="LP31" s="86">
        <f t="shared" si="666"/>
        <v>162.22010860318824</v>
      </c>
      <c r="LQ31" s="86">
        <f t="shared" si="666"/>
        <v>162.22010860318824</v>
      </c>
      <c r="LR31" s="86">
        <f t="shared" si="666"/>
        <v>162.22010860318824</v>
      </c>
      <c r="LS31" s="86">
        <f t="shared" si="666"/>
        <v>162.22010860318824</v>
      </c>
      <c r="LT31" s="86">
        <f t="shared" si="666"/>
        <v>162.22010860318824</v>
      </c>
      <c r="LU31" s="86">
        <f t="shared" si="666"/>
        <v>162.22010860318824</v>
      </c>
      <c r="LV31" s="86">
        <f t="shared" si="666"/>
        <v>162.22010860318824</v>
      </c>
      <c r="LW31" s="86">
        <f t="shared" si="666"/>
        <v>162.22010860318824</v>
      </c>
      <c r="LX31" s="86">
        <f t="shared" si="666"/>
        <v>162.22010860318824</v>
      </c>
      <c r="LY31" s="86">
        <f t="shared" si="666"/>
        <v>162.22010860318824</v>
      </c>
      <c r="LZ31" s="86">
        <f t="shared" si="666"/>
        <v>162.22010860318824</v>
      </c>
      <c r="MA31" s="87">
        <f t="shared" si="667"/>
        <v>1946.6413032382588</v>
      </c>
      <c r="MB31" s="86">
        <f>LZ31*(1+Inputs!$B$10)</f>
        <v>166.27561131826792</v>
      </c>
      <c r="MC31" s="86">
        <f t="shared" si="668"/>
        <v>166.27561131826792</v>
      </c>
      <c r="MD31" s="86">
        <f t="shared" si="668"/>
        <v>166.27561131826792</v>
      </c>
      <c r="ME31" s="86">
        <f t="shared" si="668"/>
        <v>166.27561131826792</v>
      </c>
      <c r="MF31" s="86">
        <f t="shared" si="668"/>
        <v>166.27561131826792</v>
      </c>
      <c r="MG31" s="86">
        <f t="shared" si="668"/>
        <v>166.27561131826792</v>
      </c>
      <c r="MH31" s="86">
        <f t="shared" si="668"/>
        <v>166.27561131826792</v>
      </c>
      <c r="MI31" s="86">
        <f t="shared" si="668"/>
        <v>166.27561131826792</v>
      </c>
      <c r="MJ31" s="86">
        <f t="shared" si="668"/>
        <v>166.27561131826792</v>
      </c>
      <c r="MK31" s="86">
        <f t="shared" si="668"/>
        <v>166.27561131826792</v>
      </c>
      <c r="ML31" s="86">
        <f t="shared" si="668"/>
        <v>166.27561131826792</v>
      </c>
      <c r="MM31" s="86">
        <f t="shared" si="668"/>
        <v>166.27561131826792</v>
      </c>
      <c r="MN31" s="87">
        <f t="shared" si="669"/>
        <v>1995.307335819215</v>
      </c>
      <c r="MO31" s="86">
        <f>MM31*(1+Inputs!$B$10)</f>
        <v>170.4325016012246</v>
      </c>
      <c r="MP31" s="86">
        <f t="shared" si="670"/>
        <v>170.4325016012246</v>
      </c>
      <c r="MQ31" s="86">
        <f t="shared" si="670"/>
        <v>170.4325016012246</v>
      </c>
      <c r="MR31" s="86">
        <f t="shared" si="670"/>
        <v>170.4325016012246</v>
      </c>
      <c r="MS31" s="86">
        <f t="shared" si="670"/>
        <v>170.4325016012246</v>
      </c>
      <c r="MT31" s="86">
        <f t="shared" si="670"/>
        <v>170.4325016012246</v>
      </c>
      <c r="MU31" s="86">
        <f t="shared" si="670"/>
        <v>170.4325016012246</v>
      </c>
      <c r="MV31" s="86">
        <f t="shared" si="670"/>
        <v>170.4325016012246</v>
      </c>
      <c r="MW31" s="86">
        <f t="shared" si="670"/>
        <v>170.4325016012246</v>
      </c>
      <c r="MX31" s="86">
        <f t="shared" si="670"/>
        <v>170.4325016012246</v>
      </c>
      <c r="MY31" s="86">
        <f t="shared" si="670"/>
        <v>170.4325016012246</v>
      </c>
      <c r="MZ31" s="86">
        <f t="shared" si="670"/>
        <v>170.4325016012246</v>
      </c>
      <c r="NA31" s="87">
        <f t="shared" si="671"/>
        <v>2045.1900192146957</v>
      </c>
      <c r="NB31" s="86">
        <f>MZ31*(1+Inputs!$B$10)</f>
        <v>174.6933141412552</v>
      </c>
      <c r="NC31" s="86">
        <f t="shared" si="672"/>
        <v>174.6933141412552</v>
      </c>
      <c r="ND31" s="86">
        <f t="shared" si="672"/>
        <v>174.6933141412552</v>
      </c>
      <c r="NE31" s="86">
        <f t="shared" si="672"/>
        <v>174.6933141412552</v>
      </c>
      <c r="NF31" s="86">
        <f t="shared" si="672"/>
        <v>174.6933141412552</v>
      </c>
      <c r="NG31" s="86">
        <f t="shared" si="672"/>
        <v>174.6933141412552</v>
      </c>
      <c r="NH31" s="86">
        <f t="shared" si="672"/>
        <v>174.6933141412552</v>
      </c>
      <c r="NI31" s="86">
        <f t="shared" si="672"/>
        <v>174.6933141412552</v>
      </c>
      <c r="NJ31" s="86">
        <f t="shared" si="672"/>
        <v>174.6933141412552</v>
      </c>
      <c r="NK31" s="86">
        <f t="shared" si="672"/>
        <v>174.6933141412552</v>
      </c>
      <c r="NL31" s="86">
        <f t="shared" si="672"/>
        <v>174.6933141412552</v>
      </c>
      <c r="NM31" s="86">
        <f t="shared" si="672"/>
        <v>174.6933141412552</v>
      </c>
      <c r="NN31" s="87">
        <f t="shared" si="673"/>
        <v>2096.319769695062</v>
      </c>
      <c r="NO31" s="86">
        <f>NM31*(1+Inputs!$B$10)</f>
        <v>179.06064699478657</v>
      </c>
      <c r="NP31" s="86">
        <f t="shared" si="674"/>
        <v>179.06064699478657</v>
      </c>
      <c r="NQ31" s="86">
        <f t="shared" si="674"/>
        <v>179.06064699478657</v>
      </c>
      <c r="NR31" s="86">
        <f t="shared" si="674"/>
        <v>179.06064699478657</v>
      </c>
      <c r="NS31" s="86">
        <f t="shared" si="674"/>
        <v>179.06064699478657</v>
      </c>
      <c r="NT31" s="86">
        <f t="shared" si="674"/>
        <v>179.06064699478657</v>
      </c>
      <c r="NU31" s="86">
        <f t="shared" si="674"/>
        <v>179.06064699478657</v>
      </c>
      <c r="NV31" s="86">
        <f t="shared" si="674"/>
        <v>179.06064699478657</v>
      </c>
      <c r="NW31" s="86">
        <f t="shared" si="674"/>
        <v>179.06064699478657</v>
      </c>
      <c r="NX31" s="86">
        <f t="shared" si="674"/>
        <v>179.06064699478657</v>
      </c>
      <c r="NY31" s="86">
        <f t="shared" si="674"/>
        <v>179.06064699478657</v>
      </c>
      <c r="NZ31" s="86">
        <f t="shared" si="674"/>
        <v>179.06064699478657</v>
      </c>
      <c r="OA31" s="87">
        <f t="shared" si="675"/>
        <v>2148.7277639374388</v>
      </c>
      <c r="OB31" s="86">
        <f>NZ31*(1+Inputs!$B$10)</f>
        <v>183.53716316965622</v>
      </c>
      <c r="OC31" s="86">
        <f t="shared" si="676"/>
        <v>183.53716316965622</v>
      </c>
      <c r="OD31" s="86">
        <f t="shared" si="676"/>
        <v>183.53716316965622</v>
      </c>
      <c r="OE31" s="86">
        <f t="shared" si="676"/>
        <v>183.53716316965622</v>
      </c>
      <c r="OF31" s="86">
        <f t="shared" si="676"/>
        <v>183.53716316965622</v>
      </c>
      <c r="OG31" s="86">
        <f t="shared" si="676"/>
        <v>183.53716316965622</v>
      </c>
      <c r="OH31" s="86">
        <f t="shared" si="676"/>
        <v>183.53716316965622</v>
      </c>
      <c r="OI31" s="86">
        <f t="shared" si="676"/>
        <v>183.53716316965622</v>
      </c>
      <c r="OJ31" s="86">
        <f t="shared" si="676"/>
        <v>183.53716316965622</v>
      </c>
      <c r="OK31" s="86">
        <f t="shared" si="676"/>
        <v>183.53716316965622</v>
      </c>
      <c r="OL31" s="86">
        <f t="shared" si="676"/>
        <v>183.53716316965622</v>
      </c>
      <c r="OM31" s="86">
        <f t="shared" si="676"/>
        <v>183.53716316965622</v>
      </c>
      <c r="ON31" s="87">
        <f t="shared" si="677"/>
        <v>2202.4459580358748</v>
      </c>
      <c r="OO31" s="86">
        <f>OM31*(1+Inputs!$B$10)</f>
        <v>188.12559224889762</v>
      </c>
      <c r="OP31" s="86">
        <f t="shared" si="678"/>
        <v>188.12559224889762</v>
      </c>
      <c r="OQ31" s="86">
        <f t="shared" si="678"/>
        <v>188.12559224889762</v>
      </c>
      <c r="OR31" s="86">
        <f t="shared" si="678"/>
        <v>188.12559224889762</v>
      </c>
      <c r="OS31" s="86">
        <f t="shared" si="678"/>
        <v>188.12559224889762</v>
      </c>
      <c r="OT31" s="86">
        <f t="shared" si="678"/>
        <v>188.12559224889762</v>
      </c>
      <c r="OU31" s="86">
        <f t="shared" si="678"/>
        <v>188.12559224889762</v>
      </c>
      <c r="OV31" s="86">
        <f t="shared" si="678"/>
        <v>188.12559224889762</v>
      </c>
      <c r="OW31" s="86">
        <f t="shared" si="678"/>
        <v>188.12559224889762</v>
      </c>
      <c r="OX31" s="86">
        <f t="shared" si="678"/>
        <v>188.12559224889762</v>
      </c>
      <c r="OY31" s="86">
        <f t="shared" si="678"/>
        <v>188.12559224889762</v>
      </c>
      <c r="OZ31" s="86">
        <f t="shared" si="678"/>
        <v>188.12559224889762</v>
      </c>
      <c r="PA31" s="87">
        <f t="shared" si="679"/>
        <v>2257.5071069867713</v>
      </c>
      <c r="PB31" s="86">
        <f>OZ31*(1+Inputs!$B$10)</f>
        <v>192.82873205512004</v>
      </c>
      <c r="PC31" s="86">
        <f t="shared" si="680"/>
        <v>192.82873205512004</v>
      </c>
      <c r="PD31" s="86">
        <f t="shared" si="680"/>
        <v>192.82873205512004</v>
      </c>
      <c r="PE31" s="86">
        <f t="shared" si="680"/>
        <v>192.82873205512004</v>
      </c>
      <c r="PF31" s="86">
        <f t="shared" si="680"/>
        <v>192.82873205512004</v>
      </c>
      <c r="PG31" s="86">
        <f t="shared" si="680"/>
        <v>192.82873205512004</v>
      </c>
      <c r="PH31" s="86">
        <f t="shared" si="680"/>
        <v>192.82873205512004</v>
      </c>
      <c r="PI31" s="86">
        <f t="shared" si="680"/>
        <v>192.82873205512004</v>
      </c>
      <c r="PJ31" s="86">
        <f t="shared" si="680"/>
        <v>192.82873205512004</v>
      </c>
      <c r="PK31" s="86">
        <f t="shared" si="680"/>
        <v>192.82873205512004</v>
      </c>
      <c r="PL31" s="86">
        <f t="shared" si="680"/>
        <v>192.82873205512004</v>
      </c>
      <c r="PM31" s="86">
        <f t="shared" si="680"/>
        <v>192.82873205512004</v>
      </c>
      <c r="PN31" s="87">
        <f t="shared" si="681"/>
        <v>2313.9447846614407</v>
      </c>
      <c r="PO31" s="86">
        <f>PM31*(1+Inputs!$B$10)</f>
        <v>197.64945035649802</v>
      </c>
      <c r="PP31" s="86">
        <f t="shared" si="682"/>
        <v>197.64945035649802</v>
      </c>
      <c r="PQ31" s="86">
        <f t="shared" si="682"/>
        <v>197.64945035649802</v>
      </c>
      <c r="PR31" s="86">
        <f t="shared" si="682"/>
        <v>197.64945035649802</v>
      </c>
      <c r="PS31" s="86">
        <f t="shared" si="682"/>
        <v>197.64945035649802</v>
      </c>
      <c r="PT31" s="86">
        <f t="shared" si="682"/>
        <v>197.64945035649802</v>
      </c>
      <c r="PU31" s="86">
        <f t="shared" si="682"/>
        <v>197.64945035649802</v>
      </c>
      <c r="PV31" s="86">
        <f t="shared" si="682"/>
        <v>197.64945035649802</v>
      </c>
      <c r="PW31" s="86">
        <f t="shared" si="682"/>
        <v>197.64945035649802</v>
      </c>
      <c r="PX31" s="86">
        <f t="shared" si="682"/>
        <v>197.64945035649802</v>
      </c>
      <c r="PY31" s="86">
        <f t="shared" si="682"/>
        <v>197.64945035649802</v>
      </c>
      <c r="PZ31" s="86">
        <f t="shared" si="682"/>
        <v>197.64945035649802</v>
      </c>
      <c r="QA31" s="87">
        <f t="shared" si="683"/>
        <v>2371.7934042779762</v>
      </c>
      <c r="QB31" s="86">
        <f>PZ31*(1+Inputs!$B$10)</f>
        <v>202.59068661541045</v>
      </c>
      <c r="QC31" s="86">
        <f t="shared" si="684"/>
        <v>202.59068661541045</v>
      </c>
      <c r="QD31" s="86">
        <f t="shared" si="684"/>
        <v>202.59068661541045</v>
      </c>
      <c r="QE31" s="86">
        <f t="shared" si="684"/>
        <v>202.59068661541045</v>
      </c>
      <c r="QF31" s="86">
        <f t="shared" si="684"/>
        <v>202.59068661541045</v>
      </c>
      <c r="QG31" s="86">
        <f t="shared" si="684"/>
        <v>202.59068661541045</v>
      </c>
      <c r="QH31" s="86">
        <f t="shared" si="684"/>
        <v>202.59068661541045</v>
      </c>
      <c r="QI31" s="86">
        <f t="shared" si="684"/>
        <v>202.59068661541045</v>
      </c>
      <c r="QJ31" s="86">
        <f t="shared" si="684"/>
        <v>202.59068661541045</v>
      </c>
      <c r="QK31" s="86">
        <f t="shared" si="684"/>
        <v>202.59068661541045</v>
      </c>
      <c r="QL31" s="86">
        <f t="shared" si="684"/>
        <v>202.59068661541045</v>
      </c>
      <c r="QM31" s="86">
        <f t="shared" si="684"/>
        <v>202.59068661541045</v>
      </c>
      <c r="QN31" s="87">
        <f t="shared" si="685"/>
        <v>2431.0882393849256</v>
      </c>
      <c r="QO31" s="86">
        <f>QM31*(1+Inputs!$B$10)</f>
        <v>207.65545378079568</v>
      </c>
      <c r="QP31" s="86">
        <f t="shared" si="686"/>
        <v>207.65545378079568</v>
      </c>
      <c r="QQ31" s="86">
        <f t="shared" si="686"/>
        <v>207.65545378079568</v>
      </c>
      <c r="QR31" s="86">
        <f t="shared" si="686"/>
        <v>207.65545378079568</v>
      </c>
      <c r="QS31" s="86">
        <f t="shared" si="686"/>
        <v>207.65545378079568</v>
      </c>
      <c r="QT31" s="86">
        <f t="shared" si="686"/>
        <v>207.65545378079568</v>
      </c>
      <c r="QU31" s="86">
        <f t="shared" si="686"/>
        <v>207.65545378079568</v>
      </c>
      <c r="QV31" s="86">
        <f t="shared" si="686"/>
        <v>207.65545378079568</v>
      </c>
      <c r="QW31" s="86">
        <f t="shared" si="686"/>
        <v>207.65545378079568</v>
      </c>
      <c r="QX31" s="86">
        <f t="shared" si="686"/>
        <v>207.65545378079568</v>
      </c>
      <c r="QY31" s="86">
        <f t="shared" si="686"/>
        <v>207.65545378079568</v>
      </c>
      <c r="QZ31" s="86">
        <f t="shared" si="686"/>
        <v>207.65545378079568</v>
      </c>
      <c r="RA31" s="87">
        <f t="shared" si="687"/>
        <v>2491.8654453695476</v>
      </c>
      <c r="RB31" s="86">
        <f>QZ31*(1+Inputs!$B$10)</f>
        <v>212.84684012531557</v>
      </c>
      <c r="RC31" s="86">
        <f t="shared" si="688"/>
        <v>212.84684012531557</v>
      </c>
      <c r="RD31" s="86">
        <f t="shared" si="688"/>
        <v>212.84684012531557</v>
      </c>
      <c r="RE31" s="86">
        <f t="shared" si="688"/>
        <v>212.84684012531557</v>
      </c>
      <c r="RF31" s="86">
        <f t="shared" si="688"/>
        <v>212.84684012531557</v>
      </c>
      <c r="RG31" s="86">
        <f t="shared" si="688"/>
        <v>212.84684012531557</v>
      </c>
      <c r="RH31" s="86">
        <f t="shared" si="688"/>
        <v>212.84684012531557</v>
      </c>
      <c r="RI31" s="86">
        <f t="shared" si="688"/>
        <v>212.84684012531557</v>
      </c>
      <c r="RJ31" s="86">
        <f t="shared" si="688"/>
        <v>212.84684012531557</v>
      </c>
      <c r="RK31" s="86">
        <f t="shared" si="688"/>
        <v>212.84684012531557</v>
      </c>
      <c r="RL31" s="86">
        <f t="shared" si="688"/>
        <v>212.84684012531557</v>
      </c>
      <c r="RM31" s="86">
        <f t="shared" si="688"/>
        <v>212.84684012531557</v>
      </c>
      <c r="RN31" s="87">
        <f t="shared" si="689"/>
        <v>2554.1620815037868</v>
      </c>
    </row>
    <row r="32" spans="1:482" s="77" customFormat="1" hidden="1" outlineLevel="1" x14ac:dyDescent="0.3">
      <c r="A32" s="74" t="s">
        <v>251</v>
      </c>
      <c r="B32" s="90">
        <f>SUM(B30:B31)</f>
        <v>87.5</v>
      </c>
      <c r="C32" s="90">
        <f t="shared" ref="C32:M32" si="690">SUM(C30:C31)</f>
        <v>87.5</v>
      </c>
      <c r="D32" s="90">
        <f t="shared" si="690"/>
        <v>87.5</v>
      </c>
      <c r="E32" s="90">
        <f t="shared" si="690"/>
        <v>87.5</v>
      </c>
      <c r="F32" s="90">
        <f t="shared" si="690"/>
        <v>87.5</v>
      </c>
      <c r="G32" s="90">
        <f t="shared" si="690"/>
        <v>87.5</v>
      </c>
      <c r="H32" s="90">
        <f t="shared" si="690"/>
        <v>87.5</v>
      </c>
      <c r="I32" s="90">
        <f t="shared" si="690"/>
        <v>87.5</v>
      </c>
      <c r="J32" s="90">
        <f t="shared" si="690"/>
        <v>87.5</v>
      </c>
      <c r="K32" s="90">
        <f t="shared" si="690"/>
        <v>87.5</v>
      </c>
      <c r="L32" s="90">
        <f t="shared" si="690"/>
        <v>87.5</v>
      </c>
      <c r="M32" s="90">
        <f t="shared" si="690"/>
        <v>87.5</v>
      </c>
      <c r="N32" s="91">
        <f t="shared" si="617"/>
        <v>1050</v>
      </c>
      <c r="O32" s="90">
        <f t="shared" ref="O32:Z32" si="691">SUM(O30:O31)</f>
        <v>89.687499999999986</v>
      </c>
      <c r="P32" s="90">
        <f t="shared" si="691"/>
        <v>89.687499999999986</v>
      </c>
      <c r="Q32" s="90">
        <f t="shared" si="691"/>
        <v>89.687499999999986</v>
      </c>
      <c r="R32" s="90">
        <f t="shared" si="691"/>
        <v>89.687499999999986</v>
      </c>
      <c r="S32" s="90">
        <f t="shared" si="691"/>
        <v>89.687499999999986</v>
      </c>
      <c r="T32" s="90">
        <f t="shared" si="691"/>
        <v>89.687499999999986</v>
      </c>
      <c r="U32" s="90">
        <f t="shared" si="691"/>
        <v>89.687499999999986</v>
      </c>
      <c r="V32" s="90">
        <f t="shared" si="691"/>
        <v>89.687499999999986</v>
      </c>
      <c r="W32" s="90">
        <f t="shared" si="691"/>
        <v>89.687499999999986</v>
      </c>
      <c r="X32" s="90">
        <f t="shared" si="691"/>
        <v>89.687499999999986</v>
      </c>
      <c r="Y32" s="90">
        <f t="shared" si="691"/>
        <v>89.687499999999986</v>
      </c>
      <c r="Z32" s="90">
        <f t="shared" si="691"/>
        <v>89.687499999999986</v>
      </c>
      <c r="AA32" s="91">
        <f t="shared" si="619"/>
        <v>1076.2499999999998</v>
      </c>
      <c r="AB32" s="90">
        <f t="shared" ref="AB32:AM32" si="692">SUM(AB30:AB31)</f>
        <v>91.929687499999972</v>
      </c>
      <c r="AC32" s="90">
        <f t="shared" si="692"/>
        <v>91.929687499999972</v>
      </c>
      <c r="AD32" s="90">
        <f t="shared" si="692"/>
        <v>91.929687499999972</v>
      </c>
      <c r="AE32" s="90">
        <f t="shared" si="692"/>
        <v>91.929687499999972</v>
      </c>
      <c r="AF32" s="90">
        <f t="shared" si="692"/>
        <v>91.929687499999972</v>
      </c>
      <c r="AG32" s="90">
        <f t="shared" si="692"/>
        <v>91.929687499999972</v>
      </c>
      <c r="AH32" s="90">
        <f t="shared" si="692"/>
        <v>91.929687499999972</v>
      </c>
      <c r="AI32" s="90">
        <f t="shared" si="692"/>
        <v>91.929687499999972</v>
      </c>
      <c r="AJ32" s="90">
        <f t="shared" si="692"/>
        <v>91.929687499999972</v>
      </c>
      <c r="AK32" s="90">
        <f t="shared" si="692"/>
        <v>91.929687499999972</v>
      </c>
      <c r="AL32" s="90">
        <f t="shared" si="692"/>
        <v>91.929687499999972</v>
      </c>
      <c r="AM32" s="90">
        <f t="shared" si="692"/>
        <v>91.929687499999972</v>
      </c>
      <c r="AN32" s="91">
        <f t="shared" si="621"/>
        <v>1103.1562499999998</v>
      </c>
      <c r="AO32" s="90">
        <f t="shared" ref="AO32:AZ32" si="693">SUM(AO30:AO31)</f>
        <v>94.227929687499966</v>
      </c>
      <c r="AP32" s="90">
        <f t="shared" si="693"/>
        <v>94.227929687499966</v>
      </c>
      <c r="AQ32" s="90">
        <f t="shared" si="693"/>
        <v>94.227929687499966</v>
      </c>
      <c r="AR32" s="90">
        <f t="shared" si="693"/>
        <v>94.227929687499966</v>
      </c>
      <c r="AS32" s="90">
        <f t="shared" si="693"/>
        <v>94.227929687499966</v>
      </c>
      <c r="AT32" s="90">
        <f t="shared" si="693"/>
        <v>94.227929687499966</v>
      </c>
      <c r="AU32" s="90">
        <f t="shared" si="693"/>
        <v>94.227929687499966</v>
      </c>
      <c r="AV32" s="90">
        <f t="shared" si="693"/>
        <v>94.227929687499966</v>
      </c>
      <c r="AW32" s="90">
        <f t="shared" si="693"/>
        <v>94.227929687499966</v>
      </c>
      <c r="AX32" s="90">
        <f t="shared" si="693"/>
        <v>94.227929687499966</v>
      </c>
      <c r="AY32" s="90">
        <f t="shared" si="693"/>
        <v>94.227929687499966</v>
      </c>
      <c r="AZ32" s="90">
        <f t="shared" si="693"/>
        <v>94.227929687499966</v>
      </c>
      <c r="BA32" s="91">
        <f t="shared" si="623"/>
        <v>1130.7351562499994</v>
      </c>
      <c r="BB32" s="90">
        <f t="shared" ref="BB32:BM32" si="694">SUM(BB30:BB31)</f>
        <v>96.583627929687452</v>
      </c>
      <c r="BC32" s="90">
        <f t="shared" si="694"/>
        <v>96.583627929687452</v>
      </c>
      <c r="BD32" s="90">
        <f t="shared" si="694"/>
        <v>96.583627929687452</v>
      </c>
      <c r="BE32" s="90">
        <f t="shared" si="694"/>
        <v>96.583627929687452</v>
      </c>
      <c r="BF32" s="90">
        <f t="shared" si="694"/>
        <v>96.583627929687452</v>
      </c>
      <c r="BG32" s="90">
        <f t="shared" si="694"/>
        <v>96.583627929687452</v>
      </c>
      <c r="BH32" s="90">
        <f t="shared" si="694"/>
        <v>96.583627929687452</v>
      </c>
      <c r="BI32" s="90">
        <f t="shared" si="694"/>
        <v>96.583627929687452</v>
      </c>
      <c r="BJ32" s="90">
        <f t="shared" si="694"/>
        <v>96.583627929687452</v>
      </c>
      <c r="BK32" s="90">
        <f t="shared" si="694"/>
        <v>96.583627929687452</v>
      </c>
      <c r="BL32" s="90">
        <f t="shared" si="694"/>
        <v>96.583627929687452</v>
      </c>
      <c r="BM32" s="90">
        <f t="shared" si="694"/>
        <v>96.583627929687452</v>
      </c>
      <c r="BN32" s="91">
        <f t="shared" si="625"/>
        <v>1159.0035351562497</v>
      </c>
      <c r="BO32" s="90">
        <f t="shared" ref="BO32:BZ32" si="695">SUM(BO30:BO31)</f>
        <v>98.998218627929631</v>
      </c>
      <c r="BP32" s="90">
        <f t="shared" si="695"/>
        <v>98.998218627929631</v>
      </c>
      <c r="BQ32" s="90">
        <f t="shared" si="695"/>
        <v>98.998218627929631</v>
      </c>
      <c r="BR32" s="90">
        <f t="shared" si="695"/>
        <v>98.998218627929631</v>
      </c>
      <c r="BS32" s="90">
        <f t="shared" si="695"/>
        <v>98.998218627929631</v>
      </c>
      <c r="BT32" s="90">
        <f t="shared" si="695"/>
        <v>98.998218627929631</v>
      </c>
      <c r="BU32" s="90">
        <f t="shared" si="695"/>
        <v>98.998218627929631</v>
      </c>
      <c r="BV32" s="90">
        <f t="shared" si="695"/>
        <v>98.998218627929631</v>
      </c>
      <c r="BW32" s="90">
        <f t="shared" si="695"/>
        <v>98.998218627929631</v>
      </c>
      <c r="BX32" s="90">
        <f t="shared" si="695"/>
        <v>98.998218627929631</v>
      </c>
      <c r="BY32" s="90">
        <f t="shared" si="695"/>
        <v>98.998218627929631</v>
      </c>
      <c r="BZ32" s="90">
        <f t="shared" si="695"/>
        <v>98.998218627929631</v>
      </c>
      <c r="CA32" s="91">
        <f t="shared" si="627"/>
        <v>1187.9786235351555</v>
      </c>
      <c r="CB32" s="90">
        <f t="shared" ref="CB32:CM32" si="696">SUM(CB30:CB31)</f>
        <v>101.47317409362786</v>
      </c>
      <c r="CC32" s="90">
        <f t="shared" si="696"/>
        <v>101.47317409362786</v>
      </c>
      <c r="CD32" s="90">
        <f t="shared" si="696"/>
        <v>101.47317409362786</v>
      </c>
      <c r="CE32" s="90">
        <f t="shared" si="696"/>
        <v>101.47317409362786</v>
      </c>
      <c r="CF32" s="90">
        <f t="shared" si="696"/>
        <v>101.47317409362786</v>
      </c>
      <c r="CG32" s="90">
        <f t="shared" si="696"/>
        <v>101.47317409362786</v>
      </c>
      <c r="CH32" s="90">
        <f t="shared" si="696"/>
        <v>101.47317409362786</v>
      </c>
      <c r="CI32" s="90">
        <f t="shared" si="696"/>
        <v>101.47317409362786</v>
      </c>
      <c r="CJ32" s="90">
        <f t="shared" si="696"/>
        <v>101.47317409362786</v>
      </c>
      <c r="CK32" s="90">
        <f t="shared" si="696"/>
        <v>101.47317409362786</v>
      </c>
      <c r="CL32" s="90">
        <f t="shared" si="696"/>
        <v>101.47317409362786</v>
      </c>
      <c r="CM32" s="90">
        <f t="shared" si="696"/>
        <v>101.47317409362786</v>
      </c>
      <c r="CN32" s="91">
        <f t="shared" si="629"/>
        <v>1217.6780891235346</v>
      </c>
      <c r="CO32" s="90">
        <f t="shared" ref="CO32:CZ32" si="697">SUM(CO30:CO31)</f>
        <v>104.01000344596855</v>
      </c>
      <c r="CP32" s="90">
        <f t="shared" si="697"/>
        <v>104.01000344596855</v>
      </c>
      <c r="CQ32" s="90">
        <f t="shared" si="697"/>
        <v>104.01000344596855</v>
      </c>
      <c r="CR32" s="90">
        <f t="shared" si="697"/>
        <v>104.01000344596855</v>
      </c>
      <c r="CS32" s="90">
        <f t="shared" si="697"/>
        <v>104.01000344596855</v>
      </c>
      <c r="CT32" s="90">
        <f t="shared" si="697"/>
        <v>104.01000344596855</v>
      </c>
      <c r="CU32" s="90">
        <f t="shared" si="697"/>
        <v>104.01000344596855</v>
      </c>
      <c r="CV32" s="90">
        <f t="shared" si="697"/>
        <v>104.01000344596855</v>
      </c>
      <c r="CW32" s="90">
        <f t="shared" si="697"/>
        <v>104.01000344596855</v>
      </c>
      <c r="CX32" s="90">
        <f t="shared" si="697"/>
        <v>104.01000344596855</v>
      </c>
      <c r="CY32" s="90">
        <f t="shared" si="697"/>
        <v>104.01000344596855</v>
      </c>
      <c r="CZ32" s="90">
        <f t="shared" si="697"/>
        <v>104.01000344596855</v>
      </c>
      <c r="DA32" s="91">
        <f t="shared" si="631"/>
        <v>1248.1200413516226</v>
      </c>
      <c r="DB32" s="90">
        <f t="shared" ref="DB32:DM32" si="698">SUM(DB30:DB31)</f>
        <v>106.61025353211775</v>
      </c>
      <c r="DC32" s="90">
        <f t="shared" si="698"/>
        <v>106.61025353211775</v>
      </c>
      <c r="DD32" s="90">
        <f t="shared" si="698"/>
        <v>106.61025353211775</v>
      </c>
      <c r="DE32" s="90">
        <f t="shared" si="698"/>
        <v>106.61025353211775</v>
      </c>
      <c r="DF32" s="90">
        <f t="shared" si="698"/>
        <v>106.61025353211775</v>
      </c>
      <c r="DG32" s="90">
        <f t="shared" si="698"/>
        <v>106.61025353211775</v>
      </c>
      <c r="DH32" s="90">
        <f t="shared" si="698"/>
        <v>106.61025353211775</v>
      </c>
      <c r="DI32" s="90">
        <f t="shared" si="698"/>
        <v>106.61025353211775</v>
      </c>
      <c r="DJ32" s="90">
        <f t="shared" si="698"/>
        <v>106.61025353211775</v>
      </c>
      <c r="DK32" s="90">
        <f t="shared" si="698"/>
        <v>106.61025353211775</v>
      </c>
      <c r="DL32" s="90">
        <f t="shared" si="698"/>
        <v>106.61025353211775</v>
      </c>
      <c r="DM32" s="90">
        <f t="shared" si="698"/>
        <v>106.61025353211775</v>
      </c>
      <c r="DN32" s="91">
        <f t="shared" si="633"/>
        <v>1279.3230423854129</v>
      </c>
      <c r="DO32" s="90">
        <f t="shared" ref="DO32:DZ32" si="699">SUM(DO30:DO31)</f>
        <v>109.27550987042069</v>
      </c>
      <c r="DP32" s="90">
        <f t="shared" si="699"/>
        <v>109.27550987042069</v>
      </c>
      <c r="DQ32" s="90">
        <f t="shared" si="699"/>
        <v>109.27550987042069</v>
      </c>
      <c r="DR32" s="90">
        <f t="shared" si="699"/>
        <v>109.27550987042069</v>
      </c>
      <c r="DS32" s="90">
        <f t="shared" si="699"/>
        <v>109.27550987042069</v>
      </c>
      <c r="DT32" s="90">
        <f t="shared" si="699"/>
        <v>109.27550987042069</v>
      </c>
      <c r="DU32" s="90">
        <f t="shared" si="699"/>
        <v>109.27550987042069</v>
      </c>
      <c r="DV32" s="90">
        <f t="shared" si="699"/>
        <v>109.27550987042069</v>
      </c>
      <c r="DW32" s="90">
        <f t="shared" si="699"/>
        <v>109.27550987042069</v>
      </c>
      <c r="DX32" s="90">
        <f t="shared" si="699"/>
        <v>109.27550987042069</v>
      </c>
      <c r="DY32" s="90">
        <f t="shared" si="699"/>
        <v>109.27550987042069</v>
      </c>
      <c r="DZ32" s="90">
        <f t="shared" si="699"/>
        <v>109.27550987042069</v>
      </c>
      <c r="EA32" s="91">
        <f t="shared" si="635"/>
        <v>1311.306118445048</v>
      </c>
      <c r="EB32" s="90">
        <f t="shared" ref="EB32:EM32" si="700">SUM(EB30:EB31)</f>
        <v>112.0073976171812</v>
      </c>
      <c r="EC32" s="90">
        <f t="shared" si="700"/>
        <v>112.0073976171812</v>
      </c>
      <c r="ED32" s="90">
        <f t="shared" si="700"/>
        <v>112.0073976171812</v>
      </c>
      <c r="EE32" s="90">
        <f t="shared" si="700"/>
        <v>112.0073976171812</v>
      </c>
      <c r="EF32" s="90">
        <f t="shared" si="700"/>
        <v>112.0073976171812</v>
      </c>
      <c r="EG32" s="90">
        <f t="shared" si="700"/>
        <v>112.0073976171812</v>
      </c>
      <c r="EH32" s="90">
        <f t="shared" si="700"/>
        <v>112.0073976171812</v>
      </c>
      <c r="EI32" s="90">
        <f t="shared" si="700"/>
        <v>112.0073976171812</v>
      </c>
      <c r="EJ32" s="90">
        <f t="shared" si="700"/>
        <v>112.0073976171812</v>
      </c>
      <c r="EK32" s="90">
        <f t="shared" si="700"/>
        <v>112.0073976171812</v>
      </c>
      <c r="EL32" s="90">
        <f t="shared" si="700"/>
        <v>112.0073976171812</v>
      </c>
      <c r="EM32" s="90">
        <f t="shared" si="700"/>
        <v>112.0073976171812</v>
      </c>
      <c r="EN32" s="91">
        <f t="shared" si="637"/>
        <v>1344.0887714061739</v>
      </c>
      <c r="EO32" s="90">
        <f t="shared" ref="EO32:EZ32" si="701">SUM(EO30:EO31)</f>
        <v>114.80758255761071</v>
      </c>
      <c r="EP32" s="90">
        <f t="shared" si="701"/>
        <v>114.80758255761071</v>
      </c>
      <c r="EQ32" s="90">
        <f t="shared" si="701"/>
        <v>114.80758255761071</v>
      </c>
      <c r="ER32" s="90">
        <f t="shared" si="701"/>
        <v>114.80758255761071</v>
      </c>
      <c r="ES32" s="90">
        <f t="shared" si="701"/>
        <v>114.80758255761071</v>
      </c>
      <c r="ET32" s="90">
        <f t="shared" si="701"/>
        <v>114.80758255761071</v>
      </c>
      <c r="EU32" s="90">
        <f t="shared" si="701"/>
        <v>114.80758255761071</v>
      </c>
      <c r="EV32" s="90">
        <f t="shared" si="701"/>
        <v>114.80758255761071</v>
      </c>
      <c r="EW32" s="90">
        <f t="shared" si="701"/>
        <v>114.80758255761071</v>
      </c>
      <c r="EX32" s="90">
        <f t="shared" si="701"/>
        <v>114.80758255761071</v>
      </c>
      <c r="EY32" s="90">
        <f t="shared" si="701"/>
        <v>114.80758255761071</v>
      </c>
      <c r="EZ32" s="90">
        <f t="shared" si="701"/>
        <v>114.80758255761071</v>
      </c>
      <c r="FA32" s="91">
        <f t="shared" si="639"/>
        <v>1377.6909906913281</v>
      </c>
      <c r="FB32" s="90">
        <f t="shared" ref="FB32:FM32" si="702">SUM(FB30:FB31)</f>
        <v>117.67777212155097</v>
      </c>
      <c r="FC32" s="90">
        <f t="shared" si="702"/>
        <v>117.67777212155097</v>
      </c>
      <c r="FD32" s="90">
        <f t="shared" si="702"/>
        <v>117.67777212155097</v>
      </c>
      <c r="FE32" s="90">
        <f t="shared" si="702"/>
        <v>117.67777212155097</v>
      </c>
      <c r="FF32" s="90">
        <f t="shared" si="702"/>
        <v>117.67777212155097</v>
      </c>
      <c r="FG32" s="90">
        <f t="shared" si="702"/>
        <v>117.67777212155097</v>
      </c>
      <c r="FH32" s="90">
        <f t="shared" si="702"/>
        <v>117.67777212155097</v>
      </c>
      <c r="FI32" s="90">
        <f t="shared" si="702"/>
        <v>117.67777212155097</v>
      </c>
      <c r="FJ32" s="90">
        <f t="shared" si="702"/>
        <v>117.67777212155097</v>
      </c>
      <c r="FK32" s="90">
        <f t="shared" si="702"/>
        <v>117.67777212155097</v>
      </c>
      <c r="FL32" s="90">
        <f t="shared" si="702"/>
        <v>117.67777212155097</v>
      </c>
      <c r="FM32" s="90">
        <f t="shared" si="702"/>
        <v>117.67777212155097</v>
      </c>
      <c r="FN32" s="91">
        <f t="shared" si="641"/>
        <v>1412.133265458612</v>
      </c>
      <c r="FO32" s="90">
        <f t="shared" ref="FO32:FZ32" si="703">SUM(FO30:FO31)</f>
        <v>120.61971642458974</v>
      </c>
      <c r="FP32" s="90">
        <f t="shared" si="703"/>
        <v>120.61971642458974</v>
      </c>
      <c r="FQ32" s="90">
        <f t="shared" si="703"/>
        <v>120.61971642458974</v>
      </c>
      <c r="FR32" s="90">
        <f t="shared" si="703"/>
        <v>120.61971642458974</v>
      </c>
      <c r="FS32" s="90">
        <f t="shared" si="703"/>
        <v>120.61971642458974</v>
      </c>
      <c r="FT32" s="90">
        <f t="shared" si="703"/>
        <v>120.61971642458974</v>
      </c>
      <c r="FU32" s="90">
        <f t="shared" si="703"/>
        <v>120.61971642458974</v>
      </c>
      <c r="FV32" s="90">
        <f t="shared" si="703"/>
        <v>120.61971642458974</v>
      </c>
      <c r="FW32" s="90">
        <f t="shared" si="703"/>
        <v>120.61971642458974</v>
      </c>
      <c r="FX32" s="90">
        <f t="shared" si="703"/>
        <v>120.61971642458974</v>
      </c>
      <c r="FY32" s="90">
        <f t="shared" si="703"/>
        <v>120.61971642458974</v>
      </c>
      <c r="FZ32" s="90">
        <f t="shared" si="703"/>
        <v>120.61971642458974</v>
      </c>
      <c r="GA32" s="91">
        <f t="shared" si="643"/>
        <v>1447.4365970950773</v>
      </c>
      <c r="GB32" s="90">
        <f t="shared" ref="GB32:GM32" si="704">SUM(GB30:GB31)</f>
        <v>123.63520933520448</v>
      </c>
      <c r="GC32" s="90">
        <f t="shared" si="704"/>
        <v>123.63520933520448</v>
      </c>
      <c r="GD32" s="90">
        <f t="shared" si="704"/>
        <v>123.63520933520448</v>
      </c>
      <c r="GE32" s="90">
        <f t="shared" si="704"/>
        <v>123.63520933520448</v>
      </c>
      <c r="GF32" s="90">
        <f t="shared" si="704"/>
        <v>123.63520933520448</v>
      </c>
      <c r="GG32" s="90">
        <f t="shared" si="704"/>
        <v>123.63520933520448</v>
      </c>
      <c r="GH32" s="90">
        <f t="shared" si="704"/>
        <v>123.63520933520448</v>
      </c>
      <c r="GI32" s="90">
        <f t="shared" si="704"/>
        <v>123.63520933520448</v>
      </c>
      <c r="GJ32" s="90">
        <f t="shared" si="704"/>
        <v>123.63520933520448</v>
      </c>
      <c r="GK32" s="90">
        <f t="shared" si="704"/>
        <v>123.63520933520448</v>
      </c>
      <c r="GL32" s="90">
        <f t="shared" si="704"/>
        <v>123.63520933520448</v>
      </c>
      <c r="GM32" s="90">
        <f t="shared" si="704"/>
        <v>123.63520933520448</v>
      </c>
      <c r="GN32" s="91">
        <f t="shared" si="645"/>
        <v>1483.6225120224542</v>
      </c>
      <c r="GO32" s="90">
        <f t="shared" ref="GO32:GZ32" si="705">SUM(GO30:GO31)</f>
        <v>126.72608956858458</v>
      </c>
      <c r="GP32" s="90">
        <f t="shared" si="705"/>
        <v>126.72608956858458</v>
      </c>
      <c r="GQ32" s="90">
        <f t="shared" si="705"/>
        <v>126.72608956858458</v>
      </c>
      <c r="GR32" s="90">
        <f t="shared" si="705"/>
        <v>126.72608956858458</v>
      </c>
      <c r="GS32" s="90">
        <f t="shared" si="705"/>
        <v>126.72608956858458</v>
      </c>
      <c r="GT32" s="90">
        <f t="shared" si="705"/>
        <v>126.72608956858458</v>
      </c>
      <c r="GU32" s="90">
        <f t="shared" si="705"/>
        <v>126.72608956858458</v>
      </c>
      <c r="GV32" s="90">
        <f t="shared" si="705"/>
        <v>126.72608956858458</v>
      </c>
      <c r="GW32" s="90">
        <f t="shared" si="705"/>
        <v>126.72608956858458</v>
      </c>
      <c r="GX32" s="90">
        <f t="shared" si="705"/>
        <v>126.72608956858458</v>
      </c>
      <c r="GY32" s="90">
        <f t="shared" si="705"/>
        <v>126.72608956858458</v>
      </c>
      <c r="GZ32" s="90">
        <f t="shared" si="705"/>
        <v>126.72608956858458</v>
      </c>
      <c r="HA32" s="91">
        <f t="shared" si="647"/>
        <v>1520.7130748230147</v>
      </c>
      <c r="HB32" s="90">
        <f t="shared" ref="HB32:HM32" si="706">SUM(HB30:HB31)</f>
        <v>129.89424180779918</v>
      </c>
      <c r="HC32" s="90">
        <f t="shared" si="706"/>
        <v>129.89424180779918</v>
      </c>
      <c r="HD32" s="90">
        <f t="shared" si="706"/>
        <v>129.89424180779918</v>
      </c>
      <c r="HE32" s="90">
        <f t="shared" si="706"/>
        <v>129.89424180779918</v>
      </c>
      <c r="HF32" s="90">
        <f t="shared" si="706"/>
        <v>129.89424180779918</v>
      </c>
      <c r="HG32" s="90">
        <f t="shared" si="706"/>
        <v>129.89424180779918</v>
      </c>
      <c r="HH32" s="90">
        <f t="shared" si="706"/>
        <v>129.89424180779918</v>
      </c>
      <c r="HI32" s="90">
        <f t="shared" si="706"/>
        <v>129.89424180779918</v>
      </c>
      <c r="HJ32" s="90">
        <f t="shared" si="706"/>
        <v>129.89424180779918</v>
      </c>
      <c r="HK32" s="90">
        <f t="shared" si="706"/>
        <v>129.89424180779918</v>
      </c>
      <c r="HL32" s="90">
        <f t="shared" si="706"/>
        <v>129.89424180779918</v>
      </c>
      <c r="HM32" s="90">
        <f t="shared" si="706"/>
        <v>129.89424180779918</v>
      </c>
      <c r="HN32" s="91">
        <f t="shared" si="649"/>
        <v>1558.7309016935897</v>
      </c>
      <c r="HO32" s="90">
        <f t="shared" ref="HO32:HZ32" si="707">SUM(HO30:HO31)</f>
        <v>133.14159785299415</v>
      </c>
      <c r="HP32" s="90">
        <f t="shared" si="707"/>
        <v>133.14159785299415</v>
      </c>
      <c r="HQ32" s="90">
        <f t="shared" si="707"/>
        <v>133.14159785299415</v>
      </c>
      <c r="HR32" s="90">
        <f t="shared" si="707"/>
        <v>133.14159785299415</v>
      </c>
      <c r="HS32" s="90">
        <f t="shared" si="707"/>
        <v>133.14159785299415</v>
      </c>
      <c r="HT32" s="90">
        <f t="shared" si="707"/>
        <v>133.14159785299415</v>
      </c>
      <c r="HU32" s="90">
        <f t="shared" si="707"/>
        <v>133.14159785299415</v>
      </c>
      <c r="HV32" s="90">
        <f t="shared" si="707"/>
        <v>133.14159785299415</v>
      </c>
      <c r="HW32" s="90">
        <f t="shared" si="707"/>
        <v>133.14159785299415</v>
      </c>
      <c r="HX32" s="90">
        <f t="shared" si="707"/>
        <v>133.14159785299415</v>
      </c>
      <c r="HY32" s="90">
        <f t="shared" si="707"/>
        <v>133.14159785299415</v>
      </c>
      <c r="HZ32" s="90">
        <f t="shared" si="707"/>
        <v>133.14159785299415</v>
      </c>
      <c r="IA32" s="91">
        <f t="shared" si="651"/>
        <v>1597.6991742359303</v>
      </c>
      <c r="IB32" s="90">
        <f t="shared" ref="IB32:IM32" si="708">SUM(IB30:IB31)</f>
        <v>136.47013779931899</v>
      </c>
      <c r="IC32" s="90">
        <f t="shared" si="708"/>
        <v>136.47013779931899</v>
      </c>
      <c r="ID32" s="90">
        <f t="shared" si="708"/>
        <v>136.47013779931899</v>
      </c>
      <c r="IE32" s="90">
        <f t="shared" si="708"/>
        <v>136.47013779931899</v>
      </c>
      <c r="IF32" s="90">
        <f t="shared" si="708"/>
        <v>136.47013779931899</v>
      </c>
      <c r="IG32" s="90">
        <f t="shared" si="708"/>
        <v>136.47013779931899</v>
      </c>
      <c r="IH32" s="90">
        <f t="shared" si="708"/>
        <v>136.47013779931899</v>
      </c>
      <c r="II32" s="90">
        <f t="shared" si="708"/>
        <v>136.47013779931899</v>
      </c>
      <c r="IJ32" s="90">
        <f t="shared" si="708"/>
        <v>136.47013779931899</v>
      </c>
      <c r="IK32" s="90">
        <f t="shared" si="708"/>
        <v>136.47013779931899</v>
      </c>
      <c r="IL32" s="90">
        <f t="shared" si="708"/>
        <v>136.47013779931899</v>
      </c>
      <c r="IM32" s="90">
        <f t="shared" si="708"/>
        <v>136.47013779931899</v>
      </c>
      <c r="IN32" s="91">
        <f t="shared" si="653"/>
        <v>1637.6416535918279</v>
      </c>
      <c r="IO32" s="90">
        <f t="shared" ref="IO32:IZ32" si="709">SUM(IO30:IO31)</f>
        <v>139.88189124430195</v>
      </c>
      <c r="IP32" s="90">
        <f t="shared" si="709"/>
        <v>139.88189124430195</v>
      </c>
      <c r="IQ32" s="90">
        <f t="shared" si="709"/>
        <v>139.88189124430195</v>
      </c>
      <c r="IR32" s="90">
        <f t="shared" si="709"/>
        <v>139.88189124430195</v>
      </c>
      <c r="IS32" s="90">
        <f t="shared" si="709"/>
        <v>139.88189124430195</v>
      </c>
      <c r="IT32" s="90">
        <f t="shared" si="709"/>
        <v>139.88189124430195</v>
      </c>
      <c r="IU32" s="90">
        <f t="shared" si="709"/>
        <v>139.88189124430195</v>
      </c>
      <c r="IV32" s="90">
        <f t="shared" si="709"/>
        <v>139.88189124430195</v>
      </c>
      <c r="IW32" s="90">
        <f t="shared" si="709"/>
        <v>139.88189124430195</v>
      </c>
      <c r="IX32" s="90">
        <f t="shared" si="709"/>
        <v>139.88189124430195</v>
      </c>
      <c r="IY32" s="90">
        <f t="shared" si="709"/>
        <v>139.88189124430195</v>
      </c>
      <c r="IZ32" s="90">
        <f t="shared" si="709"/>
        <v>139.88189124430195</v>
      </c>
      <c r="JA32" s="91">
        <f t="shared" si="655"/>
        <v>1678.5826949316231</v>
      </c>
      <c r="JB32" s="90">
        <f t="shared" ref="JB32:JM32" si="710">SUM(JB30:JB31)</f>
        <v>143.3789385254095</v>
      </c>
      <c r="JC32" s="90">
        <f t="shared" si="710"/>
        <v>143.3789385254095</v>
      </c>
      <c r="JD32" s="90">
        <f t="shared" si="710"/>
        <v>143.3789385254095</v>
      </c>
      <c r="JE32" s="90">
        <f t="shared" si="710"/>
        <v>143.3789385254095</v>
      </c>
      <c r="JF32" s="90">
        <f t="shared" si="710"/>
        <v>143.3789385254095</v>
      </c>
      <c r="JG32" s="90">
        <f t="shared" si="710"/>
        <v>143.3789385254095</v>
      </c>
      <c r="JH32" s="90">
        <f t="shared" si="710"/>
        <v>143.3789385254095</v>
      </c>
      <c r="JI32" s="90">
        <f t="shared" si="710"/>
        <v>143.3789385254095</v>
      </c>
      <c r="JJ32" s="90">
        <f t="shared" si="710"/>
        <v>143.3789385254095</v>
      </c>
      <c r="JK32" s="90">
        <f t="shared" si="710"/>
        <v>143.3789385254095</v>
      </c>
      <c r="JL32" s="90">
        <f t="shared" si="710"/>
        <v>143.3789385254095</v>
      </c>
      <c r="JM32" s="90">
        <f t="shared" si="710"/>
        <v>143.3789385254095</v>
      </c>
      <c r="JN32" s="91">
        <f t="shared" si="657"/>
        <v>1720.5472623049138</v>
      </c>
      <c r="JO32" s="90">
        <f t="shared" ref="JO32:JZ32" si="711">SUM(JO30:JO31)</f>
        <v>146.96341198854472</v>
      </c>
      <c r="JP32" s="90">
        <f t="shared" si="711"/>
        <v>146.96341198854472</v>
      </c>
      <c r="JQ32" s="90">
        <f t="shared" si="711"/>
        <v>146.96341198854472</v>
      </c>
      <c r="JR32" s="90">
        <f t="shared" si="711"/>
        <v>146.96341198854472</v>
      </c>
      <c r="JS32" s="90">
        <f t="shared" si="711"/>
        <v>146.96341198854472</v>
      </c>
      <c r="JT32" s="90">
        <f t="shared" si="711"/>
        <v>146.96341198854472</v>
      </c>
      <c r="JU32" s="90">
        <f t="shared" si="711"/>
        <v>146.96341198854472</v>
      </c>
      <c r="JV32" s="90">
        <f t="shared" si="711"/>
        <v>146.96341198854472</v>
      </c>
      <c r="JW32" s="90">
        <f t="shared" si="711"/>
        <v>146.96341198854472</v>
      </c>
      <c r="JX32" s="90">
        <f t="shared" si="711"/>
        <v>146.96341198854472</v>
      </c>
      <c r="JY32" s="90">
        <f t="shared" si="711"/>
        <v>146.96341198854472</v>
      </c>
      <c r="JZ32" s="90">
        <f t="shared" si="711"/>
        <v>146.96341198854472</v>
      </c>
      <c r="KA32" s="91">
        <f t="shared" si="659"/>
        <v>1763.5609438625368</v>
      </c>
      <c r="KB32" s="90">
        <f t="shared" ref="KB32:KM32" si="712">SUM(KB30:KB31)</f>
        <v>150.63749728825832</v>
      </c>
      <c r="KC32" s="90">
        <f t="shared" si="712"/>
        <v>150.63749728825832</v>
      </c>
      <c r="KD32" s="90">
        <f t="shared" si="712"/>
        <v>150.63749728825832</v>
      </c>
      <c r="KE32" s="90">
        <f t="shared" si="712"/>
        <v>150.63749728825832</v>
      </c>
      <c r="KF32" s="90">
        <f t="shared" si="712"/>
        <v>150.63749728825832</v>
      </c>
      <c r="KG32" s="90">
        <f t="shared" si="712"/>
        <v>150.63749728825832</v>
      </c>
      <c r="KH32" s="90">
        <f t="shared" si="712"/>
        <v>150.63749728825832</v>
      </c>
      <c r="KI32" s="90">
        <f t="shared" si="712"/>
        <v>150.63749728825832</v>
      </c>
      <c r="KJ32" s="90">
        <f t="shared" si="712"/>
        <v>150.63749728825832</v>
      </c>
      <c r="KK32" s="90">
        <f t="shared" si="712"/>
        <v>150.63749728825832</v>
      </c>
      <c r="KL32" s="90">
        <f t="shared" si="712"/>
        <v>150.63749728825832</v>
      </c>
      <c r="KM32" s="90">
        <f t="shared" si="712"/>
        <v>150.63749728825832</v>
      </c>
      <c r="KN32" s="91">
        <f t="shared" si="661"/>
        <v>1807.6499674591003</v>
      </c>
      <c r="KO32" s="90">
        <f t="shared" ref="KO32:KZ32" si="713">SUM(KO30:KO31)</f>
        <v>154.40343472046476</v>
      </c>
      <c r="KP32" s="90">
        <f t="shared" si="713"/>
        <v>154.40343472046476</v>
      </c>
      <c r="KQ32" s="90">
        <f t="shared" si="713"/>
        <v>154.40343472046476</v>
      </c>
      <c r="KR32" s="90">
        <f t="shared" si="713"/>
        <v>154.40343472046476</v>
      </c>
      <c r="KS32" s="90">
        <f t="shared" si="713"/>
        <v>154.40343472046476</v>
      </c>
      <c r="KT32" s="90">
        <f t="shared" si="713"/>
        <v>154.40343472046476</v>
      </c>
      <c r="KU32" s="90">
        <f t="shared" si="713"/>
        <v>154.40343472046476</v>
      </c>
      <c r="KV32" s="90">
        <f t="shared" si="713"/>
        <v>154.40343472046476</v>
      </c>
      <c r="KW32" s="90">
        <f t="shared" si="713"/>
        <v>154.40343472046476</v>
      </c>
      <c r="KX32" s="90">
        <f t="shared" si="713"/>
        <v>154.40343472046476</v>
      </c>
      <c r="KY32" s="90">
        <f t="shared" si="713"/>
        <v>154.40343472046476</v>
      </c>
      <c r="KZ32" s="90">
        <f t="shared" si="713"/>
        <v>154.40343472046476</v>
      </c>
      <c r="LA32" s="91">
        <f t="shared" si="663"/>
        <v>1852.8412166455767</v>
      </c>
      <c r="LB32" s="90">
        <f t="shared" ref="LB32:LM32" si="714">SUM(LB30:LB31)</f>
        <v>158.26352058847635</v>
      </c>
      <c r="LC32" s="90">
        <f t="shared" si="714"/>
        <v>158.26352058847635</v>
      </c>
      <c r="LD32" s="90">
        <f t="shared" si="714"/>
        <v>158.26352058847635</v>
      </c>
      <c r="LE32" s="90">
        <f t="shared" si="714"/>
        <v>158.26352058847635</v>
      </c>
      <c r="LF32" s="90">
        <f t="shared" si="714"/>
        <v>158.26352058847635</v>
      </c>
      <c r="LG32" s="90">
        <f t="shared" si="714"/>
        <v>158.26352058847635</v>
      </c>
      <c r="LH32" s="90">
        <f t="shared" si="714"/>
        <v>158.26352058847635</v>
      </c>
      <c r="LI32" s="90">
        <f t="shared" si="714"/>
        <v>158.26352058847635</v>
      </c>
      <c r="LJ32" s="90">
        <f t="shared" si="714"/>
        <v>158.26352058847635</v>
      </c>
      <c r="LK32" s="90">
        <f t="shared" si="714"/>
        <v>158.26352058847635</v>
      </c>
      <c r="LL32" s="90">
        <f t="shared" si="714"/>
        <v>158.26352058847635</v>
      </c>
      <c r="LM32" s="90">
        <f t="shared" si="714"/>
        <v>158.26352058847635</v>
      </c>
      <c r="LN32" s="91">
        <f t="shared" si="665"/>
        <v>1899.1622470617158</v>
      </c>
      <c r="LO32" s="90">
        <f t="shared" ref="LO32:LZ32" si="715">SUM(LO30:LO31)</f>
        <v>162.22010860318824</v>
      </c>
      <c r="LP32" s="90">
        <f t="shared" si="715"/>
        <v>162.22010860318824</v>
      </c>
      <c r="LQ32" s="90">
        <f t="shared" si="715"/>
        <v>162.22010860318824</v>
      </c>
      <c r="LR32" s="90">
        <f t="shared" si="715"/>
        <v>162.22010860318824</v>
      </c>
      <c r="LS32" s="90">
        <f t="shared" si="715"/>
        <v>162.22010860318824</v>
      </c>
      <c r="LT32" s="90">
        <f t="shared" si="715"/>
        <v>162.22010860318824</v>
      </c>
      <c r="LU32" s="90">
        <f t="shared" si="715"/>
        <v>162.22010860318824</v>
      </c>
      <c r="LV32" s="90">
        <f t="shared" si="715"/>
        <v>162.22010860318824</v>
      </c>
      <c r="LW32" s="90">
        <f t="shared" si="715"/>
        <v>162.22010860318824</v>
      </c>
      <c r="LX32" s="90">
        <f t="shared" si="715"/>
        <v>162.22010860318824</v>
      </c>
      <c r="LY32" s="90">
        <f t="shared" si="715"/>
        <v>162.22010860318824</v>
      </c>
      <c r="LZ32" s="90">
        <f t="shared" si="715"/>
        <v>162.22010860318824</v>
      </c>
      <c r="MA32" s="91">
        <f t="shared" si="667"/>
        <v>1946.6413032382588</v>
      </c>
      <c r="MB32" s="90">
        <f t="shared" ref="MB32:MM32" si="716">SUM(MB30:MB31)</f>
        <v>166.27561131826792</v>
      </c>
      <c r="MC32" s="90">
        <f t="shared" si="716"/>
        <v>166.27561131826792</v>
      </c>
      <c r="MD32" s="90">
        <f t="shared" si="716"/>
        <v>166.27561131826792</v>
      </c>
      <c r="ME32" s="90">
        <f t="shared" si="716"/>
        <v>166.27561131826792</v>
      </c>
      <c r="MF32" s="90">
        <f t="shared" si="716"/>
        <v>166.27561131826792</v>
      </c>
      <c r="MG32" s="90">
        <f t="shared" si="716"/>
        <v>166.27561131826792</v>
      </c>
      <c r="MH32" s="90">
        <f t="shared" si="716"/>
        <v>166.27561131826792</v>
      </c>
      <c r="MI32" s="90">
        <f t="shared" si="716"/>
        <v>166.27561131826792</v>
      </c>
      <c r="MJ32" s="90">
        <f t="shared" si="716"/>
        <v>166.27561131826792</v>
      </c>
      <c r="MK32" s="90">
        <f t="shared" si="716"/>
        <v>166.27561131826792</v>
      </c>
      <c r="ML32" s="90">
        <f t="shared" si="716"/>
        <v>166.27561131826792</v>
      </c>
      <c r="MM32" s="90">
        <f t="shared" si="716"/>
        <v>166.27561131826792</v>
      </c>
      <c r="MN32" s="91">
        <f t="shared" si="669"/>
        <v>1995.307335819215</v>
      </c>
      <c r="MO32" s="90">
        <f t="shared" ref="MO32:MZ32" si="717">SUM(MO30:MO31)</f>
        <v>170.4325016012246</v>
      </c>
      <c r="MP32" s="90">
        <f t="shared" si="717"/>
        <v>170.4325016012246</v>
      </c>
      <c r="MQ32" s="90">
        <f t="shared" si="717"/>
        <v>170.4325016012246</v>
      </c>
      <c r="MR32" s="90">
        <f t="shared" si="717"/>
        <v>170.4325016012246</v>
      </c>
      <c r="MS32" s="90">
        <f t="shared" si="717"/>
        <v>170.4325016012246</v>
      </c>
      <c r="MT32" s="90">
        <f t="shared" si="717"/>
        <v>170.4325016012246</v>
      </c>
      <c r="MU32" s="90">
        <f t="shared" si="717"/>
        <v>170.4325016012246</v>
      </c>
      <c r="MV32" s="90">
        <f t="shared" si="717"/>
        <v>170.4325016012246</v>
      </c>
      <c r="MW32" s="90">
        <f t="shared" si="717"/>
        <v>170.4325016012246</v>
      </c>
      <c r="MX32" s="90">
        <f t="shared" si="717"/>
        <v>170.4325016012246</v>
      </c>
      <c r="MY32" s="90">
        <f t="shared" si="717"/>
        <v>170.4325016012246</v>
      </c>
      <c r="MZ32" s="90">
        <f t="shared" si="717"/>
        <v>170.4325016012246</v>
      </c>
      <c r="NA32" s="91">
        <f t="shared" si="671"/>
        <v>2045.1900192146957</v>
      </c>
      <c r="NB32" s="90">
        <f t="shared" ref="NB32:NM32" si="718">SUM(NB30:NB31)</f>
        <v>174.6933141412552</v>
      </c>
      <c r="NC32" s="90">
        <f t="shared" si="718"/>
        <v>174.6933141412552</v>
      </c>
      <c r="ND32" s="90">
        <f t="shared" si="718"/>
        <v>174.6933141412552</v>
      </c>
      <c r="NE32" s="90">
        <f t="shared" si="718"/>
        <v>174.6933141412552</v>
      </c>
      <c r="NF32" s="90">
        <f t="shared" si="718"/>
        <v>174.6933141412552</v>
      </c>
      <c r="NG32" s="90">
        <f t="shared" si="718"/>
        <v>174.6933141412552</v>
      </c>
      <c r="NH32" s="90">
        <f t="shared" si="718"/>
        <v>174.6933141412552</v>
      </c>
      <c r="NI32" s="90">
        <f t="shared" si="718"/>
        <v>174.6933141412552</v>
      </c>
      <c r="NJ32" s="90">
        <f t="shared" si="718"/>
        <v>174.6933141412552</v>
      </c>
      <c r="NK32" s="90">
        <f t="shared" si="718"/>
        <v>174.6933141412552</v>
      </c>
      <c r="NL32" s="90">
        <f t="shared" si="718"/>
        <v>174.6933141412552</v>
      </c>
      <c r="NM32" s="90">
        <f t="shared" si="718"/>
        <v>174.6933141412552</v>
      </c>
      <c r="NN32" s="91">
        <f t="shared" si="673"/>
        <v>2096.319769695062</v>
      </c>
      <c r="NO32" s="90">
        <f t="shared" ref="NO32:NZ32" si="719">SUM(NO30:NO31)</f>
        <v>179.06064699478657</v>
      </c>
      <c r="NP32" s="90">
        <f t="shared" si="719"/>
        <v>179.06064699478657</v>
      </c>
      <c r="NQ32" s="90">
        <f t="shared" si="719"/>
        <v>179.06064699478657</v>
      </c>
      <c r="NR32" s="90">
        <f t="shared" si="719"/>
        <v>179.06064699478657</v>
      </c>
      <c r="NS32" s="90">
        <f t="shared" si="719"/>
        <v>179.06064699478657</v>
      </c>
      <c r="NT32" s="90">
        <f t="shared" si="719"/>
        <v>179.06064699478657</v>
      </c>
      <c r="NU32" s="90">
        <f t="shared" si="719"/>
        <v>179.06064699478657</v>
      </c>
      <c r="NV32" s="90">
        <f t="shared" si="719"/>
        <v>179.06064699478657</v>
      </c>
      <c r="NW32" s="90">
        <f t="shared" si="719"/>
        <v>179.06064699478657</v>
      </c>
      <c r="NX32" s="90">
        <f t="shared" si="719"/>
        <v>179.06064699478657</v>
      </c>
      <c r="NY32" s="90">
        <f t="shared" si="719"/>
        <v>179.06064699478657</v>
      </c>
      <c r="NZ32" s="90">
        <f t="shared" si="719"/>
        <v>179.06064699478657</v>
      </c>
      <c r="OA32" s="91">
        <f t="shared" si="675"/>
        <v>2148.7277639374388</v>
      </c>
      <c r="OB32" s="90">
        <f t="shared" ref="OB32:OM32" si="720">SUM(OB30:OB31)</f>
        <v>183.53716316965622</v>
      </c>
      <c r="OC32" s="90">
        <f t="shared" si="720"/>
        <v>183.53716316965622</v>
      </c>
      <c r="OD32" s="90">
        <f t="shared" si="720"/>
        <v>183.53716316965622</v>
      </c>
      <c r="OE32" s="90">
        <f t="shared" si="720"/>
        <v>183.53716316965622</v>
      </c>
      <c r="OF32" s="90">
        <f t="shared" si="720"/>
        <v>183.53716316965622</v>
      </c>
      <c r="OG32" s="90">
        <f t="shared" si="720"/>
        <v>183.53716316965622</v>
      </c>
      <c r="OH32" s="90">
        <f t="shared" si="720"/>
        <v>183.53716316965622</v>
      </c>
      <c r="OI32" s="90">
        <f t="shared" si="720"/>
        <v>183.53716316965622</v>
      </c>
      <c r="OJ32" s="90">
        <f t="shared" si="720"/>
        <v>183.53716316965622</v>
      </c>
      <c r="OK32" s="90">
        <f t="shared" si="720"/>
        <v>183.53716316965622</v>
      </c>
      <c r="OL32" s="90">
        <f t="shared" si="720"/>
        <v>183.53716316965622</v>
      </c>
      <c r="OM32" s="90">
        <f t="shared" si="720"/>
        <v>183.53716316965622</v>
      </c>
      <c r="ON32" s="91">
        <f t="shared" si="677"/>
        <v>2202.4459580358748</v>
      </c>
      <c r="OO32" s="90">
        <f t="shared" ref="OO32:OZ32" si="721">SUM(OO30:OO31)</f>
        <v>188.12559224889762</v>
      </c>
      <c r="OP32" s="90">
        <f t="shared" si="721"/>
        <v>188.12559224889762</v>
      </c>
      <c r="OQ32" s="90">
        <f t="shared" si="721"/>
        <v>188.12559224889762</v>
      </c>
      <c r="OR32" s="90">
        <f t="shared" si="721"/>
        <v>188.12559224889762</v>
      </c>
      <c r="OS32" s="90">
        <f t="shared" si="721"/>
        <v>188.12559224889762</v>
      </c>
      <c r="OT32" s="90">
        <f t="shared" si="721"/>
        <v>188.12559224889762</v>
      </c>
      <c r="OU32" s="90">
        <f t="shared" si="721"/>
        <v>188.12559224889762</v>
      </c>
      <c r="OV32" s="90">
        <f t="shared" si="721"/>
        <v>188.12559224889762</v>
      </c>
      <c r="OW32" s="90">
        <f t="shared" si="721"/>
        <v>188.12559224889762</v>
      </c>
      <c r="OX32" s="90">
        <f t="shared" si="721"/>
        <v>188.12559224889762</v>
      </c>
      <c r="OY32" s="90">
        <f t="shared" si="721"/>
        <v>188.12559224889762</v>
      </c>
      <c r="OZ32" s="90">
        <f t="shared" si="721"/>
        <v>188.12559224889762</v>
      </c>
      <c r="PA32" s="91">
        <f t="shared" si="679"/>
        <v>2257.5071069867713</v>
      </c>
      <c r="PB32" s="90">
        <f t="shared" ref="PB32:PM32" si="722">SUM(PB30:PB31)</f>
        <v>192.82873205512004</v>
      </c>
      <c r="PC32" s="90">
        <f t="shared" si="722"/>
        <v>192.82873205512004</v>
      </c>
      <c r="PD32" s="90">
        <f t="shared" si="722"/>
        <v>192.82873205512004</v>
      </c>
      <c r="PE32" s="90">
        <f t="shared" si="722"/>
        <v>192.82873205512004</v>
      </c>
      <c r="PF32" s="90">
        <f t="shared" si="722"/>
        <v>192.82873205512004</v>
      </c>
      <c r="PG32" s="90">
        <f t="shared" si="722"/>
        <v>192.82873205512004</v>
      </c>
      <c r="PH32" s="90">
        <f t="shared" si="722"/>
        <v>192.82873205512004</v>
      </c>
      <c r="PI32" s="90">
        <f t="shared" si="722"/>
        <v>192.82873205512004</v>
      </c>
      <c r="PJ32" s="90">
        <f t="shared" si="722"/>
        <v>192.82873205512004</v>
      </c>
      <c r="PK32" s="90">
        <f t="shared" si="722"/>
        <v>192.82873205512004</v>
      </c>
      <c r="PL32" s="90">
        <f t="shared" si="722"/>
        <v>192.82873205512004</v>
      </c>
      <c r="PM32" s="90">
        <f t="shared" si="722"/>
        <v>192.82873205512004</v>
      </c>
      <c r="PN32" s="91">
        <f t="shared" si="681"/>
        <v>2313.9447846614407</v>
      </c>
      <c r="PO32" s="90">
        <f t="shared" ref="PO32:PZ32" si="723">SUM(PO30:PO31)</f>
        <v>197.64945035649802</v>
      </c>
      <c r="PP32" s="90">
        <f t="shared" si="723"/>
        <v>197.64945035649802</v>
      </c>
      <c r="PQ32" s="90">
        <f t="shared" si="723"/>
        <v>197.64945035649802</v>
      </c>
      <c r="PR32" s="90">
        <f t="shared" si="723"/>
        <v>197.64945035649802</v>
      </c>
      <c r="PS32" s="90">
        <f t="shared" si="723"/>
        <v>197.64945035649802</v>
      </c>
      <c r="PT32" s="90">
        <f t="shared" si="723"/>
        <v>197.64945035649802</v>
      </c>
      <c r="PU32" s="90">
        <f t="shared" si="723"/>
        <v>197.64945035649802</v>
      </c>
      <c r="PV32" s="90">
        <f t="shared" si="723"/>
        <v>197.64945035649802</v>
      </c>
      <c r="PW32" s="90">
        <f t="shared" si="723"/>
        <v>197.64945035649802</v>
      </c>
      <c r="PX32" s="90">
        <f t="shared" si="723"/>
        <v>197.64945035649802</v>
      </c>
      <c r="PY32" s="90">
        <f t="shared" si="723"/>
        <v>197.64945035649802</v>
      </c>
      <c r="PZ32" s="90">
        <f t="shared" si="723"/>
        <v>197.64945035649802</v>
      </c>
      <c r="QA32" s="91">
        <f t="shared" si="683"/>
        <v>2371.7934042779762</v>
      </c>
      <c r="QB32" s="90">
        <f t="shared" ref="QB32:QM32" si="724">SUM(QB30:QB31)</f>
        <v>202.59068661541045</v>
      </c>
      <c r="QC32" s="90">
        <f t="shared" si="724"/>
        <v>202.59068661541045</v>
      </c>
      <c r="QD32" s="90">
        <f t="shared" si="724"/>
        <v>202.59068661541045</v>
      </c>
      <c r="QE32" s="90">
        <f t="shared" si="724"/>
        <v>202.59068661541045</v>
      </c>
      <c r="QF32" s="90">
        <f t="shared" si="724"/>
        <v>202.59068661541045</v>
      </c>
      <c r="QG32" s="90">
        <f t="shared" si="724"/>
        <v>202.59068661541045</v>
      </c>
      <c r="QH32" s="90">
        <f t="shared" si="724"/>
        <v>202.59068661541045</v>
      </c>
      <c r="QI32" s="90">
        <f t="shared" si="724"/>
        <v>202.59068661541045</v>
      </c>
      <c r="QJ32" s="90">
        <f t="shared" si="724"/>
        <v>202.59068661541045</v>
      </c>
      <c r="QK32" s="90">
        <f t="shared" si="724"/>
        <v>202.59068661541045</v>
      </c>
      <c r="QL32" s="90">
        <f t="shared" si="724"/>
        <v>202.59068661541045</v>
      </c>
      <c r="QM32" s="90">
        <f t="shared" si="724"/>
        <v>202.59068661541045</v>
      </c>
      <c r="QN32" s="91">
        <f t="shared" si="685"/>
        <v>2431.0882393849256</v>
      </c>
      <c r="QO32" s="90">
        <f t="shared" ref="QO32:QZ32" si="725">SUM(QO30:QO31)</f>
        <v>207.65545378079568</v>
      </c>
      <c r="QP32" s="90">
        <f t="shared" si="725"/>
        <v>207.65545378079568</v>
      </c>
      <c r="QQ32" s="90">
        <f t="shared" si="725"/>
        <v>207.65545378079568</v>
      </c>
      <c r="QR32" s="90">
        <f t="shared" si="725"/>
        <v>207.65545378079568</v>
      </c>
      <c r="QS32" s="90">
        <f t="shared" si="725"/>
        <v>207.65545378079568</v>
      </c>
      <c r="QT32" s="90">
        <f t="shared" si="725"/>
        <v>207.65545378079568</v>
      </c>
      <c r="QU32" s="90">
        <f t="shared" si="725"/>
        <v>207.65545378079568</v>
      </c>
      <c r="QV32" s="90">
        <f t="shared" si="725"/>
        <v>207.65545378079568</v>
      </c>
      <c r="QW32" s="90">
        <f t="shared" si="725"/>
        <v>207.65545378079568</v>
      </c>
      <c r="QX32" s="90">
        <f t="shared" si="725"/>
        <v>207.65545378079568</v>
      </c>
      <c r="QY32" s="90">
        <f t="shared" si="725"/>
        <v>207.65545378079568</v>
      </c>
      <c r="QZ32" s="90">
        <f t="shared" si="725"/>
        <v>207.65545378079568</v>
      </c>
      <c r="RA32" s="91">
        <f t="shared" si="687"/>
        <v>2491.8654453695476</v>
      </c>
      <c r="RB32" s="90">
        <f t="shared" ref="RB32:RM32" si="726">SUM(RB30:RB31)</f>
        <v>212.84684012531557</v>
      </c>
      <c r="RC32" s="90">
        <f t="shared" si="726"/>
        <v>212.84684012531557</v>
      </c>
      <c r="RD32" s="90">
        <f t="shared" si="726"/>
        <v>212.84684012531557</v>
      </c>
      <c r="RE32" s="90">
        <f t="shared" si="726"/>
        <v>212.84684012531557</v>
      </c>
      <c r="RF32" s="90">
        <f t="shared" si="726"/>
        <v>212.84684012531557</v>
      </c>
      <c r="RG32" s="90">
        <f t="shared" si="726"/>
        <v>212.84684012531557</v>
      </c>
      <c r="RH32" s="90">
        <f t="shared" si="726"/>
        <v>212.84684012531557</v>
      </c>
      <c r="RI32" s="90">
        <f t="shared" si="726"/>
        <v>212.84684012531557</v>
      </c>
      <c r="RJ32" s="90">
        <f t="shared" si="726"/>
        <v>212.84684012531557</v>
      </c>
      <c r="RK32" s="90">
        <f t="shared" si="726"/>
        <v>212.84684012531557</v>
      </c>
      <c r="RL32" s="90">
        <f t="shared" si="726"/>
        <v>212.84684012531557</v>
      </c>
      <c r="RM32" s="90">
        <f t="shared" si="726"/>
        <v>212.84684012531557</v>
      </c>
      <c r="RN32" s="91">
        <f t="shared" si="689"/>
        <v>2554.1620815037868</v>
      </c>
    </row>
    <row r="33" spans="1:482" hidden="1" outlineLevel="1" x14ac:dyDescent="0.3">
      <c r="N33" s="91"/>
      <c r="AA33" s="91"/>
      <c r="AN33" s="91"/>
      <c r="BA33" s="91"/>
      <c r="BN33" s="91"/>
      <c r="CA33" s="91"/>
      <c r="CN33" s="91"/>
      <c r="DA33" s="91"/>
      <c r="DN33" s="91"/>
      <c r="EA33" s="91"/>
      <c r="EN33" s="91"/>
      <c r="FA33" s="91"/>
      <c r="FN33" s="91"/>
      <c r="GA33" s="91"/>
      <c r="GN33" s="91"/>
      <c r="HA33" s="91"/>
      <c r="HN33" s="91"/>
      <c r="IA33" s="91"/>
      <c r="IN33" s="91"/>
      <c r="JA33" s="91"/>
      <c r="JN33" s="91"/>
      <c r="KA33" s="91"/>
      <c r="KN33" s="91"/>
      <c r="LA33" s="91"/>
      <c r="LN33" s="91"/>
      <c r="MA33" s="91"/>
      <c r="MN33" s="91"/>
      <c r="NA33" s="91"/>
      <c r="NN33" s="91"/>
      <c r="OA33" s="91"/>
      <c r="ON33" s="91"/>
      <c r="PA33" s="91"/>
      <c r="PN33" s="91"/>
      <c r="QA33" s="91"/>
      <c r="QN33" s="91"/>
      <c r="RA33" s="91"/>
      <c r="RN33" s="91"/>
    </row>
    <row r="34" spans="1:482" s="77" customFormat="1" hidden="1" outlineLevel="1" x14ac:dyDescent="0.3">
      <c r="A34" s="74" t="s">
        <v>252</v>
      </c>
      <c r="B34" s="90" t="e">
        <f>B18-B25-B32+B22</f>
        <v>#N/A</v>
      </c>
      <c r="C34" s="90" t="e">
        <f t="shared" ref="C34:M34" si="727">C18-C25-C32</f>
        <v>#N/A</v>
      </c>
      <c r="D34" s="90" t="e">
        <f t="shared" si="727"/>
        <v>#N/A</v>
      </c>
      <c r="E34" s="90" t="e">
        <f t="shared" si="727"/>
        <v>#N/A</v>
      </c>
      <c r="F34" s="90" t="e">
        <f t="shared" si="727"/>
        <v>#N/A</v>
      </c>
      <c r="G34" s="90" t="e">
        <f t="shared" si="727"/>
        <v>#N/A</v>
      </c>
      <c r="H34" s="90" t="e">
        <f t="shared" si="727"/>
        <v>#N/A</v>
      </c>
      <c r="I34" s="90" t="e">
        <f t="shared" si="727"/>
        <v>#N/A</v>
      </c>
      <c r="J34" s="90" t="e">
        <f t="shared" si="727"/>
        <v>#N/A</v>
      </c>
      <c r="K34" s="90" t="e">
        <f t="shared" si="727"/>
        <v>#N/A</v>
      </c>
      <c r="L34" s="90" t="e">
        <f t="shared" si="727"/>
        <v>#N/A</v>
      </c>
      <c r="M34" s="90" t="e">
        <f t="shared" si="727"/>
        <v>#N/A</v>
      </c>
      <c r="N34" s="91" t="e">
        <f t="shared" ref="N34" si="728">SUM(B34:M34)</f>
        <v>#N/A</v>
      </c>
      <c r="O34" s="90" t="e">
        <f t="shared" ref="O34:Z34" si="729">O18-O25-O32</f>
        <v>#N/A</v>
      </c>
      <c r="P34" s="90" t="e">
        <f t="shared" si="729"/>
        <v>#N/A</v>
      </c>
      <c r="Q34" s="90" t="e">
        <f t="shared" si="729"/>
        <v>#N/A</v>
      </c>
      <c r="R34" s="90" t="e">
        <f t="shared" si="729"/>
        <v>#N/A</v>
      </c>
      <c r="S34" s="90" t="e">
        <f t="shared" si="729"/>
        <v>#N/A</v>
      </c>
      <c r="T34" s="90" t="e">
        <f t="shared" si="729"/>
        <v>#N/A</v>
      </c>
      <c r="U34" s="90" t="e">
        <f t="shared" si="729"/>
        <v>#N/A</v>
      </c>
      <c r="V34" s="90" t="e">
        <f t="shared" si="729"/>
        <v>#N/A</v>
      </c>
      <c r="W34" s="90" t="e">
        <f t="shared" si="729"/>
        <v>#N/A</v>
      </c>
      <c r="X34" s="90" t="e">
        <f t="shared" si="729"/>
        <v>#N/A</v>
      </c>
      <c r="Y34" s="90" t="e">
        <f t="shared" si="729"/>
        <v>#N/A</v>
      </c>
      <c r="Z34" s="90" t="e">
        <f t="shared" si="729"/>
        <v>#N/A</v>
      </c>
      <c r="AA34" s="91" t="e">
        <f t="shared" ref="AA34" si="730">SUM(O34:Z34)</f>
        <v>#N/A</v>
      </c>
      <c r="AB34" s="90" t="e">
        <f t="shared" ref="AB34:AM34" si="731">AB18-AB25-AB32</f>
        <v>#N/A</v>
      </c>
      <c r="AC34" s="90" t="e">
        <f t="shared" si="731"/>
        <v>#N/A</v>
      </c>
      <c r="AD34" s="90" t="e">
        <f t="shared" si="731"/>
        <v>#N/A</v>
      </c>
      <c r="AE34" s="90" t="e">
        <f t="shared" si="731"/>
        <v>#N/A</v>
      </c>
      <c r="AF34" s="90" t="e">
        <f t="shared" si="731"/>
        <v>#N/A</v>
      </c>
      <c r="AG34" s="90" t="e">
        <f t="shared" si="731"/>
        <v>#N/A</v>
      </c>
      <c r="AH34" s="90" t="e">
        <f t="shared" si="731"/>
        <v>#N/A</v>
      </c>
      <c r="AI34" s="90" t="e">
        <f t="shared" si="731"/>
        <v>#N/A</v>
      </c>
      <c r="AJ34" s="90" t="e">
        <f t="shared" si="731"/>
        <v>#N/A</v>
      </c>
      <c r="AK34" s="90" t="e">
        <f t="shared" si="731"/>
        <v>#N/A</v>
      </c>
      <c r="AL34" s="90" t="e">
        <f t="shared" si="731"/>
        <v>#N/A</v>
      </c>
      <c r="AM34" s="90" t="e">
        <f t="shared" si="731"/>
        <v>#N/A</v>
      </c>
      <c r="AN34" s="91" t="e">
        <f t="shared" ref="AN34" si="732">SUM(AB34:AM34)</f>
        <v>#N/A</v>
      </c>
      <c r="AO34" s="90" t="e">
        <f t="shared" ref="AO34:AZ34" si="733">AO18-AO25-AO32</f>
        <v>#N/A</v>
      </c>
      <c r="AP34" s="90" t="e">
        <f t="shared" si="733"/>
        <v>#N/A</v>
      </c>
      <c r="AQ34" s="90" t="e">
        <f t="shared" si="733"/>
        <v>#N/A</v>
      </c>
      <c r="AR34" s="90" t="e">
        <f t="shared" si="733"/>
        <v>#N/A</v>
      </c>
      <c r="AS34" s="90" t="e">
        <f t="shared" si="733"/>
        <v>#N/A</v>
      </c>
      <c r="AT34" s="90" t="e">
        <f t="shared" si="733"/>
        <v>#N/A</v>
      </c>
      <c r="AU34" s="90" t="e">
        <f t="shared" si="733"/>
        <v>#N/A</v>
      </c>
      <c r="AV34" s="90" t="e">
        <f t="shared" si="733"/>
        <v>#N/A</v>
      </c>
      <c r="AW34" s="90" t="e">
        <f t="shared" si="733"/>
        <v>#N/A</v>
      </c>
      <c r="AX34" s="90" t="e">
        <f t="shared" si="733"/>
        <v>#N/A</v>
      </c>
      <c r="AY34" s="90" t="e">
        <f t="shared" si="733"/>
        <v>#N/A</v>
      </c>
      <c r="AZ34" s="90" t="e">
        <f t="shared" si="733"/>
        <v>#N/A</v>
      </c>
      <c r="BA34" s="91" t="e">
        <f t="shared" ref="BA34" si="734">SUM(AO34:AZ34)</f>
        <v>#N/A</v>
      </c>
      <c r="BB34" s="90" t="e">
        <f t="shared" ref="BB34:BM34" si="735">BB18-BB25-BB32</f>
        <v>#N/A</v>
      </c>
      <c r="BC34" s="90" t="e">
        <f t="shared" si="735"/>
        <v>#N/A</v>
      </c>
      <c r="BD34" s="90" t="e">
        <f t="shared" si="735"/>
        <v>#N/A</v>
      </c>
      <c r="BE34" s="90" t="e">
        <f t="shared" si="735"/>
        <v>#N/A</v>
      </c>
      <c r="BF34" s="90" t="e">
        <f t="shared" si="735"/>
        <v>#N/A</v>
      </c>
      <c r="BG34" s="90" t="e">
        <f t="shared" si="735"/>
        <v>#N/A</v>
      </c>
      <c r="BH34" s="90" t="e">
        <f t="shared" si="735"/>
        <v>#N/A</v>
      </c>
      <c r="BI34" s="90" t="e">
        <f t="shared" si="735"/>
        <v>#N/A</v>
      </c>
      <c r="BJ34" s="90" t="e">
        <f t="shared" si="735"/>
        <v>#N/A</v>
      </c>
      <c r="BK34" s="90" t="e">
        <f t="shared" si="735"/>
        <v>#N/A</v>
      </c>
      <c r="BL34" s="90" t="e">
        <f t="shared" si="735"/>
        <v>#N/A</v>
      </c>
      <c r="BM34" s="90" t="e">
        <f t="shared" si="735"/>
        <v>#N/A</v>
      </c>
      <c r="BN34" s="91" t="e">
        <f t="shared" ref="BN34" si="736">SUM(BB34:BM34)</f>
        <v>#N/A</v>
      </c>
      <c r="BO34" s="90" t="e">
        <f t="shared" ref="BO34:BZ34" si="737">BO18-BO25-BO32</f>
        <v>#N/A</v>
      </c>
      <c r="BP34" s="90" t="e">
        <f t="shared" si="737"/>
        <v>#N/A</v>
      </c>
      <c r="BQ34" s="90" t="e">
        <f t="shared" si="737"/>
        <v>#N/A</v>
      </c>
      <c r="BR34" s="90" t="e">
        <f t="shared" si="737"/>
        <v>#N/A</v>
      </c>
      <c r="BS34" s="90" t="e">
        <f t="shared" si="737"/>
        <v>#N/A</v>
      </c>
      <c r="BT34" s="90" t="e">
        <f t="shared" si="737"/>
        <v>#N/A</v>
      </c>
      <c r="BU34" s="90" t="e">
        <f t="shared" si="737"/>
        <v>#N/A</v>
      </c>
      <c r="BV34" s="90" t="e">
        <f t="shared" si="737"/>
        <v>#N/A</v>
      </c>
      <c r="BW34" s="90" t="e">
        <f t="shared" si="737"/>
        <v>#N/A</v>
      </c>
      <c r="BX34" s="90" t="e">
        <f t="shared" si="737"/>
        <v>#N/A</v>
      </c>
      <c r="BY34" s="90" t="e">
        <f t="shared" si="737"/>
        <v>#N/A</v>
      </c>
      <c r="BZ34" s="90" t="e">
        <f t="shared" si="737"/>
        <v>#N/A</v>
      </c>
      <c r="CA34" s="91" t="e">
        <f t="shared" ref="CA34" si="738">SUM(BO34:BZ34)</f>
        <v>#N/A</v>
      </c>
      <c r="CB34" s="90" t="e">
        <f t="shared" ref="CB34:CM34" si="739">CB18-CB25-CB32</f>
        <v>#N/A</v>
      </c>
      <c r="CC34" s="90" t="e">
        <f t="shared" si="739"/>
        <v>#N/A</v>
      </c>
      <c r="CD34" s="90" t="e">
        <f t="shared" si="739"/>
        <v>#N/A</v>
      </c>
      <c r="CE34" s="90" t="e">
        <f t="shared" si="739"/>
        <v>#N/A</v>
      </c>
      <c r="CF34" s="90" t="e">
        <f t="shared" si="739"/>
        <v>#N/A</v>
      </c>
      <c r="CG34" s="90" t="e">
        <f t="shared" si="739"/>
        <v>#N/A</v>
      </c>
      <c r="CH34" s="90" t="e">
        <f t="shared" si="739"/>
        <v>#N/A</v>
      </c>
      <c r="CI34" s="90" t="e">
        <f t="shared" si="739"/>
        <v>#N/A</v>
      </c>
      <c r="CJ34" s="90" t="e">
        <f t="shared" si="739"/>
        <v>#N/A</v>
      </c>
      <c r="CK34" s="90" t="e">
        <f t="shared" si="739"/>
        <v>#N/A</v>
      </c>
      <c r="CL34" s="90" t="e">
        <f t="shared" si="739"/>
        <v>#N/A</v>
      </c>
      <c r="CM34" s="90" t="e">
        <f t="shared" si="739"/>
        <v>#N/A</v>
      </c>
      <c r="CN34" s="91" t="e">
        <f t="shared" ref="CN34" si="740">SUM(CB34:CM34)</f>
        <v>#N/A</v>
      </c>
      <c r="CO34" s="90" t="e">
        <f t="shared" ref="CO34:CZ34" si="741">CO18-CO25-CO32</f>
        <v>#N/A</v>
      </c>
      <c r="CP34" s="90" t="e">
        <f t="shared" si="741"/>
        <v>#N/A</v>
      </c>
      <c r="CQ34" s="90" t="e">
        <f t="shared" si="741"/>
        <v>#N/A</v>
      </c>
      <c r="CR34" s="90" t="e">
        <f t="shared" si="741"/>
        <v>#N/A</v>
      </c>
      <c r="CS34" s="90" t="e">
        <f t="shared" si="741"/>
        <v>#N/A</v>
      </c>
      <c r="CT34" s="90" t="e">
        <f t="shared" si="741"/>
        <v>#N/A</v>
      </c>
      <c r="CU34" s="90" t="e">
        <f t="shared" si="741"/>
        <v>#N/A</v>
      </c>
      <c r="CV34" s="90" t="e">
        <f t="shared" si="741"/>
        <v>#N/A</v>
      </c>
      <c r="CW34" s="90" t="e">
        <f t="shared" si="741"/>
        <v>#N/A</v>
      </c>
      <c r="CX34" s="90" t="e">
        <f t="shared" si="741"/>
        <v>#N/A</v>
      </c>
      <c r="CY34" s="90" t="e">
        <f t="shared" si="741"/>
        <v>#N/A</v>
      </c>
      <c r="CZ34" s="90" t="e">
        <f t="shared" si="741"/>
        <v>#N/A</v>
      </c>
      <c r="DA34" s="91" t="e">
        <f t="shared" ref="DA34" si="742">SUM(CO34:CZ34)</f>
        <v>#N/A</v>
      </c>
      <c r="DB34" s="90" t="e">
        <f t="shared" ref="DB34:DM34" si="743">DB18-DB25-DB32</f>
        <v>#N/A</v>
      </c>
      <c r="DC34" s="90" t="e">
        <f t="shared" si="743"/>
        <v>#N/A</v>
      </c>
      <c r="DD34" s="90" t="e">
        <f t="shared" si="743"/>
        <v>#N/A</v>
      </c>
      <c r="DE34" s="90" t="e">
        <f t="shared" si="743"/>
        <v>#N/A</v>
      </c>
      <c r="DF34" s="90" t="e">
        <f t="shared" si="743"/>
        <v>#N/A</v>
      </c>
      <c r="DG34" s="90" t="e">
        <f t="shared" si="743"/>
        <v>#N/A</v>
      </c>
      <c r="DH34" s="90" t="e">
        <f t="shared" si="743"/>
        <v>#N/A</v>
      </c>
      <c r="DI34" s="90" t="e">
        <f t="shared" si="743"/>
        <v>#N/A</v>
      </c>
      <c r="DJ34" s="90" t="e">
        <f t="shared" si="743"/>
        <v>#N/A</v>
      </c>
      <c r="DK34" s="90" t="e">
        <f t="shared" si="743"/>
        <v>#N/A</v>
      </c>
      <c r="DL34" s="90" t="e">
        <f t="shared" si="743"/>
        <v>#N/A</v>
      </c>
      <c r="DM34" s="90" t="e">
        <f t="shared" si="743"/>
        <v>#N/A</v>
      </c>
      <c r="DN34" s="91" t="e">
        <f t="shared" ref="DN34" si="744">SUM(DB34:DM34)</f>
        <v>#N/A</v>
      </c>
      <c r="DO34" s="90" t="e">
        <f t="shared" ref="DO34:DZ34" si="745">DO18-DO25-DO32</f>
        <v>#N/A</v>
      </c>
      <c r="DP34" s="90" t="e">
        <f t="shared" si="745"/>
        <v>#N/A</v>
      </c>
      <c r="DQ34" s="90" t="e">
        <f t="shared" si="745"/>
        <v>#N/A</v>
      </c>
      <c r="DR34" s="90" t="e">
        <f t="shared" si="745"/>
        <v>#N/A</v>
      </c>
      <c r="DS34" s="90" t="e">
        <f t="shared" si="745"/>
        <v>#N/A</v>
      </c>
      <c r="DT34" s="90" t="e">
        <f t="shared" si="745"/>
        <v>#N/A</v>
      </c>
      <c r="DU34" s="90" t="e">
        <f t="shared" si="745"/>
        <v>#N/A</v>
      </c>
      <c r="DV34" s="90" t="e">
        <f t="shared" si="745"/>
        <v>#N/A</v>
      </c>
      <c r="DW34" s="90" t="e">
        <f t="shared" si="745"/>
        <v>#N/A</v>
      </c>
      <c r="DX34" s="90" t="e">
        <f t="shared" si="745"/>
        <v>#N/A</v>
      </c>
      <c r="DY34" s="90" t="e">
        <f t="shared" si="745"/>
        <v>#N/A</v>
      </c>
      <c r="DZ34" s="90" t="e">
        <f t="shared" si="745"/>
        <v>#N/A</v>
      </c>
      <c r="EA34" s="91" t="e">
        <f t="shared" ref="EA34" si="746">SUM(DO34:DZ34)</f>
        <v>#N/A</v>
      </c>
      <c r="EB34" s="90" t="e">
        <f t="shared" ref="EB34:EM34" si="747">EB18-EB25-EB32</f>
        <v>#N/A</v>
      </c>
      <c r="EC34" s="90" t="e">
        <f t="shared" si="747"/>
        <v>#N/A</v>
      </c>
      <c r="ED34" s="90" t="e">
        <f t="shared" si="747"/>
        <v>#N/A</v>
      </c>
      <c r="EE34" s="90" t="e">
        <f t="shared" si="747"/>
        <v>#N/A</v>
      </c>
      <c r="EF34" s="90" t="e">
        <f t="shared" si="747"/>
        <v>#N/A</v>
      </c>
      <c r="EG34" s="90" t="e">
        <f t="shared" si="747"/>
        <v>#N/A</v>
      </c>
      <c r="EH34" s="90" t="e">
        <f t="shared" si="747"/>
        <v>#N/A</v>
      </c>
      <c r="EI34" s="90" t="e">
        <f t="shared" si="747"/>
        <v>#N/A</v>
      </c>
      <c r="EJ34" s="90" t="e">
        <f t="shared" si="747"/>
        <v>#N/A</v>
      </c>
      <c r="EK34" s="90" t="e">
        <f t="shared" si="747"/>
        <v>#N/A</v>
      </c>
      <c r="EL34" s="90" t="e">
        <f t="shared" si="747"/>
        <v>#N/A</v>
      </c>
      <c r="EM34" s="90" t="e">
        <f t="shared" si="747"/>
        <v>#N/A</v>
      </c>
      <c r="EN34" s="91" t="e">
        <f t="shared" ref="EN34" si="748">SUM(EB34:EM34)</f>
        <v>#N/A</v>
      </c>
      <c r="EO34" s="90" t="e">
        <f t="shared" ref="EO34:EZ34" si="749">EO18-EO25-EO32</f>
        <v>#N/A</v>
      </c>
      <c r="EP34" s="90" t="e">
        <f t="shared" si="749"/>
        <v>#N/A</v>
      </c>
      <c r="EQ34" s="90" t="e">
        <f t="shared" si="749"/>
        <v>#N/A</v>
      </c>
      <c r="ER34" s="90" t="e">
        <f t="shared" si="749"/>
        <v>#N/A</v>
      </c>
      <c r="ES34" s="90" t="e">
        <f t="shared" si="749"/>
        <v>#N/A</v>
      </c>
      <c r="ET34" s="90" t="e">
        <f t="shared" si="749"/>
        <v>#N/A</v>
      </c>
      <c r="EU34" s="90" t="e">
        <f t="shared" si="749"/>
        <v>#N/A</v>
      </c>
      <c r="EV34" s="90" t="e">
        <f t="shared" si="749"/>
        <v>#N/A</v>
      </c>
      <c r="EW34" s="90" t="e">
        <f t="shared" si="749"/>
        <v>#N/A</v>
      </c>
      <c r="EX34" s="90" t="e">
        <f t="shared" si="749"/>
        <v>#N/A</v>
      </c>
      <c r="EY34" s="90" t="e">
        <f t="shared" si="749"/>
        <v>#N/A</v>
      </c>
      <c r="EZ34" s="90" t="e">
        <f t="shared" si="749"/>
        <v>#N/A</v>
      </c>
      <c r="FA34" s="91" t="e">
        <f t="shared" ref="FA34" si="750">SUM(EO34:EZ34)</f>
        <v>#N/A</v>
      </c>
      <c r="FB34" s="90" t="e">
        <f t="shared" ref="FB34:FM34" si="751">FB18-FB25-FB32</f>
        <v>#N/A</v>
      </c>
      <c r="FC34" s="90" t="e">
        <f t="shared" si="751"/>
        <v>#N/A</v>
      </c>
      <c r="FD34" s="90" t="e">
        <f t="shared" si="751"/>
        <v>#N/A</v>
      </c>
      <c r="FE34" s="90" t="e">
        <f t="shared" si="751"/>
        <v>#N/A</v>
      </c>
      <c r="FF34" s="90" t="e">
        <f t="shared" si="751"/>
        <v>#N/A</v>
      </c>
      <c r="FG34" s="90" t="e">
        <f t="shared" si="751"/>
        <v>#N/A</v>
      </c>
      <c r="FH34" s="90" t="e">
        <f t="shared" si="751"/>
        <v>#N/A</v>
      </c>
      <c r="FI34" s="90" t="e">
        <f t="shared" si="751"/>
        <v>#N/A</v>
      </c>
      <c r="FJ34" s="90" t="e">
        <f t="shared" si="751"/>
        <v>#N/A</v>
      </c>
      <c r="FK34" s="90" t="e">
        <f t="shared" si="751"/>
        <v>#N/A</v>
      </c>
      <c r="FL34" s="90" t="e">
        <f t="shared" si="751"/>
        <v>#N/A</v>
      </c>
      <c r="FM34" s="90" t="e">
        <f t="shared" si="751"/>
        <v>#N/A</v>
      </c>
      <c r="FN34" s="91" t="e">
        <f t="shared" ref="FN34" si="752">SUM(FB34:FM34)</f>
        <v>#N/A</v>
      </c>
      <c r="FO34" s="90" t="e">
        <f t="shared" ref="FO34:FZ34" si="753">FO18-FO25-FO32</f>
        <v>#N/A</v>
      </c>
      <c r="FP34" s="90" t="e">
        <f t="shared" si="753"/>
        <v>#N/A</v>
      </c>
      <c r="FQ34" s="90" t="e">
        <f t="shared" si="753"/>
        <v>#N/A</v>
      </c>
      <c r="FR34" s="90" t="e">
        <f t="shared" si="753"/>
        <v>#N/A</v>
      </c>
      <c r="FS34" s="90" t="e">
        <f t="shared" si="753"/>
        <v>#N/A</v>
      </c>
      <c r="FT34" s="90" t="e">
        <f t="shared" si="753"/>
        <v>#N/A</v>
      </c>
      <c r="FU34" s="90" t="e">
        <f t="shared" si="753"/>
        <v>#N/A</v>
      </c>
      <c r="FV34" s="90" t="e">
        <f t="shared" si="753"/>
        <v>#N/A</v>
      </c>
      <c r="FW34" s="90" t="e">
        <f t="shared" si="753"/>
        <v>#N/A</v>
      </c>
      <c r="FX34" s="90" t="e">
        <f t="shared" si="753"/>
        <v>#N/A</v>
      </c>
      <c r="FY34" s="90" t="e">
        <f t="shared" si="753"/>
        <v>#N/A</v>
      </c>
      <c r="FZ34" s="90" t="e">
        <f t="shared" si="753"/>
        <v>#N/A</v>
      </c>
      <c r="GA34" s="91" t="e">
        <f t="shared" ref="GA34" si="754">SUM(FO34:FZ34)</f>
        <v>#N/A</v>
      </c>
      <c r="GB34" s="90" t="e">
        <f t="shared" ref="GB34:GM34" si="755">GB18-GB25-GB32</f>
        <v>#N/A</v>
      </c>
      <c r="GC34" s="90" t="e">
        <f t="shared" si="755"/>
        <v>#N/A</v>
      </c>
      <c r="GD34" s="90" t="e">
        <f t="shared" si="755"/>
        <v>#N/A</v>
      </c>
      <c r="GE34" s="90" t="e">
        <f t="shared" si="755"/>
        <v>#N/A</v>
      </c>
      <c r="GF34" s="90" t="e">
        <f t="shared" si="755"/>
        <v>#N/A</v>
      </c>
      <c r="GG34" s="90" t="e">
        <f t="shared" si="755"/>
        <v>#N/A</v>
      </c>
      <c r="GH34" s="90" t="e">
        <f t="shared" si="755"/>
        <v>#N/A</v>
      </c>
      <c r="GI34" s="90" t="e">
        <f t="shared" si="755"/>
        <v>#N/A</v>
      </c>
      <c r="GJ34" s="90" t="e">
        <f t="shared" si="755"/>
        <v>#N/A</v>
      </c>
      <c r="GK34" s="90" t="e">
        <f t="shared" si="755"/>
        <v>#N/A</v>
      </c>
      <c r="GL34" s="90" t="e">
        <f t="shared" si="755"/>
        <v>#N/A</v>
      </c>
      <c r="GM34" s="90" t="e">
        <f t="shared" si="755"/>
        <v>#N/A</v>
      </c>
      <c r="GN34" s="91" t="e">
        <f t="shared" ref="GN34" si="756">SUM(GB34:GM34)</f>
        <v>#N/A</v>
      </c>
      <c r="GO34" s="90" t="e">
        <f t="shared" ref="GO34:GZ34" si="757">GO18-GO25-GO32</f>
        <v>#N/A</v>
      </c>
      <c r="GP34" s="90" t="e">
        <f t="shared" si="757"/>
        <v>#N/A</v>
      </c>
      <c r="GQ34" s="90" t="e">
        <f t="shared" si="757"/>
        <v>#N/A</v>
      </c>
      <c r="GR34" s="90" t="e">
        <f t="shared" si="757"/>
        <v>#N/A</v>
      </c>
      <c r="GS34" s="90" t="e">
        <f t="shared" si="757"/>
        <v>#N/A</v>
      </c>
      <c r="GT34" s="90" t="e">
        <f t="shared" si="757"/>
        <v>#N/A</v>
      </c>
      <c r="GU34" s="90" t="e">
        <f t="shared" si="757"/>
        <v>#N/A</v>
      </c>
      <c r="GV34" s="90" t="e">
        <f t="shared" si="757"/>
        <v>#N/A</v>
      </c>
      <c r="GW34" s="90" t="e">
        <f t="shared" si="757"/>
        <v>#N/A</v>
      </c>
      <c r="GX34" s="90" t="e">
        <f t="shared" si="757"/>
        <v>#N/A</v>
      </c>
      <c r="GY34" s="90" t="e">
        <f t="shared" si="757"/>
        <v>#N/A</v>
      </c>
      <c r="GZ34" s="90" t="e">
        <f t="shared" si="757"/>
        <v>#N/A</v>
      </c>
      <c r="HA34" s="91" t="e">
        <f t="shared" ref="HA34" si="758">SUM(GO34:GZ34)</f>
        <v>#N/A</v>
      </c>
      <c r="HB34" s="90" t="e">
        <f t="shared" ref="HB34:HM34" si="759">HB18-HB25-HB32</f>
        <v>#N/A</v>
      </c>
      <c r="HC34" s="90" t="e">
        <f t="shared" si="759"/>
        <v>#N/A</v>
      </c>
      <c r="HD34" s="90" t="e">
        <f t="shared" si="759"/>
        <v>#N/A</v>
      </c>
      <c r="HE34" s="90" t="e">
        <f t="shared" si="759"/>
        <v>#N/A</v>
      </c>
      <c r="HF34" s="90" t="e">
        <f t="shared" si="759"/>
        <v>#N/A</v>
      </c>
      <c r="HG34" s="90" t="e">
        <f t="shared" si="759"/>
        <v>#N/A</v>
      </c>
      <c r="HH34" s="90" t="e">
        <f t="shared" si="759"/>
        <v>#N/A</v>
      </c>
      <c r="HI34" s="90" t="e">
        <f t="shared" si="759"/>
        <v>#N/A</v>
      </c>
      <c r="HJ34" s="90" t="e">
        <f t="shared" si="759"/>
        <v>#N/A</v>
      </c>
      <c r="HK34" s="90" t="e">
        <f t="shared" si="759"/>
        <v>#N/A</v>
      </c>
      <c r="HL34" s="90" t="e">
        <f t="shared" si="759"/>
        <v>#N/A</v>
      </c>
      <c r="HM34" s="90" t="e">
        <f t="shared" si="759"/>
        <v>#N/A</v>
      </c>
      <c r="HN34" s="91" t="e">
        <f t="shared" ref="HN34" si="760">SUM(HB34:HM34)</f>
        <v>#N/A</v>
      </c>
      <c r="HO34" s="90" t="e">
        <f t="shared" ref="HO34:HZ34" si="761">HO18-HO25-HO32</f>
        <v>#N/A</v>
      </c>
      <c r="HP34" s="90" t="e">
        <f t="shared" si="761"/>
        <v>#N/A</v>
      </c>
      <c r="HQ34" s="90" t="e">
        <f t="shared" si="761"/>
        <v>#N/A</v>
      </c>
      <c r="HR34" s="90" t="e">
        <f t="shared" si="761"/>
        <v>#N/A</v>
      </c>
      <c r="HS34" s="90" t="e">
        <f t="shared" si="761"/>
        <v>#N/A</v>
      </c>
      <c r="HT34" s="90" t="e">
        <f t="shared" si="761"/>
        <v>#N/A</v>
      </c>
      <c r="HU34" s="90" t="e">
        <f t="shared" si="761"/>
        <v>#N/A</v>
      </c>
      <c r="HV34" s="90" t="e">
        <f t="shared" si="761"/>
        <v>#N/A</v>
      </c>
      <c r="HW34" s="90" t="e">
        <f t="shared" si="761"/>
        <v>#N/A</v>
      </c>
      <c r="HX34" s="90" t="e">
        <f t="shared" si="761"/>
        <v>#N/A</v>
      </c>
      <c r="HY34" s="90" t="e">
        <f t="shared" si="761"/>
        <v>#N/A</v>
      </c>
      <c r="HZ34" s="90" t="e">
        <f t="shared" si="761"/>
        <v>#N/A</v>
      </c>
      <c r="IA34" s="91" t="e">
        <f t="shared" ref="IA34" si="762">SUM(HO34:HZ34)</f>
        <v>#N/A</v>
      </c>
      <c r="IB34" s="90" t="e">
        <f t="shared" ref="IB34:IM34" si="763">IB18-IB25-IB32</f>
        <v>#N/A</v>
      </c>
      <c r="IC34" s="90" t="e">
        <f t="shared" si="763"/>
        <v>#N/A</v>
      </c>
      <c r="ID34" s="90" t="e">
        <f t="shared" si="763"/>
        <v>#N/A</v>
      </c>
      <c r="IE34" s="90" t="e">
        <f t="shared" si="763"/>
        <v>#N/A</v>
      </c>
      <c r="IF34" s="90" t="e">
        <f t="shared" si="763"/>
        <v>#N/A</v>
      </c>
      <c r="IG34" s="90" t="e">
        <f t="shared" si="763"/>
        <v>#N/A</v>
      </c>
      <c r="IH34" s="90" t="e">
        <f t="shared" si="763"/>
        <v>#N/A</v>
      </c>
      <c r="II34" s="90" t="e">
        <f t="shared" si="763"/>
        <v>#N/A</v>
      </c>
      <c r="IJ34" s="90" t="e">
        <f t="shared" si="763"/>
        <v>#N/A</v>
      </c>
      <c r="IK34" s="90" t="e">
        <f t="shared" si="763"/>
        <v>#N/A</v>
      </c>
      <c r="IL34" s="90" t="e">
        <f t="shared" si="763"/>
        <v>#N/A</v>
      </c>
      <c r="IM34" s="90" t="e">
        <f t="shared" si="763"/>
        <v>#N/A</v>
      </c>
      <c r="IN34" s="91" t="e">
        <f t="shared" ref="IN34" si="764">SUM(IB34:IM34)</f>
        <v>#N/A</v>
      </c>
      <c r="IO34" s="90" t="e">
        <f t="shared" ref="IO34:IZ34" si="765">IO18-IO25-IO32</f>
        <v>#N/A</v>
      </c>
      <c r="IP34" s="90" t="e">
        <f t="shared" si="765"/>
        <v>#N/A</v>
      </c>
      <c r="IQ34" s="90" t="e">
        <f t="shared" si="765"/>
        <v>#N/A</v>
      </c>
      <c r="IR34" s="90" t="e">
        <f t="shared" si="765"/>
        <v>#N/A</v>
      </c>
      <c r="IS34" s="90" t="e">
        <f t="shared" si="765"/>
        <v>#N/A</v>
      </c>
      <c r="IT34" s="90" t="e">
        <f t="shared" si="765"/>
        <v>#N/A</v>
      </c>
      <c r="IU34" s="90" t="e">
        <f t="shared" si="765"/>
        <v>#N/A</v>
      </c>
      <c r="IV34" s="90" t="e">
        <f t="shared" si="765"/>
        <v>#N/A</v>
      </c>
      <c r="IW34" s="90" t="e">
        <f t="shared" si="765"/>
        <v>#N/A</v>
      </c>
      <c r="IX34" s="90" t="e">
        <f t="shared" si="765"/>
        <v>#N/A</v>
      </c>
      <c r="IY34" s="90" t="e">
        <f t="shared" si="765"/>
        <v>#N/A</v>
      </c>
      <c r="IZ34" s="90" t="e">
        <f t="shared" si="765"/>
        <v>#N/A</v>
      </c>
      <c r="JA34" s="91" t="e">
        <f t="shared" ref="JA34" si="766">SUM(IO34:IZ34)</f>
        <v>#N/A</v>
      </c>
      <c r="JB34" s="90" t="e">
        <f t="shared" ref="JB34:JM34" si="767">JB18-JB25-JB32</f>
        <v>#N/A</v>
      </c>
      <c r="JC34" s="90" t="e">
        <f t="shared" si="767"/>
        <v>#N/A</v>
      </c>
      <c r="JD34" s="90" t="e">
        <f t="shared" si="767"/>
        <v>#N/A</v>
      </c>
      <c r="JE34" s="90" t="e">
        <f t="shared" si="767"/>
        <v>#N/A</v>
      </c>
      <c r="JF34" s="90" t="e">
        <f t="shared" si="767"/>
        <v>#N/A</v>
      </c>
      <c r="JG34" s="90" t="e">
        <f t="shared" si="767"/>
        <v>#N/A</v>
      </c>
      <c r="JH34" s="90" t="e">
        <f t="shared" si="767"/>
        <v>#N/A</v>
      </c>
      <c r="JI34" s="90" t="e">
        <f t="shared" si="767"/>
        <v>#N/A</v>
      </c>
      <c r="JJ34" s="90" t="e">
        <f t="shared" si="767"/>
        <v>#N/A</v>
      </c>
      <c r="JK34" s="90" t="e">
        <f t="shared" si="767"/>
        <v>#N/A</v>
      </c>
      <c r="JL34" s="90" t="e">
        <f t="shared" si="767"/>
        <v>#N/A</v>
      </c>
      <c r="JM34" s="90" t="e">
        <f t="shared" si="767"/>
        <v>#N/A</v>
      </c>
      <c r="JN34" s="91" t="e">
        <f t="shared" ref="JN34" si="768">SUM(JB34:JM34)</f>
        <v>#N/A</v>
      </c>
      <c r="JO34" s="90" t="e">
        <f t="shared" ref="JO34:JZ34" si="769">JO18-JO25-JO32</f>
        <v>#N/A</v>
      </c>
      <c r="JP34" s="90" t="e">
        <f t="shared" si="769"/>
        <v>#N/A</v>
      </c>
      <c r="JQ34" s="90" t="e">
        <f t="shared" si="769"/>
        <v>#N/A</v>
      </c>
      <c r="JR34" s="90" t="e">
        <f t="shared" si="769"/>
        <v>#N/A</v>
      </c>
      <c r="JS34" s="90" t="e">
        <f t="shared" si="769"/>
        <v>#N/A</v>
      </c>
      <c r="JT34" s="90" t="e">
        <f t="shared" si="769"/>
        <v>#N/A</v>
      </c>
      <c r="JU34" s="90" t="e">
        <f t="shared" si="769"/>
        <v>#N/A</v>
      </c>
      <c r="JV34" s="90" t="e">
        <f t="shared" si="769"/>
        <v>#N/A</v>
      </c>
      <c r="JW34" s="90" t="e">
        <f t="shared" si="769"/>
        <v>#N/A</v>
      </c>
      <c r="JX34" s="90" t="e">
        <f t="shared" si="769"/>
        <v>#N/A</v>
      </c>
      <c r="JY34" s="90" t="e">
        <f t="shared" si="769"/>
        <v>#N/A</v>
      </c>
      <c r="JZ34" s="90" t="e">
        <f t="shared" si="769"/>
        <v>#N/A</v>
      </c>
      <c r="KA34" s="91" t="e">
        <f t="shared" ref="KA34" si="770">SUM(JO34:JZ34)</f>
        <v>#N/A</v>
      </c>
      <c r="KB34" s="90" t="e">
        <f t="shared" ref="KB34:KM34" si="771">KB18-KB25-KB32</f>
        <v>#N/A</v>
      </c>
      <c r="KC34" s="90" t="e">
        <f t="shared" si="771"/>
        <v>#N/A</v>
      </c>
      <c r="KD34" s="90" t="e">
        <f t="shared" si="771"/>
        <v>#N/A</v>
      </c>
      <c r="KE34" s="90" t="e">
        <f t="shared" si="771"/>
        <v>#N/A</v>
      </c>
      <c r="KF34" s="90" t="e">
        <f t="shared" si="771"/>
        <v>#N/A</v>
      </c>
      <c r="KG34" s="90" t="e">
        <f t="shared" si="771"/>
        <v>#N/A</v>
      </c>
      <c r="KH34" s="90" t="e">
        <f t="shared" si="771"/>
        <v>#N/A</v>
      </c>
      <c r="KI34" s="90" t="e">
        <f t="shared" si="771"/>
        <v>#N/A</v>
      </c>
      <c r="KJ34" s="90" t="e">
        <f t="shared" si="771"/>
        <v>#N/A</v>
      </c>
      <c r="KK34" s="90" t="e">
        <f t="shared" si="771"/>
        <v>#N/A</v>
      </c>
      <c r="KL34" s="90" t="e">
        <f t="shared" si="771"/>
        <v>#N/A</v>
      </c>
      <c r="KM34" s="90" t="e">
        <f t="shared" si="771"/>
        <v>#N/A</v>
      </c>
      <c r="KN34" s="91" t="e">
        <f t="shared" ref="KN34" si="772">SUM(KB34:KM34)</f>
        <v>#N/A</v>
      </c>
      <c r="KO34" s="90" t="e">
        <f t="shared" ref="KO34:KZ34" si="773">KO18-KO25-KO32</f>
        <v>#N/A</v>
      </c>
      <c r="KP34" s="90" t="e">
        <f t="shared" si="773"/>
        <v>#N/A</v>
      </c>
      <c r="KQ34" s="90" t="e">
        <f t="shared" si="773"/>
        <v>#N/A</v>
      </c>
      <c r="KR34" s="90" t="e">
        <f t="shared" si="773"/>
        <v>#N/A</v>
      </c>
      <c r="KS34" s="90" t="e">
        <f t="shared" si="773"/>
        <v>#N/A</v>
      </c>
      <c r="KT34" s="90" t="e">
        <f t="shared" si="773"/>
        <v>#N/A</v>
      </c>
      <c r="KU34" s="90" t="e">
        <f t="shared" si="773"/>
        <v>#N/A</v>
      </c>
      <c r="KV34" s="90" t="e">
        <f t="shared" si="773"/>
        <v>#N/A</v>
      </c>
      <c r="KW34" s="90" t="e">
        <f t="shared" si="773"/>
        <v>#N/A</v>
      </c>
      <c r="KX34" s="90" t="e">
        <f t="shared" si="773"/>
        <v>#N/A</v>
      </c>
      <c r="KY34" s="90" t="e">
        <f t="shared" si="773"/>
        <v>#N/A</v>
      </c>
      <c r="KZ34" s="90" t="e">
        <f t="shared" si="773"/>
        <v>#N/A</v>
      </c>
      <c r="LA34" s="91" t="e">
        <f t="shared" ref="LA34" si="774">SUM(KO34:KZ34)</f>
        <v>#N/A</v>
      </c>
      <c r="LB34" s="90" t="e">
        <f t="shared" ref="LB34:LM34" si="775">LB18-LB25-LB32</f>
        <v>#N/A</v>
      </c>
      <c r="LC34" s="90" t="e">
        <f t="shared" si="775"/>
        <v>#N/A</v>
      </c>
      <c r="LD34" s="90" t="e">
        <f t="shared" si="775"/>
        <v>#N/A</v>
      </c>
      <c r="LE34" s="90" t="e">
        <f t="shared" si="775"/>
        <v>#N/A</v>
      </c>
      <c r="LF34" s="90" t="e">
        <f t="shared" si="775"/>
        <v>#N/A</v>
      </c>
      <c r="LG34" s="90" t="e">
        <f t="shared" si="775"/>
        <v>#N/A</v>
      </c>
      <c r="LH34" s="90" t="e">
        <f t="shared" si="775"/>
        <v>#N/A</v>
      </c>
      <c r="LI34" s="90" t="e">
        <f t="shared" si="775"/>
        <v>#N/A</v>
      </c>
      <c r="LJ34" s="90" t="e">
        <f t="shared" si="775"/>
        <v>#N/A</v>
      </c>
      <c r="LK34" s="90" t="e">
        <f t="shared" si="775"/>
        <v>#N/A</v>
      </c>
      <c r="LL34" s="90" t="e">
        <f t="shared" si="775"/>
        <v>#N/A</v>
      </c>
      <c r="LM34" s="90" t="e">
        <f t="shared" si="775"/>
        <v>#N/A</v>
      </c>
      <c r="LN34" s="91" t="e">
        <f t="shared" ref="LN34" si="776">SUM(LB34:LM34)</f>
        <v>#N/A</v>
      </c>
      <c r="LO34" s="90" t="e">
        <f t="shared" ref="LO34:LZ34" si="777">LO18-LO25-LO32</f>
        <v>#N/A</v>
      </c>
      <c r="LP34" s="90" t="e">
        <f t="shared" si="777"/>
        <v>#N/A</v>
      </c>
      <c r="LQ34" s="90" t="e">
        <f t="shared" si="777"/>
        <v>#N/A</v>
      </c>
      <c r="LR34" s="90" t="e">
        <f t="shared" si="777"/>
        <v>#N/A</v>
      </c>
      <c r="LS34" s="90" t="e">
        <f t="shared" si="777"/>
        <v>#N/A</v>
      </c>
      <c r="LT34" s="90" t="e">
        <f t="shared" si="777"/>
        <v>#N/A</v>
      </c>
      <c r="LU34" s="90" t="e">
        <f t="shared" si="777"/>
        <v>#N/A</v>
      </c>
      <c r="LV34" s="90" t="e">
        <f t="shared" si="777"/>
        <v>#N/A</v>
      </c>
      <c r="LW34" s="90" t="e">
        <f t="shared" si="777"/>
        <v>#N/A</v>
      </c>
      <c r="LX34" s="90" t="e">
        <f t="shared" si="777"/>
        <v>#N/A</v>
      </c>
      <c r="LY34" s="90" t="e">
        <f t="shared" si="777"/>
        <v>#N/A</v>
      </c>
      <c r="LZ34" s="90" t="e">
        <f t="shared" si="777"/>
        <v>#N/A</v>
      </c>
      <c r="MA34" s="91" t="e">
        <f t="shared" ref="MA34" si="778">SUM(LO34:LZ34)</f>
        <v>#N/A</v>
      </c>
      <c r="MB34" s="90" t="e">
        <f t="shared" ref="MB34:MM34" si="779">MB18-MB25-MB32</f>
        <v>#N/A</v>
      </c>
      <c r="MC34" s="90" t="e">
        <f t="shared" si="779"/>
        <v>#N/A</v>
      </c>
      <c r="MD34" s="90" t="e">
        <f t="shared" si="779"/>
        <v>#N/A</v>
      </c>
      <c r="ME34" s="90" t="e">
        <f t="shared" si="779"/>
        <v>#N/A</v>
      </c>
      <c r="MF34" s="90" t="e">
        <f t="shared" si="779"/>
        <v>#N/A</v>
      </c>
      <c r="MG34" s="90" t="e">
        <f t="shared" si="779"/>
        <v>#N/A</v>
      </c>
      <c r="MH34" s="90" t="e">
        <f t="shared" si="779"/>
        <v>#N/A</v>
      </c>
      <c r="MI34" s="90" t="e">
        <f t="shared" si="779"/>
        <v>#N/A</v>
      </c>
      <c r="MJ34" s="90" t="e">
        <f t="shared" si="779"/>
        <v>#N/A</v>
      </c>
      <c r="MK34" s="90" t="e">
        <f t="shared" si="779"/>
        <v>#N/A</v>
      </c>
      <c r="ML34" s="90" t="e">
        <f t="shared" si="779"/>
        <v>#N/A</v>
      </c>
      <c r="MM34" s="90" t="e">
        <f t="shared" si="779"/>
        <v>#N/A</v>
      </c>
      <c r="MN34" s="91" t="e">
        <f t="shared" ref="MN34" si="780">SUM(MB34:MM34)</f>
        <v>#N/A</v>
      </c>
      <c r="MO34" s="90" t="e">
        <f t="shared" ref="MO34:MZ34" si="781">MO18-MO25-MO32</f>
        <v>#N/A</v>
      </c>
      <c r="MP34" s="90" t="e">
        <f t="shared" si="781"/>
        <v>#N/A</v>
      </c>
      <c r="MQ34" s="90" t="e">
        <f t="shared" si="781"/>
        <v>#N/A</v>
      </c>
      <c r="MR34" s="90" t="e">
        <f t="shared" si="781"/>
        <v>#N/A</v>
      </c>
      <c r="MS34" s="90" t="e">
        <f t="shared" si="781"/>
        <v>#N/A</v>
      </c>
      <c r="MT34" s="90" t="e">
        <f t="shared" si="781"/>
        <v>#N/A</v>
      </c>
      <c r="MU34" s="90" t="e">
        <f t="shared" si="781"/>
        <v>#N/A</v>
      </c>
      <c r="MV34" s="90" t="e">
        <f t="shared" si="781"/>
        <v>#N/A</v>
      </c>
      <c r="MW34" s="90" t="e">
        <f t="shared" si="781"/>
        <v>#N/A</v>
      </c>
      <c r="MX34" s="90" t="e">
        <f t="shared" si="781"/>
        <v>#N/A</v>
      </c>
      <c r="MY34" s="90" t="e">
        <f t="shared" si="781"/>
        <v>#N/A</v>
      </c>
      <c r="MZ34" s="90" t="e">
        <f t="shared" si="781"/>
        <v>#N/A</v>
      </c>
      <c r="NA34" s="91" t="e">
        <f t="shared" ref="NA34" si="782">SUM(MO34:MZ34)</f>
        <v>#N/A</v>
      </c>
      <c r="NB34" s="90" t="e">
        <f t="shared" ref="NB34:NM34" si="783">NB18-NB25-NB32</f>
        <v>#N/A</v>
      </c>
      <c r="NC34" s="90" t="e">
        <f t="shared" si="783"/>
        <v>#N/A</v>
      </c>
      <c r="ND34" s="90" t="e">
        <f t="shared" si="783"/>
        <v>#N/A</v>
      </c>
      <c r="NE34" s="90" t="e">
        <f t="shared" si="783"/>
        <v>#N/A</v>
      </c>
      <c r="NF34" s="90" t="e">
        <f t="shared" si="783"/>
        <v>#N/A</v>
      </c>
      <c r="NG34" s="90" t="e">
        <f t="shared" si="783"/>
        <v>#N/A</v>
      </c>
      <c r="NH34" s="90" t="e">
        <f t="shared" si="783"/>
        <v>#N/A</v>
      </c>
      <c r="NI34" s="90" t="e">
        <f t="shared" si="783"/>
        <v>#N/A</v>
      </c>
      <c r="NJ34" s="90" t="e">
        <f t="shared" si="783"/>
        <v>#N/A</v>
      </c>
      <c r="NK34" s="90" t="e">
        <f t="shared" si="783"/>
        <v>#N/A</v>
      </c>
      <c r="NL34" s="90" t="e">
        <f t="shared" si="783"/>
        <v>#N/A</v>
      </c>
      <c r="NM34" s="90" t="e">
        <f t="shared" si="783"/>
        <v>#N/A</v>
      </c>
      <c r="NN34" s="91" t="e">
        <f t="shared" ref="NN34" si="784">SUM(NB34:NM34)</f>
        <v>#N/A</v>
      </c>
      <c r="NO34" s="90" t="e">
        <f t="shared" ref="NO34:NZ34" si="785">NO18-NO25-NO32</f>
        <v>#N/A</v>
      </c>
      <c r="NP34" s="90" t="e">
        <f t="shared" si="785"/>
        <v>#N/A</v>
      </c>
      <c r="NQ34" s="90" t="e">
        <f t="shared" si="785"/>
        <v>#N/A</v>
      </c>
      <c r="NR34" s="90" t="e">
        <f t="shared" si="785"/>
        <v>#N/A</v>
      </c>
      <c r="NS34" s="90" t="e">
        <f t="shared" si="785"/>
        <v>#N/A</v>
      </c>
      <c r="NT34" s="90" t="e">
        <f t="shared" si="785"/>
        <v>#N/A</v>
      </c>
      <c r="NU34" s="90" t="e">
        <f t="shared" si="785"/>
        <v>#N/A</v>
      </c>
      <c r="NV34" s="90" t="e">
        <f t="shared" si="785"/>
        <v>#N/A</v>
      </c>
      <c r="NW34" s="90" t="e">
        <f t="shared" si="785"/>
        <v>#N/A</v>
      </c>
      <c r="NX34" s="90" t="e">
        <f t="shared" si="785"/>
        <v>#N/A</v>
      </c>
      <c r="NY34" s="90" t="e">
        <f t="shared" si="785"/>
        <v>#N/A</v>
      </c>
      <c r="NZ34" s="90" t="e">
        <f t="shared" si="785"/>
        <v>#N/A</v>
      </c>
      <c r="OA34" s="91" t="e">
        <f t="shared" ref="OA34" si="786">SUM(NO34:NZ34)</f>
        <v>#N/A</v>
      </c>
      <c r="OB34" s="90" t="e">
        <f t="shared" ref="OB34:OM34" si="787">OB18-OB25-OB32</f>
        <v>#N/A</v>
      </c>
      <c r="OC34" s="90" t="e">
        <f t="shared" si="787"/>
        <v>#N/A</v>
      </c>
      <c r="OD34" s="90" t="e">
        <f t="shared" si="787"/>
        <v>#N/A</v>
      </c>
      <c r="OE34" s="90" t="e">
        <f t="shared" si="787"/>
        <v>#N/A</v>
      </c>
      <c r="OF34" s="90" t="e">
        <f t="shared" si="787"/>
        <v>#N/A</v>
      </c>
      <c r="OG34" s="90" t="e">
        <f t="shared" si="787"/>
        <v>#N/A</v>
      </c>
      <c r="OH34" s="90" t="e">
        <f t="shared" si="787"/>
        <v>#N/A</v>
      </c>
      <c r="OI34" s="90" t="e">
        <f t="shared" si="787"/>
        <v>#N/A</v>
      </c>
      <c r="OJ34" s="90" t="e">
        <f t="shared" si="787"/>
        <v>#N/A</v>
      </c>
      <c r="OK34" s="90" t="e">
        <f t="shared" si="787"/>
        <v>#N/A</v>
      </c>
      <c r="OL34" s="90" t="e">
        <f t="shared" si="787"/>
        <v>#N/A</v>
      </c>
      <c r="OM34" s="90" t="e">
        <f t="shared" si="787"/>
        <v>#N/A</v>
      </c>
      <c r="ON34" s="91" t="e">
        <f t="shared" ref="ON34" si="788">SUM(OB34:OM34)</f>
        <v>#N/A</v>
      </c>
      <c r="OO34" s="90" t="e">
        <f t="shared" ref="OO34:OZ34" si="789">OO18-OO25-OO32</f>
        <v>#N/A</v>
      </c>
      <c r="OP34" s="90" t="e">
        <f t="shared" si="789"/>
        <v>#N/A</v>
      </c>
      <c r="OQ34" s="90" t="e">
        <f t="shared" si="789"/>
        <v>#N/A</v>
      </c>
      <c r="OR34" s="90" t="e">
        <f t="shared" si="789"/>
        <v>#N/A</v>
      </c>
      <c r="OS34" s="90" t="e">
        <f t="shared" si="789"/>
        <v>#N/A</v>
      </c>
      <c r="OT34" s="90" t="e">
        <f t="shared" si="789"/>
        <v>#N/A</v>
      </c>
      <c r="OU34" s="90" t="e">
        <f t="shared" si="789"/>
        <v>#N/A</v>
      </c>
      <c r="OV34" s="90" t="e">
        <f t="shared" si="789"/>
        <v>#N/A</v>
      </c>
      <c r="OW34" s="90" t="e">
        <f t="shared" si="789"/>
        <v>#N/A</v>
      </c>
      <c r="OX34" s="90" t="e">
        <f t="shared" si="789"/>
        <v>#N/A</v>
      </c>
      <c r="OY34" s="90" t="e">
        <f t="shared" si="789"/>
        <v>#N/A</v>
      </c>
      <c r="OZ34" s="90" t="e">
        <f t="shared" si="789"/>
        <v>#N/A</v>
      </c>
      <c r="PA34" s="91" t="e">
        <f t="shared" ref="PA34" si="790">SUM(OO34:OZ34)</f>
        <v>#N/A</v>
      </c>
      <c r="PB34" s="90" t="e">
        <f t="shared" ref="PB34:PM34" si="791">PB18-PB25-PB32</f>
        <v>#N/A</v>
      </c>
      <c r="PC34" s="90" t="e">
        <f t="shared" si="791"/>
        <v>#N/A</v>
      </c>
      <c r="PD34" s="90" t="e">
        <f t="shared" si="791"/>
        <v>#N/A</v>
      </c>
      <c r="PE34" s="90" t="e">
        <f t="shared" si="791"/>
        <v>#N/A</v>
      </c>
      <c r="PF34" s="90" t="e">
        <f t="shared" si="791"/>
        <v>#N/A</v>
      </c>
      <c r="PG34" s="90" t="e">
        <f t="shared" si="791"/>
        <v>#N/A</v>
      </c>
      <c r="PH34" s="90" t="e">
        <f t="shared" si="791"/>
        <v>#N/A</v>
      </c>
      <c r="PI34" s="90" t="e">
        <f t="shared" si="791"/>
        <v>#N/A</v>
      </c>
      <c r="PJ34" s="90" t="e">
        <f t="shared" si="791"/>
        <v>#N/A</v>
      </c>
      <c r="PK34" s="90" t="e">
        <f t="shared" si="791"/>
        <v>#N/A</v>
      </c>
      <c r="PL34" s="90" t="e">
        <f t="shared" si="791"/>
        <v>#N/A</v>
      </c>
      <c r="PM34" s="90" t="e">
        <f t="shared" si="791"/>
        <v>#N/A</v>
      </c>
      <c r="PN34" s="91" t="e">
        <f t="shared" ref="PN34" si="792">SUM(PB34:PM34)</f>
        <v>#N/A</v>
      </c>
      <c r="PO34" s="90" t="e">
        <f t="shared" ref="PO34:PZ34" si="793">PO18-PO25-PO32</f>
        <v>#N/A</v>
      </c>
      <c r="PP34" s="90" t="e">
        <f t="shared" si="793"/>
        <v>#N/A</v>
      </c>
      <c r="PQ34" s="90" t="e">
        <f t="shared" si="793"/>
        <v>#N/A</v>
      </c>
      <c r="PR34" s="90" t="e">
        <f t="shared" si="793"/>
        <v>#N/A</v>
      </c>
      <c r="PS34" s="90" t="e">
        <f t="shared" si="793"/>
        <v>#N/A</v>
      </c>
      <c r="PT34" s="90" t="e">
        <f t="shared" si="793"/>
        <v>#N/A</v>
      </c>
      <c r="PU34" s="90" t="e">
        <f t="shared" si="793"/>
        <v>#N/A</v>
      </c>
      <c r="PV34" s="90" t="e">
        <f t="shared" si="793"/>
        <v>#N/A</v>
      </c>
      <c r="PW34" s="90" t="e">
        <f t="shared" si="793"/>
        <v>#N/A</v>
      </c>
      <c r="PX34" s="90" t="e">
        <f t="shared" si="793"/>
        <v>#N/A</v>
      </c>
      <c r="PY34" s="90" t="e">
        <f t="shared" si="793"/>
        <v>#N/A</v>
      </c>
      <c r="PZ34" s="90" t="e">
        <f t="shared" si="793"/>
        <v>#N/A</v>
      </c>
      <c r="QA34" s="91" t="e">
        <f t="shared" ref="QA34" si="794">SUM(PO34:PZ34)</f>
        <v>#N/A</v>
      </c>
      <c r="QB34" s="90" t="e">
        <f t="shared" ref="QB34:QM34" si="795">QB18-QB25-QB32</f>
        <v>#N/A</v>
      </c>
      <c r="QC34" s="90" t="e">
        <f t="shared" si="795"/>
        <v>#N/A</v>
      </c>
      <c r="QD34" s="90" t="e">
        <f t="shared" si="795"/>
        <v>#N/A</v>
      </c>
      <c r="QE34" s="90" t="e">
        <f t="shared" si="795"/>
        <v>#N/A</v>
      </c>
      <c r="QF34" s="90" t="e">
        <f t="shared" si="795"/>
        <v>#N/A</v>
      </c>
      <c r="QG34" s="90" t="e">
        <f t="shared" si="795"/>
        <v>#N/A</v>
      </c>
      <c r="QH34" s="90" t="e">
        <f t="shared" si="795"/>
        <v>#N/A</v>
      </c>
      <c r="QI34" s="90" t="e">
        <f t="shared" si="795"/>
        <v>#N/A</v>
      </c>
      <c r="QJ34" s="90" t="e">
        <f t="shared" si="795"/>
        <v>#N/A</v>
      </c>
      <c r="QK34" s="90" t="e">
        <f t="shared" si="795"/>
        <v>#N/A</v>
      </c>
      <c r="QL34" s="90" t="e">
        <f t="shared" si="795"/>
        <v>#N/A</v>
      </c>
      <c r="QM34" s="90" t="e">
        <f t="shared" si="795"/>
        <v>#N/A</v>
      </c>
      <c r="QN34" s="91" t="e">
        <f t="shared" ref="QN34" si="796">SUM(QB34:QM34)</f>
        <v>#N/A</v>
      </c>
      <c r="QO34" s="90" t="e">
        <f t="shared" ref="QO34:QZ34" si="797">QO18-QO25-QO32</f>
        <v>#N/A</v>
      </c>
      <c r="QP34" s="90" t="e">
        <f t="shared" si="797"/>
        <v>#N/A</v>
      </c>
      <c r="QQ34" s="90" t="e">
        <f t="shared" si="797"/>
        <v>#N/A</v>
      </c>
      <c r="QR34" s="90" t="e">
        <f t="shared" si="797"/>
        <v>#N/A</v>
      </c>
      <c r="QS34" s="90" t="e">
        <f t="shared" si="797"/>
        <v>#N/A</v>
      </c>
      <c r="QT34" s="90" t="e">
        <f t="shared" si="797"/>
        <v>#N/A</v>
      </c>
      <c r="QU34" s="90" t="e">
        <f t="shared" si="797"/>
        <v>#N/A</v>
      </c>
      <c r="QV34" s="90" t="e">
        <f t="shared" si="797"/>
        <v>#N/A</v>
      </c>
      <c r="QW34" s="90" t="e">
        <f t="shared" si="797"/>
        <v>#N/A</v>
      </c>
      <c r="QX34" s="90" t="e">
        <f t="shared" si="797"/>
        <v>#N/A</v>
      </c>
      <c r="QY34" s="90" t="e">
        <f t="shared" si="797"/>
        <v>#N/A</v>
      </c>
      <c r="QZ34" s="90" t="e">
        <f t="shared" si="797"/>
        <v>#N/A</v>
      </c>
      <c r="RA34" s="91" t="e">
        <f t="shared" ref="RA34" si="798">SUM(QO34:QZ34)</f>
        <v>#N/A</v>
      </c>
      <c r="RB34" s="90" t="e">
        <f t="shared" ref="RB34:RM34" si="799">RB18-RB25-RB32</f>
        <v>#N/A</v>
      </c>
      <c r="RC34" s="90" t="e">
        <f t="shared" si="799"/>
        <v>#N/A</v>
      </c>
      <c r="RD34" s="90" t="e">
        <f t="shared" si="799"/>
        <v>#N/A</v>
      </c>
      <c r="RE34" s="90" t="e">
        <f t="shared" si="799"/>
        <v>#N/A</v>
      </c>
      <c r="RF34" s="90" t="e">
        <f t="shared" si="799"/>
        <v>#N/A</v>
      </c>
      <c r="RG34" s="90" t="e">
        <f t="shared" si="799"/>
        <v>#N/A</v>
      </c>
      <c r="RH34" s="90" t="e">
        <f t="shared" si="799"/>
        <v>#N/A</v>
      </c>
      <c r="RI34" s="90" t="e">
        <f t="shared" si="799"/>
        <v>#N/A</v>
      </c>
      <c r="RJ34" s="90" t="e">
        <f t="shared" si="799"/>
        <v>#N/A</v>
      </c>
      <c r="RK34" s="90" t="e">
        <f t="shared" si="799"/>
        <v>#N/A</v>
      </c>
      <c r="RL34" s="90" t="e">
        <f t="shared" si="799"/>
        <v>#N/A</v>
      </c>
      <c r="RM34" s="90" t="e">
        <f t="shared" si="799"/>
        <v>#N/A</v>
      </c>
      <c r="RN34" s="91" t="e">
        <f t="shared" ref="RN34" si="800">SUM(RB34:RM34)</f>
        <v>#N/A</v>
      </c>
    </row>
    <row r="35" spans="1:482" hidden="1" outlineLevel="1" x14ac:dyDescent="0.3">
      <c r="A35" s="74" t="s">
        <v>253</v>
      </c>
      <c r="B35" s="92" t="e">
        <f>B34/B$18</f>
        <v>#N/A</v>
      </c>
      <c r="C35" s="92" t="e">
        <f t="shared" ref="C35:BN35" si="801">C34/C$18</f>
        <v>#N/A</v>
      </c>
      <c r="D35" s="92" t="e">
        <f t="shared" si="801"/>
        <v>#N/A</v>
      </c>
      <c r="E35" s="92" t="e">
        <f t="shared" si="801"/>
        <v>#N/A</v>
      </c>
      <c r="F35" s="92" t="e">
        <f t="shared" si="801"/>
        <v>#N/A</v>
      </c>
      <c r="G35" s="92" t="e">
        <f t="shared" si="801"/>
        <v>#N/A</v>
      </c>
      <c r="H35" s="92" t="e">
        <f t="shared" si="801"/>
        <v>#N/A</v>
      </c>
      <c r="I35" s="92" t="e">
        <f t="shared" si="801"/>
        <v>#N/A</v>
      </c>
      <c r="J35" s="92" t="e">
        <f t="shared" si="801"/>
        <v>#N/A</v>
      </c>
      <c r="K35" s="92" t="e">
        <f t="shared" si="801"/>
        <v>#N/A</v>
      </c>
      <c r="L35" s="92" t="e">
        <f t="shared" si="801"/>
        <v>#N/A</v>
      </c>
      <c r="M35" s="92" t="e">
        <f t="shared" si="801"/>
        <v>#N/A</v>
      </c>
      <c r="N35" s="88" t="e">
        <f t="shared" si="801"/>
        <v>#N/A</v>
      </c>
      <c r="O35" s="92" t="e">
        <f t="shared" si="801"/>
        <v>#N/A</v>
      </c>
      <c r="P35" s="92" t="e">
        <f t="shared" si="801"/>
        <v>#N/A</v>
      </c>
      <c r="Q35" s="92" t="e">
        <f t="shared" si="801"/>
        <v>#N/A</v>
      </c>
      <c r="R35" s="92" t="e">
        <f t="shared" si="801"/>
        <v>#N/A</v>
      </c>
      <c r="S35" s="92" t="e">
        <f t="shared" si="801"/>
        <v>#N/A</v>
      </c>
      <c r="T35" s="92" t="e">
        <f t="shared" si="801"/>
        <v>#N/A</v>
      </c>
      <c r="U35" s="92" t="e">
        <f t="shared" si="801"/>
        <v>#N/A</v>
      </c>
      <c r="V35" s="92" t="e">
        <f t="shared" si="801"/>
        <v>#N/A</v>
      </c>
      <c r="W35" s="92" t="e">
        <f t="shared" si="801"/>
        <v>#N/A</v>
      </c>
      <c r="X35" s="92" t="e">
        <f t="shared" si="801"/>
        <v>#N/A</v>
      </c>
      <c r="Y35" s="92" t="e">
        <f t="shared" si="801"/>
        <v>#N/A</v>
      </c>
      <c r="Z35" s="92" t="e">
        <f t="shared" si="801"/>
        <v>#N/A</v>
      </c>
      <c r="AA35" s="88" t="e">
        <f t="shared" si="801"/>
        <v>#N/A</v>
      </c>
      <c r="AB35" s="92" t="e">
        <f t="shared" si="801"/>
        <v>#N/A</v>
      </c>
      <c r="AC35" s="92" t="e">
        <f t="shared" si="801"/>
        <v>#N/A</v>
      </c>
      <c r="AD35" s="92" t="e">
        <f t="shared" si="801"/>
        <v>#N/A</v>
      </c>
      <c r="AE35" s="92" t="e">
        <f t="shared" si="801"/>
        <v>#N/A</v>
      </c>
      <c r="AF35" s="92" t="e">
        <f t="shared" si="801"/>
        <v>#N/A</v>
      </c>
      <c r="AG35" s="92" t="e">
        <f t="shared" si="801"/>
        <v>#N/A</v>
      </c>
      <c r="AH35" s="92" t="e">
        <f t="shared" si="801"/>
        <v>#N/A</v>
      </c>
      <c r="AI35" s="92" t="e">
        <f t="shared" si="801"/>
        <v>#N/A</v>
      </c>
      <c r="AJ35" s="92" t="e">
        <f t="shared" si="801"/>
        <v>#N/A</v>
      </c>
      <c r="AK35" s="92" t="e">
        <f t="shared" si="801"/>
        <v>#N/A</v>
      </c>
      <c r="AL35" s="92" t="e">
        <f t="shared" si="801"/>
        <v>#N/A</v>
      </c>
      <c r="AM35" s="92" t="e">
        <f t="shared" si="801"/>
        <v>#N/A</v>
      </c>
      <c r="AN35" s="88" t="e">
        <f t="shared" si="801"/>
        <v>#N/A</v>
      </c>
      <c r="AO35" s="92" t="e">
        <f t="shared" si="801"/>
        <v>#N/A</v>
      </c>
      <c r="AP35" s="92" t="e">
        <f t="shared" si="801"/>
        <v>#N/A</v>
      </c>
      <c r="AQ35" s="92" t="e">
        <f t="shared" si="801"/>
        <v>#N/A</v>
      </c>
      <c r="AR35" s="92" t="e">
        <f t="shared" si="801"/>
        <v>#N/A</v>
      </c>
      <c r="AS35" s="92" t="e">
        <f t="shared" si="801"/>
        <v>#N/A</v>
      </c>
      <c r="AT35" s="92" t="e">
        <f t="shared" si="801"/>
        <v>#N/A</v>
      </c>
      <c r="AU35" s="92" t="e">
        <f t="shared" si="801"/>
        <v>#N/A</v>
      </c>
      <c r="AV35" s="92" t="e">
        <f t="shared" si="801"/>
        <v>#N/A</v>
      </c>
      <c r="AW35" s="92" t="e">
        <f t="shared" si="801"/>
        <v>#N/A</v>
      </c>
      <c r="AX35" s="92" t="e">
        <f t="shared" si="801"/>
        <v>#N/A</v>
      </c>
      <c r="AY35" s="92" t="e">
        <f t="shared" si="801"/>
        <v>#N/A</v>
      </c>
      <c r="AZ35" s="92" t="e">
        <f t="shared" si="801"/>
        <v>#N/A</v>
      </c>
      <c r="BA35" s="88" t="e">
        <f t="shared" si="801"/>
        <v>#N/A</v>
      </c>
      <c r="BB35" s="92" t="e">
        <f t="shared" si="801"/>
        <v>#N/A</v>
      </c>
      <c r="BC35" s="92" t="e">
        <f t="shared" si="801"/>
        <v>#N/A</v>
      </c>
      <c r="BD35" s="92" t="e">
        <f t="shared" si="801"/>
        <v>#N/A</v>
      </c>
      <c r="BE35" s="92" t="e">
        <f t="shared" si="801"/>
        <v>#N/A</v>
      </c>
      <c r="BF35" s="92" t="e">
        <f t="shared" si="801"/>
        <v>#N/A</v>
      </c>
      <c r="BG35" s="92" t="e">
        <f t="shared" si="801"/>
        <v>#N/A</v>
      </c>
      <c r="BH35" s="92" t="e">
        <f t="shared" si="801"/>
        <v>#N/A</v>
      </c>
      <c r="BI35" s="92" t="e">
        <f t="shared" si="801"/>
        <v>#N/A</v>
      </c>
      <c r="BJ35" s="92" t="e">
        <f t="shared" si="801"/>
        <v>#N/A</v>
      </c>
      <c r="BK35" s="92" t="e">
        <f t="shared" si="801"/>
        <v>#N/A</v>
      </c>
      <c r="BL35" s="92" t="e">
        <f t="shared" si="801"/>
        <v>#N/A</v>
      </c>
      <c r="BM35" s="92" t="e">
        <f t="shared" si="801"/>
        <v>#N/A</v>
      </c>
      <c r="BN35" s="88" t="e">
        <f t="shared" si="801"/>
        <v>#N/A</v>
      </c>
      <c r="BO35" s="92" t="e">
        <f t="shared" ref="BO35:DZ35" si="802">BO34/BO$18</f>
        <v>#N/A</v>
      </c>
      <c r="BP35" s="92" t="e">
        <f t="shared" si="802"/>
        <v>#N/A</v>
      </c>
      <c r="BQ35" s="92" t="e">
        <f t="shared" si="802"/>
        <v>#N/A</v>
      </c>
      <c r="BR35" s="92" t="e">
        <f t="shared" si="802"/>
        <v>#N/A</v>
      </c>
      <c r="BS35" s="92" t="e">
        <f t="shared" si="802"/>
        <v>#N/A</v>
      </c>
      <c r="BT35" s="92" t="e">
        <f t="shared" si="802"/>
        <v>#N/A</v>
      </c>
      <c r="BU35" s="92" t="e">
        <f t="shared" si="802"/>
        <v>#N/A</v>
      </c>
      <c r="BV35" s="92" t="e">
        <f t="shared" si="802"/>
        <v>#N/A</v>
      </c>
      <c r="BW35" s="92" t="e">
        <f t="shared" si="802"/>
        <v>#N/A</v>
      </c>
      <c r="BX35" s="92" t="e">
        <f t="shared" si="802"/>
        <v>#N/A</v>
      </c>
      <c r="BY35" s="92" t="e">
        <f t="shared" si="802"/>
        <v>#N/A</v>
      </c>
      <c r="BZ35" s="92" t="e">
        <f t="shared" si="802"/>
        <v>#N/A</v>
      </c>
      <c r="CA35" s="88" t="e">
        <f t="shared" si="802"/>
        <v>#N/A</v>
      </c>
      <c r="CB35" s="92" t="e">
        <f t="shared" si="802"/>
        <v>#N/A</v>
      </c>
      <c r="CC35" s="92" t="e">
        <f t="shared" si="802"/>
        <v>#N/A</v>
      </c>
      <c r="CD35" s="92" t="e">
        <f t="shared" si="802"/>
        <v>#N/A</v>
      </c>
      <c r="CE35" s="92" t="e">
        <f t="shared" si="802"/>
        <v>#N/A</v>
      </c>
      <c r="CF35" s="92" t="e">
        <f t="shared" si="802"/>
        <v>#N/A</v>
      </c>
      <c r="CG35" s="92" t="e">
        <f t="shared" si="802"/>
        <v>#N/A</v>
      </c>
      <c r="CH35" s="92" t="e">
        <f t="shared" si="802"/>
        <v>#N/A</v>
      </c>
      <c r="CI35" s="92" t="e">
        <f t="shared" si="802"/>
        <v>#N/A</v>
      </c>
      <c r="CJ35" s="92" t="e">
        <f t="shared" si="802"/>
        <v>#N/A</v>
      </c>
      <c r="CK35" s="92" t="e">
        <f t="shared" si="802"/>
        <v>#N/A</v>
      </c>
      <c r="CL35" s="92" t="e">
        <f t="shared" si="802"/>
        <v>#N/A</v>
      </c>
      <c r="CM35" s="92" t="e">
        <f t="shared" si="802"/>
        <v>#N/A</v>
      </c>
      <c r="CN35" s="88" t="e">
        <f t="shared" si="802"/>
        <v>#N/A</v>
      </c>
      <c r="CO35" s="92" t="e">
        <f t="shared" si="802"/>
        <v>#N/A</v>
      </c>
      <c r="CP35" s="92" t="e">
        <f t="shared" si="802"/>
        <v>#N/A</v>
      </c>
      <c r="CQ35" s="92" t="e">
        <f t="shared" si="802"/>
        <v>#N/A</v>
      </c>
      <c r="CR35" s="92" t="e">
        <f t="shared" si="802"/>
        <v>#N/A</v>
      </c>
      <c r="CS35" s="92" t="e">
        <f t="shared" si="802"/>
        <v>#N/A</v>
      </c>
      <c r="CT35" s="92" t="e">
        <f t="shared" si="802"/>
        <v>#N/A</v>
      </c>
      <c r="CU35" s="92" t="e">
        <f t="shared" si="802"/>
        <v>#N/A</v>
      </c>
      <c r="CV35" s="92" t="e">
        <f t="shared" si="802"/>
        <v>#N/A</v>
      </c>
      <c r="CW35" s="92" t="e">
        <f t="shared" si="802"/>
        <v>#N/A</v>
      </c>
      <c r="CX35" s="92" t="e">
        <f t="shared" si="802"/>
        <v>#N/A</v>
      </c>
      <c r="CY35" s="92" t="e">
        <f t="shared" si="802"/>
        <v>#N/A</v>
      </c>
      <c r="CZ35" s="92" t="e">
        <f t="shared" si="802"/>
        <v>#N/A</v>
      </c>
      <c r="DA35" s="88" t="e">
        <f t="shared" si="802"/>
        <v>#N/A</v>
      </c>
      <c r="DB35" s="92" t="e">
        <f t="shared" si="802"/>
        <v>#N/A</v>
      </c>
      <c r="DC35" s="92" t="e">
        <f t="shared" si="802"/>
        <v>#N/A</v>
      </c>
      <c r="DD35" s="92" t="e">
        <f t="shared" si="802"/>
        <v>#N/A</v>
      </c>
      <c r="DE35" s="92" t="e">
        <f t="shared" si="802"/>
        <v>#N/A</v>
      </c>
      <c r="DF35" s="92" t="e">
        <f t="shared" si="802"/>
        <v>#N/A</v>
      </c>
      <c r="DG35" s="92" t="e">
        <f t="shared" si="802"/>
        <v>#N/A</v>
      </c>
      <c r="DH35" s="92" t="e">
        <f t="shared" si="802"/>
        <v>#N/A</v>
      </c>
      <c r="DI35" s="92" t="e">
        <f t="shared" si="802"/>
        <v>#N/A</v>
      </c>
      <c r="DJ35" s="92" t="e">
        <f t="shared" si="802"/>
        <v>#N/A</v>
      </c>
      <c r="DK35" s="92" t="e">
        <f t="shared" si="802"/>
        <v>#N/A</v>
      </c>
      <c r="DL35" s="92" t="e">
        <f t="shared" si="802"/>
        <v>#N/A</v>
      </c>
      <c r="DM35" s="92" t="e">
        <f t="shared" si="802"/>
        <v>#N/A</v>
      </c>
      <c r="DN35" s="88" t="e">
        <f t="shared" si="802"/>
        <v>#N/A</v>
      </c>
      <c r="DO35" s="92" t="e">
        <f t="shared" si="802"/>
        <v>#N/A</v>
      </c>
      <c r="DP35" s="92" t="e">
        <f t="shared" si="802"/>
        <v>#N/A</v>
      </c>
      <c r="DQ35" s="92" t="e">
        <f t="shared" si="802"/>
        <v>#N/A</v>
      </c>
      <c r="DR35" s="92" t="e">
        <f t="shared" si="802"/>
        <v>#N/A</v>
      </c>
      <c r="DS35" s="92" t="e">
        <f t="shared" si="802"/>
        <v>#N/A</v>
      </c>
      <c r="DT35" s="92" t="e">
        <f t="shared" si="802"/>
        <v>#N/A</v>
      </c>
      <c r="DU35" s="92" t="e">
        <f t="shared" si="802"/>
        <v>#N/A</v>
      </c>
      <c r="DV35" s="92" t="e">
        <f t="shared" si="802"/>
        <v>#N/A</v>
      </c>
      <c r="DW35" s="92" t="e">
        <f t="shared" si="802"/>
        <v>#N/A</v>
      </c>
      <c r="DX35" s="92" t="e">
        <f t="shared" si="802"/>
        <v>#N/A</v>
      </c>
      <c r="DY35" s="92" t="e">
        <f t="shared" si="802"/>
        <v>#N/A</v>
      </c>
      <c r="DZ35" s="92" t="e">
        <f t="shared" si="802"/>
        <v>#N/A</v>
      </c>
      <c r="EA35" s="88" t="e">
        <f t="shared" ref="EA35:GL35" si="803">EA34/EA$18</f>
        <v>#N/A</v>
      </c>
      <c r="EB35" s="92" t="e">
        <f t="shared" si="803"/>
        <v>#N/A</v>
      </c>
      <c r="EC35" s="92" t="e">
        <f t="shared" si="803"/>
        <v>#N/A</v>
      </c>
      <c r="ED35" s="92" t="e">
        <f t="shared" si="803"/>
        <v>#N/A</v>
      </c>
      <c r="EE35" s="92" t="e">
        <f t="shared" si="803"/>
        <v>#N/A</v>
      </c>
      <c r="EF35" s="92" t="e">
        <f t="shared" si="803"/>
        <v>#N/A</v>
      </c>
      <c r="EG35" s="92" t="e">
        <f t="shared" si="803"/>
        <v>#N/A</v>
      </c>
      <c r="EH35" s="92" t="e">
        <f t="shared" si="803"/>
        <v>#N/A</v>
      </c>
      <c r="EI35" s="92" t="e">
        <f t="shared" si="803"/>
        <v>#N/A</v>
      </c>
      <c r="EJ35" s="92" t="e">
        <f t="shared" si="803"/>
        <v>#N/A</v>
      </c>
      <c r="EK35" s="92" t="e">
        <f t="shared" si="803"/>
        <v>#N/A</v>
      </c>
      <c r="EL35" s="92" t="e">
        <f t="shared" si="803"/>
        <v>#N/A</v>
      </c>
      <c r="EM35" s="92" t="e">
        <f t="shared" si="803"/>
        <v>#N/A</v>
      </c>
      <c r="EN35" s="88" t="e">
        <f t="shared" si="803"/>
        <v>#N/A</v>
      </c>
      <c r="EO35" s="92" t="e">
        <f t="shared" si="803"/>
        <v>#N/A</v>
      </c>
      <c r="EP35" s="92" t="e">
        <f t="shared" si="803"/>
        <v>#N/A</v>
      </c>
      <c r="EQ35" s="92" t="e">
        <f t="shared" si="803"/>
        <v>#N/A</v>
      </c>
      <c r="ER35" s="92" t="e">
        <f t="shared" si="803"/>
        <v>#N/A</v>
      </c>
      <c r="ES35" s="92" t="e">
        <f t="shared" si="803"/>
        <v>#N/A</v>
      </c>
      <c r="ET35" s="92" t="e">
        <f t="shared" si="803"/>
        <v>#N/A</v>
      </c>
      <c r="EU35" s="92" t="e">
        <f t="shared" si="803"/>
        <v>#N/A</v>
      </c>
      <c r="EV35" s="92" t="e">
        <f t="shared" si="803"/>
        <v>#N/A</v>
      </c>
      <c r="EW35" s="92" t="e">
        <f t="shared" si="803"/>
        <v>#N/A</v>
      </c>
      <c r="EX35" s="92" t="e">
        <f t="shared" si="803"/>
        <v>#N/A</v>
      </c>
      <c r="EY35" s="92" t="e">
        <f t="shared" si="803"/>
        <v>#N/A</v>
      </c>
      <c r="EZ35" s="92" t="e">
        <f t="shared" si="803"/>
        <v>#N/A</v>
      </c>
      <c r="FA35" s="88" t="e">
        <f t="shared" si="803"/>
        <v>#N/A</v>
      </c>
      <c r="FB35" s="92" t="e">
        <f t="shared" si="803"/>
        <v>#N/A</v>
      </c>
      <c r="FC35" s="92" t="e">
        <f t="shared" si="803"/>
        <v>#N/A</v>
      </c>
      <c r="FD35" s="92" t="e">
        <f t="shared" si="803"/>
        <v>#N/A</v>
      </c>
      <c r="FE35" s="92" t="e">
        <f t="shared" si="803"/>
        <v>#N/A</v>
      </c>
      <c r="FF35" s="92" t="e">
        <f t="shared" si="803"/>
        <v>#N/A</v>
      </c>
      <c r="FG35" s="92" t="e">
        <f t="shared" si="803"/>
        <v>#N/A</v>
      </c>
      <c r="FH35" s="92" t="e">
        <f t="shared" si="803"/>
        <v>#N/A</v>
      </c>
      <c r="FI35" s="92" t="e">
        <f t="shared" si="803"/>
        <v>#N/A</v>
      </c>
      <c r="FJ35" s="92" t="e">
        <f t="shared" si="803"/>
        <v>#N/A</v>
      </c>
      <c r="FK35" s="92" t="e">
        <f t="shared" si="803"/>
        <v>#N/A</v>
      </c>
      <c r="FL35" s="92" t="e">
        <f t="shared" si="803"/>
        <v>#N/A</v>
      </c>
      <c r="FM35" s="92" t="e">
        <f t="shared" si="803"/>
        <v>#N/A</v>
      </c>
      <c r="FN35" s="88" t="e">
        <f t="shared" si="803"/>
        <v>#N/A</v>
      </c>
      <c r="FO35" s="92" t="e">
        <f t="shared" si="803"/>
        <v>#N/A</v>
      </c>
      <c r="FP35" s="92" t="e">
        <f t="shared" si="803"/>
        <v>#N/A</v>
      </c>
      <c r="FQ35" s="92" t="e">
        <f t="shared" si="803"/>
        <v>#N/A</v>
      </c>
      <c r="FR35" s="92" t="e">
        <f t="shared" si="803"/>
        <v>#N/A</v>
      </c>
      <c r="FS35" s="92" t="e">
        <f t="shared" si="803"/>
        <v>#N/A</v>
      </c>
      <c r="FT35" s="92" t="e">
        <f t="shared" si="803"/>
        <v>#N/A</v>
      </c>
      <c r="FU35" s="92" t="e">
        <f t="shared" si="803"/>
        <v>#N/A</v>
      </c>
      <c r="FV35" s="92" t="e">
        <f t="shared" si="803"/>
        <v>#N/A</v>
      </c>
      <c r="FW35" s="92" t="e">
        <f t="shared" si="803"/>
        <v>#N/A</v>
      </c>
      <c r="FX35" s="92" t="e">
        <f t="shared" si="803"/>
        <v>#N/A</v>
      </c>
      <c r="FY35" s="92" t="e">
        <f t="shared" si="803"/>
        <v>#N/A</v>
      </c>
      <c r="FZ35" s="92" t="e">
        <f t="shared" si="803"/>
        <v>#N/A</v>
      </c>
      <c r="GA35" s="88" t="e">
        <f t="shared" si="803"/>
        <v>#N/A</v>
      </c>
      <c r="GB35" s="92" t="e">
        <f t="shared" si="803"/>
        <v>#N/A</v>
      </c>
      <c r="GC35" s="92" t="e">
        <f t="shared" si="803"/>
        <v>#N/A</v>
      </c>
      <c r="GD35" s="92" t="e">
        <f t="shared" si="803"/>
        <v>#N/A</v>
      </c>
      <c r="GE35" s="92" t="e">
        <f t="shared" si="803"/>
        <v>#N/A</v>
      </c>
      <c r="GF35" s="92" t="e">
        <f t="shared" si="803"/>
        <v>#N/A</v>
      </c>
      <c r="GG35" s="92" t="e">
        <f t="shared" si="803"/>
        <v>#N/A</v>
      </c>
      <c r="GH35" s="92" t="e">
        <f t="shared" si="803"/>
        <v>#N/A</v>
      </c>
      <c r="GI35" s="92" t="e">
        <f t="shared" si="803"/>
        <v>#N/A</v>
      </c>
      <c r="GJ35" s="92" t="e">
        <f t="shared" si="803"/>
        <v>#N/A</v>
      </c>
      <c r="GK35" s="92" t="e">
        <f t="shared" si="803"/>
        <v>#N/A</v>
      </c>
      <c r="GL35" s="92" t="e">
        <f t="shared" si="803"/>
        <v>#N/A</v>
      </c>
      <c r="GM35" s="92" t="e">
        <f t="shared" ref="GM35:IX35" si="804">GM34/GM$18</f>
        <v>#N/A</v>
      </c>
      <c r="GN35" s="88" t="e">
        <f t="shared" si="804"/>
        <v>#N/A</v>
      </c>
      <c r="GO35" s="92" t="e">
        <f t="shared" si="804"/>
        <v>#N/A</v>
      </c>
      <c r="GP35" s="92" t="e">
        <f t="shared" si="804"/>
        <v>#N/A</v>
      </c>
      <c r="GQ35" s="92" t="e">
        <f t="shared" si="804"/>
        <v>#N/A</v>
      </c>
      <c r="GR35" s="92" t="e">
        <f t="shared" si="804"/>
        <v>#N/A</v>
      </c>
      <c r="GS35" s="92" t="e">
        <f t="shared" si="804"/>
        <v>#N/A</v>
      </c>
      <c r="GT35" s="92" t="e">
        <f t="shared" si="804"/>
        <v>#N/A</v>
      </c>
      <c r="GU35" s="92" t="e">
        <f t="shared" si="804"/>
        <v>#N/A</v>
      </c>
      <c r="GV35" s="92" t="e">
        <f t="shared" si="804"/>
        <v>#N/A</v>
      </c>
      <c r="GW35" s="92" t="e">
        <f t="shared" si="804"/>
        <v>#N/A</v>
      </c>
      <c r="GX35" s="92" t="e">
        <f t="shared" si="804"/>
        <v>#N/A</v>
      </c>
      <c r="GY35" s="92" t="e">
        <f t="shared" si="804"/>
        <v>#N/A</v>
      </c>
      <c r="GZ35" s="92" t="e">
        <f t="shared" si="804"/>
        <v>#N/A</v>
      </c>
      <c r="HA35" s="88" t="e">
        <f t="shared" si="804"/>
        <v>#N/A</v>
      </c>
      <c r="HB35" s="92" t="e">
        <f t="shared" si="804"/>
        <v>#N/A</v>
      </c>
      <c r="HC35" s="92" t="e">
        <f t="shared" si="804"/>
        <v>#N/A</v>
      </c>
      <c r="HD35" s="92" t="e">
        <f t="shared" si="804"/>
        <v>#N/A</v>
      </c>
      <c r="HE35" s="92" t="e">
        <f t="shared" si="804"/>
        <v>#N/A</v>
      </c>
      <c r="HF35" s="92" t="e">
        <f t="shared" si="804"/>
        <v>#N/A</v>
      </c>
      <c r="HG35" s="92" t="e">
        <f t="shared" si="804"/>
        <v>#N/A</v>
      </c>
      <c r="HH35" s="92" t="e">
        <f t="shared" si="804"/>
        <v>#N/A</v>
      </c>
      <c r="HI35" s="92" t="e">
        <f t="shared" si="804"/>
        <v>#N/A</v>
      </c>
      <c r="HJ35" s="92" t="e">
        <f t="shared" si="804"/>
        <v>#N/A</v>
      </c>
      <c r="HK35" s="92" t="e">
        <f t="shared" si="804"/>
        <v>#N/A</v>
      </c>
      <c r="HL35" s="92" t="e">
        <f t="shared" si="804"/>
        <v>#N/A</v>
      </c>
      <c r="HM35" s="92" t="e">
        <f t="shared" si="804"/>
        <v>#N/A</v>
      </c>
      <c r="HN35" s="88" t="e">
        <f t="shared" si="804"/>
        <v>#N/A</v>
      </c>
      <c r="HO35" s="92" t="e">
        <f t="shared" si="804"/>
        <v>#N/A</v>
      </c>
      <c r="HP35" s="92" t="e">
        <f t="shared" si="804"/>
        <v>#N/A</v>
      </c>
      <c r="HQ35" s="92" t="e">
        <f t="shared" si="804"/>
        <v>#N/A</v>
      </c>
      <c r="HR35" s="92" t="e">
        <f t="shared" si="804"/>
        <v>#N/A</v>
      </c>
      <c r="HS35" s="92" t="e">
        <f t="shared" si="804"/>
        <v>#N/A</v>
      </c>
      <c r="HT35" s="92" t="e">
        <f t="shared" si="804"/>
        <v>#N/A</v>
      </c>
      <c r="HU35" s="92" t="e">
        <f t="shared" si="804"/>
        <v>#N/A</v>
      </c>
      <c r="HV35" s="92" t="e">
        <f t="shared" si="804"/>
        <v>#N/A</v>
      </c>
      <c r="HW35" s="92" t="e">
        <f t="shared" si="804"/>
        <v>#N/A</v>
      </c>
      <c r="HX35" s="92" t="e">
        <f t="shared" si="804"/>
        <v>#N/A</v>
      </c>
      <c r="HY35" s="92" t="e">
        <f t="shared" si="804"/>
        <v>#N/A</v>
      </c>
      <c r="HZ35" s="92" t="e">
        <f t="shared" si="804"/>
        <v>#N/A</v>
      </c>
      <c r="IA35" s="88" t="e">
        <f t="shared" si="804"/>
        <v>#N/A</v>
      </c>
      <c r="IB35" s="92" t="e">
        <f t="shared" si="804"/>
        <v>#N/A</v>
      </c>
      <c r="IC35" s="92" t="e">
        <f t="shared" si="804"/>
        <v>#N/A</v>
      </c>
      <c r="ID35" s="92" t="e">
        <f t="shared" si="804"/>
        <v>#N/A</v>
      </c>
      <c r="IE35" s="92" t="e">
        <f t="shared" si="804"/>
        <v>#N/A</v>
      </c>
      <c r="IF35" s="92" t="e">
        <f t="shared" si="804"/>
        <v>#N/A</v>
      </c>
      <c r="IG35" s="92" t="e">
        <f t="shared" si="804"/>
        <v>#N/A</v>
      </c>
      <c r="IH35" s="92" t="e">
        <f t="shared" si="804"/>
        <v>#N/A</v>
      </c>
      <c r="II35" s="92" t="e">
        <f t="shared" si="804"/>
        <v>#N/A</v>
      </c>
      <c r="IJ35" s="92" t="e">
        <f t="shared" si="804"/>
        <v>#N/A</v>
      </c>
      <c r="IK35" s="92" t="e">
        <f t="shared" si="804"/>
        <v>#N/A</v>
      </c>
      <c r="IL35" s="92" t="e">
        <f t="shared" si="804"/>
        <v>#N/A</v>
      </c>
      <c r="IM35" s="92" t="e">
        <f t="shared" si="804"/>
        <v>#N/A</v>
      </c>
      <c r="IN35" s="88" t="e">
        <f t="shared" si="804"/>
        <v>#N/A</v>
      </c>
      <c r="IO35" s="92" t="e">
        <f t="shared" si="804"/>
        <v>#N/A</v>
      </c>
      <c r="IP35" s="92" t="e">
        <f t="shared" si="804"/>
        <v>#N/A</v>
      </c>
      <c r="IQ35" s="92" t="e">
        <f t="shared" si="804"/>
        <v>#N/A</v>
      </c>
      <c r="IR35" s="92" t="e">
        <f t="shared" si="804"/>
        <v>#N/A</v>
      </c>
      <c r="IS35" s="92" t="e">
        <f t="shared" si="804"/>
        <v>#N/A</v>
      </c>
      <c r="IT35" s="92" t="e">
        <f t="shared" si="804"/>
        <v>#N/A</v>
      </c>
      <c r="IU35" s="92" t="e">
        <f t="shared" si="804"/>
        <v>#N/A</v>
      </c>
      <c r="IV35" s="92" t="e">
        <f t="shared" si="804"/>
        <v>#N/A</v>
      </c>
      <c r="IW35" s="92" t="e">
        <f t="shared" si="804"/>
        <v>#N/A</v>
      </c>
      <c r="IX35" s="92" t="e">
        <f t="shared" si="804"/>
        <v>#N/A</v>
      </c>
      <c r="IY35" s="92" t="e">
        <f t="shared" ref="IY35:LJ35" si="805">IY34/IY$18</f>
        <v>#N/A</v>
      </c>
      <c r="IZ35" s="92" t="e">
        <f t="shared" si="805"/>
        <v>#N/A</v>
      </c>
      <c r="JA35" s="88" t="e">
        <f t="shared" si="805"/>
        <v>#N/A</v>
      </c>
      <c r="JB35" s="92" t="e">
        <f t="shared" si="805"/>
        <v>#N/A</v>
      </c>
      <c r="JC35" s="92" t="e">
        <f t="shared" si="805"/>
        <v>#N/A</v>
      </c>
      <c r="JD35" s="92" t="e">
        <f t="shared" si="805"/>
        <v>#N/A</v>
      </c>
      <c r="JE35" s="92" t="e">
        <f t="shared" si="805"/>
        <v>#N/A</v>
      </c>
      <c r="JF35" s="92" t="e">
        <f t="shared" si="805"/>
        <v>#N/A</v>
      </c>
      <c r="JG35" s="92" t="e">
        <f t="shared" si="805"/>
        <v>#N/A</v>
      </c>
      <c r="JH35" s="92" t="e">
        <f t="shared" si="805"/>
        <v>#N/A</v>
      </c>
      <c r="JI35" s="92" t="e">
        <f t="shared" si="805"/>
        <v>#N/A</v>
      </c>
      <c r="JJ35" s="92" t="e">
        <f t="shared" si="805"/>
        <v>#N/A</v>
      </c>
      <c r="JK35" s="92" t="e">
        <f t="shared" si="805"/>
        <v>#N/A</v>
      </c>
      <c r="JL35" s="92" t="e">
        <f t="shared" si="805"/>
        <v>#N/A</v>
      </c>
      <c r="JM35" s="92" t="e">
        <f t="shared" si="805"/>
        <v>#N/A</v>
      </c>
      <c r="JN35" s="88" t="e">
        <f t="shared" si="805"/>
        <v>#N/A</v>
      </c>
      <c r="JO35" s="92" t="e">
        <f t="shared" si="805"/>
        <v>#N/A</v>
      </c>
      <c r="JP35" s="92" t="e">
        <f t="shared" si="805"/>
        <v>#N/A</v>
      </c>
      <c r="JQ35" s="92" t="e">
        <f t="shared" si="805"/>
        <v>#N/A</v>
      </c>
      <c r="JR35" s="92" t="e">
        <f t="shared" si="805"/>
        <v>#N/A</v>
      </c>
      <c r="JS35" s="92" t="e">
        <f t="shared" si="805"/>
        <v>#N/A</v>
      </c>
      <c r="JT35" s="92" t="e">
        <f t="shared" si="805"/>
        <v>#N/A</v>
      </c>
      <c r="JU35" s="92" t="e">
        <f t="shared" si="805"/>
        <v>#N/A</v>
      </c>
      <c r="JV35" s="92" t="e">
        <f t="shared" si="805"/>
        <v>#N/A</v>
      </c>
      <c r="JW35" s="92" t="e">
        <f t="shared" si="805"/>
        <v>#N/A</v>
      </c>
      <c r="JX35" s="92" t="e">
        <f t="shared" si="805"/>
        <v>#N/A</v>
      </c>
      <c r="JY35" s="92" t="e">
        <f t="shared" si="805"/>
        <v>#N/A</v>
      </c>
      <c r="JZ35" s="92" t="e">
        <f t="shared" si="805"/>
        <v>#N/A</v>
      </c>
      <c r="KA35" s="88" t="e">
        <f t="shared" si="805"/>
        <v>#N/A</v>
      </c>
      <c r="KB35" s="92" t="e">
        <f t="shared" si="805"/>
        <v>#N/A</v>
      </c>
      <c r="KC35" s="92" t="e">
        <f t="shared" si="805"/>
        <v>#N/A</v>
      </c>
      <c r="KD35" s="92" t="e">
        <f t="shared" si="805"/>
        <v>#N/A</v>
      </c>
      <c r="KE35" s="92" t="e">
        <f t="shared" si="805"/>
        <v>#N/A</v>
      </c>
      <c r="KF35" s="92" t="e">
        <f t="shared" si="805"/>
        <v>#N/A</v>
      </c>
      <c r="KG35" s="92" t="e">
        <f t="shared" si="805"/>
        <v>#N/A</v>
      </c>
      <c r="KH35" s="92" t="e">
        <f t="shared" si="805"/>
        <v>#N/A</v>
      </c>
      <c r="KI35" s="92" t="e">
        <f t="shared" si="805"/>
        <v>#N/A</v>
      </c>
      <c r="KJ35" s="92" t="e">
        <f t="shared" si="805"/>
        <v>#N/A</v>
      </c>
      <c r="KK35" s="92" t="e">
        <f t="shared" si="805"/>
        <v>#N/A</v>
      </c>
      <c r="KL35" s="92" t="e">
        <f t="shared" si="805"/>
        <v>#N/A</v>
      </c>
      <c r="KM35" s="92" t="e">
        <f t="shared" si="805"/>
        <v>#N/A</v>
      </c>
      <c r="KN35" s="88" t="e">
        <f t="shared" si="805"/>
        <v>#N/A</v>
      </c>
      <c r="KO35" s="92" t="e">
        <f t="shared" si="805"/>
        <v>#N/A</v>
      </c>
      <c r="KP35" s="92" t="e">
        <f t="shared" si="805"/>
        <v>#N/A</v>
      </c>
      <c r="KQ35" s="92" t="e">
        <f t="shared" si="805"/>
        <v>#N/A</v>
      </c>
      <c r="KR35" s="92" t="e">
        <f t="shared" si="805"/>
        <v>#N/A</v>
      </c>
      <c r="KS35" s="92" t="e">
        <f t="shared" si="805"/>
        <v>#N/A</v>
      </c>
      <c r="KT35" s="92" t="e">
        <f t="shared" si="805"/>
        <v>#N/A</v>
      </c>
      <c r="KU35" s="92" t="e">
        <f t="shared" si="805"/>
        <v>#N/A</v>
      </c>
      <c r="KV35" s="92" t="e">
        <f t="shared" si="805"/>
        <v>#N/A</v>
      </c>
      <c r="KW35" s="92" t="e">
        <f t="shared" si="805"/>
        <v>#N/A</v>
      </c>
      <c r="KX35" s="92" t="e">
        <f t="shared" si="805"/>
        <v>#N/A</v>
      </c>
      <c r="KY35" s="92" t="e">
        <f t="shared" si="805"/>
        <v>#N/A</v>
      </c>
      <c r="KZ35" s="92" t="e">
        <f t="shared" si="805"/>
        <v>#N/A</v>
      </c>
      <c r="LA35" s="88" t="e">
        <f t="shared" si="805"/>
        <v>#N/A</v>
      </c>
      <c r="LB35" s="92" t="e">
        <f t="shared" si="805"/>
        <v>#N/A</v>
      </c>
      <c r="LC35" s="92" t="e">
        <f t="shared" si="805"/>
        <v>#N/A</v>
      </c>
      <c r="LD35" s="92" t="e">
        <f t="shared" si="805"/>
        <v>#N/A</v>
      </c>
      <c r="LE35" s="92" t="e">
        <f t="shared" si="805"/>
        <v>#N/A</v>
      </c>
      <c r="LF35" s="92" t="e">
        <f t="shared" si="805"/>
        <v>#N/A</v>
      </c>
      <c r="LG35" s="92" t="e">
        <f t="shared" si="805"/>
        <v>#N/A</v>
      </c>
      <c r="LH35" s="92" t="e">
        <f t="shared" si="805"/>
        <v>#N/A</v>
      </c>
      <c r="LI35" s="92" t="e">
        <f t="shared" si="805"/>
        <v>#N/A</v>
      </c>
      <c r="LJ35" s="92" t="e">
        <f t="shared" si="805"/>
        <v>#N/A</v>
      </c>
      <c r="LK35" s="92" t="e">
        <f t="shared" ref="LK35:NV35" si="806">LK34/LK$18</f>
        <v>#N/A</v>
      </c>
      <c r="LL35" s="92" t="e">
        <f t="shared" si="806"/>
        <v>#N/A</v>
      </c>
      <c r="LM35" s="92" t="e">
        <f t="shared" si="806"/>
        <v>#N/A</v>
      </c>
      <c r="LN35" s="88" t="e">
        <f t="shared" si="806"/>
        <v>#N/A</v>
      </c>
      <c r="LO35" s="92" t="e">
        <f t="shared" si="806"/>
        <v>#N/A</v>
      </c>
      <c r="LP35" s="92" t="e">
        <f t="shared" si="806"/>
        <v>#N/A</v>
      </c>
      <c r="LQ35" s="92" t="e">
        <f t="shared" si="806"/>
        <v>#N/A</v>
      </c>
      <c r="LR35" s="92" t="e">
        <f t="shared" si="806"/>
        <v>#N/A</v>
      </c>
      <c r="LS35" s="92" t="e">
        <f t="shared" si="806"/>
        <v>#N/A</v>
      </c>
      <c r="LT35" s="92" t="e">
        <f t="shared" si="806"/>
        <v>#N/A</v>
      </c>
      <c r="LU35" s="92" t="e">
        <f t="shared" si="806"/>
        <v>#N/A</v>
      </c>
      <c r="LV35" s="92" t="e">
        <f t="shared" si="806"/>
        <v>#N/A</v>
      </c>
      <c r="LW35" s="92" t="e">
        <f t="shared" si="806"/>
        <v>#N/A</v>
      </c>
      <c r="LX35" s="92" t="e">
        <f t="shared" si="806"/>
        <v>#N/A</v>
      </c>
      <c r="LY35" s="92" t="e">
        <f t="shared" si="806"/>
        <v>#N/A</v>
      </c>
      <c r="LZ35" s="92" t="e">
        <f t="shared" si="806"/>
        <v>#N/A</v>
      </c>
      <c r="MA35" s="88" t="e">
        <f t="shared" si="806"/>
        <v>#N/A</v>
      </c>
      <c r="MB35" s="92" t="e">
        <f t="shared" si="806"/>
        <v>#N/A</v>
      </c>
      <c r="MC35" s="92" t="e">
        <f t="shared" si="806"/>
        <v>#N/A</v>
      </c>
      <c r="MD35" s="92" t="e">
        <f t="shared" si="806"/>
        <v>#N/A</v>
      </c>
      <c r="ME35" s="92" t="e">
        <f t="shared" si="806"/>
        <v>#N/A</v>
      </c>
      <c r="MF35" s="92" t="e">
        <f t="shared" si="806"/>
        <v>#N/A</v>
      </c>
      <c r="MG35" s="92" t="e">
        <f t="shared" si="806"/>
        <v>#N/A</v>
      </c>
      <c r="MH35" s="92" t="e">
        <f t="shared" si="806"/>
        <v>#N/A</v>
      </c>
      <c r="MI35" s="92" t="e">
        <f t="shared" si="806"/>
        <v>#N/A</v>
      </c>
      <c r="MJ35" s="92" t="e">
        <f t="shared" si="806"/>
        <v>#N/A</v>
      </c>
      <c r="MK35" s="92" t="e">
        <f t="shared" si="806"/>
        <v>#N/A</v>
      </c>
      <c r="ML35" s="92" t="e">
        <f t="shared" si="806"/>
        <v>#N/A</v>
      </c>
      <c r="MM35" s="92" t="e">
        <f t="shared" si="806"/>
        <v>#N/A</v>
      </c>
      <c r="MN35" s="88" t="e">
        <f t="shared" si="806"/>
        <v>#N/A</v>
      </c>
      <c r="MO35" s="92" t="e">
        <f t="shared" si="806"/>
        <v>#N/A</v>
      </c>
      <c r="MP35" s="92" t="e">
        <f t="shared" si="806"/>
        <v>#N/A</v>
      </c>
      <c r="MQ35" s="92" t="e">
        <f t="shared" si="806"/>
        <v>#N/A</v>
      </c>
      <c r="MR35" s="92" t="e">
        <f t="shared" si="806"/>
        <v>#N/A</v>
      </c>
      <c r="MS35" s="92" t="e">
        <f t="shared" si="806"/>
        <v>#N/A</v>
      </c>
      <c r="MT35" s="92" t="e">
        <f t="shared" si="806"/>
        <v>#N/A</v>
      </c>
      <c r="MU35" s="92" t="e">
        <f t="shared" si="806"/>
        <v>#N/A</v>
      </c>
      <c r="MV35" s="92" t="e">
        <f t="shared" si="806"/>
        <v>#N/A</v>
      </c>
      <c r="MW35" s="92" t="e">
        <f t="shared" si="806"/>
        <v>#N/A</v>
      </c>
      <c r="MX35" s="92" t="e">
        <f t="shared" si="806"/>
        <v>#N/A</v>
      </c>
      <c r="MY35" s="92" t="e">
        <f t="shared" si="806"/>
        <v>#N/A</v>
      </c>
      <c r="MZ35" s="92" t="e">
        <f t="shared" si="806"/>
        <v>#N/A</v>
      </c>
      <c r="NA35" s="88" t="e">
        <f t="shared" si="806"/>
        <v>#N/A</v>
      </c>
      <c r="NB35" s="92" t="e">
        <f t="shared" si="806"/>
        <v>#N/A</v>
      </c>
      <c r="NC35" s="92" t="e">
        <f t="shared" si="806"/>
        <v>#N/A</v>
      </c>
      <c r="ND35" s="92" t="e">
        <f t="shared" si="806"/>
        <v>#N/A</v>
      </c>
      <c r="NE35" s="92" t="e">
        <f t="shared" si="806"/>
        <v>#N/A</v>
      </c>
      <c r="NF35" s="92" t="e">
        <f t="shared" si="806"/>
        <v>#N/A</v>
      </c>
      <c r="NG35" s="92" t="e">
        <f t="shared" si="806"/>
        <v>#N/A</v>
      </c>
      <c r="NH35" s="92" t="e">
        <f t="shared" si="806"/>
        <v>#N/A</v>
      </c>
      <c r="NI35" s="92" t="e">
        <f t="shared" si="806"/>
        <v>#N/A</v>
      </c>
      <c r="NJ35" s="92" t="e">
        <f t="shared" si="806"/>
        <v>#N/A</v>
      </c>
      <c r="NK35" s="92" t="e">
        <f t="shared" si="806"/>
        <v>#N/A</v>
      </c>
      <c r="NL35" s="92" t="e">
        <f t="shared" si="806"/>
        <v>#N/A</v>
      </c>
      <c r="NM35" s="92" t="e">
        <f t="shared" si="806"/>
        <v>#N/A</v>
      </c>
      <c r="NN35" s="88" t="e">
        <f t="shared" si="806"/>
        <v>#N/A</v>
      </c>
      <c r="NO35" s="92" t="e">
        <f t="shared" si="806"/>
        <v>#N/A</v>
      </c>
      <c r="NP35" s="92" t="e">
        <f t="shared" si="806"/>
        <v>#N/A</v>
      </c>
      <c r="NQ35" s="92" t="e">
        <f t="shared" si="806"/>
        <v>#N/A</v>
      </c>
      <c r="NR35" s="92" t="e">
        <f t="shared" si="806"/>
        <v>#N/A</v>
      </c>
      <c r="NS35" s="92" t="e">
        <f t="shared" si="806"/>
        <v>#N/A</v>
      </c>
      <c r="NT35" s="92" t="e">
        <f t="shared" si="806"/>
        <v>#N/A</v>
      </c>
      <c r="NU35" s="92" t="e">
        <f t="shared" si="806"/>
        <v>#N/A</v>
      </c>
      <c r="NV35" s="92" t="e">
        <f t="shared" si="806"/>
        <v>#N/A</v>
      </c>
      <c r="NW35" s="92" t="e">
        <f t="shared" ref="NW35:QH35" si="807">NW34/NW$18</f>
        <v>#N/A</v>
      </c>
      <c r="NX35" s="92" t="e">
        <f t="shared" si="807"/>
        <v>#N/A</v>
      </c>
      <c r="NY35" s="92" t="e">
        <f t="shared" si="807"/>
        <v>#N/A</v>
      </c>
      <c r="NZ35" s="92" t="e">
        <f t="shared" si="807"/>
        <v>#N/A</v>
      </c>
      <c r="OA35" s="88" t="e">
        <f t="shared" si="807"/>
        <v>#N/A</v>
      </c>
      <c r="OB35" s="92" t="e">
        <f t="shared" si="807"/>
        <v>#N/A</v>
      </c>
      <c r="OC35" s="92" t="e">
        <f t="shared" si="807"/>
        <v>#N/A</v>
      </c>
      <c r="OD35" s="92" t="e">
        <f t="shared" si="807"/>
        <v>#N/A</v>
      </c>
      <c r="OE35" s="92" t="e">
        <f t="shared" si="807"/>
        <v>#N/A</v>
      </c>
      <c r="OF35" s="92" t="e">
        <f t="shared" si="807"/>
        <v>#N/A</v>
      </c>
      <c r="OG35" s="92" t="e">
        <f t="shared" si="807"/>
        <v>#N/A</v>
      </c>
      <c r="OH35" s="92" t="e">
        <f t="shared" si="807"/>
        <v>#N/A</v>
      </c>
      <c r="OI35" s="92" t="e">
        <f t="shared" si="807"/>
        <v>#N/A</v>
      </c>
      <c r="OJ35" s="92" t="e">
        <f t="shared" si="807"/>
        <v>#N/A</v>
      </c>
      <c r="OK35" s="92" t="e">
        <f t="shared" si="807"/>
        <v>#N/A</v>
      </c>
      <c r="OL35" s="92" t="e">
        <f t="shared" si="807"/>
        <v>#N/A</v>
      </c>
      <c r="OM35" s="92" t="e">
        <f t="shared" si="807"/>
        <v>#N/A</v>
      </c>
      <c r="ON35" s="88" t="e">
        <f t="shared" si="807"/>
        <v>#N/A</v>
      </c>
      <c r="OO35" s="92" t="e">
        <f t="shared" si="807"/>
        <v>#N/A</v>
      </c>
      <c r="OP35" s="92" t="e">
        <f t="shared" si="807"/>
        <v>#N/A</v>
      </c>
      <c r="OQ35" s="92" t="e">
        <f t="shared" si="807"/>
        <v>#N/A</v>
      </c>
      <c r="OR35" s="92" t="e">
        <f t="shared" si="807"/>
        <v>#N/A</v>
      </c>
      <c r="OS35" s="92" t="e">
        <f t="shared" si="807"/>
        <v>#N/A</v>
      </c>
      <c r="OT35" s="92" t="e">
        <f t="shared" si="807"/>
        <v>#N/A</v>
      </c>
      <c r="OU35" s="92" t="e">
        <f t="shared" si="807"/>
        <v>#N/A</v>
      </c>
      <c r="OV35" s="92" t="e">
        <f t="shared" si="807"/>
        <v>#N/A</v>
      </c>
      <c r="OW35" s="92" t="e">
        <f t="shared" si="807"/>
        <v>#N/A</v>
      </c>
      <c r="OX35" s="92" t="e">
        <f t="shared" si="807"/>
        <v>#N/A</v>
      </c>
      <c r="OY35" s="92" t="e">
        <f t="shared" si="807"/>
        <v>#N/A</v>
      </c>
      <c r="OZ35" s="92" t="e">
        <f t="shared" si="807"/>
        <v>#N/A</v>
      </c>
      <c r="PA35" s="88" t="e">
        <f t="shared" si="807"/>
        <v>#N/A</v>
      </c>
      <c r="PB35" s="92" t="e">
        <f t="shared" si="807"/>
        <v>#N/A</v>
      </c>
      <c r="PC35" s="92" t="e">
        <f t="shared" si="807"/>
        <v>#N/A</v>
      </c>
      <c r="PD35" s="92" t="e">
        <f t="shared" si="807"/>
        <v>#N/A</v>
      </c>
      <c r="PE35" s="92" t="e">
        <f t="shared" si="807"/>
        <v>#N/A</v>
      </c>
      <c r="PF35" s="92" t="e">
        <f t="shared" si="807"/>
        <v>#N/A</v>
      </c>
      <c r="PG35" s="92" t="e">
        <f t="shared" si="807"/>
        <v>#N/A</v>
      </c>
      <c r="PH35" s="92" t="e">
        <f t="shared" si="807"/>
        <v>#N/A</v>
      </c>
      <c r="PI35" s="92" t="e">
        <f t="shared" si="807"/>
        <v>#N/A</v>
      </c>
      <c r="PJ35" s="92" t="e">
        <f t="shared" si="807"/>
        <v>#N/A</v>
      </c>
      <c r="PK35" s="92" t="e">
        <f t="shared" si="807"/>
        <v>#N/A</v>
      </c>
      <c r="PL35" s="92" t="e">
        <f t="shared" si="807"/>
        <v>#N/A</v>
      </c>
      <c r="PM35" s="92" t="e">
        <f t="shared" si="807"/>
        <v>#N/A</v>
      </c>
      <c r="PN35" s="88" t="e">
        <f t="shared" si="807"/>
        <v>#N/A</v>
      </c>
      <c r="PO35" s="92" t="e">
        <f t="shared" si="807"/>
        <v>#N/A</v>
      </c>
      <c r="PP35" s="92" t="e">
        <f t="shared" si="807"/>
        <v>#N/A</v>
      </c>
      <c r="PQ35" s="92" t="e">
        <f t="shared" si="807"/>
        <v>#N/A</v>
      </c>
      <c r="PR35" s="92" t="e">
        <f t="shared" si="807"/>
        <v>#N/A</v>
      </c>
      <c r="PS35" s="92" t="e">
        <f t="shared" si="807"/>
        <v>#N/A</v>
      </c>
      <c r="PT35" s="92" t="e">
        <f t="shared" si="807"/>
        <v>#N/A</v>
      </c>
      <c r="PU35" s="92" t="e">
        <f t="shared" si="807"/>
        <v>#N/A</v>
      </c>
      <c r="PV35" s="92" t="e">
        <f t="shared" si="807"/>
        <v>#N/A</v>
      </c>
      <c r="PW35" s="92" t="e">
        <f t="shared" si="807"/>
        <v>#N/A</v>
      </c>
      <c r="PX35" s="92" t="e">
        <f t="shared" si="807"/>
        <v>#N/A</v>
      </c>
      <c r="PY35" s="92" t="e">
        <f t="shared" si="807"/>
        <v>#N/A</v>
      </c>
      <c r="PZ35" s="92" t="e">
        <f t="shared" si="807"/>
        <v>#N/A</v>
      </c>
      <c r="QA35" s="88" t="e">
        <f t="shared" si="807"/>
        <v>#N/A</v>
      </c>
      <c r="QB35" s="92" t="e">
        <f t="shared" si="807"/>
        <v>#N/A</v>
      </c>
      <c r="QC35" s="92" t="e">
        <f t="shared" si="807"/>
        <v>#N/A</v>
      </c>
      <c r="QD35" s="92" t="e">
        <f t="shared" si="807"/>
        <v>#N/A</v>
      </c>
      <c r="QE35" s="92" t="e">
        <f t="shared" si="807"/>
        <v>#N/A</v>
      </c>
      <c r="QF35" s="92" t="e">
        <f t="shared" si="807"/>
        <v>#N/A</v>
      </c>
      <c r="QG35" s="92" t="e">
        <f t="shared" si="807"/>
        <v>#N/A</v>
      </c>
      <c r="QH35" s="92" t="e">
        <f t="shared" si="807"/>
        <v>#N/A</v>
      </c>
      <c r="QI35" s="92" t="e">
        <f t="shared" ref="QI35:RN35" si="808">QI34/QI$18</f>
        <v>#N/A</v>
      </c>
      <c r="QJ35" s="92" t="e">
        <f t="shared" si="808"/>
        <v>#N/A</v>
      </c>
      <c r="QK35" s="92" t="e">
        <f t="shared" si="808"/>
        <v>#N/A</v>
      </c>
      <c r="QL35" s="92" t="e">
        <f t="shared" si="808"/>
        <v>#N/A</v>
      </c>
      <c r="QM35" s="92" t="e">
        <f t="shared" si="808"/>
        <v>#N/A</v>
      </c>
      <c r="QN35" s="88" t="e">
        <f t="shared" si="808"/>
        <v>#N/A</v>
      </c>
      <c r="QO35" s="92" t="e">
        <f t="shared" si="808"/>
        <v>#N/A</v>
      </c>
      <c r="QP35" s="92" t="e">
        <f t="shared" si="808"/>
        <v>#N/A</v>
      </c>
      <c r="QQ35" s="92" t="e">
        <f t="shared" si="808"/>
        <v>#N/A</v>
      </c>
      <c r="QR35" s="92" t="e">
        <f t="shared" si="808"/>
        <v>#N/A</v>
      </c>
      <c r="QS35" s="92" t="e">
        <f t="shared" si="808"/>
        <v>#N/A</v>
      </c>
      <c r="QT35" s="92" t="e">
        <f t="shared" si="808"/>
        <v>#N/A</v>
      </c>
      <c r="QU35" s="92" t="e">
        <f t="shared" si="808"/>
        <v>#N/A</v>
      </c>
      <c r="QV35" s="92" t="e">
        <f t="shared" si="808"/>
        <v>#N/A</v>
      </c>
      <c r="QW35" s="92" t="e">
        <f t="shared" si="808"/>
        <v>#N/A</v>
      </c>
      <c r="QX35" s="92" t="e">
        <f t="shared" si="808"/>
        <v>#N/A</v>
      </c>
      <c r="QY35" s="92" t="e">
        <f t="shared" si="808"/>
        <v>#N/A</v>
      </c>
      <c r="QZ35" s="92" t="e">
        <f t="shared" si="808"/>
        <v>#N/A</v>
      </c>
      <c r="RA35" s="88" t="e">
        <f t="shared" si="808"/>
        <v>#N/A</v>
      </c>
      <c r="RB35" s="92" t="e">
        <f t="shared" si="808"/>
        <v>#N/A</v>
      </c>
      <c r="RC35" s="92" t="e">
        <f t="shared" si="808"/>
        <v>#N/A</v>
      </c>
      <c r="RD35" s="92" t="e">
        <f t="shared" si="808"/>
        <v>#N/A</v>
      </c>
      <c r="RE35" s="92" t="e">
        <f t="shared" si="808"/>
        <v>#N/A</v>
      </c>
      <c r="RF35" s="92" t="e">
        <f t="shared" si="808"/>
        <v>#N/A</v>
      </c>
      <c r="RG35" s="92" t="e">
        <f t="shared" si="808"/>
        <v>#N/A</v>
      </c>
      <c r="RH35" s="92" t="e">
        <f t="shared" si="808"/>
        <v>#N/A</v>
      </c>
      <c r="RI35" s="92" t="e">
        <f t="shared" si="808"/>
        <v>#N/A</v>
      </c>
      <c r="RJ35" s="92" t="e">
        <f t="shared" si="808"/>
        <v>#N/A</v>
      </c>
      <c r="RK35" s="92" t="e">
        <f t="shared" si="808"/>
        <v>#N/A</v>
      </c>
      <c r="RL35" s="92" t="e">
        <f t="shared" si="808"/>
        <v>#N/A</v>
      </c>
      <c r="RM35" s="92" t="e">
        <f t="shared" si="808"/>
        <v>#N/A</v>
      </c>
      <c r="RN35" s="88" t="e">
        <f t="shared" si="808"/>
        <v>#N/A</v>
      </c>
    </row>
    <row r="36" spans="1:482" hidden="1" outlineLevel="1" x14ac:dyDescent="0.3">
      <c r="AA36" s="93"/>
      <c r="AN36" s="93"/>
      <c r="BA36" s="93"/>
      <c r="BN36" s="93"/>
      <c r="CA36" s="93"/>
      <c r="CN36" s="93"/>
      <c r="DA36" s="93"/>
      <c r="DN36" s="93"/>
      <c r="EA36" s="93"/>
      <c r="EN36" s="93"/>
      <c r="FA36" s="93"/>
      <c r="FN36" s="93"/>
      <c r="GA36" s="93"/>
      <c r="GN36" s="93"/>
      <c r="HA36" s="93"/>
      <c r="HN36" s="93"/>
      <c r="IA36" s="93"/>
      <c r="IN36" s="93"/>
      <c r="JA36" s="93"/>
      <c r="JN36" s="93"/>
      <c r="KA36" s="93"/>
      <c r="KN36" s="93"/>
      <c r="LA36" s="93"/>
      <c r="LN36" s="93"/>
      <c r="MA36" s="93"/>
      <c r="MN36" s="93"/>
      <c r="NA36" s="93"/>
      <c r="NN36" s="93"/>
      <c r="OA36" s="93"/>
      <c r="ON36" s="93"/>
      <c r="PA36" s="93"/>
      <c r="PN36" s="93"/>
      <c r="QA36" s="93"/>
      <c r="QN36" s="93"/>
      <c r="RA36" s="93"/>
      <c r="RN36" s="93"/>
    </row>
    <row r="37" spans="1:482" hidden="1" outlineLevel="1" x14ac:dyDescent="0.3">
      <c r="A37" s="89" t="s">
        <v>254</v>
      </c>
      <c r="B37" s="86" t="e">
        <f>VLOOKUP(B$1,Amort!$B:$K,3,0)</f>
        <v>#N/A</v>
      </c>
      <c r="C37" s="86" t="e">
        <f>VLOOKUP(C$1,Amort!$B:$K,3,0)</f>
        <v>#N/A</v>
      </c>
      <c r="D37" s="86" t="e">
        <f>VLOOKUP(D$1,Amort!$B:$K,3,0)</f>
        <v>#N/A</v>
      </c>
      <c r="E37" s="86" t="e">
        <f>VLOOKUP(E$1,Amort!$B:$K,3,0)</f>
        <v>#N/A</v>
      </c>
      <c r="F37" s="86" t="e">
        <f>VLOOKUP(F$1,Amort!$B:$K,3,0)</f>
        <v>#N/A</v>
      </c>
      <c r="G37" s="86" t="e">
        <f>VLOOKUP(G$1,Amort!$B:$K,3,0)</f>
        <v>#N/A</v>
      </c>
      <c r="H37" s="86" t="e">
        <f>VLOOKUP(H$1,Amort!$B:$K,3,0)</f>
        <v>#N/A</v>
      </c>
      <c r="I37" s="86" t="e">
        <f>VLOOKUP(I$1,Amort!$B:$K,3,0)</f>
        <v>#N/A</v>
      </c>
      <c r="J37" s="86" t="e">
        <f>VLOOKUP(J$1,Amort!$B:$K,3,0)</f>
        <v>#N/A</v>
      </c>
      <c r="K37" s="86" t="e">
        <f>VLOOKUP(K$1,Amort!$B:$K,3,0)</f>
        <v>#N/A</v>
      </c>
      <c r="L37" s="86" t="e">
        <f>VLOOKUP(L$1,Amort!$B:$K,3,0)</f>
        <v>#N/A</v>
      </c>
      <c r="M37" s="86" t="e">
        <f>VLOOKUP(M$1,Amort!$B:$K,3,0)</f>
        <v>#N/A</v>
      </c>
      <c r="N37" s="87" t="e">
        <f t="shared" ref="N37:N39" si="809">SUM(B37:M37)</f>
        <v>#N/A</v>
      </c>
      <c r="O37" s="86" t="e">
        <f>VLOOKUP(O$1,Amort!$B:$K,3,0)</f>
        <v>#N/A</v>
      </c>
      <c r="P37" s="86" t="e">
        <f>VLOOKUP(P$1,Amort!$B:$K,3,0)</f>
        <v>#N/A</v>
      </c>
      <c r="Q37" s="86" t="e">
        <f>VLOOKUP(Q$1,Amort!$B:$K,3,0)</f>
        <v>#N/A</v>
      </c>
      <c r="R37" s="86" t="e">
        <f>VLOOKUP(R$1,Amort!$B:$K,3,0)</f>
        <v>#N/A</v>
      </c>
      <c r="S37" s="86" t="e">
        <f>VLOOKUP(S$1,Amort!$B:$K,3,0)</f>
        <v>#N/A</v>
      </c>
      <c r="T37" s="86" t="e">
        <f>VLOOKUP(T$1,Amort!$B:$K,3,0)</f>
        <v>#N/A</v>
      </c>
      <c r="U37" s="86" t="e">
        <f>VLOOKUP(U$1,Amort!$B:$K,3,0)</f>
        <v>#N/A</v>
      </c>
      <c r="V37" s="86" t="e">
        <f>VLOOKUP(V$1,Amort!$B:$K,3,0)</f>
        <v>#N/A</v>
      </c>
      <c r="W37" s="86" t="e">
        <f>VLOOKUP(W$1,Amort!$B:$K,3,0)</f>
        <v>#N/A</v>
      </c>
      <c r="X37" s="86" t="e">
        <f>VLOOKUP(X$1,Amort!$B:$K,3,0)</f>
        <v>#N/A</v>
      </c>
      <c r="Y37" s="86" t="e">
        <f>VLOOKUP(Y$1,Amort!$B:$K,3,0)</f>
        <v>#N/A</v>
      </c>
      <c r="Z37" s="86" t="e">
        <f>VLOOKUP(Z$1,Amort!$B:$K,3,0)</f>
        <v>#N/A</v>
      </c>
      <c r="AA37" s="87" t="e">
        <f t="shared" ref="AA37:AA39" si="810">SUM(O37:Z37)</f>
        <v>#N/A</v>
      </c>
      <c r="AB37" s="86" t="e">
        <f>VLOOKUP(AB$1,Amort!$B:$K,3,0)</f>
        <v>#N/A</v>
      </c>
      <c r="AC37" s="86" t="e">
        <f>VLOOKUP(AC$1,Amort!$B:$K,3,0)</f>
        <v>#N/A</v>
      </c>
      <c r="AD37" s="86" t="e">
        <f>VLOOKUP(AD$1,Amort!$B:$K,3,0)</f>
        <v>#N/A</v>
      </c>
      <c r="AE37" s="86" t="e">
        <f>VLOOKUP(AE$1,Amort!$B:$K,3,0)</f>
        <v>#N/A</v>
      </c>
      <c r="AF37" s="86" t="e">
        <f>VLOOKUP(AF$1,Amort!$B:$K,3,0)</f>
        <v>#N/A</v>
      </c>
      <c r="AG37" s="86" t="e">
        <f>VLOOKUP(AG$1,Amort!$B:$K,3,0)</f>
        <v>#N/A</v>
      </c>
      <c r="AH37" s="86" t="e">
        <f>VLOOKUP(AH$1,Amort!$B:$K,3,0)</f>
        <v>#N/A</v>
      </c>
      <c r="AI37" s="86" t="e">
        <f>VLOOKUP(AI$1,Amort!$B:$K,3,0)</f>
        <v>#N/A</v>
      </c>
      <c r="AJ37" s="86" t="e">
        <f>VLOOKUP(AJ$1,Amort!$B:$K,3,0)</f>
        <v>#N/A</v>
      </c>
      <c r="AK37" s="86" t="e">
        <f>VLOOKUP(AK$1,Amort!$B:$K,3,0)</f>
        <v>#N/A</v>
      </c>
      <c r="AL37" s="86" t="e">
        <f>VLOOKUP(AL$1,Amort!$B:$K,3,0)</f>
        <v>#N/A</v>
      </c>
      <c r="AM37" s="86" t="e">
        <f>VLOOKUP(AM$1,Amort!$B:$K,3,0)</f>
        <v>#N/A</v>
      </c>
      <c r="AN37" s="87" t="e">
        <f t="shared" ref="AN37:AN39" si="811">SUM(AB37:AM37)</f>
        <v>#N/A</v>
      </c>
      <c r="AO37" s="86" t="e">
        <f>VLOOKUP(AO$1,Amort!$B:$K,3,0)</f>
        <v>#N/A</v>
      </c>
      <c r="AP37" s="86" t="e">
        <f>VLOOKUP(AP$1,Amort!$B:$K,3,0)</f>
        <v>#N/A</v>
      </c>
      <c r="AQ37" s="86" t="e">
        <f>VLOOKUP(AQ$1,Amort!$B:$K,3,0)</f>
        <v>#N/A</v>
      </c>
      <c r="AR37" s="86" t="e">
        <f>VLOOKUP(AR$1,Amort!$B:$K,3,0)</f>
        <v>#N/A</v>
      </c>
      <c r="AS37" s="86" t="e">
        <f>VLOOKUP(AS$1,Amort!$B:$K,3,0)</f>
        <v>#N/A</v>
      </c>
      <c r="AT37" s="86" t="e">
        <f>VLOOKUP(AT$1,Amort!$B:$K,3,0)</f>
        <v>#N/A</v>
      </c>
      <c r="AU37" s="86" t="e">
        <f>VLOOKUP(AU$1,Amort!$B:$K,3,0)</f>
        <v>#N/A</v>
      </c>
      <c r="AV37" s="86" t="e">
        <f>VLOOKUP(AV$1,Amort!$B:$K,3,0)</f>
        <v>#N/A</v>
      </c>
      <c r="AW37" s="86" t="e">
        <f>VLOOKUP(AW$1,Amort!$B:$K,3,0)</f>
        <v>#N/A</v>
      </c>
      <c r="AX37" s="86" t="e">
        <f>VLOOKUP(AX$1,Amort!$B:$K,3,0)</f>
        <v>#N/A</v>
      </c>
      <c r="AY37" s="86" t="e">
        <f>VLOOKUP(AY$1,Amort!$B:$K,3,0)</f>
        <v>#N/A</v>
      </c>
      <c r="AZ37" s="86" t="e">
        <f>VLOOKUP(AZ$1,Amort!$B:$K,3,0)</f>
        <v>#N/A</v>
      </c>
      <c r="BA37" s="87" t="e">
        <f t="shared" ref="BA37:BA39" si="812">SUM(AO37:AZ37)</f>
        <v>#N/A</v>
      </c>
      <c r="BB37" s="86" t="e">
        <f>VLOOKUP(BB$1,Amort!$B:$K,3,0)</f>
        <v>#N/A</v>
      </c>
      <c r="BC37" s="86" t="e">
        <f>VLOOKUP(BC$1,Amort!$B:$K,3,0)</f>
        <v>#N/A</v>
      </c>
      <c r="BD37" s="86" t="e">
        <f>VLOOKUP(BD$1,Amort!$B:$K,3,0)</f>
        <v>#N/A</v>
      </c>
      <c r="BE37" s="86" t="e">
        <f>VLOOKUP(BE$1,Amort!$B:$K,3,0)</f>
        <v>#N/A</v>
      </c>
      <c r="BF37" s="86" t="e">
        <f>VLOOKUP(BF$1,Amort!$B:$K,3,0)</f>
        <v>#N/A</v>
      </c>
      <c r="BG37" s="86" t="e">
        <f>VLOOKUP(BG$1,Amort!$B:$K,3,0)</f>
        <v>#N/A</v>
      </c>
      <c r="BH37" s="86" t="e">
        <f>VLOOKUP(BH$1,Amort!$B:$K,3,0)</f>
        <v>#N/A</v>
      </c>
      <c r="BI37" s="86" t="e">
        <f>VLOOKUP(BI$1,Amort!$B:$K,3,0)</f>
        <v>#N/A</v>
      </c>
      <c r="BJ37" s="86" t="e">
        <f>VLOOKUP(BJ$1,Amort!$B:$K,3,0)</f>
        <v>#N/A</v>
      </c>
      <c r="BK37" s="86" t="e">
        <f>VLOOKUP(BK$1,Amort!$B:$K,3,0)</f>
        <v>#N/A</v>
      </c>
      <c r="BL37" s="86" t="e">
        <f>VLOOKUP(BL$1,Amort!$B:$K,3,0)</f>
        <v>#N/A</v>
      </c>
      <c r="BM37" s="86" t="e">
        <f>VLOOKUP(BM$1,Amort!$B:$K,3,0)</f>
        <v>#N/A</v>
      </c>
      <c r="BN37" s="87" t="e">
        <f t="shared" ref="BN37:BN39" si="813">SUM(BB37:BM37)</f>
        <v>#N/A</v>
      </c>
      <c r="BO37" s="86" t="e">
        <f>VLOOKUP(BO$1,Amort!$B:$K,3,0)</f>
        <v>#N/A</v>
      </c>
      <c r="BP37" s="86" t="e">
        <f>VLOOKUP(BP$1,Amort!$B:$K,3,0)</f>
        <v>#N/A</v>
      </c>
      <c r="BQ37" s="86" t="e">
        <f>VLOOKUP(BQ$1,Amort!$B:$K,3,0)</f>
        <v>#N/A</v>
      </c>
      <c r="BR37" s="86" t="e">
        <f>VLOOKUP(BR$1,Amort!$B:$K,3,0)</f>
        <v>#N/A</v>
      </c>
      <c r="BS37" s="86" t="e">
        <f>VLOOKUP(BS$1,Amort!$B:$K,3,0)</f>
        <v>#N/A</v>
      </c>
      <c r="BT37" s="86" t="e">
        <f>VLOOKUP(BT$1,Amort!$B:$K,3,0)</f>
        <v>#N/A</v>
      </c>
      <c r="BU37" s="86" t="e">
        <f>VLOOKUP(BU$1,Amort!$B:$K,3,0)</f>
        <v>#N/A</v>
      </c>
      <c r="BV37" s="86" t="e">
        <f>VLOOKUP(BV$1,Amort!$B:$K,3,0)</f>
        <v>#N/A</v>
      </c>
      <c r="BW37" s="86" t="e">
        <f>VLOOKUP(BW$1,Amort!$B:$K,3,0)</f>
        <v>#N/A</v>
      </c>
      <c r="BX37" s="86" t="e">
        <f>VLOOKUP(BX$1,Amort!$B:$K,3,0)</f>
        <v>#N/A</v>
      </c>
      <c r="BY37" s="86" t="e">
        <f>VLOOKUP(BY$1,Amort!$B:$K,3,0)</f>
        <v>#N/A</v>
      </c>
      <c r="BZ37" s="86" t="e">
        <f>VLOOKUP(BZ$1,Amort!$B:$K,3,0)</f>
        <v>#N/A</v>
      </c>
      <c r="CA37" s="87" t="e">
        <f t="shared" ref="CA37:CA39" si="814">SUM(BO37:BZ37)</f>
        <v>#N/A</v>
      </c>
      <c r="CB37" s="86" t="e">
        <f>VLOOKUP(CB$1,Amort!$B:$K,3,0)</f>
        <v>#N/A</v>
      </c>
      <c r="CC37" s="86" t="e">
        <f>VLOOKUP(CC$1,Amort!$B:$K,3,0)</f>
        <v>#N/A</v>
      </c>
      <c r="CD37" s="86" t="e">
        <f>VLOOKUP(CD$1,Amort!$B:$K,3,0)</f>
        <v>#N/A</v>
      </c>
      <c r="CE37" s="86" t="e">
        <f>VLOOKUP(CE$1,Amort!$B:$K,3,0)</f>
        <v>#N/A</v>
      </c>
      <c r="CF37" s="86" t="e">
        <f>VLOOKUP(CF$1,Amort!$B:$K,3,0)</f>
        <v>#N/A</v>
      </c>
      <c r="CG37" s="86" t="e">
        <f>VLOOKUP(CG$1,Amort!$B:$K,3,0)</f>
        <v>#N/A</v>
      </c>
      <c r="CH37" s="86" t="e">
        <f>VLOOKUP(CH$1,Amort!$B:$K,3,0)</f>
        <v>#N/A</v>
      </c>
      <c r="CI37" s="86" t="e">
        <f>VLOOKUP(CI$1,Amort!$B:$K,3,0)</f>
        <v>#N/A</v>
      </c>
      <c r="CJ37" s="86" t="e">
        <f>VLOOKUP(CJ$1,Amort!$B:$K,3,0)</f>
        <v>#N/A</v>
      </c>
      <c r="CK37" s="86" t="e">
        <f>VLOOKUP(CK$1,Amort!$B:$K,3,0)</f>
        <v>#N/A</v>
      </c>
      <c r="CL37" s="86" t="e">
        <f>VLOOKUP(CL$1,Amort!$B:$K,3,0)</f>
        <v>#N/A</v>
      </c>
      <c r="CM37" s="86" t="e">
        <f>VLOOKUP(CM$1,Amort!$B:$K,3,0)</f>
        <v>#N/A</v>
      </c>
      <c r="CN37" s="87" t="e">
        <f t="shared" ref="CN37:CN39" si="815">SUM(CB37:CM37)</f>
        <v>#N/A</v>
      </c>
      <c r="CO37" s="86" t="e">
        <f>VLOOKUP(CO$1,Amort!$B:$K,3,0)</f>
        <v>#N/A</v>
      </c>
      <c r="CP37" s="86" t="e">
        <f>VLOOKUP(CP$1,Amort!$B:$K,3,0)</f>
        <v>#N/A</v>
      </c>
      <c r="CQ37" s="86" t="e">
        <f>VLOOKUP(CQ$1,Amort!$B:$K,3,0)</f>
        <v>#N/A</v>
      </c>
      <c r="CR37" s="86" t="e">
        <f>VLOOKUP(CR$1,Amort!$B:$K,3,0)</f>
        <v>#N/A</v>
      </c>
      <c r="CS37" s="86" t="e">
        <f>VLOOKUP(CS$1,Amort!$B:$K,3,0)</f>
        <v>#N/A</v>
      </c>
      <c r="CT37" s="86" t="e">
        <f>VLOOKUP(CT$1,Amort!$B:$K,3,0)</f>
        <v>#N/A</v>
      </c>
      <c r="CU37" s="86" t="e">
        <f>VLOOKUP(CU$1,Amort!$B:$K,3,0)</f>
        <v>#N/A</v>
      </c>
      <c r="CV37" s="86" t="e">
        <f>VLOOKUP(CV$1,Amort!$B:$K,3,0)</f>
        <v>#N/A</v>
      </c>
      <c r="CW37" s="86" t="e">
        <f>VLOOKUP(CW$1,Amort!$B:$K,3,0)</f>
        <v>#N/A</v>
      </c>
      <c r="CX37" s="86" t="e">
        <f>VLOOKUP(CX$1,Amort!$B:$K,3,0)</f>
        <v>#N/A</v>
      </c>
      <c r="CY37" s="86" t="e">
        <f>VLOOKUP(CY$1,Amort!$B:$K,3,0)</f>
        <v>#N/A</v>
      </c>
      <c r="CZ37" s="86" t="e">
        <f>VLOOKUP(CZ$1,Amort!$B:$K,3,0)</f>
        <v>#N/A</v>
      </c>
      <c r="DA37" s="87" t="e">
        <f t="shared" ref="DA37:DA39" si="816">SUM(CO37:CZ37)</f>
        <v>#N/A</v>
      </c>
      <c r="DB37" s="86" t="e">
        <f>VLOOKUP(DB$1,Amort!$B:$K,3,0)</f>
        <v>#N/A</v>
      </c>
      <c r="DC37" s="86" t="e">
        <f>VLOOKUP(DC$1,Amort!$B:$K,3,0)</f>
        <v>#N/A</v>
      </c>
      <c r="DD37" s="86" t="e">
        <f>VLOOKUP(DD$1,Amort!$B:$K,3,0)</f>
        <v>#N/A</v>
      </c>
      <c r="DE37" s="86" t="e">
        <f>VLOOKUP(DE$1,Amort!$B:$K,3,0)</f>
        <v>#N/A</v>
      </c>
      <c r="DF37" s="86" t="e">
        <f>VLOOKUP(DF$1,Amort!$B:$K,3,0)</f>
        <v>#N/A</v>
      </c>
      <c r="DG37" s="86" t="e">
        <f>VLOOKUP(DG$1,Amort!$B:$K,3,0)</f>
        <v>#N/A</v>
      </c>
      <c r="DH37" s="86" t="e">
        <f>VLOOKUP(DH$1,Amort!$B:$K,3,0)</f>
        <v>#N/A</v>
      </c>
      <c r="DI37" s="86" t="e">
        <f>VLOOKUP(DI$1,Amort!$B:$K,3,0)</f>
        <v>#N/A</v>
      </c>
      <c r="DJ37" s="86" t="e">
        <f>VLOOKUP(DJ$1,Amort!$B:$K,3,0)</f>
        <v>#N/A</v>
      </c>
      <c r="DK37" s="86" t="e">
        <f>VLOOKUP(DK$1,Amort!$B:$K,3,0)</f>
        <v>#N/A</v>
      </c>
      <c r="DL37" s="86" t="e">
        <f>VLOOKUP(DL$1,Amort!$B:$K,3,0)</f>
        <v>#N/A</v>
      </c>
      <c r="DM37" s="86" t="e">
        <f>VLOOKUP(DM$1,Amort!$B:$K,3,0)</f>
        <v>#N/A</v>
      </c>
      <c r="DN37" s="87" t="e">
        <f t="shared" ref="DN37:DN39" si="817">SUM(DB37:DM37)</f>
        <v>#N/A</v>
      </c>
      <c r="DO37" s="86" t="e">
        <f>VLOOKUP(DO$1,Amort!$B:$K,3,0)</f>
        <v>#N/A</v>
      </c>
      <c r="DP37" s="86" t="e">
        <f>VLOOKUP(DP$1,Amort!$B:$K,3,0)</f>
        <v>#N/A</v>
      </c>
      <c r="DQ37" s="86" t="e">
        <f>VLOOKUP(DQ$1,Amort!$B:$K,3,0)</f>
        <v>#N/A</v>
      </c>
      <c r="DR37" s="86" t="e">
        <f>VLOOKUP(DR$1,Amort!$B:$K,3,0)</f>
        <v>#N/A</v>
      </c>
      <c r="DS37" s="86" t="e">
        <f>VLOOKUP(DS$1,Amort!$B:$K,3,0)</f>
        <v>#N/A</v>
      </c>
      <c r="DT37" s="86" t="e">
        <f>VLOOKUP(DT$1,Amort!$B:$K,3,0)</f>
        <v>#N/A</v>
      </c>
      <c r="DU37" s="86" t="e">
        <f>VLOOKUP(DU$1,Amort!$B:$K,3,0)</f>
        <v>#N/A</v>
      </c>
      <c r="DV37" s="86" t="e">
        <f>VLOOKUP(DV$1,Amort!$B:$K,3,0)</f>
        <v>#N/A</v>
      </c>
      <c r="DW37" s="86" t="e">
        <f>VLOOKUP(DW$1,Amort!$B:$K,3,0)</f>
        <v>#N/A</v>
      </c>
      <c r="DX37" s="86" t="e">
        <f>VLOOKUP(DX$1,Amort!$B:$K,3,0)</f>
        <v>#N/A</v>
      </c>
      <c r="DY37" s="86" t="e">
        <f>VLOOKUP(DY$1,Amort!$B:$K,3,0)</f>
        <v>#N/A</v>
      </c>
      <c r="DZ37" s="86" t="e">
        <f>VLOOKUP(DZ$1,Amort!$B:$K,3,0)</f>
        <v>#N/A</v>
      </c>
      <c r="EA37" s="87" t="e">
        <f t="shared" ref="EA37:EA39" si="818">SUM(DO37:DZ37)</f>
        <v>#N/A</v>
      </c>
      <c r="EB37" s="86" t="e">
        <f>VLOOKUP(EB$1,Amort!$B:$K,3,0)</f>
        <v>#N/A</v>
      </c>
      <c r="EC37" s="86" t="e">
        <f>VLOOKUP(EC$1,Amort!$B:$K,3,0)</f>
        <v>#N/A</v>
      </c>
      <c r="ED37" s="86" t="e">
        <f>VLOOKUP(ED$1,Amort!$B:$K,3,0)</f>
        <v>#N/A</v>
      </c>
      <c r="EE37" s="86" t="e">
        <f>VLOOKUP(EE$1,Amort!$B:$K,3,0)</f>
        <v>#N/A</v>
      </c>
      <c r="EF37" s="86" t="e">
        <f>VLOOKUP(EF$1,Amort!$B:$K,3,0)</f>
        <v>#N/A</v>
      </c>
      <c r="EG37" s="86" t="e">
        <f>VLOOKUP(EG$1,Amort!$B:$K,3,0)</f>
        <v>#N/A</v>
      </c>
      <c r="EH37" s="86" t="e">
        <f>VLOOKUP(EH$1,Amort!$B:$K,3,0)</f>
        <v>#N/A</v>
      </c>
      <c r="EI37" s="86" t="e">
        <f>VLOOKUP(EI$1,Amort!$B:$K,3,0)</f>
        <v>#N/A</v>
      </c>
      <c r="EJ37" s="86" t="e">
        <f>VLOOKUP(EJ$1,Amort!$B:$K,3,0)</f>
        <v>#N/A</v>
      </c>
      <c r="EK37" s="86" t="e">
        <f>VLOOKUP(EK$1,Amort!$B:$K,3,0)</f>
        <v>#N/A</v>
      </c>
      <c r="EL37" s="86" t="e">
        <f>VLOOKUP(EL$1,Amort!$B:$K,3,0)</f>
        <v>#N/A</v>
      </c>
      <c r="EM37" s="86" t="e">
        <f>VLOOKUP(EM$1,Amort!$B:$K,3,0)</f>
        <v>#N/A</v>
      </c>
      <c r="EN37" s="87" t="e">
        <f t="shared" ref="EN37:EN39" si="819">SUM(EB37:EM37)</f>
        <v>#N/A</v>
      </c>
      <c r="EO37" s="86" t="e">
        <f>VLOOKUP(EO$1,Amort!$B:$K,3,0)</f>
        <v>#N/A</v>
      </c>
      <c r="EP37" s="86" t="e">
        <f>VLOOKUP(EP$1,Amort!$B:$K,3,0)</f>
        <v>#N/A</v>
      </c>
      <c r="EQ37" s="86" t="e">
        <f>VLOOKUP(EQ$1,Amort!$B:$K,3,0)</f>
        <v>#N/A</v>
      </c>
      <c r="ER37" s="86" t="e">
        <f>VLOOKUP(ER$1,Amort!$B:$K,3,0)</f>
        <v>#N/A</v>
      </c>
      <c r="ES37" s="86" t="e">
        <f>VLOOKUP(ES$1,Amort!$B:$K,3,0)</f>
        <v>#N/A</v>
      </c>
      <c r="ET37" s="86" t="e">
        <f>VLOOKUP(ET$1,Amort!$B:$K,3,0)</f>
        <v>#N/A</v>
      </c>
      <c r="EU37" s="86" t="e">
        <f>VLOOKUP(EU$1,Amort!$B:$K,3,0)</f>
        <v>#N/A</v>
      </c>
      <c r="EV37" s="86" t="e">
        <f>VLOOKUP(EV$1,Amort!$B:$K,3,0)</f>
        <v>#N/A</v>
      </c>
      <c r="EW37" s="86" t="e">
        <f>VLOOKUP(EW$1,Amort!$B:$K,3,0)</f>
        <v>#N/A</v>
      </c>
      <c r="EX37" s="86" t="e">
        <f>VLOOKUP(EX$1,Amort!$B:$K,3,0)</f>
        <v>#N/A</v>
      </c>
      <c r="EY37" s="86" t="e">
        <f>VLOOKUP(EY$1,Amort!$B:$K,3,0)</f>
        <v>#N/A</v>
      </c>
      <c r="EZ37" s="86" t="e">
        <f>VLOOKUP(EZ$1,Amort!$B:$K,3,0)</f>
        <v>#N/A</v>
      </c>
      <c r="FA37" s="87" t="e">
        <f t="shared" ref="FA37:FA39" si="820">SUM(EO37:EZ37)</f>
        <v>#N/A</v>
      </c>
      <c r="FB37" s="86" t="e">
        <f>VLOOKUP(FB$1,Amort!$B:$K,3,0)</f>
        <v>#N/A</v>
      </c>
      <c r="FC37" s="86" t="e">
        <f>VLOOKUP(FC$1,Amort!$B:$K,3,0)</f>
        <v>#N/A</v>
      </c>
      <c r="FD37" s="86" t="e">
        <f>VLOOKUP(FD$1,Amort!$B:$K,3,0)</f>
        <v>#N/A</v>
      </c>
      <c r="FE37" s="86" t="e">
        <f>VLOOKUP(FE$1,Amort!$B:$K,3,0)</f>
        <v>#N/A</v>
      </c>
      <c r="FF37" s="86" t="e">
        <f>VLOOKUP(FF$1,Amort!$B:$K,3,0)</f>
        <v>#N/A</v>
      </c>
      <c r="FG37" s="86" t="e">
        <f>VLOOKUP(FG$1,Amort!$B:$K,3,0)</f>
        <v>#N/A</v>
      </c>
      <c r="FH37" s="86" t="e">
        <f>VLOOKUP(FH$1,Amort!$B:$K,3,0)</f>
        <v>#N/A</v>
      </c>
      <c r="FI37" s="86" t="e">
        <f>VLOOKUP(FI$1,Amort!$B:$K,3,0)</f>
        <v>#N/A</v>
      </c>
      <c r="FJ37" s="86" t="e">
        <f>VLOOKUP(FJ$1,Amort!$B:$K,3,0)</f>
        <v>#N/A</v>
      </c>
      <c r="FK37" s="86" t="e">
        <f>VLOOKUP(FK$1,Amort!$B:$K,3,0)</f>
        <v>#N/A</v>
      </c>
      <c r="FL37" s="86" t="e">
        <f>VLOOKUP(FL$1,Amort!$B:$K,3,0)</f>
        <v>#N/A</v>
      </c>
      <c r="FM37" s="86" t="e">
        <f>VLOOKUP(FM$1,Amort!$B:$K,3,0)</f>
        <v>#N/A</v>
      </c>
      <c r="FN37" s="87" t="e">
        <f t="shared" ref="FN37:FN39" si="821">SUM(FB37:FM37)</f>
        <v>#N/A</v>
      </c>
      <c r="FO37" s="86" t="e">
        <f>VLOOKUP(FO$1,Amort!$B:$K,3,0)</f>
        <v>#N/A</v>
      </c>
      <c r="FP37" s="86" t="e">
        <f>VLOOKUP(FP$1,Amort!$B:$K,3,0)</f>
        <v>#N/A</v>
      </c>
      <c r="FQ37" s="86" t="e">
        <f>VLOOKUP(FQ$1,Amort!$B:$K,3,0)</f>
        <v>#N/A</v>
      </c>
      <c r="FR37" s="86" t="e">
        <f>VLOOKUP(FR$1,Amort!$B:$K,3,0)</f>
        <v>#N/A</v>
      </c>
      <c r="FS37" s="86" t="e">
        <f>VLOOKUP(FS$1,Amort!$B:$K,3,0)</f>
        <v>#N/A</v>
      </c>
      <c r="FT37" s="86" t="e">
        <f>VLOOKUP(FT$1,Amort!$B:$K,3,0)</f>
        <v>#N/A</v>
      </c>
      <c r="FU37" s="86" t="e">
        <f>VLOOKUP(FU$1,Amort!$B:$K,3,0)</f>
        <v>#N/A</v>
      </c>
      <c r="FV37" s="86" t="e">
        <f>VLOOKUP(FV$1,Amort!$B:$K,3,0)</f>
        <v>#N/A</v>
      </c>
      <c r="FW37" s="86" t="e">
        <f>VLOOKUP(FW$1,Amort!$B:$K,3,0)</f>
        <v>#N/A</v>
      </c>
      <c r="FX37" s="86" t="e">
        <f>VLOOKUP(FX$1,Amort!$B:$K,3,0)</f>
        <v>#N/A</v>
      </c>
      <c r="FY37" s="86" t="e">
        <f>VLOOKUP(FY$1,Amort!$B:$K,3,0)</f>
        <v>#N/A</v>
      </c>
      <c r="FZ37" s="86" t="e">
        <f>VLOOKUP(FZ$1,Amort!$B:$K,3,0)</f>
        <v>#N/A</v>
      </c>
      <c r="GA37" s="87" t="e">
        <f t="shared" ref="GA37:GA39" si="822">SUM(FO37:FZ37)</f>
        <v>#N/A</v>
      </c>
      <c r="GB37" s="86" t="e">
        <f>VLOOKUP(GB$1,Amort!$B:$K,3,0)</f>
        <v>#N/A</v>
      </c>
      <c r="GC37" s="86" t="e">
        <f>VLOOKUP(GC$1,Amort!$B:$K,3,0)</f>
        <v>#N/A</v>
      </c>
      <c r="GD37" s="86" t="e">
        <f>VLOOKUP(GD$1,Amort!$B:$K,3,0)</f>
        <v>#N/A</v>
      </c>
      <c r="GE37" s="86" t="e">
        <f>VLOOKUP(GE$1,Amort!$B:$K,3,0)</f>
        <v>#N/A</v>
      </c>
      <c r="GF37" s="86" t="e">
        <f>VLOOKUP(GF$1,Amort!$B:$K,3,0)</f>
        <v>#N/A</v>
      </c>
      <c r="GG37" s="86" t="e">
        <f>VLOOKUP(GG$1,Amort!$B:$K,3,0)</f>
        <v>#N/A</v>
      </c>
      <c r="GH37" s="86" t="e">
        <f>VLOOKUP(GH$1,Amort!$B:$K,3,0)</f>
        <v>#N/A</v>
      </c>
      <c r="GI37" s="86" t="e">
        <f>VLOOKUP(GI$1,Amort!$B:$K,3,0)</f>
        <v>#N/A</v>
      </c>
      <c r="GJ37" s="86" t="e">
        <f>VLOOKUP(GJ$1,Amort!$B:$K,3,0)</f>
        <v>#N/A</v>
      </c>
      <c r="GK37" s="86" t="e">
        <f>VLOOKUP(GK$1,Amort!$B:$K,3,0)</f>
        <v>#N/A</v>
      </c>
      <c r="GL37" s="86" t="e">
        <f>VLOOKUP(GL$1,Amort!$B:$K,3,0)</f>
        <v>#N/A</v>
      </c>
      <c r="GM37" s="86" t="e">
        <f>VLOOKUP(GM$1,Amort!$B:$K,3,0)</f>
        <v>#N/A</v>
      </c>
      <c r="GN37" s="87" t="e">
        <f t="shared" ref="GN37:GN39" si="823">SUM(GB37:GM37)</f>
        <v>#N/A</v>
      </c>
      <c r="GO37" s="86" t="e">
        <f>VLOOKUP(GO$1,Amort!$B:$K,3,0)</f>
        <v>#N/A</v>
      </c>
      <c r="GP37" s="86" t="e">
        <f>VLOOKUP(GP$1,Amort!$B:$K,3,0)</f>
        <v>#N/A</v>
      </c>
      <c r="GQ37" s="86" t="e">
        <f>VLOOKUP(GQ$1,Amort!$B:$K,3,0)</f>
        <v>#N/A</v>
      </c>
      <c r="GR37" s="86" t="e">
        <f>VLOOKUP(GR$1,Amort!$B:$K,3,0)</f>
        <v>#N/A</v>
      </c>
      <c r="GS37" s="86" t="e">
        <f>VLOOKUP(GS$1,Amort!$B:$K,3,0)</f>
        <v>#N/A</v>
      </c>
      <c r="GT37" s="86" t="e">
        <f>VLOOKUP(GT$1,Amort!$B:$K,3,0)</f>
        <v>#N/A</v>
      </c>
      <c r="GU37" s="86" t="e">
        <f>VLOOKUP(GU$1,Amort!$B:$K,3,0)</f>
        <v>#N/A</v>
      </c>
      <c r="GV37" s="86" t="e">
        <f>VLOOKUP(GV$1,Amort!$B:$K,3,0)</f>
        <v>#N/A</v>
      </c>
      <c r="GW37" s="86" t="e">
        <f>VLOOKUP(GW$1,Amort!$B:$K,3,0)</f>
        <v>#N/A</v>
      </c>
      <c r="GX37" s="86" t="e">
        <f>VLOOKUP(GX$1,Amort!$B:$K,3,0)</f>
        <v>#N/A</v>
      </c>
      <c r="GY37" s="86" t="e">
        <f>VLOOKUP(GY$1,Amort!$B:$K,3,0)</f>
        <v>#N/A</v>
      </c>
      <c r="GZ37" s="86" t="e">
        <f>VLOOKUP(GZ$1,Amort!$B:$K,3,0)</f>
        <v>#N/A</v>
      </c>
      <c r="HA37" s="87" t="e">
        <f t="shared" ref="HA37:HA39" si="824">SUM(GO37:GZ37)</f>
        <v>#N/A</v>
      </c>
      <c r="HB37" s="86" t="e">
        <f>VLOOKUP(HB$1,Amort!$B:$K,3,0)</f>
        <v>#N/A</v>
      </c>
      <c r="HC37" s="86" t="e">
        <f>VLOOKUP(HC$1,Amort!$B:$K,3,0)</f>
        <v>#N/A</v>
      </c>
      <c r="HD37" s="86" t="e">
        <f>VLOOKUP(HD$1,Amort!$B:$K,3,0)</f>
        <v>#N/A</v>
      </c>
      <c r="HE37" s="86" t="e">
        <f>VLOOKUP(HE$1,Amort!$B:$K,3,0)</f>
        <v>#N/A</v>
      </c>
      <c r="HF37" s="86" t="e">
        <f>VLOOKUP(HF$1,Amort!$B:$K,3,0)</f>
        <v>#N/A</v>
      </c>
      <c r="HG37" s="86" t="e">
        <f>VLOOKUP(HG$1,Amort!$B:$K,3,0)</f>
        <v>#N/A</v>
      </c>
      <c r="HH37" s="86" t="e">
        <f>VLOOKUP(HH$1,Amort!$B:$K,3,0)</f>
        <v>#N/A</v>
      </c>
      <c r="HI37" s="86" t="e">
        <f>VLOOKUP(HI$1,Amort!$B:$K,3,0)</f>
        <v>#N/A</v>
      </c>
      <c r="HJ37" s="86" t="e">
        <f>VLOOKUP(HJ$1,Amort!$B:$K,3,0)</f>
        <v>#N/A</v>
      </c>
      <c r="HK37" s="86" t="e">
        <f>VLOOKUP(HK$1,Amort!$B:$K,3,0)</f>
        <v>#N/A</v>
      </c>
      <c r="HL37" s="86" t="e">
        <f>VLOOKUP(HL$1,Amort!$B:$K,3,0)</f>
        <v>#N/A</v>
      </c>
      <c r="HM37" s="86" t="e">
        <f>VLOOKUP(HM$1,Amort!$B:$K,3,0)</f>
        <v>#N/A</v>
      </c>
      <c r="HN37" s="87" t="e">
        <f t="shared" ref="HN37:HN39" si="825">SUM(HB37:HM37)</f>
        <v>#N/A</v>
      </c>
      <c r="HO37" s="86" t="e">
        <f>VLOOKUP(HO$1,Amort!$B:$K,3,0)</f>
        <v>#N/A</v>
      </c>
      <c r="HP37" s="86" t="e">
        <f>VLOOKUP(HP$1,Amort!$B:$K,3,0)</f>
        <v>#N/A</v>
      </c>
      <c r="HQ37" s="86" t="e">
        <f>VLOOKUP(HQ$1,Amort!$B:$K,3,0)</f>
        <v>#N/A</v>
      </c>
      <c r="HR37" s="86" t="e">
        <f>VLOOKUP(HR$1,Amort!$B:$K,3,0)</f>
        <v>#N/A</v>
      </c>
      <c r="HS37" s="86" t="e">
        <f>VLOOKUP(HS$1,Amort!$B:$K,3,0)</f>
        <v>#N/A</v>
      </c>
      <c r="HT37" s="86" t="e">
        <f>VLOOKUP(HT$1,Amort!$B:$K,3,0)</f>
        <v>#N/A</v>
      </c>
      <c r="HU37" s="86" t="e">
        <f>VLOOKUP(HU$1,Amort!$B:$K,3,0)</f>
        <v>#N/A</v>
      </c>
      <c r="HV37" s="86" t="e">
        <f>VLOOKUP(HV$1,Amort!$B:$K,3,0)</f>
        <v>#N/A</v>
      </c>
      <c r="HW37" s="86" t="e">
        <f>VLOOKUP(HW$1,Amort!$B:$K,3,0)</f>
        <v>#N/A</v>
      </c>
      <c r="HX37" s="86" t="e">
        <f>VLOOKUP(HX$1,Amort!$B:$K,3,0)</f>
        <v>#N/A</v>
      </c>
      <c r="HY37" s="86" t="e">
        <f>VLOOKUP(HY$1,Amort!$B:$K,3,0)</f>
        <v>#N/A</v>
      </c>
      <c r="HZ37" s="86" t="e">
        <f>VLOOKUP(HZ$1,Amort!$B:$K,3,0)</f>
        <v>#N/A</v>
      </c>
      <c r="IA37" s="87" t="e">
        <f t="shared" ref="IA37:IA39" si="826">SUM(HO37:HZ37)</f>
        <v>#N/A</v>
      </c>
      <c r="IB37" s="86" t="e">
        <f>VLOOKUP(IB$1,Amort!$B:$K,3,0)</f>
        <v>#N/A</v>
      </c>
      <c r="IC37" s="86" t="e">
        <f>VLOOKUP(IC$1,Amort!$B:$K,3,0)</f>
        <v>#N/A</v>
      </c>
      <c r="ID37" s="86" t="e">
        <f>VLOOKUP(ID$1,Amort!$B:$K,3,0)</f>
        <v>#N/A</v>
      </c>
      <c r="IE37" s="86" t="e">
        <f>VLOOKUP(IE$1,Amort!$B:$K,3,0)</f>
        <v>#N/A</v>
      </c>
      <c r="IF37" s="86" t="e">
        <f>VLOOKUP(IF$1,Amort!$B:$K,3,0)</f>
        <v>#N/A</v>
      </c>
      <c r="IG37" s="86" t="e">
        <f>VLOOKUP(IG$1,Amort!$B:$K,3,0)</f>
        <v>#N/A</v>
      </c>
      <c r="IH37" s="86" t="e">
        <f>VLOOKUP(IH$1,Amort!$B:$K,3,0)</f>
        <v>#N/A</v>
      </c>
      <c r="II37" s="86" t="e">
        <f>VLOOKUP(II$1,Amort!$B:$K,3,0)</f>
        <v>#N/A</v>
      </c>
      <c r="IJ37" s="86" t="e">
        <f>VLOOKUP(IJ$1,Amort!$B:$K,3,0)</f>
        <v>#N/A</v>
      </c>
      <c r="IK37" s="86" t="e">
        <f>VLOOKUP(IK$1,Amort!$B:$K,3,0)</f>
        <v>#N/A</v>
      </c>
      <c r="IL37" s="86" t="e">
        <f>VLOOKUP(IL$1,Amort!$B:$K,3,0)</f>
        <v>#N/A</v>
      </c>
      <c r="IM37" s="86" t="e">
        <f>VLOOKUP(IM$1,Amort!$B:$K,3,0)</f>
        <v>#N/A</v>
      </c>
      <c r="IN37" s="87" t="e">
        <f t="shared" ref="IN37:IN39" si="827">SUM(IB37:IM37)</f>
        <v>#N/A</v>
      </c>
      <c r="IO37" s="86" t="e">
        <f>VLOOKUP(IO$1,Amort!$B:$K,3,0)</f>
        <v>#N/A</v>
      </c>
      <c r="IP37" s="86" t="e">
        <f>VLOOKUP(IP$1,Amort!$B:$K,3,0)</f>
        <v>#N/A</v>
      </c>
      <c r="IQ37" s="86" t="e">
        <f>VLOOKUP(IQ$1,Amort!$B:$K,3,0)</f>
        <v>#N/A</v>
      </c>
      <c r="IR37" s="86" t="e">
        <f>VLOOKUP(IR$1,Amort!$B:$K,3,0)</f>
        <v>#N/A</v>
      </c>
      <c r="IS37" s="86" t="e">
        <f>VLOOKUP(IS$1,Amort!$B:$K,3,0)</f>
        <v>#N/A</v>
      </c>
      <c r="IT37" s="86" t="e">
        <f>VLOOKUP(IT$1,Amort!$B:$K,3,0)</f>
        <v>#N/A</v>
      </c>
      <c r="IU37" s="86" t="e">
        <f>VLOOKUP(IU$1,Amort!$B:$K,3,0)</f>
        <v>#N/A</v>
      </c>
      <c r="IV37" s="86" t="e">
        <f>VLOOKUP(IV$1,Amort!$B:$K,3,0)</f>
        <v>#N/A</v>
      </c>
      <c r="IW37" s="86" t="e">
        <f>VLOOKUP(IW$1,Amort!$B:$K,3,0)</f>
        <v>#N/A</v>
      </c>
      <c r="IX37" s="86" t="e">
        <f>VLOOKUP(IX$1,Amort!$B:$K,3,0)</f>
        <v>#N/A</v>
      </c>
      <c r="IY37" s="86" t="e">
        <f>VLOOKUP(IY$1,Amort!$B:$K,3,0)</f>
        <v>#N/A</v>
      </c>
      <c r="IZ37" s="86" t="e">
        <f>VLOOKUP(IZ$1,Amort!$B:$K,3,0)</f>
        <v>#N/A</v>
      </c>
      <c r="JA37" s="87" t="e">
        <f t="shared" ref="JA37:JA39" si="828">SUM(IO37:IZ37)</f>
        <v>#N/A</v>
      </c>
      <c r="JB37" s="86" t="e">
        <f>VLOOKUP(JB$1,Amort!$B:$K,3,0)</f>
        <v>#N/A</v>
      </c>
      <c r="JC37" s="86" t="e">
        <f>VLOOKUP(JC$1,Amort!$B:$K,3,0)</f>
        <v>#N/A</v>
      </c>
      <c r="JD37" s="86" t="e">
        <f>VLOOKUP(JD$1,Amort!$B:$K,3,0)</f>
        <v>#N/A</v>
      </c>
      <c r="JE37" s="86" t="e">
        <f>VLOOKUP(JE$1,Amort!$B:$K,3,0)</f>
        <v>#N/A</v>
      </c>
      <c r="JF37" s="86" t="e">
        <f>VLOOKUP(JF$1,Amort!$B:$K,3,0)</f>
        <v>#N/A</v>
      </c>
      <c r="JG37" s="86" t="e">
        <f>VLOOKUP(JG$1,Amort!$B:$K,3,0)</f>
        <v>#N/A</v>
      </c>
      <c r="JH37" s="86" t="e">
        <f>VLOOKUP(JH$1,Amort!$B:$K,3,0)</f>
        <v>#N/A</v>
      </c>
      <c r="JI37" s="86" t="e">
        <f>VLOOKUP(JI$1,Amort!$B:$K,3,0)</f>
        <v>#N/A</v>
      </c>
      <c r="JJ37" s="86" t="e">
        <f>VLOOKUP(JJ$1,Amort!$B:$K,3,0)</f>
        <v>#N/A</v>
      </c>
      <c r="JK37" s="86" t="e">
        <f>VLOOKUP(JK$1,Amort!$B:$K,3,0)</f>
        <v>#N/A</v>
      </c>
      <c r="JL37" s="86" t="e">
        <f>VLOOKUP(JL$1,Amort!$B:$K,3,0)</f>
        <v>#N/A</v>
      </c>
      <c r="JM37" s="86" t="e">
        <f>VLOOKUP(JM$1,Amort!$B:$K,3,0)</f>
        <v>#N/A</v>
      </c>
      <c r="JN37" s="87" t="e">
        <f t="shared" ref="JN37:JN39" si="829">SUM(JB37:JM37)</f>
        <v>#N/A</v>
      </c>
      <c r="JO37" s="86" t="e">
        <f>VLOOKUP(JO$1,Amort!$B:$K,3,0)</f>
        <v>#N/A</v>
      </c>
      <c r="JP37" s="86" t="e">
        <f>VLOOKUP(JP$1,Amort!$B:$K,3,0)</f>
        <v>#N/A</v>
      </c>
      <c r="JQ37" s="86" t="e">
        <f>VLOOKUP(JQ$1,Amort!$B:$K,3,0)</f>
        <v>#N/A</v>
      </c>
      <c r="JR37" s="86" t="e">
        <f>VLOOKUP(JR$1,Amort!$B:$K,3,0)</f>
        <v>#N/A</v>
      </c>
      <c r="JS37" s="86" t="e">
        <f>VLOOKUP(JS$1,Amort!$B:$K,3,0)</f>
        <v>#N/A</v>
      </c>
      <c r="JT37" s="86" t="e">
        <f>VLOOKUP(JT$1,Amort!$B:$K,3,0)</f>
        <v>#N/A</v>
      </c>
      <c r="JU37" s="86" t="e">
        <f>VLOOKUP(JU$1,Amort!$B:$K,3,0)</f>
        <v>#N/A</v>
      </c>
      <c r="JV37" s="86" t="e">
        <f>VLOOKUP(JV$1,Amort!$B:$K,3,0)</f>
        <v>#N/A</v>
      </c>
      <c r="JW37" s="86" t="e">
        <f>VLOOKUP(JW$1,Amort!$B:$K,3,0)</f>
        <v>#N/A</v>
      </c>
      <c r="JX37" s="86" t="e">
        <f>VLOOKUP(JX$1,Amort!$B:$K,3,0)</f>
        <v>#N/A</v>
      </c>
      <c r="JY37" s="86" t="e">
        <f>VLOOKUP(JY$1,Amort!$B:$K,3,0)</f>
        <v>#N/A</v>
      </c>
      <c r="JZ37" s="86" t="e">
        <f>VLOOKUP(JZ$1,Amort!$B:$K,3,0)</f>
        <v>#N/A</v>
      </c>
      <c r="KA37" s="87" t="e">
        <f t="shared" ref="KA37:KA39" si="830">SUM(JO37:JZ37)</f>
        <v>#N/A</v>
      </c>
      <c r="KB37" s="86" t="e">
        <f>VLOOKUP(KB$1,Amort!$B:$K,3,0)</f>
        <v>#N/A</v>
      </c>
      <c r="KC37" s="86" t="e">
        <f>VLOOKUP(KC$1,Amort!$B:$K,3,0)</f>
        <v>#N/A</v>
      </c>
      <c r="KD37" s="86" t="e">
        <f>VLOOKUP(KD$1,Amort!$B:$K,3,0)</f>
        <v>#N/A</v>
      </c>
      <c r="KE37" s="86" t="e">
        <f>VLOOKUP(KE$1,Amort!$B:$K,3,0)</f>
        <v>#N/A</v>
      </c>
      <c r="KF37" s="86" t="e">
        <f>VLOOKUP(KF$1,Amort!$B:$K,3,0)</f>
        <v>#N/A</v>
      </c>
      <c r="KG37" s="86" t="e">
        <f>VLOOKUP(KG$1,Amort!$B:$K,3,0)</f>
        <v>#N/A</v>
      </c>
      <c r="KH37" s="86" t="e">
        <f>VLOOKUP(KH$1,Amort!$B:$K,3,0)</f>
        <v>#N/A</v>
      </c>
      <c r="KI37" s="86" t="e">
        <f>VLOOKUP(KI$1,Amort!$B:$K,3,0)</f>
        <v>#N/A</v>
      </c>
      <c r="KJ37" s="86" t="e">
        <f>VLOOKUP(KJ$1,Amort!$B:$K,3,0)</f>
        <v>#N/A</v>
      </c>
      <c r="KK37" s="86" t="e">
        <f>VLOOKUP(KK$1,Amort!$B:$K,3,0)</f>
        <v>#N/A</v>
      </c>
      <c r="KL37" s="86" t="e">
        <f>VLOOKUP(KL$1,Amort!$B:$K,3,0)</f>
        <v>#N/A</v>
      </c>
      <c r="KM37" s="86" t="e">
        <f>VLOOKUP(KM$1,Amort!$B:$K,3,0)</f>
        <v>#N/A</v>
      </c>
      <c r="KN37" s="87" t="e">
        <f t="shared" ref="KN37:KN39" si="831">SUM(KB37:KM37)</f>
        <v>#N/A</v>
      </c>
      <c r="KO37" s="86" t="e">
        <f>VLOOKUP(KO$1,Amort!$B:$K,3,0)</f>
        <v>#N/A</v>
      </c>
      <c r="KP37" s="86" t="e">
        <f>VLOOKUP(KP$1,Amort!$B:$K,3,0)</f>
        <v>#N/A</v>
      </c>
      <c r="KQ37" s="86" t="e">
        <f>VLOOKUP(KQ$1,Amort!$B:$K,3,0)</f>
        <v>#N/A</v>
      </c>
      <c r="KR37" s="86" t="e">
        <f>VLOOKUP(KR$1,Amort!$B:$K,3,0)</f>
        <v>#N/A</v>
      </c>
      <c r="KS37" s="86" t="e">
        <f>VLOOKUP(KS$1,Amort!$B:$K,3,0)</f>
        <v>#N/A</v>
      </c>
      <c r="KT37" s="86" t="e">
        <f>VLOOKUP(KT$1,Amort!$B:$K,3,0)</f>
        <v>#N/A</v>
      </c>
      <c r="KU37" s="86" t="e">
        <f>VLOOKUP(KU$1,Amort!$B:$K,3,0)</f>
        <v>#N/A</v>
      </c>
      <c r="KV37" s="86" t="e">
        <f>VLOOKUP(KV$1,Amort!$B:$K,3,0)</f>
        <v>#N/A</v>
      </c>
      <c r="KW37" s="86" t="e">
        <f>VLOOKUP(KW$1,Amort!$B:$K,3,0)</f>
        <v>#N/A</v>
      </c>
      <c r="KX37" s="86" t="e">
        <f>VLOOKUP(KX$1,Amort!$B:$K,3,0)</f>
        <v>#N/A</v>
      </c>
      <c r="KY37" s="86" t="e">
        <f>VLOOKUP(KY$1,Amort!$B:$K,3,0)</f>
        <v>#N/A</v>
      </c>
      <c r="KZ37" s="86" t="e">
        <f>VLOOKUP(KZ$1,Amort!$B:$K,3,0)</f>
        <v>#N/A</v>
      </c>
      <c r="LA37" s="87" t="e">
        <f t="shared" ref="LA37:LA39" si="832">SUM(KO37:KZ37)</f>
        <v>#N/A</v>
      </c>
      <c r="LB37" s="86" t="e">
        <f>VLOOKUP(LB$1,Amort!$B:$K,3,0)</f>
        <v>#N/A</v>
      </c>
      <c r="LC37" s="86" t="e">
        <f>VLOOKUP(LC$1,Amort!$B:$K,3,0)</f>
        <v>#N/A</v>
      </c>
      <c r="LD37" s="86" t="e">
        <f>VLOOKUP(LD$1,Amort!$B:$K,3,0)</f>
        <v>#N/A</v>
      </c>
      <c r="LE37" s="86" t="e">
        <f>VLOOKUP(LE$1,Amort!$B:$K,3,0)</f>
        <v>#N/A</v>
      </c>
      <c r="LF37" s="86" t="e">
        <f>VLOOKUP(LF$1,Amort!$B:$K,3,0)</f>
        <v>#N/A</v>
      </c>
      <c r="LG37" s="86" t="e">
        <f>VLOOKUP(LG$1,Amort!$B:$K,3,0)</f>
        <v>#N/A</v>
      </c>
      <c r="LH37" s="86" t="e">
        <f>VLOOKUP(LH$1,Amort!$B:$K,3,0)</f>
        <v>#N/A</v>
      </c>
      <c r="LI37" s="86" t="e">
        <f>VLOOKUP(LI$1,Amort!$B:$K,3,0)</f>
        <v>#N/A</v>
      </c>
      <c r="LJ37" s="86" t="e">
        <f>VLOOKUP(LJ$1,Amort!$B:$K,3,0)</f>
        <v>#N/A</v>
      </c>
      <c r="LK37" s="86" t="e">
        <f>VLOOKUP(LK$1,Amort!$B:$K,3,0)</f>
        <v>#N/A</v>
      </c>
      <c r="LL37" s="86" t="e">
        <f>VLOOKUP(LL$1,Amort!$B:$K,3,0)</f>
        <v>#N/A</v>
      </c>
      <c r="LM37" s="86" t="e">
        <f>VLOOKUP(LM$1,Amort!$B:$K,3,0)</f>
        <v>#N/A</v>
      </c>
      <c r="LN37" s="87" t="e">
        <f t="shared" ref="LN37:LN39" si="833">SUM(LB37:LM37)</f>
        <v>#N/A</v>
      </c>
      <c r="LO37" s="86" t="e">
        <f>VLOOKUP(LO$1,Amort!$B:$K,3,0)</f>
        <v>#N/A</v>
      </c>
      <c r="LP37" s="86" t="e">
        <f>VLOOKUP(LP$1,Amort!$B:$K,3,0)</f>
        <v>#N/A</v>
      </c>
      <c r="LQ37" s="86" t="e">
        <f>VLOOKUP(LQ$1,Amort!$B:$K,3,0)</f>
        <v>#N/A</v>
      </c>
      <c r="LR37" s="86" t="e">
        <f>VLOOKUP(LR$1,Amort!$B:$K,3,0)</f>
        <v>#N/A</v>
      </c>
      <c r="LS37" s="86" t="e">
        <f>VLOOKUP(LS$1,Amort!$B:$K,3,0)</f>
        <v>#N/A</v>
      </c>
      <c r="LT37" s="86" t="e">
        <f>VLOOKUP(LT$1,Amort!$B:$K,3,0)</f>
        <v>#N/A</v>
      </c>
      <c r="LU37" s="86" t="e">
        <f>VLOOKUP(LU$1,Amort!$B:$K,3,0)</f>
        <v>#N/A</v>
      </c>
      <c r="LV37" s="86" t="e">
        <f>VLOOKUP(LV$1,Amort!$B:$K,3,0)</f>
        <v>#N/A</v>
      </c>
      <c r="LW37" s="86" t="e">
        <f>VLOOKUP(LW$1,Amort!$B:$K,3,0)</f>
        <v>#N/A</v>
      </c>
      <c r="LX37" s="86" t="e">
        <f>VLOOKUP(LX$1,Amort!$B:$K,3,0)</f>
        <v>#N/A</v>
      </c>
      <c r="LY37" s="86" t="e">
        <f>VLOOKUP(LY$1,Amort!$B:$K,3,0)</f>
        <v>#N/A</v>
      </c>
      <c r="LZ37" s="86" t="e">
        <f>VLOOKUP(LZ$1,Amort!$B:$K,3,0)</f>
        <v>#N/A</v>
      </c>
      <c r="MA37" s="87" t="e">
        <f t="shared" ref="MA37:MA39" si="834">SUM(LO37:LZ37)</f>
        <v>#N/A</v>
      </c>
      <c r="MB37" s="86" t="e">
        <f>VLOOKUP(MB$1,Amort!$B:$K,3,0)</f>
        <v>#N/A</v>
      </c>
      <c r="MC37" s="86" t="e">
        <f>VLOOKUP(MC$1,Amort!$B:$K,3,0)</f>
        <v>#N/A</v>
      </c>
      <c r="MD37" s="86" t="e">
        <f>VLOOKUP(MD$1,Amort!$B:$K,3,0)</f>
        <v>#N/A</v>
      </c>
      <c r="ME37" s="86" t="e">
        <f>VLOOKUP(ME$1,Amort!$B:$K,3,0)</f>
        <v>#N/A</v>
      </c>
      <c r="MF37" s="86" t="e">
        <f>VLOOKUP(MF$1,Amort!$B:$K,3,0)</f>
        <v>#N/A</v>
      </c>
      <c r="MG37" s="86" t="e">
        <f>VLOOKUP(MG$1,Amort!$B:$K,3,0)</f>
        <v>#N/A</v>
      </c>
      <c r="MH37" s="86" t="e">
        <f>VLOOKUP(MH$1,Amort!$B:$K,3,0)</f>
        <v>#N/A</v>
      </c>
      <c r="MI37" s="86" t="e">
        <f>VLOOKUP(MI$1,Amort!$B:$K,3,0)</f>
        <v>#N/A</v>
      </c>
      <c r="MJ37" s="86" t="e">
        <f>VLOOKUP(MJ$1,Amort!$B:$K,3,0)</f>
        <v>#N/A</v>
      </c>
      <c r="MK37" s="86" t="e">
        <f>VLOOKUP(MK$1,Amort!$B:$K,3,0)</f>
        <v>#N/A</v>
      </c>
      <c r="ML37" s="86" t="e">
        <f>VLOOKUP(ML$1,Amort!$B:$K,3,0)</f>
        <v>#N/A</v>
      </c>
      <c r="MM37" s="86" t="e">
        <f>VLOOKUP(MM$1,Amort!$B:$K,3,0)</f>
        <v>#N/A</v>
      </c>
      <c r="MN37" s="87" t="e">
        <f t="shared" ref="MN37:MN39" si="835">SUM(MB37:MM37)</f>
        <v>#N/A</v>
      </c>
      <c r="MO37" s="86" t="e">
        <f>VLOOKUP(MO$1,Amort!$B:$K,3,0)</f>
        <v>#N/A</v>
      </c>
      <c r="MP37" s="86" t="e">
        <f>VLOOKUP(MP$1,Amort!$B:$K,3,0)</f>
        <v>#N/A</v>
      </c>
      <c r="MQ37" s="86" t="e">
        <f>VLOOKUP(MQ$1,Amort!$B:$K,3,0)</f>
        <v>#N/A</v>
      </c>
      <c r="MR37" s="86" t="e">
        <f>VLOOKUP(MR$1,Amort!$B:$K,3,0)</f>
        <v>#N/A</v>
      </c>
      <c r="MS37" s="86" t="e">
        <f>VLOOKUP(MS$1,Amort!$B:$K,3,0)</f>
        <v>#N/A</v>
      </c>
      <c r="MT37" s="86" t="e">
        <f>VLOOKUP(MT$1,Amort!$B:$K,3,0)</f>
        <v>#N/A</v>
      </c>
      <c r="MU37" s="86" t="e">
        <f>VLOOKUP(MU$1,Amort!$B:$K,3,0)</f>
        <v>#N/A</v>
      </c>
      <c r="MV37" s="86" t="e">
        <f>VLOOKUP(MV$1,Amort!$B:$K,3,0)</f>
        <v>#N/A</v>
      </c>
      <c r="MW37" s="86" t="e">
        <f>VLOOKUP(MW$1,Amort!$B:$K,3,0)</f>
        <v>#N/A</v>
      </c>
      <c r="MX37" s="86" t="e">
        <f>VLOOKUP(MX$1,Amort!$B:$K,3,0)</f>
        <v>#N/A</v>
      </c>
      <c r="MY37" s="86" t="e">
        <f>VLOOKUP(MY$1,Amort!$B:$K,3,0)</f>
        <v>#N/A</v>
      </c>
      <c r="MZ37" s="86" t="e">
        <f>VLOOKUP(MZ$1,Amort!$B:$K,3,0)</f>
        <v>#N/A</v>
      </c>
      <c r="NA37" s="87" t="e">
        <f t="shared" ref="NA37:NA39" si="836">SUM(MO37:MZ37)</f>
        <v>#N/A</v>
      </c>
      <c r="NB37" s="86" t="e">
        <f>VLOOKUP(NB$1,Amort!$B:$K,3,0)</f>
        <v>#N/A</v>
      </c>
      <c r="NC37" s="86" t="e">
        <f>VLOOKUP(NC$1,Amort!$B:$K,3,0)</f>
        <v>#N/A</v>
      </c>
      <c r="ND37" s="86" t="e">
        <f>VLOOKUP(ND$1,Amort!$B:$K,3,0)</f>
        <v>#N/A</v>
      </c>
      <c r="NE37" s="86" t="e">
        <f>VLOOKUP(NE$1,Amort!$B:$K,3,0)</f>
        <v>#N/A</v>
      </c>
      <c r="NF37" s="86" t="e">
        <f>VLOOKUP(NF$1,Amort!$B:$K,3,0)</f>
        <v>#N/A</v>
      </c>
      <c r="NG37" s="86" t="e">
        <f>VLOOKUP(NG$1,Amort!$B:$K,3,0)</f>
        <v>#N/A</v>
      </c>
      <c r="NH37" s="86" t="e">
        <f>VLOOKUP(NH$1,Amort!$B:$K,3,0)</f>
        <v>#N/A</v>
      </c>
      <c r="NI37" s="86" t="e">
        <f>VLOOKUP(NI$1,Amort!$B:$K,3,0)</f>
        <v>#N/A</v>
      </c>
      <c r="NJ37" s="86" t="e">
        <f>VLOOKUP(NJ$1,Amort!$B:$K,3,0)</f>
        <v>#N/A</v>
      </c>
      <c r="NK37" s="86" t="e">
        <f>VLOOKUP(NK$1,Amort!$B:$K,3,0)</f>
        <v>#N/A</v>
      </c>
      <c r="NL37" s="86" t="e">
        <f>VLOOKUP(NL$1,Amort!$B:$K,3,0)</f>
        <v>#N/A</v>
      </c>
      <c r="NM37" s="86" t="e">
        <f>VLOOKUP(NM$1,Amort!$B:$K,3,0)</f>
        <v>#N/A</v>
      </c>
      <c r="NN37" s="87" t="e">
        <f t="shared" ref="NN37:NN39" si="837">SUM(NB37:NM37)</f>
        <v>#N/A</v>
      </c>
      <c r="NO37" s="86" t="e">
        <f>VLOOKUP(NO$1,Amort!$B:$K,3,0)</f>
        <v>#N/A</v>
      </c>
      <c r="NP37" s="86" t="e">
        <f>VLOOKUP(NP$1,Amort!$B:$K,3,0)</f>
        <v>#N/A</v>
      </c>
      <c r="NQ37" s="86" t="e">
        <f>VLOOKUP(NQ$1,Amort!$B:$K,3,0)</f>
        <v>#N/A</v>
      </c>
      <c r="NR37" s="86" t="e">
        <f>VLOOKUP(NR$1,Amort!$B:$K,3,0)</f>
        <v>#N/A</v>
      </c>
      <c r="NS37" s="86" t="e">
        <f>VLOOKUP(NS$1,Amort!$B:$K,3,0)</f>
        <v>#N/A</v>
      </c>
      <c r="NT37" s="86" t="e">
        <f>VLOOKUP(NT$1,Amort!$B:$K,3,0)</f>
        <v>#N/A</v>
      </c>
      <c r="NU37" s="86" t="e">
        <f>VLOOKUP(NU$1,Amort!$B:$K,3,0)</f>
        <v>#N/A</v>
      </c>
      <c r="NV37" s="86" t="e">
        <f>VLOOKUP(NV$1,Amort!$B:$K,3,0)</f>
        <v>#N/A</v>
      </c>
      <c r="NW37" s="86" t="e">
        <f>VLOOKUP(NW$1,Amort!$B:$K,3,0)</f>
        <v>#N/A</v>
      </c>
      <c r="NX37" s="86" t="e">
        <f>VLOOKUP(NX$1,Amort!$B:$K,3,0)</f>
        <v>#N/A</v>
      </c>
      <c r="NY37" s="86" t="e">
        <f>VLOOKUP(NY$1,Amort!$B:$K,3,0)</f>
        <v>#N/A</v>
      </c>
      <c r="NZ37" s="86" t="e">
        <f>VLOOKUP(NZ$1,Amort!$B:$K,3,0)</f>
        <v>#N/A</v>
      </c>
      <c r="OA37" s="87" t="e">
        <f t="shared" ref="OA37:OA39" si="838">SUM(NO37:NZ37)</f>
        <v>#N/A</v>
      </c>
      <c r="OB37" s="86" t="e">
        <f>VLOOKUP(OB$1,Amort!$B:$K,3,0)</f>
        <v>#N/A</v>
      </c>
      <c r="OC37" s="86" t="e">
        <f>VLOOKUP(OC$1,Amort!$B:$K,3,0)</f>
        <v>#N/A</v>
      </c>
      <c r="OD37" s="86" t="e">
        <f>VLOOKUP(OD$1,Amort!$B:$K,3,0)</f>
        <v>#N/A</v>
      </c>
      <c r="OE37" s="86" t="e">
        <f>VLOOKUP(OE$1,Amort!$B:$K,3,0)</f>
        <v>#N/A</v>
      </c>
      <c r="OF37" s="86" t="e">
        <f>VLOOKUP(OF$1,Amort!$B:$K,3,0)</f>
        <v>#N/A</v>
      </c>
      <c r="OG37" s="86" t="e">
        <f>VLOOKUP(OG$1,Amort!$B:$K,3,0)</f>
        <v>#N/A</v>
      </c>
      <c r="OH37" s="86" t="e">
        <f>VLOOKUP(OH$1,Amort!$B:$K,3,0)</f>
        <v>#N/A</v>
      </c>
      <c r="OI37" s="86" t="e">
        <f>VLOOKUP(OI$1,Amort!$B:$K,3,0)</f>
        <v>#N/A</v>
      </c>
      <c r="OJ37" s="86" t="e">
        <f>VLOOKUP(OJ$1,Amort!$B:$K,3,0)</f>
        <v>#N/A</v>
      </c>
      <c r="OK37" s="86" t="e">
        <f>VLOOKUP(OK$1,Amort!$B:$K,3,0)</f>
        <v>#N/A</v>
      </c>
      <c r="OL37" s="86" t="e">
        <f>VLOOKUP(OL$1,Amort!$B:$K,3,0)</f>
        <v>#N/A</v>
      </c>
      <c r="OM37" s="86" t="e">
        <f>VLOOKUP(OM$1,Amort!$B:$K,3,0)</f>
        <v>#N/A</v>
      </c>
      <c r="ON37" s="87" t="e">
        <f t="shared" ref="ON37:ON39" si="839">SUM(OB37:OM37)</f>
        <v>#N/A</v>
      </c>
      <c r="OO37" s="86" t="e">
        <f>VLOOKUP(OO$1,Amort!$B:$K,3,0)</f>
        <v>#N/A</v>
      </c>
      <c r="OP37" s="86" t="e">
        <f>VLOOKUP(OP$1,Amort!$B:$K,3,0)</f>
        <v>#N/A</v>
      </c>
      <c r="OQ37" s="86" t="e">
        <f>VLOOKUP(OQ$1,Amort!$B:$K,3,0)</f>
        <v>#N/A</v>
      </c>
      <c r="OR37" s="86" t="e">
        <f>VLOOKUP(OR$1,Amort!$B:$K,3,0)</f>
        <v>#N/A</v>
      </c>
      <c r="OS37" s="86" t="e">
        <f>VLOOKUP(OS$1,Amort!$B:$K,3,0)</f>
        <v>#N/A</v>
      </c>
      <c r="OT37" s="86" t="e">
        <f>VLOOKUP(OT$1,Amort!$B:$K,3,0)</f>
        <v>#N/A</v>
      </c>
      <c r="OU37" s="86" t="e">
        <f>VLOOKUP(OU$1,Amort!$B:$K,3,0)</f>
        <v>#N/A</v>
      </c>
      <c r="OV37" s="86" t="e">
        <f>VLOOKUP(OV$1,Amort!$B:$K,3,0)</f>
        <v>#N/A</v>
      </c>
      <c r="OW37" s="86" t="e">
        <f>VLOOKUP(OW$1,Amort!$B:$K,3,0)</f>
        <v>#N/A</v>
      </c>
      <c r="OX37" s="86" t="e">
        <f>VLOOKUP(OX$1,Amort!$B:$K,3,0)</f>
        <v>#N/A</v>
      </c>
      <c r="OY37" s="86" t="e">
        <f>VLOOKUP(OY$1,Amort!$B:$K,3,0)</f>
        <v>#N/A</v>
      </c>
      <c r="OZ37" s="86" t="e">
        <f>VLOOKUP(OZ$1,Amort!$B:$K,3,0)</f>
        <v>#N/A</v>
      </c>
      <c r="PA37" s="87" t="e">
        <f t="shared" ref="PA37:PA39" si="840">SUM(OO37:OZ37)</f>
        <v>#N/A</v>
      </c>
      <c r="PB37" s="86" t="e">
        <f>VLOOKUP(PB$1,Amort!$B:$K,3,0)</f>
        <v>#N/A</v>
      </c>
      <c r="PC37" s="86" t="e">
        <f>VLOOKUP(PC$1,Amort!$B:$K,3,0)</f>
        <v>#N/A</v>
      </c>
      <c r="PD37" s="86" t="e">
        <f>VLOOKUP(PD$1,Amort!$B:$K,3,0)</f>
        <v>#N/A</v>
      </c>
      <c r="PE37" s="86" t="e">
        <f>VLOOKUP(PE$1,Amort!$B:$K,3,0)</f>
        <v>#N/A</v>
      </c>
      <c r="PF37" s="86" t="e">
        <f>VLOOKUP(PF$1,Amort!$B:$K,3,0)</f>
        <v>#N/A</v>
      </c>
      <c r="PG37" s="86" t="e">
        <f>VLOOKUP(PG$1,Amort!$B:$K,3,0)</f>
        <v>#N/A</v>
      </c>
      <c r="PH37" s="86" t="e">
        <f>VLOOKUP(PH$1,Amort!$B:$K,3,0)</f>
        <v>#N/A</v>
      </c>
      <c r="PI37" s="86" t="e">
        <f>VLOOKUP(PI$1,Amort!$B:$K,3,0)</f>
        <v>#N/A</v>
      </c>
      <c r="PJ37" s="86" t="e">
        <f>VLOOKUP(PJ$1,Amort!$B:$K,3,0)</f>
        <v>#N/A</v>
      </c>
      <c r="PK37" s="86" t="e">
        <f>VLOOKUP(PK$1,Amort!$B:$K,3,0)</f>
        <v>#N/A</v>
      </c>
      <c r="PL37" s="86" t="e">
        <f>VLOOKUP(PL$1,Amort!$B:$K,3,0)</f>
        <v>#N/A</v>
      </c>
      <c r="PM37" s="86" t="e">
        <f>VLOOKUP(PM$1,Amort!$B:$K,3,0)</f>
        <v>#N/A</v>
      </c>
      <c r="PN37" s="87" t="e">
        <f t="shared" ref="PN37:PN39" si="841">SUM(PB37:PM37)</f>
        <v>#N/A</v>
      </c>
      <c r="PO37" s="86" t="e">
        <f>VLOOKUP(PO$1,Amort!$B:$K,3,0)</f>
        <v>#N/A</v>
      </c>
      <c r="PP37" s="86" t="e">
        <f>VLOOKUP(PP$1,Amort!$B:$K,3,0)</f>
        <v>#N/A</v>
      </c>
      <c r="PQ37" s="86" t="e">
        <f>VLOOKUP(PQ$1,Amort!$B:$K,3,0)</f>
        <v>#N/A</v>
      </c>
      <c r="PR37" s="86" t="e">
        <f>VLOOKUP(PR$1,Amort!$B:$K,3,0)</f>
        <v>#N/A</v>
      </c>
      <c r="PS37" s="86" t="e">
        <f>VLOOKUP(PS$1,Amort!$B:$K,3,0)</f>
        <v>#N/A</v>
      </c>
      <c r="PT37" s="86" t="e">
        <f>VLOOKUP(PT$1,Amort!$B:$K,3,0)</f>
        <v>#N/A</v>
      </c>
      <c r="PU37" s="86" t="e">
        <f>VLOOKUP(PU$1,Amort!$B:$K,3,0)</f>
        <v>#N/A</v>
      </c>
      <c r="PV37" s="86" t="e">
        <f>VLOOKUP(PV$1,Amort!$B:$K,3,0)</f>
        <v>#N/A</v>
      </c>
      <c r="PW37" s="86" t="e">
        <f>VLOOKUP(PW$1,Amort!$B:$K,3,0)</f>
        <v>#N/A</v>
      </c>
      <c r="PX37" s="86" t="e">
        <f>VLOOKUP(PX$1,Amort!$B:$K,3,0)</f>
        <v>#N/A</v>
      </c>
      <c r="PY37" s="86" t="e">
        <f>VLOOKUP(PY$1,Amort!$B:$K,3,0)</f>
        <v>#N/A</v>
      </c>
      <c r="PZ37" s="86" t="e">
        <f>VLOOKUP(PZ$1,Amort!$B:$K,3,0)</f>
        <v>#N/A</v>
      </c>
      <c r="QA37" s="87" t="e">
        <f t="shared" ref="QA37:QA39" si="842">SUM(PO37:PZ37)</f>
        <v>#N/A</v>
      </c>
      <c r="QB37" s="86" t="e">
        <f>VLOOKUP(QB$1,Amort!$B:$K,3,0)</f>
        <v>#N/A</v>
      </c>
      <c r="QC37" s="86" t="e">
        <f>VLOOKUP(QC$1,Amort!$B:$K,3,0)</f>
        <v>#N/A</v>
      </c>
      <c r="QD37" s="86" t="e">
        <f>VLOOKUP(QD$1,Amort!$B:$K,3,0)</f>
        <v>#N/A</v>
      </c>
      <c r="QE37" s="86" t="e">
        <f>VLOOKUP(QE$1,Amort!$B:$K,3,0)</f>
        <v>#N/A</v>
      </c>
      <c r="QF37" s="86" t="e">
        <f>VLOOKUP(QF$1,Amort!$B:$K,3,0)</f>
        <v>#N/A</v>
      </c>
      <c r="QG37" s="86" t="e">
        <f>VLOOKUP(QG$1,Amort!$B:$K,3,0)</f>
        <v>#N/A</v>
      </c>
      <c r="QH37" s="86" t="e">
        <f>VLOOKUP(QH$1,Amort!$B:$K,3,0)</f>
        <v>#N/A</v>
      </c>
      <c r="QI37" s="86" t="e">
        <f>VLOOKUP(QI$1,Amort!$B:$K,3,0)</f>
        <v>#N/A</v>
      </c>
      <c r="QJ37" s="86" t="e">
        <f>VLOOKUP(QJ$1,Amort!$B:$K,3,0)</f>
        <v>#N/A</v>
      </c>
      <c r="QK37" s="86" t="e">
        <f>VLOOKUP(QK$1,Amort!$B:$K,3,0)</f>
        <v>#N/A</v>
      </c>
      <c r="QL37" s="86" t="e">
        <f>VLOOKUP(QL$1,Amort!$B:$K,3,0)</f>
        <v>#N/A</v>
      </c>
      <c r="QM37" s="86" t="e">
        <f>VLOOKUP(QM$1,Amort!$B:$K,3,0)</f>
        <v>#N/A</v>
      </c>
      <c r="QN37" s="87" t="e">
        <f t="shared" ref="QN37:QN39" si="843">SUM(QB37:QM37)</f>
        <v>#N/A</v>
      </c>
      <c r="QO37" s="86" t="e">
        <f>VLOOKUP(QO$1,Amort!$B:$K,3,0)</f>
        <v>#N/A</v>
      </c>
      <c r="QP37" s="86" t="e">
        <f>VLOOKUP(QP$1,Amort!$B:$K,3,0)</f>
        <v>#N/A</v>
      </c>
      <c r="QQ37" s="86" t="e">
        <f>VLOOKUP(QQ$1,Amort!$B:$K,3,0)</f>
        <v>#N/A</v>
      </c>
      <c r="QR37" s="86" t="e">
        <f>VLOOKUP(QR$1,Amort!$B:$K,3,0)</f>
        <v>#N/A</v>
      </c>
      <c r="QS37" s="86" t="e">
        <f>VLOOKUP(QS$1,Amort!$B:$K,3,0)</f>
        <v>#N/A</v>
      </c>
      <c r="QT37" s="86" t="e">
        <f>VLOOKUP(QT$1,Amort!$B:$K,3,0)</f>
        <v>#N/A</v>
      </c>
      <c r="QU37" s="86" t="e">
        <f>VLOOKUP(QU$1,Amort!$B:$K,3,0)</f>
        <v>#N/A</v>
      </c>
      <c r="QV37" s="86" t="e">
        <f>VLOOKUP(QV$1,Amort!$B:$K,3,0)</f>
        <v>#N/A</v>
      </c>
      <c r="QW37" s="86" t="e">
        <f>VLOOKUP(QW$1,Amort!$B:$K,3,0)</f>
        <v>#N/A</v>
      </c>
      <c r="QX37" s="86" t="e">
        <f>VLOOKUP(QX$1,Amort!$B:$K,3,0)</f>
        <v>#N/A</v>
      </c>
      <c r="QY37" s="86" t="e">
        <f>VLOOKUP(QY$1,Amort!$B:$K,3,0)</f>
        <v>#N/A</v>
      </c>
      <c r="QZ37" s="86" t="e">
        <f>VLOOKUP(QZ$1,Amort!$B:$K,3,0)</f>
        <v>#N/A</v>
      </c>
      <c r="RA37" s="87" t="e">
        <f t="shared" ref="RA37:RA39" si="844">SUM(QO37:QZ37)</f>
        <v>#N/A</v>
      </c>
      <c r="RB37" s="86" t="e">
        <f>VLOOKUP(RB$1,Amort!$B:$K,3,0)</f>
        <v>#N/A</v>
      </c>
      <c r="RC37" s="86" t="e">
        <f>VLOOKUP(RC$1,Amort!$B:$K,3,0)</f>
        <v>#N/A</v>
      </c>
      <c r="RD37" s="86" t="e">
        <f>VLOOKUP(RD$1,Amort!$B:$K,3,0)</f>
        <v>#N/A</v>
      </c>
      <c r="RE37" s="86" t="e">
        <f>VLOOKUP(RE$1,Amort!$B:$K,3,0)</f>
        <v>#N/A</v>
      </c>
      <c r="RF37" s="86" t="e">
        <f>VLOOKUP(RF$1,Amort!$B:$K,3,0)</f>
        <v>#N/A</v>
      </c>
      <c r="RG37" s="86" t="e">
        <f>VLOOKUP(RG$1,Amort!$B:$K,3,0)</f>
        <v>#N/A</v>
      </c>
      <c r="RH37" s="86" t="e">
        <f>VLOOKUP(RH$1,Amort!$B:$K,3,0)</f>
        <v>#N/A</v>
      </c>
      <c r="RI37" s="86" t="e">
        <f>VLOOKUP(RI$1,Amort!$B:$K,3,0)</f>
        <v>#N/A</v>
      </c>
      <c r="RJ37" s="86" t="e">
        <f>VLOOKUP(RJ$1,Amort!$B:$K,3,0)</f>
        <v>#N/A</v>
      </c>
      <c r="RK37" s="86" t="e">
        <f>VLOOKUP(RK$1,Amort!$B:$K,3,0)</f>
        <v>#N/A</v>
      </c>
      <c r="RL37" s="86" t="e">
        <f>VLOOKUP(RL$1,Amort!$B:$K,3,0)</f>
        <v>#N/A</v>
      </c>
      <c r="RM37" s="86" t="e">
        <f>VLOOKUP(RM$1,Amort!$B:$K,3,0)</f>
        <v>#N/A</v>
      </c>
      <c r="RN37" s="87" t="e">
        <f t="shared" ref="RN37:RN39" si="845">SUM(RB37:RM37)</f>
        <v>#N/A</v>
      </c>
    </row>
    <row r="38" spans="1:482" hidden="1" outlineLevel="1" x14ac:dyDescent="0.3">
      <c r="A38" s="89" t="s">
        <v>255</v>
      </c>
      <c r="B38" s="86">
        <f>VLOOKUP(B$1,Amort!$B:$K,8,0)</f>
        <v>0</v>
      </c>
      <c r="C38" s="86">
        <f>VLOOKUP(C$1,Amort!$B:$K,8,0)</f>
        <v>0</v>
      </c>
      <c r="D38" s="86">
        <f>VLOOKUP(D$1,Amort!$B:$K,8,0)</f>
        <v>0</v>
      </c>
      <c r="E38" s="86">
        <f>VLOOKUP(E$1,Amort!$B:$K,8,0)</f>
        <v>0</v>
      </c>
      <c r="F38" s="86">
        <f>VLOOKUP(F$1,Amort!$B:$K,8,0)</f>
        <v>0</v>
      </c>
      <c r="G38" s="86">
        <f>VLOOKUP(G$1,Amort!$B:$K,8,0)</f>
        <v>0</v>
      </c>
      <c r="H38" s="86">
        <f>VLOOKUP(H$1,Amort!$B:$K,8,0)</f>
        <v>0</v>
      </c>
      <c r="I38" s="86">
        <f>VLOOKUP(I$1,Amort!$B:$K,8,0)</f>
        <v>0</v>
      </c>
      <c r="J38" s="86">
        <f>VLOOKUP(J$1,Amort!$B:$K,8,0)</f>
        <v>0</v>
      </c>
      <c r="K38" s="86">
        <f>VLOOKUP(K$1,Amort!$B:$K,8,0)</f>
        <v>0</v>
      </c>
      <c r="L38" s="86">
        <f>VLOOKUP(L$1,Amort!$B:$K,8,0)</f>
        <v>0</v>
      </c>
      <c r="M38" s="86">
        <f>VLOOKUP(M$1,Amort!$B:$K,8,0)</f>
        <v>0</v>
      </c>
      <c r="N38" s="87">
        <f t="shared" si="809"/>
        <v>0</v>
      </c>
      <c r="O38" s="86">
        <f>VLOOKUP(O$1,Amort!$B:$K,8,0)</f>
        <v>0</v>
      </c>
      <c r="P38" s="86">
        <f>VLOOKUP(P$1,Amort!$B:$K,8,0)</f>
        <v>0</v>
      </c>
      <c r="Q38" s="86">
        <f>VLOOKUP(Q$1,Amort!$B:$K,8,0)</f>
        <v>0</v>
      </c>
      <c r="R38" s="86">
        <f>VLOOKUP(R$1,Amort!$B:$K,8,0)</f>
        <v>0</v>
      </c>
      <c r="S38" s="86">
        <f>VLOOKUP(S$1,Amort!$B:$K,8,0)</f>
        <v>0</v>
      </c>
      <c r="T38" s="86">
        <f>VLOOKUP(T$1,Amort!$B:$K,8,0)</f>
        <v>0</v>
      </c>
      <c r="U38" s="86">
        <f>VLOOKUP(U$1,Amort!$B:$K,8,0)</f>
        <v>0</v>
      </c>
      <c r="V38" s="86">
        <f>VLOOKUP(V$1,Amort!$B:$K,8,0)</f>
        <v>0</v>
      </c>
      <c r="W38" s="86">
        <f>VLOOKUP(W$1,Amort!$B:$K,8,0)</f>
        <v>0</v>
      </c>
      <c r="X38" s="86">
        <f>VLOOKUP(X$1,Amort!$B:$K,8,0)</f>
        <v>0</v>
      </c>
      <c r="Y38" s="86">
        <f>VLOOKUP(Y$1,Amort!$B:$K,8,0)</f>
        <v>0</v>
      </c>
      <c r="Z38" s="86">
        <f>VLOOKUP(Z$1,Amort!$B:$K,8,0)</f>
        <v>0</v>
      </c>
      <c r="AA38" s="87">
        <f t="shared" si="810"/>
        <v>0</v>
      </c>
      <c r="AB38" s="86">
        <f>VLOOKUP(AB$1,Amort!$B:$K,8,0)</f>
        <v>0</v>
      </c>
      <c r="AC38" s="86">
        <f>VLOOKUP(AC$1,Amort!$B:$K,8,0)</f>
        <v>0</v>
      </c>
      <c r="AD38" s="86">
        <f>VLOOKUP(AD$1,Amort!$B:$K,8,0)</f>
        <v>0</v>
      </c>
      <c r="AE38" s="86">
        <f>VLOOKUP(AE$1,Amort!$B:$K,8,0)</f>
        <v>0</v>
      </c>
      <c r="AF38" s="86">
        <f>VLOOKUP(AF$1,Amort!$B:$K,8,0)</f>
        <v>0</v>
      </c>
      <c r="AG38" s="86">
        <f>VLOOKUP(AG$1,Amort!$B:$K,8,0)</f>
        <v>0</v>
      </c>
      <c r="AH38" s="86">
        <f>VLOOKUP(AH$1,Amort!$B:$K,8,0)</f>
        <v>0</v>
      </c>
      <c r="AI38" s="86">
        <f>VLOOKUP(AI$1,Amort!$B:$K,8,0)</f>
        <v>0</v>
      </c>
      <c r="AJ38" s="86">
        <f>VLOOKUP(AJ$1,Amort!$B:$K,8,0)</f>
        <v>0</v>
      </c>
      <c r="AK38" s="86">
        <f>VLOOKUP(AK$1,Amort!$B:$K,8,0)</f>
        <v>0</v>
      </c>
      <c r="AL38" s="86">
        <f>VLOOKUP(AL$1,Amort!$B:$K,8,0)</f>
        <v>0</v>
      </c>
      <c r="AM38" s="86">
        <f>VLOOKUP(AM$1,Amort!$B:$K,8,0)</f>
        <v>0</v>
      </c>
      <c r="AN38" s="87">
        <f t="shared" si="811"/>
        <v>0</v>
      </c>
      <c r="AO38" s="86">
        <f>VLOOKUP(AO$1,Amort!$B:$K,8,0)</f>
        <v>0</v>
      </c>
      <c r="AP38" s="86">
        <f>VLOOKUP(AP$1,Amort!$B:$K,8,0)</f>
        <v>0</v>
      </c>
      <c r="AQ38" s="86">
        <f>VLOOKUP(AQ$1,Amort!$B:$K,8,0)</f>
        <v>0</v>
      </c>
      <c r="AR38" s="86">
        <f>VLOOKUP(AR$1,Amort!$B:$K,8,0)</f>
        <v>0</v>
      </c>
      <c r="AS38" s="86">
        <f>VLOOKUP(AS$1,Amort!$B:$K,8,0)</f>
        <v>0</v>
      </c>
      <c r="AT38" s="86">
        <f>VLOOKUP(AT$1,Amort!$B:$K,8,0)</f>
        <v>0</v>
      </c>
      <c r="AU38" s="86">
        <f>VLOOKUP(AU$1,Amort!$B:$K,8,0)</f>
        <v>0</v>
      </c>
      <c r="AV38" s="86">
        <f>VLOOKUP(AV$1,Amort!$B:$K,8,0)</f>
        <v>0</v>
      </c>
      <c r="AW38" s="86">
        <f>VLOOKUP(AW$1,Amort!$B:$K,8,0)</f>
        <v>0</v>
      </c>
      <c r="AX38" s="86">
        <f>VLOOKUP(AX$1,Amort!$B:$K,8,0)</f>
        <v>0</v>
      </c>
      <c r="AY38" s="86">
        <f>VLOOKUP(AY$1,Amort!$B:$K,8,0)</f>
        <v>0</v>
      </c>
      <c r="AZ38" s="86">
        <f>VLOOKUP(AZ$1,Amort!$B:$K,8,0)</f>
        <v>0</v>
      </c>
      <c r="BA38" s="87">
        <f t="shared" si="812"/>
        <v>0</v>
      </c>
      <c r="BB38" s="86">
        <f>VLOOKUP(BB$1,Amort!$B:$K,8,0)</f>
        <v>0</v>
      </c>
      <c r="BC38" s="86">
        <f>VLOOKUP(BC$1,Amort!$B:$K,8,0)</f>
        <v>0</v>
      </c>
      <c r="BD38" s="86">
        <f>VLOOKUP(BD$1,Amort!$B:$K,8,0)</f>
        <v>0</v>
      </c>
      <c r="BE38" s="86">
        <f>VLOOKUP(BE$1,Amort!$B:$K,8,0)</f>
        <v>0</v>
      </c>
      <c r="BF38" s="86">
        <f>VLOOKUP(BF$1,Amort!$B:$K,8,0)</f>
        <v>0</v>
      </c>
      <c r="BG38" s="86">
        <f>VLOOKUP(BG$1,Amort!$B:$K,8,0)</f>
        <v>0</v>
      </c>
      <c r="BH38" s="86">
        <f>VLOOKUP(BH$1,Amort!$B:$K,8,0)</f>
        <v>0</v>
      </c>
      <c r="BI38" s="86">
        <f>VLOOKUP(BI$1,Amort!$B:$K,8,0)</f>
        <v>0</v>
      </c>
      <c r="BJ38" s="86">
        <f>VLOOKUP(BJ$1,Amort!$B:$K,8,0)</f>
        <v>0</v>
      </c>
      <c r="BK38" s="86">
        <f>VLOOKUP(BK$1,Amort!$B:$K,8,0)</f>
        <v>0</v>
      </c>
      <c r="BL38" s="86">
        <f>VLOOKUP(BL$1,Amort!$B:$K,8,0)</f>
        <v>0</v>
      </c>
      <c r="BM38" s="86">
        <f>VLOOKUP(BM$1,Amort!$B:$K,8,0)</f>
        <v>0</v>
      </c>
      <c r="BN38" s="87">
        <f t="shared" si="813"/>
        <v>0</v>
      </c>
      <c r="BO38" s="86">
        <f>VLOOKUP(BO$1,Amort!$B:$K,8,0)</f>
        <v>0</v>
      </c>
      <c r="BP38" s="86">
        <f>VLOOKUP(BP$1,Amort!$B:$K,8,0)</f>
        <v>0</v>
      </c>
      <c r="BQ38" s="86">
        <f>VLOOKUP(BQ$1,Amort!$B:$K,8,0)</f>
        <v>0</v>
      </c>
      <c r="BR38" s="86">
        <f>VLOOKUP(BR$1,Amort!$B:$K,8,0)</f>
        <v>0</v>
      </c>
      <c r="BS38" s="86">
        <f>VLOOKUP(BS$1,Amort!$B:$K,8,0)</f>
        <v>0</v>
      </c>
      <c r="BT38" s="86">
        <f>VLOOKUP(BT$1,Amort!$B:$K,8,0)</f>
        <v>0</v>
      </c>
      <c r="BU38" s="86">
        <f>VLOOKUP(BU$1,Amort!$B:$K,8,0)</f>
        <v>0</v>
      </c>
      <c r="BV38" s="86">
        <f>VLOOKUP(BV$1,Amort!$B:$K,8,0)</f>
        <v>0</v>
      </c>
      <c r="BW38" s="86">
        <f>VLOOKUP(BW$1,Amort!$B:$K,8,0)</f>
        <v>0</v>
      </c>
      <c r="BX38" s="86">
        <f>VLOOKUP(BX$1,Amort!$B:$K,8,0)</f>
        <v>0</v>
      </c>
      <c r="BY38" s="86">
        <f>VLOOKUP(BY$1,Amort!$B:$K,8,0)</f>
        <v>0</v>
      </c>
      <c r="BZ38" s="86">
        <f>VLOOKUP(BZ$1,Amort!$B:$K,8,0)</f>
        <v>0</v>
      </c>
      <c r="CA38" s="87">
        <f t="shared" si="814"/>
        <v>0</v>
      </c>
      <c r="CB38" s="86">
        <f>VLOOKUP(CB$1,Amort!$B:$K,8,0)</f>
        <v>0</v>
      </c>
      <c r="CC38" s="86">
        <f>VLOOKUP(CC$1,Amort!$B:$K,8,0)</f>
        <v>0</v>
      </c>
      <c r="CD38" s="86">
        <f>VLOOKUP(CD$1,Amort!$B:$K,8,0)</f>
        <v>0</v>
      </c>
      <c r="CE38" s="86">
        <f>VLOOKUP(CE$1,Amort!$B:$K,8,0)</f>
        <v>0</v>
      </c>
      <c r="CF38" s="86">
        <f>VLOOKUP(CF$1,Amort!$B:$K,8,0)</f>
        <v>0</v>
      </c>
      <c r="CG38" s="86">
        <f>VLOOKUP(CG$1,Amort!$B:$K,8,0)</f>
        <v>0</v>
      </c>
      <c r="CH38" s="86">
        <f>VLOOKUP(CH$1,Amort!$B:$K,8,0)</f>
        <v>0</v>
      </c>
      <c r="CI38" s="86">
        <f>VLOOKUP(CI$1,Amort!$B:$K,8,0)</f>
        <v>0</v>
      </c>
      <c r="CJ38" s="86">
        <f>VLOOKUP(CJ$1,Amort!$B:$K,8,0)</f>
        <v>0</v>
      </c>
      <c r="CK38" s="86">
        <f>VLOOKUP(CK$1,Amort!$B:$K,8,0)</f>
        <v>0</v>
      </c>
      <c r="CL38" s="86">
        <f>VLOOKUP(CL$1,Amort!$B:$K,8,0)</f>
        <v>0</v>
      </c>
      <c r="CM38" s="86">
        <f>VLOOKUP(CM$1,Amort!$B:$K,8,0)</f>
        <v>0</v>
      </c>
      <c r="CN38" s="87">
        <f t="shared" si="815"/>
        <v>0</v>
      </c>
      <c r="CO38" s="86">
        <f>VLOOKUP(CO$1,Amort!$B:$K,8,0)</f>
        <v>0</v>
      </c>
      <c r="CP38" s="86">
        <f>VLOOKUP(CP$1,Amort!$B:$K,8,0)</f>
        <v>0</v>
      </c>
      <c r="CQ38" s="86">
        <f>VLOOKUP(CQ$1,Amort!$B:$K,8,0)</f>
        <v>0</v>
      </c>
      <c r="CR38" s="86">
        <f>VLOOKUP(CR$1,Amort!$B:$K,8,0)</f>
        <v>0</v>
      </c>
      <c r="CS38" s="86">
        <f>VLOOKUP(CS$1,Amort!$B:$K,8,0)</f>
        <v>0</v>
      </c>
      <c r="CT38" s="86">
        <f>VLOOKUP(CT$1,Amort!$B:$K,8,0)</f>
        <v>0</v>
      </c>
      <c r="CU38" s="86">
        <f>VLOOKUP(CU$1,Amort!$B:$K,8,0)</f>
        <v>0</v>
      </c>
      <c r="CV38" s="86">
        <f>VLOOKUP(CV$1,Amort!$B:$K,8,0)</f>
        <v>0</v>
      </c>
      <c r="CW38" s="86">
        <f>VLOOKUP(CW$1,Amort!$B:$K,8,0)</f>
        <v>0</v>
      </c>
      <c r="CX38" s="86">
        <f>VLOOKUP(CX$1,Amort!$B:$K,8,0)</f>
        <v>0</v>
      </c>
      <c r="CY38" s="86">
        <f>VLOOKUP(CY$1,Amort!$B:$K,8,0)</f>
        <v>0</v>
      </c>
      <c r="CZ38" s="86">
        <f>VLOOKUP(CZ$1,Amort!$B:$K,8,0)</f>
        <v>0</v>
      </c>
      <c r="DA38" s="87">
        <f t="shared" si="816"/>
        <v>0</v>
      </c>
      <c r="DB38" s="86">
        <f>VLOOKUP(DB$1,Amort!$B:$K,8,0)</f>
        <v>0</v>
      </c>
      <c r="DC38" s="86">
        <f>VLOOKUP(DC$1,Amort!$B:$K,8,0)</f>
        <v>0</v>
      </c>
      <c r="DD38" s="86">
        <f>VLOOKUP(DD$1,Amort!$B:$K,8,0)</f>
        <v>0</v>
      </c>
      <c r="DE38" s="86">
        <f>VLOOKUP(DE$1,Amort!$B:$K,8,0)</f>
        <v>0</v>
      </c>
      <c r="DF38" s="86">
        <f>VLOOKUP(DF$1,Amort!$B:$K,8,0)</f>
        <v>0</v>
      </c>
      <c r="DG38" s="86">
        <f>VLOOKUP(DG$1,Amort!$B:$K,8,0)</f>
        <v>0</v>
      </c>
      <c r="DH38" s="86">
        <f>VLOOKUP(DH$1,Amort!$B:$K,8,0)</f>
        <v>0</v>
      </c>
      <c r="DI38" s="86">
        <f>VLOOKUP(DI$1,Amort!$B:$K,8,0)</f>
        <v>0</v>
      </c>
      <c r="DJ38" s="86">
        <f>VLOOKUP(DJ$1,Amort!$B:$K,8,0)</f>
        <v>0</v>
      </c>
      <c r="DK38" s="86">
        <f>VLOOKUP(DK$1,Amort!$B:$K,8,0)</f>
        <v>0</v>
      </c>
      <c r="DL38" s="86">
        <f>VLOOKUP(DL$1,Amort!$B:$K,8,0)</f>
        <v>0</v>
      </c>
      <c r="DM38" s="86">
        <f>VLOOKUP(DM$1,Amort!$B:$K,8,0)</f>
        <v>0</v>
      </c>
      <c r="DN38" s="87">
        <f t="shared" si="817"/>
        <v>0</v>
      </c>
      <c r="DO38" s="86">
        <f>VLOOKUP(DO$1,Amort!$B:$K,8,0)</f>
        <v>0</v>
      </c>
      <c r="DP38" s="86">
        <f>VLOOKUP(DP$1,Amort!$B:$K,8,0)</f>
        <v>0</v>
      </c>
      <c r="DQ38" s="86">
        <f>VLOOKUP(DQ$1,Amort!$B:$K,8,0)</f>
        <v>0</v>
      </c>
      <c r="DR38" s="86">
        <f>VLOOKUP(DR$1,Amort!$B:$K,8,0)</f>
        <v>0</v>
      </c>
      <c r="DS38" s="86">
        <f>VLOOKUP(DS$1,Amort!$B:$K,8,0)</f>
        <v>0</v>
      </c>
      <c r="DT38" s="86">
        <f>VLOOKUP(DT$1,Amort!$B:$K,8,0)</f>
        <v>0</v>
      </c>
      <c r="DU38" s="86">
        <f>VLOOKUP(DU$1,Amort!$B:$K,8,0)</f>
        <v>0</v>
      </c>
      <c r="DV38" s="86">
        <f>VLOOKUP(DV$1,Amort!$B:$K,8,0)</f>
        <v>0</v>
      </c>
      <c r="DW38" s="86">
        <f>VLOOKUP(DW$1,Amort!$B:$K,8,0)</f>
        <v>0</v>
      </c>
      <c r="DX38" s="86">
        <f>VLOOKUP(DX$1,Amort!$B:$K,8,0)</f>
        <v>0</v>
      </c>
      <c r="DY38" s="86">
        <f>VLOOKUP(DY$1,Amort!$B:$K,8,0)</f>
        <v>0</v>
      </c>
      <c r="DZ38" s="86">
        <f>VLOOKUP(DZ$1,Amort!$B:$K,8,0)</f>
        <v>0</v>
      </c>
      <c r="EA38" s="87">
        <f t="shared" si="818"/>
        <v>0</v>
      </c>
      <c r="EB38" s="86">
        <f>VLOOKUP(EB$1,Amort!$B:$K,8,0)</f>
        <v>0</v>
      </c>
      <c r="EC38" s="86">
        <f>VLOOKUP(EC$1,Amort!$B:$K,8,0)</f>
        <v>0</v>
      </c>
      <c r="ED38" s="86">
        <f>VLOOKUP(ED$1,Amort!$B:$K,8,0)</f>
        <v>0</v>
      </c>
      <c r="EE38" s="86">
        <f>VLOOKUP(EE$1,Amort!$B:$K,8,0)</f>
        <v>0</v>
      </c>
      <c r="EF38" s="86">
        <f>VLOOKUP(EF$1,Amort!$B:$K,8,0)</f>
        <v>0</v>
      </c>
      <c r="EG38" s="86">
        <f>VLOOKUP(EG$1,Amort!$B:$K,8,0)</f>
        <v>0</v>
      </c>
      <c r="EH38" s="86">
        <f>VLOOKUP(EH$1,Amort!$B:$K,8,0)</f>
        <v>0</v>
      </c>
      <c r="EI38" s="86">
        <f>VLOOKUP(EI$1,Amort!$B:$K,8,0)</f>
        <v>0</v>
      </c>
      <c r="EJ38" s="86">
        <f>VLOOKUP(EJ$1,Amort!$B:$K,8,0)</f>
        <v>0</v>
      </c>
      <c r="EK38" s="86">
        <f>VLOOKUP(EK$1,Amort!$B:$K,8,0)</f>
        <v>0</v>
      </c>
      <c r="EL38" s="86">
        <f>VLOOKUP(EL$1,Amort!$B:$K,8,0)</f>
        <v>0</v>
      </c>
      <c r="EM38" s="86">
        <f>VLOOKUP(EM$1,Amort!$B:$K,8,0)</f>
        <v>0</v>
      </c>
      <c r="EN38" s="87">
        <f t="shared" si="819"/>
        <v>0</v>
      </c>
      <c r="EO38" s="86">
        <f>VLOOKUP(EO$1,Amort!$B:$K,8,0)</f>
        <v>0</v>
      </c>
      <c r="EP38" s="86">
        <f>VLOOKUP(EP$1,Amort!$B:$K,8,0)</f>
        <v>0</v>
      </c>
      <c r="EQ38" s="86">
        <f>VLOOKUP(EQ$1,Amort!$B:$K,8,0)</f>
        <v>0</v>
      </c>
      <c r="ER38" s="86">
        <f>VLOOKUP(ER$1,Amort!$B:$K,8,0)</f>
        <v>0</v>
      </c>
      <c r="ES38" s="86">
        <f>VLOOKUP(ES$1,Amort!$B:$K,8,0)</f>
        <v>0</v>
      </c>
      <c r="ET38" s="86">
        <f>VLOOKUP(ET$1,Amort!$B:$K,8,0)</f>
        <v>0</v>
      </c>
      <c r="EU38" s="86">
        <f>VLOOKUP(EU$1,Amort!$B:$K,8,0)</f>
        <v>0</v>
      </c>
      <c r="EV38" s="86">
        <f>VLOOKUP(EV$1,Amort!$B:$K,8,0)</f>
        <v>0</v>
      </c>
      <c r="EW38" s="86">
        <f>VLOOKUP(EW$1,Amort!$B:$K,8,0)</f>
        <v>0</v>
      </c>
      <c r="EX38" s="86">
        <f>VLOOKUP(EX$1,Amort!$B:$K,8,0)</f>
        <v>0</v>
      </c>
      <c r="EY38" s="86">
        <f>VLOOKUP(EY$1,Amort!$B:$K,8,0)</f>
        <v>0</v>
      </c>
      <c r="EZ38" s="86">
        <f>VLOOKUP(EZ$1,Amort!$B:$K,8,0)</f>
        <v>0</v>
      </c>
      <c r="FA38" s="87">
        <f t="shared" si="820"/>
        <v>0</v>
      </c>
      <c r="FB38" s="86">
        <f>VLOOKUP(FB$1,Amort!$B:$K,8,0)</f>
        <v>0</v>
      </c>
      <c r="FC38" s="86">
        <f>VLOOKUP(FC$1,Amort!$B:$K,8,0)</f>
        <v>0</v>
      </c>
      <c r="FD38" s="86">
        <f>VLOOKUP(FD$1,Amort!$B:$K,8,0)</f>
        <v>0</v>
      </c>
      <c r="FE38" s="86">
        <f>VLOOKUP(FE$1,Amort!$B:$K,8,0)</f>
        <v>0</v>
      </c>
      <c r="FF38" s="86">
        <f>VLOOKUP(FF$1,Amort!$B:$K,8,0)</f>
        <v>0</v>
      </c>
      <c r="FG38" s="86">
        <f>VLOOKUP(FG$1,Amort!$B:$K,8,0)</f>
        <v>0</v>
      </c>
      <c r="FH38" s="86">
        <f>VLOOKUP(FH$1,Amort!$B:$K,8,0)</f>
        <v>0</v>
      </c>
      <c r="FI38" s="86">
        <f>VLOOKUP(FI$1,Amort!$B:$K,8,0)</f>
        <v>0</v>
      </c>
      <c r="FJ38" s="86">
        <f>VLOOKUP(FJ$1,Amort!$B:$K,8,0)</f>
        <v>0</v>
      </c>
      <c r="FK38" s="86">
        <f>VLOOKUP(FK$1,Amort!$B:$K,8,0)</f>
        <v>0</v>
      </c>
      <c r="FL38" s="86">
        <f>VLOOKUP(FL$1,Amort!$B:$K,8,0)</f>
        <v>0</v>
      </c>
      <c r="FM38" s="86">
        <f>VLOOKUP(FM$1,Amort!$B:$K,8,0)</f>
        <v>0</v>
      </c>
      <c r="FN38" s="87">
        <f t="shared" si="821"/>
        <v>0</v>
      </c>
      <c r="FO38" s="86">
        <f>VLOOKUP(FO$1,Amort!$B:$K,8,0)</f>
        <v>0</v>
      </c>
      <c r="FP38" s="86">
        <f>VLOOKUP(FP$1,Amort!$B:$K,8,0)</f>
        <v>0</v>
      </c>
      <c r="FQ38" s="86">
        <f>VLOOKUP(FQ$1,Amort!$B:$K,8,0)</f>
        <v>0</v>
      </c>
      <c r="FR38" s="86">
        <f>VLOOKUP(FR$1,Amort!$B:$K,8,0)</f>
        <v>0</v>
      </c>
      <c r="FS38" s="86">
        <f>VLOOKUP(FS$1,Amort!$B:$K,8,0)</f>
        <v>0</v>
      </c>
      <c r="FT38" s="86">
        <f>VLOOKUP(FT$1,Amort!$B:$K,8,0)</f>
        <v>0</v>
      </c>
      <c r="FU38" s="86">
        <f>VLOOKUP(FU$1,Amort!$B:$K,8,0)</f>
        <v>0</v>
      </c>
      <c r="FV38" s="86">
        <f>VLOOKUP(FV$1,Amort!$B:$K,8,0)</f>
        <v>0</v>
      </c>
      <c r="FW38" s="86">
        <f>VLOOKUP(FW$1,Amort!$B:$K,8,0)</f>
        <v>0</v>
      </c>
      <c r="FX38" s="86">
        <f>VLOOKUP(FX$1,Amort!$B:$K,8,0)</f>
        <v>0</v>
      </c>
      <c r="FY38" s="86">
        <f>VLOOKUP(FY$1,Amort!$B:$K,8,0)</f>
        <v>0</v>
      </c>
      <c r="FZ38" s="86">
        <f>VLOOKUP(FZ$1,Amort!$B:$K,8,0)</f>
        <v>0</v>
      </c>
      <c r="GA38" s="87">
        <f t="shared" si="822"/>
        <v>0</v>
      </c>
      <c r="GB38" s="86">
        <f>VLOOKUP(GB$1,Amort!$B:$K,8,0)</f>
        <v>0</v>
      </c>
      <c r="GC38" s="86">
        <f>VLOOKUP(GC$1,Amort!$B:$K,8,0)</f>
        <v>0</v>
      </c>
      <c r="GD38" s="86">
        <f>VLOOKUP(GD$1,Amort!$B:$K,8,0)</f>
        <v>0</v>
      </c>
      <c r="GE38" s="86">
        <f>VLOOKUP(GE$1,Amort!$B:$K,8,0)</f>
        <v>0</v>
      </c>
      <c r="GF38" s="86">
        <f>VLOOKUP(GF$1,Amort!$B:$K,8,0)</f>
        <v>0</v>
      </c>
      <c r="GG38" s="86">
        <f>VLOOKUP(GG$1,Amort!$B:$K,8,0)</f>
        <v>0</v>
      </c>
      <c r="GH38" s="86">
        <f>VLOOKUP(GH$1,Amort!$B:$K,8,0)</f>
        <v>0</v>
      </c>
      <c r="GI38" s="86">
        <f>VLOOKUP(GI$1,Amort!$B:$K,8,0)</f>
        <v>0</v>
      </c>
      <c r="GJ38" s="86">
        <f>VLOOKUP(GJ$1,Amort!$B:$K,8,0)</f>
        <v>0</v>
      </c>
      <c r="GK38" s="86">
        <f>VLOOKUP(GK$1,Amort!$B:$K,8,0)</f>
        <v>0</v>
      </c>
      <c r="GL38" s="86">
        <f>VLOOKUP(GL$1,Amort!$B:$K,8,0)</f>
        <v>0</v>
      </c>
      <c r="GM38" s="86">
        <f>VLOOKUP(GM$1,Amort!$B:$K,8,0)</f>
        <v>0</v>
      </c>
      <c r="GN38" s="87">
        <f t="shared" si="823"/>
        <v>0</v>
      </c>
      <c r="GO38" s="86">
        <f>VLOOKUP(GO$1,Amort!$B:$K,8,0)</f>
        <v>0</v>
      </c>
      <c r="GP38" s="86">
        <f>VLOOKUP(GP$1,Amort!$B:$K,8,0)</f>
        <v>0</v>
      </c>
      <c r="GQ38" s="86">
        <f>VLOOKUP(GQ$1,Amort!$B:$K,8,0)</f>
        <v>0</v>
      </c>
      <c r="GR38" s="86">
        <f>VLOOKUP(GR$1,Amort!$B:$K,8,0)</f>
        <v>0</v>
      </c>
      <c r="GS38" s="86">
        <f>VLOOKUP(GS$1,Amort!$B:$K,8,0)</f>
        <v>0</v>
      </c>
      <c r="GT38" s="86">
        <f>VLOOKUP(GT$1,Amort!$B:$K,8,0)</f>
        <v>0</v>
      </c>
      <c r="GU38" s="86">
        <f>VLOOKUP(GU$1,Amort!$B:$K,8,0)</f>
        <v>0</v>
      </c>
      <c r="GV38" s="86">
        <f>VLOOKUP(GV$1,Amort!$B:$K,8,0)</f>
        <v>0</v>
      </c>
      <c r="GW38" s="86">
        <f>VLOOKUP(GW$1,Amort!$B:$K,8,0)</f>
        <v>0</v>
      </c>
      <c r="GX38" s="86">
        <f>VLOOKUP(GX$1,Amort!$B:$K,8,0)</f>
        <v>0</v>
      </c>
      <c r="GY38" s="86">
        <f>VLOOKUP(GY$1,Amort!$B:$K,8,0)</f>
        <v>0</v>
      </c>
      <c r="GZ38" s="86">
        <f>VLOOKUP(GZ$1,Amort!$B:$K,8,0)</f>
        <v>0</v>
      </c>
      <c r="HA38" s="87">
        <f t="shared" si="824"/>
        <v>0</v>
      </c>
      <c r="HB38" s="86">
        <f>VLOOKUP(HB$1,Amort!$B:$K,8,0)</f>
        <v>0</v>
      </c>
      <c r="HC38" s="86">
        <f>VLOOKUP(HC$1,Amort!$B:$K,8,0)</f>
        <v>0</v>
      </c>
      <c r="HD38" s="86">
        <f>VLOOKUP(HD$1,Amort!$B:$K,8,0)</f>
        <v>0</v>
      </c>
      <c r="HE38" s="86">
        <f>VLOOKUP(HE$1,Amort!$B:$K,8,0)</f>
        <v>0</v>
      </c>
      <c r="HF38" s="86">
        <f>VLOOKUP(HF$1,Amort!$B:$K,8,0)</f>
        <v>0</v>
      </c>
      <c r="HG38" s="86">
        <f>VLOOKUP(HG$1,Amort!$B:$K,8,0)</f>
        <v>0</v>
      </c>
      <c r="HH38" s="86">
        <f>VLOOKUP(HH$1,Amort!$B:$K,8,0)</f>
        <v>0</v>
      </c>
      <c r="HI38" s="86">
        <f>VLOOKUP(HI$1,Amort!$B:$K,8,0)</f>
        <v>0</v>
      </c>
      <c r="HJ38" s="86">
        <f>VLOOKUP(HJ$1,Amort!$B:$K,8,0)</f>
        <v>0</v>
      </c>
      <c r="HK38" s="86">
        <f>VLOOKUP(HK$1,Amort!$B:$K,8,0)</f>
        <v>0</v>
      </c>
      <c r="HL38" s="86">
        <f>VLOOKUP(HL$1,Amort!$B:$K,8,0)</f>
        <v>0</v>
      </c>
      <c r="HM38" s="86">
        <f>VLOOKUP(HM$1,Amort!$B:$K,8,0)</f>
        <v>0</v>
      </c>
      <c r="HN38" s="87">
        <f t="shared" si="825"/>
        <v>0</v>
      </c>
      <c r="HO38" s="86">
        <f>VLOOKUP(HO$1,Amort!$B:$K,8,0)</f>
        <v>0</v>
      </c>
      <c r="HP38" s="86">
        <f>VLOOKUP(HP$1,Amort!$B:$K,8,0)</f>
        <v>0</v>
      </c>
      <c r="HQ38" s="86">
        <f>VLOOKUP(HQ$1,Amort!$B:$K,8,0)</f>
        <v>0</v>
      </c>
      <c r="HR38" s="86">
        <f>VLOOKUP(HR$1,Amort!$B:$K,8,0)</f>
        <v>0</v>
      </c>
      <c r="HS38" s="86">
        <f>VLOOKUP(HS$1,Amort!$B:$K,8,0)</f>
        <v>0</v>
      </c>
      <c r="HT38" s="86">
        <f>VLOOKUP(HT$1,Amort!$B:$K,8,0)</f>
        <v>0</v>
      </c>
      <c r="HU38" s="86">
        <f>VLOOKUP(HU$1,Amort!$B:$K,8,0)</f>
        <v>0</v>
      </c>
      <c r="HV38" s="86">
        <f>VLOOKUP(HV$1,Amort!$B:$K,8,0)</f>
        <v>0</v>
      </c>
      <c r="HW38" s="86">
        <f>VLOOKUP(HW$1,Amort!$B:$K,8,0)</f>
        <v>0</v>
      </c>
      <c r="HX38" s="86">
        <f>VLOOKUP(HX$1,Amort!$B:$K,8,0)</f>
        <v>0</v>
      </c>
      <c r="HY38" s="86">
        <f>VLOOKUP(HY$1,Amort!$B:$K,8,0)</f>
        <v>0</v>
      </c>
      <c r="HZ38" s="86">
        <f>VLOOKUP(HZ$1,Amort!$B:$K,8,0)</f>
        <v>0</v>
      </c>
      <c r="IA38" s="87">
        <f t="shared" si="826"/>
        <v>0</v>
      </c>
      <c r="IB38" s="86">
        <f>VLOOKUP(IB$1,Amort!$B:$K,8,0)</f>
        <v>0</v>
      </c>
      <c r="IC38" s="86">
        <f>VLOOKUP(IC$1,Amort!$B:$K,8,0)</f>
        <v>0</v>
      </c>
      <c r="ID38" s="86">
        <f>VLOOKUP(ID$1,Amort!$B:$K,8,0)</f>
        <v>0</v>
      </c>
      <c r="IE38" s="86">
        <f>VLOOKUP(IE$1,Amort!$B:$K,8,0)</f>
        <v>0</v>
      </c>
      <c r="IF38" s="86">
        <f>VLOOKUP(IF$1,Amort!$B:$K,8,0)</f>
        <v>0</v>
      </c>
      <c r="IG38" s="86">
        <f>VLOOKUP(IG$1,Amort!$B:$K,8,0)</f>
        <v>0</v>
      </c>
      <c r="IH38" s="86">
        <f>VLOOKUP(IH$1,Amort!$B:$K,8,0)</f>
        <v>0</v>
      </c>
      <c r="II38" s="86">
        <f>VLOOKUP(II$1,Amort!$B:$K,8,0)</f>
        <v>0</v>
      </c>
      <c r="IJ38" s="86">
        <f>VLOOKUP(IJ$1,Amort!$B:$K,8,0)</f>
        <v>0</v>
      </c>
      <c r="IK38" s="86">
        <f>VLOOKUP(IK$1,Amort!$B:$K,8,0)</f>
        <v>0</v>
      </c>
      <c r="IL38" s="86">
        <f>VLOOKUP(IL$1,Amort!$B:$K,8,0)</f>
        <v>0</v>
      </c>
      <c r="IM38" s="86">
        <f>VLOOKUP(IM$1,Amort!$B:$K,8,0)</f>
        <v>0</v>
      </c>
      <c r="IN38" s="87">
        <f t="shared" si="827"/>
        <v>0</v>
      </c>
      <c r="IO38" s="86">
        <f>VLOOKUP(IO$1,Amort!$B:$K,8,0)</f>
        <v>0</v>
      </c>
      <c r="IP38" s="86">
        <f>VLOOKUP(IP$1,Amort!$B:$K,8,0)</f>
        <v>0</v>
      </c>
      <c r="IQ38" s="86">
        <f>VLOOKUP(IQ$1,Amort!$B:$K,8,0)</f>
        <v>0</v>
      </c>
      <c r="IR38" s="86">
        <f>VLOOKUP(IR$1,Amort!$B:$K,8,0)</f>
        <v>0</v>
      </c>
      <c r="IS38" s="86">
        <f>VLOOKUP(IS$1,Amort!$B:$K,8,0)</f>
        <v>0</v>
      </c>
      <c r="IT38" s="86">
        <f>VLOOKUP(IT$1,Amort!$B:$K,8,0)</f>
        <v>0</v>
      </c>
      <c r="IU38" s="86">
        <f>VLOOKUP(IU$1,Amort!$B:$K,8,0)</f>
        <v>0</v>
      </c>
      <c r="IV38" s="86">
        <f>VLOOKUP(IV$1,Amort!$B:$K,8,0)</f>
        <v>0</v>
      </c>
      <c r="IW38" s="86">
        <f>VLOOKUP(IW$1,Amort!$B:$K,8,0)</f>
        <v>0</v>
      </c>
      <c r="IX38" s="86">
        <f>VLOOKUP(IX$1,Amort!$B:$K,8,0)</f>
        <v>0</v>
      </c>
      <c r="IY38" s="86">
        <f>VLOOKUP(IY$1,Amort!$B:$K,8,0)</f>
        <v>0</v>
      </c>
      <c r="IZ38" s="86">
        <f>VLOOKUP(IZ$1,Amort!$B:$K,8,0)</f>
        <v>0</v>
      </c>
      <c r="JA38" s="87">
        <f t="shared" si="828"/>
        <v>0</v>
      </c>
      <c r="JB38" s="86">
        <f>VLOOKUP(JB$1,Amort!$B:$K,8,0)</f>
        <v>0</v>
      </c>
      <c r="JC38" s="86">
        <f>VLOOKUP(JC$1,Amort!$B:$K,8,0)</f>
        <v>0</v>
      </c>
      <c r="JD38" s="86">
        <f>VLOOKUP(JD$1,Amort!$B:$K,8,0)</f>
        <v>0</v>
      </c>
      <c r="JE38" s="86">
        <f>VLOOKUP(JE$1,Amort!$B:$K,8,0)</f>
        <v>0</v>
      </c>
      <c r="JF38" s="86">
        <f>VLOOKUP(JF$1,Amort!$B:$K,8,0)</f>
        <v>0</v>
      </c>
      <c r="JG38" s="86">
        <f>VLOOKUP(JG$1,Amort!$B:$K,8,0)</f>
        <v>0</v>
      </c>
      <c r="JH38" s="86">
        <f>VLOOKUP(JH$1,Amort!$B:$K,8,0)</f>
        <v>0</v>
      </c>
      <c r="JI38" s="86">
        <f>VLOOKUP(JI$1,Amort!$B:$K,8,0)</f>
        <v>0</v>
      </c>
      <c r="JJ38" s="86">
        <f>VLOOKUP(JJ$1,Amort!$B:$K,8,0)</f>
        <v>0</v>
      </c>
      <c r="JK38" s="86">
        <f>VLOOKUP(JK$1,Amort!$B:$K,8,0)</f>
        <v>0</v>
      </c>
      <c r="JL38" s="86">
        <f>VLOOKUP(JL$1,Amort!$B:$K,8,0)</f>
        <v>0</v>
      </c>
      <c r="JM38" s="86">
        <f>VLOOKUP(JM$1,Amort!$B:$K,8,0)</f>
        <v>0</v>
      </c>
      <c r="JN38" s="87">
        <f t="shared" si="829"/>
        <v>0</v>
      </c>
      <c r="JO38" s="86">
        <f>VLOOKUP(JO$1,Amort!$B:$K,8,0)</f>
        <v>0</v>
      </c>
      <c r="JP38" s="86">
        <f>VLOOKUP(JP$1,Amort!$B:$K,8,0)</f>
        <v>0</v>
      </c>
      <c r="JQ38" s="86">
        <f>VLOOKUP(JQ$1,Amort!$B:$K,8,0)</f>
        <v>0</v>
      </c>
      <c r="JR38" s="86">
        <f>VLOOKUP(JR$1,Amort!$B:$K,8,0)</f>
        <v>0</v>
      </c>
      <c r="JS38" s="86">
        <f>VLOOKUP(JS$1,Amort!$B:$K,8,0)</f>
        <v>0</v>
      </c>
      <c r="JT38" s="86">
        <f>VLOOKUP(JT$1,Amort!$B:$K,8,0)</f>
        <v>0</v>
      </c>
      <c r="JU38" s="86">
        <f>VLOOKUP(JU$1,Amort!$B:$K,8,0)</f>
        <v>0</v>
      </c>
      <c r="JV38" s="86">
        <f>VLOOKUP(JV$1,Amort!$B:$K,8,0)</f>
        <v>0</v>
      </c>
      <c r="JW38" s="86">
        <f>VLOOKUP(JW$1,Amort!$B:$K,8,0)</f>
        <v>0</v>
      </c>
      <c r="JX38" s="86">
        <f>VLOOKUP(JX$1,Amort!$B:$K,8,0)</f>
        <v>0</v>
      </c>
      <c r="JY38" s="86">
        <f>VLOOKUP(JY$1,Amort!$B:$K,8,0)</f>
        <v>0</v>
      </c>
      <c r="JZ38" s="86">
        <f>VLOOKUP(JZ$1,Amort!$B:$K,8,0)</f>
        <v>0</v>
      </c>
      <c r="KA38" s="87">
        <f t="shared" si="830"/>
        <v>0</v>
      </c>
      <c r="KB38" s="86">
        <f>VLOOKUP(KB$1,Amort!$B:$K,8,0)</f>
        <v>0</v>
      </c>
      <c r="KC38" s="86">
        <f>VLOOKUP(KC$1,Amort!$B:$K,8,0)</f>
        <v>0</v>
      </c>
      <c r="KD38" s="86">
        <f>VLOOKUP(KD$1,Amort!$B:$K,8,0)</f>
        <v>0</v>
      </c>
      <c r="KE38" s="86">
        <f>VLOOKUP(KE$1,Amort!$B:$K,8,0)</f>
        <v>0</v>
      </c>
      <c r="KF38" s="86">
        <f>VLOOKUP(KF$1,Amort!$B:$K,8,0)</f>
        <v>0</v>
      </c>
      <c r="KG38" s="86">
        <f>VLOOKUP(KG$1,Amort!$B:$K,8,0)</f>
        <v>0</v>
      </c>
      <c r="KH38" s="86">
        <f>VLOOKUP(KH$1,Amort!$B:$K,8,0)</f>
        <v>0</v>
      </c>
      <c r="KI38" s="86">
        <f>VLOOKUP(KI$1,Amort!$B:$K,8,0)</f>
        <v>0</v>
      </c>
      <c r="KJ38" s="86">
        <f>VLOOKUP(KJ$1,Amort!$B:$K,8,0)</f>
        <v>0</v>
      </c>
      <c r="KK38" s="86">
        <f>VLOOKUP(KK$1,Amort!$B:$K,8,0)</f>
        <v>0</v>
      </c>
      <c r="KL38" s="86">
        <f>VLOOKUP(KL$1,Amort!$B:$K,8,0)</f>
        <v>0</v>
      </c>
      <c r="KM38" s="86">
        <f>VLOOKUP(KM$1,Amort!$B:$K,8,0)</f>
        <v>0</v>
      </c>
      <c r="KN38" s="87">
        <f t="shared" si="831"/>
        <v>0</v>
      </c>
      <c r="KO38" s="86">
        <f>VLOOKUP(KO$1,Amort!$B:$K,8,0)</f>
        <v>0</v>
      </c>
      <c r="KP38" s="86">
        <f>VLOOKUP(KP$1,Amort!$B:$K,8,0)</f>
        <v>0</v>
      </c>
      <c r="KQ38" s="86">
        <f>VLOOKUP(KQ$1,Amort!$B:$K,8,0)</f>
        <v>0</v>
      </c>
      <c r="KR38" s="86">
        <f>VLOOKUP(KR$1,Amort!$B:$K,8,0)</f>
        <v>0</v>
      </c>
      <c r="KS38" s="86">
        <f>VLOOKUP(KS$1,Amort!$B:$K,8,0)</f>
        <v>0</v>
      </c>
      <c r="KT38" s="86">
        <f>VLOOKUP(KT$1,Amort!$B:$K,8,0)</f>
        <v>0</v>
      </c>
      <c r="KU38" s="86">
        <f>VLOOKUP(KU$1,Amort!$B:$K,8,0)</f>
        <v>0</v>
      </c>
      <c r="KV38" s="86">
        <f>VLOOKUP(KV$1,Amort!$B:$K,8,0)</f>
        <v>0</v>
      </c>
      <c r="KW38" s="86">
        <f>VLOOKUP(KW$1,Amort!$B:$K,8,0)</f>
        <v>0</v>
      </c>
      <c r="KX38" s="86">
        <f>VLOOKUP(KX$1,Amort!$B:$K,8,0)</f>
        <v>0</v>
      </c>
      <c r="KY38" s="86">
        <f>VLOOKUP(KY$1,Amort!$B:$K,8,0)</f>
        <v>0</v>
      </c>
      <c r="KZ38" s="86">
        <f>VLOOKUP(KZ$1,Amort!$B:$K,8,0)</f>
        <v>0</v>
      </c>
      <c r="LA38" s="87">
        <f t="shared" si="832"/>
        <v>0</v>
      </c>
      <c r="LB38" s="86">
        <f>VLOOKUP(LB$1,Amort!$B:$K,8,0)</f>
        <v>0</v>
      </c>
      <c r="LC38" s="86">
        <f>VLOOKUP(LC$1,Amort!$B:$K,8,0)</f>
        <v>0</v>
      </c>
      <c r="LD38" s="86">
        <f>VLOOKUP(LD$1,Amort!$B:$K,8,0)</f>
        <v>0</v>
      </c>
      <c r="LE38" s="86">
        <f>VLOOKUP(LE$1,Amort!$B:$K,8,0)</f>
        <v>0</v>
      </c>
      <c r="LF38" s="86">
        <f>VLOOKUP(LF$1,Amort!$B:$K,8,0)</f>
        <v>0</v>
      </c>
      <c r="LG38" s="86">
        <f>VLOOKUP(LG$1,Amort!$B:$K,8,0)</f>
        <v>0</v>
      </c>
      <c r="LH38" s="86">
        <f>VLOOKUP(LH$1,Amort!$B:$K,8,0)</f>
        <v>0</v>
      </c>
      <c r="LI38" s="86">
        <f>VLOOKUP(LI$1,Amort!$B:$K,8,0)</f>
        <v>0</v>
      </c>
      <c r="LJ38" s="86">
        <f>VLOOKUP(LJ$1,Amort!$B:$K,8,0)</f>
        <v>0</v>
      </c>
      <c r="LK38" s="86">
        <f>VLOOKUP(LK$1,Amort!$B:$K,8,0)</f>
        <v>0</v>
      </c>
      <c r="LL38" s="86">
        <f>VLOOKUP(LL$1,Amort!$B:$K,8,0)</f>
        <v>0</v>
      </c>
      <c r="LM38" s="86">
        <f>VLOOKUP(LM$1,Amort!$B:$K,8,0)</f>
        <v>0</v>
      </c>
      <c r="LN38" s="87">
        <f t="shared" si="833"/>
        <v>0</v>
      </c>
      <c r="LO38" s="86">
        <f>VLOOKUP(LO$1,Amort!$B:$K,8,0)</f>
        <v>0</v>
      </c>
      <c r="LP38" s="86">
        <f>VLOOKUP(LP$1,Amort!$B:$K,8,0)</f>
        <v>0</v>
      </c>
      <c r="LQ38" s="86">
        <f>VLOOKUP(LQ$1,Amort!$B:$K,8,0)</f>
        <v>0</v>
      </c>
      <c r="LR38" s="86">
        <f>VLOOKUP(LR$1,Amort!$B:$K,8,0)</f>
        <v>0</v>
      </c>
      <c r="LS38" s="86">
        <f>VLOOKUP(LS$1,Amort!$B:$K,8,0)</f>
        <v>0</v>
      </c>
      <c r="LT38" s="86">
        <f>VLOOKUP(LT$1,Amort!$B:$K,8,0)</f>
        <v>0</v>
      </c>
      <c r="LU38" s="86">
        <f>VLOOKUP(LU$1,Amort!$B:$K,8,0)</f>
        <v>0</v>
      </c>
      <c r="LV38" s="86">
        <f>VLOOKUP(LV$1,Amort!$B:$K,8,0)</f>
        <v>0</v>
      </c>
      <c r="LW38" s="86">
        <f>VLOOKUP(LW$1,Amort!$B:$K,8,0)</f>
        <v>0</v>
      </c>
      <c r="LX38" s="86">
        <f>VLOOKUP(LX$1,Amort!$B:$K,8,0)</f>
        <v>0</v>
      </c>
      <c r="LY38" s="86">
        <f>VLOOKUP(LY$1,Amort!$B:$K,8,0)</f>
        <v>0</v>
      </c>
      <c r="LZ38" s="86">
        <f>VLOOKUP(LZ$1,Amort!$B:$K,8,0)</f>
        <v>0</v>
      </c>
      <c r="MA38" s="87">
        <f t="shared" si="834"/>
        <v>0</v>
      </c>
      <c r="MB38" s="86">
        <f>VLOOKUP(MB$1,Amort!$B:$K,8,0)</f>
        <v>0</v>
      </c>
      <c r="MC38" s="86">
        <f>VLOOKUP(MC$1,Amort!$B:$K,8,0)</f>
        <v>0</v>
      </c>
      <c r="MD38" s="86">
        <f>VLOOKUP(MD$1,Amort!$B:$K,8,0)</f>
        <v>0</v>
      </c>
      <c r="ME38" s="86">
        <f>VLOOKUP(ME$1,Amort!$B:$K,8,0)</f>
        <v>0</v>
      </c>
      <c r="MF38" s="86">
        <f>VLOOKUP(MF$1,Amort!$B:$K,8,0)</f>
        <v>0</v>
      </c>
      <c r="MG38" s="86">
        <f>VLOOKUP(MG$1,Amort!$B:$K,8,0)</f>
        <v>0</v>
      </c>
      <c r="MH38" s="86">
        <f>VLOOKUP(MH$1,Amort!$B:$K,8,0)</f>
        <v>0</v>
      </c>
      <c r="MI38" s="86">
        <f>VLOOKUP(MI$1,Amort!$B:$K,8,0)</f>
        <v>0</v>
      </c>
      <c r="MJ38" s="86">
        <f>VLOOKUP(MJ$1,Amort!$B:$K,8,0)</f>
        <v>0</v>
      </c>
      <c r="MK38" s="86">
        <f>VLOOKUP(MK$1,Amort!$B:$K,8,0)</f>
        <v>0</v>
      </c>
      <c r="ML38" s="86">
        <f>VLOOKUP(ML$1,Amort!$B:$K,8,0)</f>
        <v>0</v>
      </c>
      <c r="MM38" s="86">
        <f>VLOOKUP(MM$1,Amort!$B:$K,8,0)</f>
        <v>0</v>
      </c>
      <c r="MN38" s="87">
        <f t="shared" si="835"/>
        <v>0</v>
      </c>
      <c r="MO38" s="86">
        <f>VLOOKUP(MO$1,Amort!$B:$K,8,0)</f>
        <v>0</v>
      </c>
      <c r="MP38" s="86">
        <f>VLOOKUP(MP$1,Amort!$B:$K,8,0)</f>
        <v>0</v>
      </c>
      <c r="MQ38" s="86">
        <f>VLOOKUP(MQ$1,Amort!$B:$K,8,0)</f>
        <v>0</v>
      </c>
      <c r="MR38" s="86">
        <f>VLOOKUP(MR$1,Amort!$B:$K,8,0)</f>
        <v>0</v>
      </c>
      <c r="MS38" s="86">
        <f>VLOOKUP(MS$1,Amort!$B:$K,8,0)</f>
        <v>0</v>
      </c>
      <c r="MT38" s="86">
        <f>VLOOKUP(MT$1,Amort!$B:$K,8,0)</f>
        <v>0</v>
      </c>
      <c r="MU38" s="86">
        <f>VLOOKUP(MU$1,Amort!$B:$K,8,0)</f>
        <v>0</v>
      </c>
      <c r="MV38" s="86">
        <f>VLOOKUP(MV$1,Amort!$B:$K,8,0)</f>
        <v>0</v>
      </c>
      <c r="MW38" s="86">
        <f>VLOOKUP(MW$1,Amort!$B:$K,8,0)</f>
        <v>0</v>
      </c>
      <c r="MX38" s="86">
        <f>VLOOKUP(MX$1,Amort!$B:$K,8,0)</f>
        <v>0</v>
      </c>
      <c r="MY38" s="86">
        <f>VLOOKUP(MY$1,Amort!$B:$K,8,0)</f>
        <v>0</v>
      </c>
      <c r="MZ38" s="86">
        <f>VLOOKUP(MZ$1,Amort!$B:$K,8,0)</f>
        <v>0</v>
      </c>
      <c r="NA38" s="87">
        <f t="shared" si="836"/>
        <v>0</v>
      </c>
      <c r="NB38" s="86">
        <f>VLOOKUP(NB$1,Amort!$B:$K,8,0)</f>
        <v>0</v>
      </c>
      <c r="NC38" s="86">
        <f>VLOOKUP(NC$1,Amort!$B:$K,8,0)</f>
        <v>0</v>
      </c>
      <c r="ND38" s="86">
        <f>VLOOKUP(ND$1,Amort!$B:$K,8,0)</f>
        <v>0</v>
      </c>
      <c r="NE38" s="86">
        <f>VLOOKUP(NE$1,Amort!$B:$K,8,0)</f>
        <v>0</v>
      </c>
      <c r="NF38" s="86">
        <f>VLOOKUP(NF$1,Amort!$B:$K,8,0)</f>
        <v>0</v>
      </c>
      <c r="NG38" s="86">
        <f>VLOOKUP(NG$1,Amort!$B:$K,8,0)</f>
        <v>0</v>
      </c>
      <c r="NH38" s="86">
        <f>VLOOKUP(NH$1,Amort!$B:$K,8,0)</f>
        <v>0</v>
      </c>
      <c r="NI38" s="86">
        <f>VLOOKUP(NI$1,Amort!$B:$K,8,0)</f>
        <v>0</v>
      </c>
      <c r="NJ38" s="86">
        <f>VLOOKUP(NJ$1,Amort!$B:$K,8,0)</f>
        <v>0</v>
      </c>
      <c r="NK38" s="86">
        <f>VLOOKUP(NK$1,Amort!$B:$K,8,0)</f>
        <v>0</v>
      </c>
      <c r="NL38" s="86">
        <f>VLOOKUP(NL$1,Amort!$B:$K,8,0)</f>
        <v>0</v>
      </c>
      <c r="NM38" s="86">
        <f>VLOOKUP(NM$1,Amort!$B:$K,8,0)</f>
        <v>0</v>
      </c>
      <c r="NN38" s="87">
        <f t="shared" si="837"/>
        <v>0</v>
      </c>
      <c r="NO38" s="86">
        <f>VLOOKUP(NO$1,Amort!$B:$K,8,0)</f>
        <v>0</v>
      </c>
      <c r="NP38" s="86">
        <f>VLOOKUP(NP$1,Amort!$B:$K,8,0)</f>
        <v>0</v>
      </c>
      <c r="NQ38" s="86">
        <f>VLOOKUP(NQ$1,Amort!$B:$K,8,0)</f>
        <v>0</v>
      </c>
      <c r="NR38" s="86">
        <f>VLOOKUP(NR$1,Amort!$B:$K,8,0)</f>
        <v>0</v>
      </c>
      <c r="NS38" s="86">
        <f>VLOOKUP(NS$1,Amort!$B:$K,8,0)</f>
        <v>0</v>
      </c>
      <c r="NT38" s="86">
        <f>VLOOKUP(NT$1,Amort!$B:$K,8,0)</f>
        <v>0</v>
      </c>
      <c r="NU38" s="86">
        <f>VLOOKUP(NU$1,Amort!$B:$K,8,0)</f>
        <v>0</v>
      </c>
      <c r="NV38" s="86">
        <f>VLOOKUP(NV$1,Amort!$B:$K,8,0)</f>
        <v>0</v>
      </c>
      <c r="NW38" s="86">
        <f>VLOOKUP(NW$1,Amort!$B:$K,8,0)</f>
        <v>0</v>
      </c>
      <c r="NX38" s="86">
        <f>VLOOKUP(NX$1,Amort!$B:$K,8,0)</f>
        <v>0</v>
      </c>
      <c r="NY38" s="86">
        <f>VLOOKUP(NY$1,Amort!$B:$K,8,0)</f>
        <v>0</v>
      </c>
      <c r="NZ38" s="86">
        <f>VLOOKUP(NZ$1,Amort!$B:$K,8,0)</f>
        <v>0</v>
      </c>
      <c r="OA38" s="87">
        <f t="shared" si="838"/>
        <v>0</v>
      </c>
      <c r="OB38" s="86">
        <f>VLOOKUP(OB$1,Amort!$B:$K,8,0)</f>
        <v>0</v>
      </c>
      <c r="OC38" s="86">
        <f>VLOOKUP(OC$1,Amort!$B:$K,8,0)</f>
        <v>0</v>
      </c>
      <c r="OD38" s="86">
        <f>VLOOKUP(OD$1,Amort!$B:$K,8,0)</f>
        <v>0</v>
      </c>
      <c r="OE38" s="86">
        <f>VLOOKUP(OE$1,Amort!$B:$K,8,0)</f>
        <v>0</v>
      </c>
      <c r="OF38" s="86">
        <f>VLOOKUP(OF$1,Amort!$B:$K,8,0)</f>
        <v>0</v>
      </c>
      <c r="OG38" s="86">
        <f>VLOOKUP(OG$1,Amort!$B:$K,8,0)</f>
        <v>0</v>
      </c>
      <c r="OH38" s="86">
        <f>VLOOKUP(OH$1,Amort!$B:$K,8,0)</f>
        <v>0</v>
      </c>
      <c r="OI38" s="86">
        <f>VLOOKUP(OI$1,Amort!$B:$K,8,0)</f>
        <v>0</v>
      </c>
      <c r="OJ38" s="86">
        <f>VLOOKUP(OJ$1,Amort!$B:$K,8,0)</f>
        <v>0</v>
      </c>
      <c r="OK38" s="86">
        <f>VLOOKUP(OK$1,Amort!$B:$K,8,0)</f>
        <v>0</v>
      </c>
      <c r="OL38" s="86">
        <f>VLOOKUP(OL$1,Amort!$B:$K,8,0)</f>
        <v>0</v>
      </c>
      <c r="OM38" s="86">
        <f>VLOOKUP(OM$1,Amort!$B:$K,8,0)</f>
        <v>0</v>
      </c>
      <c r="ON38" s="87">
        <f t="shared" si="839"/>
        <v>0</v>
      </c>
      <c r="OO38" s="86">
        <f>VLOOKUP(OO$1,Amort!$B:$K,8,0)</f>
        <v>0</v>
      </c>
      <c r="OP38" s="86">
        <f>VLOOKUP(OP$1,Amort!$B:$K,8,0)</f>
        <v>0</v>
      </c>
      <c r="OQ38" s="86">
        <f>VLOOKUP(OQ$1,Amort!$B:$K,8,0)</f>
        <v>0</v>
      </c>
      <c r="OR38" s="86">
        <f>VLOOKUP(OR$1,Amort!$B:$K,8,0)</f>
        <v>0</v>
      </c>
      <c r="OS38" s="86">
        <f>VLOOKUP(OS$1,Amort!$B:$K,8,0)</f>
        <v>0</v>
      </c>
      <c r="OT38" s="86">
        <f>VLOOKUP(OT$1,Amort!$B:$K,8,0)</f>
        <v>0</v>
      </c>
      <c r="OU38" s="86">
        <f>VLOOKUP(OU$1,Amort!$B:$K,8,0)</f>
        <v>0</v>
      </c>
      <c r="OV38" s="86">
        <f>VLOOKUP(OV$1,Amort!$B:$K,8,0)</f>
        <v>0</v>
      </c>
      <c r="OW38" s="86">
        <f>VLOOKUP(OW$1,Amort!$B:$K,8,0)</f>
        <v>0</v>
      </c>
      <c r="OX38" s="86">
        <f>VLOOKUP(OX$1,Amort!$B:$K,8,0)</f>
        <v>0</v>
      </c>
      <c r="OY38" s="86">
        <f>VLOOKUP(OY$1,Amort!$B:$K,8,0)</f>
        <v>0</v>
      </c>
      <c r="OZ38" s="86">
        <f>VLOOKUP(OZ$1,Amort!$B:$K,8,0)</f>
        <v>0</v>
      </c>
      <c r="PA38" s="87">
        <f t="shared" si="840"/>
        <v>0</v>
      </c>
      <c r="PB38" s="86">
        <f>VLOOKUP(PB$1,Amort!$B:$K,8,0)</f>
        <v>0</v>
      </c>
      <c r="PC38" s="86">
        <f>VLOOKUP(PC$1,Amort!$B:$K,8,0)</f>
        <v>0</v>
      </c>
      <c r="PD38" s="86">
        <f>VLOOKUP(PD$1,Amort!$B:$K,8,0)</f>
        <v>0</v>
      </c>
      <c r="PE38" s="86">
        <f>VLOOKUP(PE$1,Amort!$B:$K,8,0)</f>
        <v>0</v>
      </c>
      <c r="PF38" s="86">
        <f>VLOOKUP(PF$1,Amort!$B:$K,8,0)</f>
        <v>0</v>
      </c>
      <c r="PG38" s="86">
        <f>VLOOKUP(PG$1,Amort!$B:$K,8,0)</f>
        <v>0</v>
      </c>
      <c r="PH38" s="86">
        <f>VLOOKUP(PH$1,Amort!$B:$K,8,0)</f>
        <v>0</v>
      </c>
      <c r="PI38" s="86">
        <f>VLOOKUP(PI$1,Amort!$B:$K,8,0)</f>
        <v>0</v>
      </c>
      <c r="PJ38" s="86">
        <f>VLOOKUP(PJ$1,Amort!$B:$K,8,0)</f>
        <v>0</v>
      </c>
      <c r="PK38" s="86">
        <f>VLOOKUP(PK$1,Amort!$B:$K,8,0)</f>
        <v>0</v>
      </c>
      <c r="PL38" s="86">
        <f>VLOOKUP(PL$1,Amort!$B:$K,8,0)</f>
        <v>0</v>
      </c>
      <c r="PM38" s="86">
        <f>VLOOKUP(PM$1,Amort!$B:$K,8,0)</f>
        <v>0</v>
      </c>
      <c r="PN38" s="87">
        <f t="shared" si="841"/>
        <v>0</v>
      </c>
      <c r="PO38" s="86">
        <f>VLOOKUP(PO$1,Amort!$B:$K,8,0)</f>
        <v>0</v>
      </c>
      <c r="PP38" s="86">
        <f>VLOOKUP(PP$1,Amort!$B:$K,8,0)</f>
        <v>0</v>
      </c>
      <c r="PQ38" s="86">
        <f>VLOOKUP(PQ$1,Amort!$B:$K,8,0)</f>
        <v>0</v>
      </c>
      <c r="PR38" s="86">
        <f>VLOOKUP(PR$1,Amort!$B:$K,8,0)</f>
        <v>0</v>
      </c>
      <c r="PS38" s="86">
        <f>VLOOKUP(PS$1,Amort!$B:$K,8,0)</f>
        <v>0</v>
      </c>
      <c r="PT38" s="86">
        <f>VLOOKUP(PT$1,Amort!$B:$K,8,0)</f>
        <v>0</v>
      </c>
      <c r="PU38" s="86">
        <f>VLOOKUP(PU$1,Amort!$B:$K,8,0)</f>
        <v>0</v>
      </c>
      <c r="PV38" s="86">
        <f>VLOOKUP(PV$1,Amort!$B:$K,8,0)</f>
        <v>0</v>
      </c>
      <c r="PW38" s="86">
        <f>VLOOKUP(PW$1,Amort!$B:$K,8,0)</f>
        <v>0</v>
      </c>
      <c r="PX38" s="86">
        <f>VLOOKUP(PX$1,Amort!$B:$K,8,0)</f>
        <v>0</v>
      </c>
      <c r="PY38" s="86">
        <f>VLOOKUP(PY$1,Amort!$B:$K,8,0)</f>
        <v>0</v>
      </c>
      <c r="PZ38" s="86">
        <f>VLOOKUP(PZ$1,Amort!$B:$K,8,0)</f>
        <v>0</v>
      </c>
      <c r="QA38" s="87">
        <f t="shared" si="842"/>
        <v>0</v>
      </c>
      <c r="QB38" s="86">
        <f>VLOOKUP(QB$1,Amort!$B:$K,8,0)</f>
        <v>0</v>
      </c>
      <c r="QC38" s="86">
        <f>VLOOKUP(QC$1,Amort!$B:$K,8,0)</f>
        <v>0</v>
      </c>
      <c r="QD38" s="86">
        <f>VLOOKUP(QD$1,Amort!$B:$K,8,0)</f>
        <v>0</v>
      </c>
      <c r="QE38" s="86">
        <f>VLOOKUP(QE$1,Amort!$B:$K,8,0)</f>
        <v>0</v>
      </c>
      <c r="QF38" s="86">
        <f>VLOOKUP(QF$1,Amort!$B:$K,8,0)</f>
        <v>0</v>
      </c>
      <c r="QG38" s="86">
        <f>VLOOKUP(QG$1,Amort!$B:$K,8,0)</f>
        <v>0</v>
      </c>
      <c r="QH38" s="86">
        <f>VLOOKUP(QH$1,Amort!$B:$K,8,0)</f>
        <v>0</v>
      </c>
      <c r="QI38" s="86">
        <f>VLOOKUP(QI$1,Amort!$B:$K,8,0)</f>
        <v>0</v>
      </c>
      <c r="QJ38" s="86">
        <f>VLOOKUP(QJ$1,Amort!$B:$K,8,0)</f>
        <v>0</v>
      </c>
      <c r="QK38" s="86">
        <f>VLOOKUP(QK$1,Amort!$B:$K,8,0)</f>
        <v>0</v>
      </c>
      <c r="QL38" s="86">
        <f>VLOOKUP(QL$1,Amort!$B:$K,8,0)</f>
        <v>0</v>
      </c>
      <c r="QM38" s="86">
        <f>VLOOKUP(QM$1,Amort!$B:$K,8,0)</f>
        <v>0</v>
      </c>
      <c r="QN38" s="87">
        <f t="shared" si="843"/>
        <v>0</v>
      </c>
      <c r="QO38" s="86">
        <f>VLOOKUP(QO$1,Amort!$B:$K,8,0)</f>
        <v>0</v>
      </c>
      <c r="QP38" s="86">
        <f>VLOOKUP(QP$1,Amort!$B:$K,8,0)</f>
        <v>0</v>
      </c>
      <c r="QQ38" s="86">
        <f>VLOOKUP(QQ$1,Amort!$B:$K,8,0)</f>
        <v>0</v>
      </c>
      <c r="QR38" s="86">
        <f>VLOOKUP(QR$1,Amort!$B:$K,8,0)</f>
        <v>0</v>
      </c>
      <c r="QS38" s="86">
        <f>VLOOKUP(QS$1,Amort!$B:$K,8,0)</f>
        <v>0</v>
      </c>
      <c r="QT38" s="86">
        <f>VLOOKUP(QT$1,Amort!$B:$K,8,0)</f>
        <v>0</v>
      </c>
      <c r="QU38" s="86">
        <f>VLOOKUP(QU$1,Amort!$B:$K,8,0)</f>
        <v>0</v>
      </c>
      <c r="QV38" s="86">
        <f>VLOOKUP(QV$1,Amort!$B:$K,8,0)</f>
        <v>0</v>
      </c>
      <c r="QW38" s="86">
        <f>VLOOKUP(QW$1,Amort!$B:$K,8,0)</f>
        <v>0</v>
      </c>
      <c r="QX38" s="86">
        <f>VLOOKUP(QX$1,Amort!$B:$K,8,0)</f>
        <v>0</v>
      </c>
      <c r="QY38" s="86">
        <f>VLOOKUP(QY$1,Amort!$B:$K,8,0)</f>
        <v>0</v>
      </c>
      <c r="QZ38" s="86">
        <f>VLOOKUP(QZ$1,Amort!$B:$K,8,0)</f>
        <v>0</v>
      </c>
      <c r="RA38" s="87">
        <f t="shared" si="844"/>
        <v>0</v>
      </c>
      <c r="RB38" s="86">
        <f>VLOOKUP(RB$1,Amort!$B:$K,8,0)</f>
        <v>0</v>
      </c>
      <c r="RC38" s="86">
        <f>VLOOKUP(RC$1,Amort!$B:$K,8,0)</f>
        <v>0</v>
      </c>
      <c r="RD38" s="86">
        <f>VLOOKUP(RD$1,Amort!$B:$K,8,0)</f>
        <v>0</v>
      </c>
      <c r="RE38" s="86">
        <f>VLOOKUP(RE$1,Amort!$B:$K,8,0)</f>
        <v>0</v>
      </c>
      <c r="RF38" s="86">
        <f>VLOOKUP(RF$1,Amort!$B:$K,8,0)</f>
        <v>0</v>
      </c>
      <c r="RG38" s="86">
        <f>VLOOKUP(RG$1,Amort!$B:$K,8,0)</f>
        <v>0</v>
      </c>
      <c r="RH38" s="86">
        <f>VLOOKUP(RH$1,Amort!$B:$K,8,0)</f>
        <v>0</v>
      </c>
      <c r="RI38" s="86">
        <f>VLOOKUP(RI$1,Amort!$B:$K,8,0)</f>
        <v>0</v>
      </c>
      <c r="RJ38" s="86">
        <f>VLOOKUP(RJ$1,Amort!$B:$K,8,0)</f>
        <v>0</v>
      </c>
      <c r="RK38" s="86">
        <f>VLOOKUP(RK$1,Amort!$B:$K,8,0)</f>
        <v>0</v>
      </c>
      <c r="RL38" s="86">
        <f>VLOOKUP(RL$1,Amort!$B:$K,8,0)</f>
        <v>0</v>
      </c>
      <c r="RM38" s="86">
        <f>VLOOKUP(RM$1,Amort!$B:$K,8,0)</f>
        <v>0</v>
      </c>
      <c r="RN38" s="87">
        <f t="shared" si="845"/>
        <v>0</v>
      </c>
    </row>
    <row r="39" spans="1:482" s="77" customFormat="1" hidden="1" outlineLevel="1" x14ac:dyDescent="0.3">
      <c r="A39" s="74" t="s">
        <v>256</v>
      </c>
      <c r="B39" s="90" t="e">
        <f>B34-B37-B38-B22</f>
        <v>#N/A</v>
      </c>
      <c r="C39" s="90" t="e">
        <f t="shared" ref="C39:Z39" si="846">C34-C37-C38-C22</f>
        <v>#N/A</v>
      </c>
      <c r="D39" s="90" t="e">
        <f t="shared" si="846"/>
        <v>#N/A</v>
      </c>
      <c r="E39" s="90" t="e">
        <f t="shared" si="846"/>
        <v>#N/A</v>
      </c>
      <c r="F39" s="90" t="e">
        <f t="shared" si="846"/>
        <v>#N/A</v>
      </c>
      <c r="G39" s="90" t="e">
        <f t="shared" si="846"/>
        <v>#N/A</v>
      </c>
      <c r="H39" s="90" t="e">
        <f t="shared" si="846"/>
        <v>#N/A</v>
      </c>
      <c r="I39" s="90" t="e">
        <f t="shared" si="846"/>
        <v>#N/A</v>
      </c>
      <c r="J39" s="90" t="e">
        <f t="shared" si="846"/>
        <v>#N/A</v>
      </c>
      <c r="K39" s="90" t="e">
        <f t="shared" si="846"/>
        <v>#N/A</v>
      </c>
      <c r="L39" s="90" t="e">
        <f t="shared" si="846"/>
        <v>#N/A</v>
      </c>
      <c r="M39" s="90" t="e">
        <f t="shared" si="846"/>
        <v>#N/A</v>
      </c>
      <c r="N39" s="91" t="e">
        <f t="shared" si="809"/>
        <v>#N/A</v>
      </c>
      <c r="O39" s="90" t="e">
        <f t="shared" si="846"/>
        <v>#N/A</v>
      </c>
      <c r="P39" s="90" t="e">
        <f t="shared" si="846"/>
        <v>#N/A</v>
      </c>
      <c r="Q39" s="90" t="e">
        <f t="shared" si="846"/>
        <v>#N/A</v>
      </c>
      <c r="R39" s="90" t="e">
        <f t="shared" si="846"/>
        <v>#N/A</v>
      </c>
      <c r="S39" s="90" t="e">
        <f t="shared" si="846"/>
        <v>#N/A</v>
      </c>
      <c r="T39" s="90" t="e">
        <f t="shared" si="846"/>
        <v>#N/A</v>
      </c>
      <c r="U39" s="90" t="e">
        <f t="shared" si="846"/>
        <v>#N/A</v>
      </c>
      <c r="V39" s="90" t="e">
        <f t="shared" si="846"/>
        <v>#N/A</v>
      </c>
      <c r="W39" s="90" t="e">
        <f t="shared" si="846"/>
        <v>#N/A</v>
      </c>
      <c r="X39" s="90" t="e">
        <f t="shared" si="846"/>
        <v>#N/A</v>
      </c>
      <c r="Y39" s="90" t="e">
        <f t="shared" si="846"/>
        <v>#N/A</v>
      </c>
      <c r="Z39" s="90" t="e">
        <f t="shared" si="846"/>
        <v>#N/A</v>
      </c>
      <c r="AA39" s="91" t="e">
        <f t="shared" si="810"/>
        <v>#N/A</v>
      </c>
      <c r="AB39" s="90" t="e">
        <f t="shared" ref="AB39:AM39" si="847">AB34-AB37-AB38-AB22</f>
        <v>#N/A</v>
      </c>
      <c r="AC39" s="90" t="e">
        <f t="shared" si="847"/>
        <v>#N/A</v>
      </c>
      <c r="AD39" s="90" t="e">
        <f t="shared" si="847"/>
        <v>#N/A</v>
      </c>
      <c r="AE39" s="90" t="e">
        <f t="shared" si="847"/>
        <v>#N/A</v>
      </c>
      <c r="AF39" s="90" t="e">
        <f t="shared" si="847"/>
        <v>#N/A</v>
      </c>
      <c r="AG39" s="90" t="e">
        <f t="shared" si="847"/>
        <v>#N/A</v>
      </c>
      <c r="AH39" s="90" t="e">
        <f t="shared" si="847"/>
        <v>#N/A</v>
      </c>
      <c r="AI39" s="90" t="e">
        <f t="shared" si="847"/>
        <v>#N/A</v>
      </c>
      <c r="AJ39" s="90" t="e">
        <f t="shared" si="847"/>
        <v>#N/A</v>
      </c>
      <c r="AK39" s="90" t="e">
        <f t="shared" si="847"/>
        <v>#N/A</v>
      </c>
      <c r="AL39" s="90" t="e">
        <f t="shared" si="847"/>
        <v>#N/A</v>
      </c>
      <c r="AM39" s="90" t="e">
        <f t="shared" si="847"/>
        <v>#N/A</v>
      </c>
      <c r="AN39" s="91" t="e">
        <f t="shared" si="811"/>
        <v>#N/A</v>
      </c>
      <c r="AO39" s="90" t="e">
        <f t="shared" ref="AO39:AZ39" si="848">AO34-AO37-AO38-AO22</f>
        <v>#N/A</v>
      </c>
      <c r="AP39" s="90" t="e">
        <f t="shared" si="848"/>
        <v>#N/A</v>
      </c>
      <c r="AQ39" s="90" t="e">
        <f t="shared" si="848"/>
        <v>#N/A</v>
      </c>
      <c r="AR39" s="90" t="e">
        <f t="shared" si="848"/>
        <v>#N/A</v>
      </c>
      <c r="AS39" s="90" t="e">
        <f t="shared" si="848"/>
        <v>#N/A</v>
      </c>
      <c r="AT39" s="90" t="e">
        <f t="shared" si="848"/>
        <v>#N/A</v>
      </c>
      <c r="AU39" s="90" t="e">
        <f t="shared" si="848"/>
        <v>#N/A</v>
      </c>
      <c r="AV39" s="90" t="e">
        <f t="shared" si="848"/>
        <v>#N/A</v>
      </c>
      <c r="AW39" s="90" t="e">
        <f t="shared" si="848"/>
        <v>#N/A</v>
      </c>
      <c r="AX39" s="90" t="e">
        <f t="shared" si="848"/>
        <v>#N/A</v>
      </c>
      <c r="AY39" s="90" t="e">
        <f t="shared" si="848"/>
        <v>#N/A</v>
      </c>
      <c r="AZ39" s="90" t="e">
        <f t="shared" si="848"/>
        <v>#N/A</v>
      </c>
      <c r="BA39" s="91" t="e">
        <f t="shared" si="812"/>
        <v>#N/A</v>
      </c>
      <c r="BB39" s="90" t="e">
        <f t="shared" ref="BB39:BM39" si="849">BB34-BB37-BB38-BB22</f>
        <v>#N/A</v>
      </c>
      <c r="BC39" s="90" t="e">
        <f t="shared" si="849"/>
        <v>#N/A</v>
      </c>
      <c r="BD39" s="90" t="e">
        <f t="shared" si="849"/>
        <v>#N/A</v>
      </c>
      <c r="BE39" s="90" t="e">
        <f t="shared" si="849"/>
        <v>#N/A</v>
      </c>
      <c r="BF39" s="90" t="e">
        <f t="shared" si="849"/>
        <v>#N/A</v>
      </c>
      <c r="BG39" s="90" t="e">
        <f t="shared" si="849"/>
        <v>#N/A</v>
      </c>
      <c r="BH39" s="90" t="e">
        <f t="shared" si="849"/>
        <v>#N/A</v>
      </c>
      <c r="BI39" s="90" t="e">
        <f t="shared" si="849"/>
        <v>#N/A</v>
      </c>
      <c r="BJ39" s="90" t="e">
        <f t="shared" si="849"/>
        <v>#N/A</v>
      </c>
      <c r="BK39" s="90" t="e">
        <f t="shared" si="849"/>
        <v>#N/A</v>
      </c>
      <c r="BL39" s="90" t="e">
        <f t="shared" si="849"/>
        <v>#N/A</v>
      </c>
      <c r="BM39" s="90" t="e">
        <f t="shared" si="849"/>
        <v>#N/A</v>
      </c>
      <c r="BN39" s="91" t="e">
        <f t="shared" si="813"/>
        <v>#N/A</v>
      </c>
      <c r="BO39" s="90" t="e">
        <f t="shared" ref="BO39:BZ39" si="850">BO34-BO37-BO38-BO22</f>
        <v>#N/A</v>
      </c>
      <c r="BP39" s="90" t="e">
        <f t="shared" si="850"/>
        <v>#N/A</v>
      </c>
      <c r="BQ39" s="90" t="e">
        <f t="shared" si="850"/>
        <v>#N/A</v>
      </c>
      <c r="BR39" s="90" t="e">
        <f t="shared" si="850"/>
        <v>#N/A</v>
      </c>
      <c r="BS39" s="90" t="e">
        <f t="shared" si="850"/>
        <v>#N/A</v>
      </c>
      <c r="BT39" s="90" t="e">
        <f t="shared" si="850"/>
        <v>#N/A</v>
      </c>
      <c r="BU39" s="90" t="e">
        <f t="shared" si="850"/>
        <v>#N/A</v>
      </c>
      <c r="BV39" s="90" t="e">
        <f t="shared" si="850"/>
        <v>#N/A</v>
      </c>
      <c r="BW39" s="90" t="e">
        <f t="shared" si="850"/>
        <v>#N/A</v>
      </c>
      <c r="BX39" s="90" t="e">
        <f t="shared" si="850"/>
        <v>#N/A</v>
      </c>
      <c r="BY39" s="90" t="e">
        <f t="shared" si="850"/>
        <v>#N/A</v>
      </c>
      <c r="BZ39" s="90" t="e">
        <f t="shared" si="850"/>
        <v>#N/A</v>
      </c>
      <c r="CA39" s="91" t="e">
        <f t="shared" si="814"/>
        <v>#N/A</v>
      </c>
      <c r="CB39" s="90" t="e">
        <f t="shared" ref="CB39:CM39" si="851">CB34-CB37-CB38-CB22</f>
        <v>#N/A</v>
      </c>
      <c r="CC39" s="90" t="e">
        <f t="shared" si="851"/>
        <v>#N/A</v>
      </c>
      <c r="CD39" s="90" t="e">
        <f t="shared" si="851"/>
        <v>#N/A</v>
      </c>
      <c r="CE39" s="90" t="e">
        <f t="shared" si="851"/>
        <v>#N/A</v>
      </c>
      <c r="CF39" s="90" t="e">
        <f t="shared" si="851"/>
        <v>#N/A</v>
      </c>
      <c r="CG39" s="90" t="e">
        <f t="shared" si="851"/>
        <v>#N/A</v>
      </c>
      <c r="CH39" s="90" t="e">
        <f t="shared" si="851"/>
        <v>#N/A</v>
      </c>
      <c r="CI39" s="90" t="e">
        <f t="shared" si="851"/>
        <v>#N/A</v>
      </c>
      <c r="CJ39" s="90" t="e">
        <f t="shared" si="851"/>
        <v>#N/A</v>
      </c>
      <c r="CK39" s="90" t="e">
        <f t="shared" si="851"/>
        <v>#N/A</v>
      </c>
      <c r="CL39" s="90" t="e">
        <f t="shared" si="851"/>
        <v>#N/A</v>
      </c>
      <c r="CM39" s="90" t="e">
        <f t="shared" si="851"/>
        <v>#N/A</v>
      </c>
      <c r="CN39" s="91" t="e">
        <f t="shared" si="815"/>
        <v>#N/A</v>
      </c>
      <c r="CO39" s="90" t="e">
        <f t="shared" ref="CO39:CZ39" si="852">CO34-CO37-CO38-CO22</f>
        <v>#N/A</v>
      </c>
      <c r="CP39" s="90" t="e">
        <f t="shared" si="852"/>
        <v>#N/A</v>
      </c>
      <c r="CQ39" s="90" t="e">
        <f t="shared" si="852"/>
        <v>#N/A</v>
      </c>
      <c r="CR39" s="90" t="e">
        <f t="shared" si="852"/>
        <v>#N/A</v>
      </c>
      <c r="CS39" s="90" t="e">
        <f t="shared" si="852"/>
        <v>#N/A</v>
      </c>
      <c r="CT39" s="90" t="e">
        <f t="shared" si="852"/>
        <v>#N/A</v>
      </c>
      <c r="CU39" s="90" t="e">
        <f t="shared" si="852"/>
        <v>#N/A</v>
      </c>
      <c r="CV39" s="90" t="e">
        <f t="shared" si="852"/>
        <v>#N/A</v>
      </c>
      <c r="CW39" s="90" t="e">
        <f t="shared" si="852"/>
        <v>#N/A</v>
      </c>
      <c r="CX39" s="90" t="e">
        <f t="shared" si="852"/>
        <v>#N/A</v>
      </c>
      <c r="CY39" s="90" t="e">
        <f t="shared" si="852"/>
        <v>#N/A</v>
      </c>
      <c r="CZ39" s="90" t="e">
        <f t="shared" si="852"/>
        <v>#N/A</v>
      </c>
      <c r="DA39" s="91" t="e">
        <f t="shared" si="816"/>
        <v>#N/A</v>
      </c>
      <c r="DB39" s="90" t="e">
        <f t="shared" ref="DB39:DM39" si="853">DB34-DB37-DB38-DB22</f>
        <v>#N/A</v>
      </c>
      <c r="DC39" s="90" t="e">
        <f t="shared" si="853"/>
        <v>#N/A</v>
      </c>
      <c r="DD39" s="90" t="e">
        <f t="shared" si="853"/>
        <v>#N/A</v>
      </c>
      <c r="DE39" s="90" t="e">
        <f t="shared" si="853"/>
        <v>#N/A</v>
      </c>
      <c r="DF39" s="90" t="e">
        <f t="shared" si="853"/>
        <v>#N/A</v>
      </c>
      <c r="DG39" s="90" t="e">
        <f t="shared" si="853"/>
        <v>#N/A</v>
      </c>
      <c r="DH39" s="90" t="e">
        <f t="shared" si="853"/>
        <v>#N/A</v>
      </c>
      <c r="DI39" s="90" t="e">
        <f t="shared" si="853"/>
        <v>#N/A</v>
      </c>
      <c r="DJ39" s="90" t="e">
        <f t="shared" si="853"/>
        <v>#N/A</v>
      </c>
      <c r="DK39" s="90" t="e">
        <f t="shared" si="853"/>
        <v>#N/A</v>
      </c>
      <c r="DL39" s="90" t="e">
        <f t="shared" si="853"/>
        <v>#N/A</v>
      </c>
      <c r="DM39" s="90" t="e">
        <f t="shared" si="853"/>
        <v>#N/A</v>
      </c>
      <c r="DN39" s="91" t="e">
        <f t="shared" si="817"/>
        <v>#N/A</v>
      </c>
      <c r="DO39" s="90" t="e">
        <f t="shared" ref="DO39:DZ39" si="854">DO34-DO37-DO38-DO22</f>
        <v>#N/A</v>
      </c>
      <c r="DP39" s="90" t="e">
        <f t="shared" si="854"/>
        <v>#N/A</v>
      </c>
      <c r="DQ39" s="90" t="e">
        <f t="shared" si="854"/>
        <v>#N/A</v>
      </c>
      <c r="DR39" s="90" t="e">
        <f t="shared" si="854"/>
        <v>#N/A</v>
      </c>
      <c r="DS39" s="90" t="e">
        <f t="shared" si="854"/>
        <v>#N/A</v>
      </c>
      <c r="DT39" s="90" t="e">
        <f t="shared" si="854"/>
        <v>#N/A</v>
      </c>
      <c r="DU39" s="90" t="e">
        <f t="shared" si="854"/>
        <v>#N/A</v>
      </c>
      <c r="DV39" s="90" t="e">
        <f t="shared" si="854"/>
        <v>#N/A</v>
      </c>
      <c r="DW39" s="90" t="e">
        <f t="shared" si="854"/>
        <v>#N/A</v>
      </c>
      <c r="DX39" s="90" t="e">
        <f t="shared" si="854"/>
        <v>#N/A</v>
      </c>
      <c r="DY39" s="90" t="e">
        <f t="shared" si="854"/>
        <v>#N/A</v>
      </c>
      <c r="DZ39" s="90" t="e">
        <f t="shared" si="854"/>
        <v>#N/A</v>
      </c>
      <c r="EA39" s="91" t="e">
        <f t="shared" si="818"/>
        <v>#N/A</v>
      </c>
      <c r="EB39" s="90" t="e">
        <f t="shared" ref="EB39:EM39" si="855">EB34-EB37-EB38-EB22</f>
        <v>#N/A</v>
      </c>
      <c r="EC39" s="90" t="e">
        <f t="shared" si="855"/>
        <v>#N/A</v>
      </c>
      <c r="ED39" s="90" t="e">
        <f t="shared" si="855"/>
        <v>#N/A</v>
      </c>
      <c r="EE39" s="90" t="e">
        <f t="shared" si="855"/>
        <v>#N/A</v>
      </c>
      <c r="EF39" s="90" t="e">
        <f t="shared" si="855"/>
        <v>#N/A</v>
      </c>
      <c r="EG39" s="90" t="e">
        <f t="shared" si="855"/>
        <v>#N/A</v>
      </c>
      <c r="EH39" s="90" t="e">
        <f t="shared" si="855"/>
        <v>#N/A</v>
      </c>
      <c r="EI39" s="90" t="e">
        <f t="shared" si="855"/>
        <v>#N/A</v>
      </c>
      <c r="EJ39" s="90" t="e">
        <f t="shared" si="855"/>
        <v>#N/A</v>
      </c>
      <c r="EK39" s="90" t="e">
        <f t="shared" si="855"/>
        <v>#N/A</v>
      </c>
      <c r="EL39" s="90" t="e">
        <f t="shared" si="855"/>
        <v>#N/A</v>
      </c>
      <c r="EM39" s="90" t="e">
        <f t="shared" si="855"/>
        <v>#N/A</v>
      </c>
      <c r="EN39" s="91" t="e">
        <f t="shared" si="819"/>
        <v>#N/A</v>
      </c>
      <c r="EO39" s="90" t="e">
        <f t="shared" ref="EO39:EZ39" si="856">EO34-EO37-EO38-EO22</f>
        <v>#N/A</v>
      </c>
      <c r="EP39" s="90" t="e">
        <f t="shared" si="856"/>
        <v>#N/A</v>
      </c>
      <c r="EQ39" s="90" t="e">
        <f t="shared" si="856"/>
        <v>#N/A</v>
      </c>
      <c r="ER39" s="90" t="e">
        <f t="shared" si="856"/>
        <v>#N/A</v>
      </c>
      <c r="ES39" s="90" t="e">
        <f t="shared" si="856"/>
        <v>#N/A</v>
      </c>
      <c r="ET39" s="90" t="e">
        <f t="shared" si="856"/>
        <v>#N/A</v>
      </c>
      <c r="EU39" s="90" t="e">
        <f t="shared" si="856"/>
        <v>#N/A</v>
      </c>
      <c r="EV39" s="90" t="e">
        <f t="shared" si="856"/>
        <v>#N/A</v>
      </c>
      <c r="EW39" s="90" t="e">
        <f t="shared" si="856"/>
        <v>#N/A</v>
      </c>
      <c r="EX39" s="90" t="e">
        <f t="shared" si="856"/>
        <v>#N/A</v>
      </c>
      <c r="EY39" s="90" t="e">
        <f t="shared" si="856"/>
        <v>#N/A</v>
      </c>
      <c r="EZ39" s="90" t="e">
        <f t="shared" si="856"/>
        <v>#N/A</v>
      </c>
      <c r="FA39" s="91" t="e">
        <f t="shared" si="820"/>
        <v>#N/A</v>
      </c>
      <c r="FB39" s="90" t="e">
        <f t="shared" ref="FB39:FM39" si="857">FB34-FB37-FB38-FB22</f>
        <v>#N/A</v>
      </c>
      <c r="FC39" s="90" t="e">
        <f t="shared" si="857"/>
        <v>#N/A</v>
      </c>
      <c r="FD39" s="90" t="e">
        <f t="shared" si="857"/>
        <v>#N/A</v>
      </c>
      <c r="FE39" s="90" t="e">
        <f t="shared" si="857"/>
        <v>#N/A</v>
      </c>
      <c r="FF39" s="90" t="e">
        <f t="shared" si="857"/>
        <v>#N/A</v>
      </c>
      <c r="FG39" s="90" t="e">
        <f t="shared" si="857"/>
        <v>#N/A</v>
      </c>
      <c r="FH39" s="90" t="e">
        <f t="shared" si="857"/>
        <v>#N/A</v>
      </c>
      <c r="FI39" s="90" t="e">
        <f t="shared" si="857"/>
        <v>#N/A</v>
      </c>
      <c r="FJ39" s="90" t="e">
        <f t="shared" si="857"/>
        <v>#N/A</v>
      </c>
      <c r="FK39" s="90" t="e">
        <f t="shared" si="857"/>
        <v>#N/A</v>
      </c>
      <c r="FL39" s="90" t="e">
        <f t="shared" si="857"/>
        <v>#N/A</v>
      </c>
      <c r="FM39" s="90" t="e">
        <f t="shared" si="857"/>
        <v>#N/A</v>
      </c>
      <c r="FN39" s="91" t="e">
        <f t="shared" si="821"/>
        <v>#N/A</v>
      </c>
      <c r="FO39" s="90" t="e">
        <f t="shared" ref="FO39:FZ39" si="858">FO34-FO37-FO38-FO22</f>
        <v>#N/A</v>
      </c>
      <c r="FP39" s="90" t="e">
        <f t="shared" si="858"/>
        <v>#N/A</v>
      </c>
      <c r="FQ39" s="90" t="e">
        <f t="shared" si="858"/>
        <v>#N/A</v>
      </c>
      <c r="FR39" s="90" t="e">
        <f t="shared" si="858"/>
        <v>#N/A</v>
      </c>
      <c r="FS39" s="90" t="e">
        <f t="shared" si="858"/>
        <v>#N/A</v>
      </c>
      <c r="FT39" s="90" t="e">
        <f t="shared" si="858"/>
        <v>#N/A</v>
      </c>
      <c r="FU39" s="90" t="e">
        <f t="shared" si="858"/>
        <v>#N/A</v>
      </c>
      <c r="FV39" s="90" t="e">
        <f t="shared" si="858"/>
        <v>#N/A</v>
      </c>
      <c r="FW39" s="90" t="e">
        <f t="shared" si="858"/>
        <v>#N/A</v>
      </c>
      <c r="FX39" s="90" t="e">
        <f t="shared" si="858"/>
        <v>#N/A</v>
      </c>
      <c r="FY39" s="90" t="e">
        <f t="shared" si="858"/>
        <v>#N/A</v>
      </c>
      <c r="FZ39" s="90" t="e">
        <f t="shared" si="858"/>
        <v>#N/A</v>
      </c>
      <c r="GA39" s="91" t="e">
        <f t="shared" si="822"/>
        <v>#N/A</v>
      </c>
      <c r="GB39" s="90" t="e">
        <f t="shared" ref="GB39:GM39" si="859">GB34-GB37-GB38-GB22</f>
        <v>#N/A</v>
      </c>
      <c r="GC39" s="90" t="e">
        <f t="shared" si="859"/>
        <v>#N/A</v>
      </c>
      <c r="GD39" s="90" t="e">
        <f t="shared" si="859"/>
        <v>#N/A</v>
      </c>
      <c r="GE39" s="90" t="e">
        <f t="shared" si="859"/>
        <v>#N/A</v>
      </c>
      <c r="GF39" s="90" t="e">
        <f t="shared" si="859"/>
        <v>#N/A</v>
      </c>
      <c r="GG39" s="90" t="e">
        <f t="shared" si="859"/>
        <v>#N/A</v>
      </c>
      <c r="GH39" s="90" t="e">
        <f t="shared" si="859"/>
        <v>#N/A</v>
      </c>
      <c r="GI39" s="90" t="e">
        <f t="shared" si="859"/>
        <v>#N/A</v>
      </c>
      <c r="GJ39" s="90" t="e">
        <f t="shared" si="859"/>
        <v>#N/A</v>
      </c>
      <c r="GK39" s="90" t="e">
        <f t="shared" si="859"/>
        <v>#N/A</v>
      </c>
      <c r="GL39" s="90" t="e">
        <f t="shared" si="859"/>
        <v>#N/A</v>
      </c>
      <c r="GM39" s="90" t="e">
        <f t="shared" si="859"/>
        <v>#N/A</v>
      </c>
      <c r="GN39" s="91" t="e">
        <f t="shared" si="823"/>
        <v>#N/A</v>
      </c>
      <c r="GO39" s="90" t="e">
        <f t="shared" ref="GO39:GZ39" si="860">GO34-GO37-GO38-GO22</f>
        <v>#N/A</v>
      </c>
      <c r="GP39" s="90" t="e">
        <f t="shared" si="860"/>
        <v>#N/A</v>
      </c>
      <c r="GQ39" s="90" t="e">
        <f t="shared" si="860"/>
        <v>#N/A</v>
      </c>
      <c r="GR39" s="90" t="e">
        <f t="shared" si="860"/>
        <v>#N/A</v>
      </c>
      <c r="GS39" s="90" t="e">
        <f t="shared" si="860"/>
        <v>#N/A</v>
      </c>
      <c r="GT39" s="90" t="e">
        <f t="shared" si="860"/>
        <v>#N/A</v>
      </c>
      <c r="GU39" s="90" t="e">
        <f t="shared" si="860"/>
        <v>#N/A</v>
      </c>
      <c r="GV39" s="90" t="e">
        <f t="shared" si="860"/>
        <v>#N/A</v>
      </c>
      <c r="GW39" s="90" t="e">
        <f t="shared" si="860"/>
        <v>#N/A</v>
      </c>
      <c r="GX39" s="90" t="e">
        <f t="shared" si="860"/>
        <v>#N/A</v>
      </c>
      <c r="GY39" s="90" t="e">
        <f t="shared" si="860"/>
        <v>#N/A</v>
      </c>
      <c r="GZ39" s="90" t="e">
        <f t="shared" si="860"/>
        <v>#N/A</v>
      </c>
      <c r="HA39" s="91" t="e">
        <f t="shared" si="824"/>
        <v>#N/A</v>
      </c>
      <c r="HB39" s="90" t="e">
        <f t="shared" ref="HB39:HM39" si="861">HB34-HB37-HB38-HB22</f>
        <v>#N/A</v>
      </c>
      <c r="HC39" s="90" t="e">
        <f t="shared" si="861"/>
        <v>#N/A</v>
      </c>
      <c r="HD39" s="90" t="e">
        <f t="shared" si="861"/>
        <v>#N/A</v>
      </c>
      <c r="HE39" s="90" t="e">
        <f t="shared" si="861"/>
        <v>#N/A</v>
      </c>
      <c r="HF39" s="90" t="e">
        <f t="shared" si="861"/>
        <v>#N/A</v>
      </c>
      <c r="HG39" s="90" t="e">
        <f t="shared" si="861"/>
        <v>#N/A</v>
      </c>
      <c r="HH39" s="90" t="e">
        <f t="shared" si="861"/>
        <v>#N/A</v>
      </c>
      <c r="HI39" s="90" t="e">
        <f t="shared" si="861"/>
        <v>#N/A</v>
      </c>
      <c r="HJ39" s="90" t="e">
        <f t="shared" si="861"/>
        <v>#N/A</v>
      </c>
      <c r="HK39" s="90" t="e">
        <f t="shared" si="861"/>
        <v>#N/A</v>
      </c>
      <c r="HL39" s="90" t="e">
        <f t="shared" si="861"/>
        <v>#N/A</v>
      </c>
      <c r="HM39" s="90" t="e">
        <f t="shared" si="861"/>
        <v>#N/A</v>
      </c>
      <c r="HN39" s="91" t="e">
        <f t="shared" si="825"/>
        <v>#N/A</v>
      </c>
      <c r="HO39" s="90" t="e">
        <f t="shared" ref="HO39:HZ39" si="862">HO34-HO37-HO38-HO22</f>
        <v>#N/A</v>
      </c>
      <c r="HP39" s="90" t="e">
        <f t="shared" si="862"/>
        <v>#N/A</v>
      </c>
      <c r="HQ39" s="90" t="e">
        <f t="shared" si="862"/>
        <v>#N/A</v>
      </c>
      <c r="HR39" s="90" t="e">
        <f t="shared" si="862"/>
        <v>#N/A</v>
      </c>
      <c r="HS39" s="90" t="e">
        <f t="shared" si="862"/>
        <v>#N/A</v>
      </c>
      <c r="HT39" s="90" t="e">
        <f t="shared" si="862"/>
        <v>#N/A</v>
      </c>
      <c r="HU39" s="90" t="e">
        <f t="shared" si="862"/>
        <v>#N/A</v>
      </c>
      <c r="HV39" s="90" t="e">
        <f t="shared" si="862"/>
        <v>#N/A</v>
      </c>
      <c r="HW39" s="90" t="e">
        <f t="shared" si="862"/>
        <v>#N/A</v>
      </c>
      <c r="HX39" s="90" t="e">
        <f t="shared" si="862"/>
        <v>#N/A</v>
      </c>
      <c r="HY39" s="90" t="e">
        <f t="shared" si="862"/>
        <v>#N/A</v>
      </c>
      <c r="HZ39" s="90" t="e">
        <f t="shared" si="862"/>
        <v>#N/A</v>
      </c>
      <c r="IA39" s="91" t="e">
        <f t="shared" si="826"/>
        <v>#N/A</v>
      </c>
      <c r="IB39" s="90" t="e">
        <f t="shared" ref="IB39:IM39" si="863">IB34-IB37-IB38-IB22</f>
        <v>#N/A</v>
      </c>
      <c r="IC39" s="90" t="e">
        <f t="shared" si="863"/>
        <v>#N/A</v>
      </c>
      <c r="ID39" s="90" t="e">
        <f t="shared" si="863"/>
        <v>#N/A</v>
      </c>
      <c r="IE39" s="90" t="e">
        <f t="shared" si="863"/>
        <v>#N/A</v>
      </c>
      <c r="IF39" s="90" t="e">
        <f t="shared" si="863"/>
        <v>#N/A</v>
      </c>
      <c r="IG39" s="90" t="e">
        <f t="shared" si="863"/>
        <v>#N/A</v>
      </c>
      <c r="IH39" s="90" t="e">
        <f t="shared" si="863"/>
        <v>#N/A</v>
      </c>
      <c r="II39" s="90" t="e">
        <f t="shared" si="863"/>
        <v>#N/A</v>
      </c>
      <c r="IJ39" s="90" t="e">
        <f t="shared" si="863"/>
        <v>#N/A</v>
      </c>
      <c r="IK39" s="90" t="e">
        <f t="shared" si="863"/>
        <v>#N/A</v>
      </c>
      <c r="IL39" s="90" t="e">
        <f t="shared" si="863"/>
        <v>#N/A</v>
      </c>
      <c r="IM39" s="90" t="e">
        <f t="shared" si="863"/>
        <v>#N/A</v>
      </c>
      <c r="IN39" s="91" t="e">
        <f t="shared" si="827"/>
        <v>#N/A</v>
      </c>
      <c r="IO39" s="90" t="e">
        <f t="shared" ref="IO39:IZ39" si="864">IO34-IO37-IO38-IO22</f>
        <v>#N/A</v>
      </c>
      <c r="IP39" s="90" t="e">
        <f t="shared" si="864"/>
        <v>#N/A</v>
      </c>
      <c r="IQ39" s="90" t="e">
        <f t="shared" si="864"/>
        <v>#N/A</v>
      </c>
      <c r="IR39" s="90" t="e">
        <f t="shared" si="864"/>
        <v>#N/A</v>
      </c>
      <c r="IS39" s="90" t="e">
        <f t="shared" si="864"/>
        <v>#N/A</v>
      </c>
      <c r="IT39" s="90" t="e">
        <f t="shared" si="864"/>
        <v>#N/A</v>
      </c>
      <c r="IU39" s="90" t="e">
        <f t="shared" si="864"/>
        <v>#N/A</v>
      </c>
      <c r="IV39" s="90" t="e">
        <f t="shared" si="864"/>
        <v>#N/A</v>
      </c>
      <c r="IW39" s="90" t="e">
        <f t="shared" si="864"/>
        <v>#N/A</v>
      </c>
      <c r="IX39" s="90" t="e">
        <f t="shared" si="864"/>
        <v>#N/A</v>
      </c>
      <c r="IY39" s="90" t="e">
        <f t="shared" si="864"/>
        <v>#N/A</v>
      </c>
      <c r="IZ39" s="90" t="e">
        <f t="shared" si="864"/>
        <v>#N/A</v>
      </c>
      <c r="JA39" s="91" t="e">
        <f t="shared" si="828"/>
        <v>#N/A</v>
      </c>
      <c r="JB39" s="90" t="e">
        <f t="shared" ref="JB39:JM39" si="865">JB34-JB37-JB38-JB22</f>
        <v>#N/A</v>
      </c>
      <c r="JC39" s="90" t="e">
        <f t="shared" si="865"/>
        <v>#N/A</v>
      </c>
      <c r="JD39" s="90" t="e">
        <f t="shared" si="865"/>
        <v>#N/A</v>
      </c>
      <c r="JE39" s="90" t="e">
        <f t="shared" si="865"/>
        <v>#N/A</v>
      </c>
      <c r="JF39" s="90" t="e">
        <f t="shared" si="865"/>
        <v>#N/A</v>
      </c>
      <c r="JG39" s="90" t="e">
        <f t="shared" si="865"/>
        <v>#N/A</v>
      </c>
      <c r="JH39" s="90" t="e">
        <f t="shared" si="865"/>
        <v>#N/A</v>
      </c>
      <c r="JI39" s="90" t="e">
        <f t="shared" si="865"/>
        <v>#N/A</v>
      </c>
      <c r="JJ39" s="90" t="e">
        <f t="shared" si="865"/>
        <v>#N/A</v>
      </c>
      <c r="JK39" s="90" t="e">
        <f t="shared" si="865"/>
        <v>#N/A</v>
      </c>
      <c r="JL39" s="90" t="e">
        <f t="shared" si="865"/>
        <v>#N/A</v>
      </c>
      <c r="JM39" s="90" t="e">
        <f t="shared" si="865"/>
        <v>#N/A</v>
      </c>
      <c r="JN39" s="91" t="e">
        <f t="shared" si="829"/>
        <v>#N/A</v>
      </c>
      <c r="JO39" s="90" t="e">
        <f t="shared" ref="JO39:JZ39" si="866">JO34-JO37-JO38-JO22</f>
        <v>#N/A</v>
      </c>
      <c r="JP39" s="90" t="e">
        <f t="shared" si="866"/>
        <v>#N/A</v>
      </c>
      <c r="JQ39" s="90" t="e">
        <f t="shared" si="866"/>
        <v>#N/A</v>
      </c>
      <c r="JR39" s="90" t="e">
        <f t="shared" si="866"/>
        <v>#N/A</v>
      </c>
      <c r="JS39" s="90" t="e">
        <f t="shared" si="866"/>
        <v>#N/A</v>
      </c>
      <c r="JT39" s="90" t="e">
        <f t="shared" si="866"/>
        <v>#N/A</v>
      </c>
      <c r="JU39" s="90" t="e">
        <f t="shared" si="866"/>
        <v>#N/A</v>
      </c>
      <c r="JV39" s="90" t="e">
        <f t="shared" si="866"/>
        <v>#N/A</v>
      </c>
      <c r="JW39" s="90" t="e">
        <f t="shared" si="866"/>
        <v>#N/A</v>
      </c>
      <c r="JX39" s="90" t="e">
        <f t="shared" si="866"/>
        <v>#N/A</v>
      </c>
      <c r="JY39" s="90" t="e">
        <f t="shared" si="866"/>
        <v>#N/A</v>
      </c>
      <c r="JZ39" s="90" t="e">
        <f t="shared" si="866"/>
        <v>#N/A</v>
      </c>
      <c r="KA39" s="91" t="e">
        <f t="shared" si="830"/>
        <v>#N/A</v>
      </c>
      <c r="KB39" s="90" t="e">
        <f t="shared" ref="KB39:KM39" si="867">KB34-KB37-KB38-KB22</f>
        <v>#N/A</v>
      </c>
      <c r="KC39" s="90" t="e">
        <f t="shared" si="867"/>
        <v>#N/A</v>
      </c>
      <c r="KD39" s="90" t="e">
        <f t="shared" si="867"/>
        <v>#N/A</v>
      </c>
      <c r="KE39" s="90" t="e">
        <f t="shared" si="867"/>
        <v>#N/A</v>
      </c>
      <c r="KF39" s="90" t="e">
        <f t="shared" si="867"/>
        <v>#N/A</v>
      </c>
      <c r="KG39" s="90" t="e">
        <f t="shared" si="867"/>
        <v>#N/A</v>
      </c>
      <c r="KH39" s="90" t="e">
        <f t="shared" si="867"/>
        <v>#N/A</v>
      </c>
      <c r="KI39" s="90" t="e">
        <f t="shared" si="867"/>
        <v>#N/A</v>
      </c>
      <c r="KJ39" s="90" t="e">
        <f t="shared" si="867"/>
        <v>#N/A</v>
      </c>
      <c r="KK39" s="90" t="e">
        <f t="shared" si="867"/>
        <v>#N/A</v>
      </c>
      <c r="KL39" s="90" t="e">
        <f t="shared" si="867"/>
        <v>#N/A</v>
      </c>
      <c r="KM39" s="90" t="e">
        <f t="shared" si="867"/>
        <v>#N/A</v>
      </c>
      <c r="KN39" s="91" t="e">
        <f t="shared" si="831"/>
        <v>#N/A</v>
      </c>
      <c r="KO39" s="90" t="e">
        <f t="shared" ref="KO39:KZ39" si="868">KO34-KO37-KO38-KO22</f>
        <v>#N/A</v>
      </c>
      <c r="KP39" s="90" t="e">
        <f t="shared" si="868"/>
        <v>#N/A</v>
      </c>
      <c r="KQ39" s="90" t="e">
        <f t="shared" si="868"/>
        <v>#N/A</v>
      </c>
      <c r="KR39" s="90" t="e">
        <f t="shared" si="868"/>
        <v>#N/A</v>
      </c>
      <c r="KS39" s="90" t="e">
        <f t="shared" si="868"/>
        <v>#N/A</v>
      </c>
      <c r="KT39" s="90" t="e">
        <f t="shared" si="868"/>
        <v>#N/A</v>
      </c>
      <c r="KU39" s="90" t="e">
        <f t="shared" si="868"/>
        <v>#N/A</v>
      </c>
      <c r="KV39" s="90" t="e">
        <f t="shared" si="868"/>
        <v>#N/A</v>
      </c>
      <c r="KW39" s="90" t="e">
        <f t="shared" si="868"/>
        <v>#N/A</v>
      </c>
      <c r="KX39" s="90" t="e">
        <f t="shared" si="868"/>
        <v>#N/A</v>
      </c>
      <c r="KY39" s="90" t="e">
        <f t="shared" si="868"/>
        <v>#N/A</v>
      </c>
      <c r="KZ39" s="90" t="e">
        <f t="shared" si="868"/>
        <v>#N/A</v>
      </c>
      <c r="LA39" s="91" t="e">
        <f t="shared" si="832"/>
        <v>#N/A</v>
      </c>
      <c r="LB39" s="90" t="e">
        <f t="shared" ref="LB39:LM39" si="869">LB34-LB37-LB38-LB22</f>
        <v>#N/A</v>
      </c>
      <c r="LC39" s="90" t="e">
        <f t="shared" si="869"/>
        <v>#N/A</v>
      </c>
      <c r="LD39" s="90" t="e">
        <f t="shared" si="869"/>
        <v>#N/A</v>
      </c>
      <c r="LE39" s="90" t="e">
        <f t="shared" si="869"/>
        <v>#N/A</v>
      </c>
      <c r="LF39" s="90" t="e">
        <f t="shared" si="869"/>
        <v>#N/A</v>
      </c>
      <c r="LG39" s="90" t="e">
        <f t="shared" si="869"/>
        <v>#N/A</v>
      </c>
      <c r="LH39" s="90" t="e">
        <f t="shared" si="869"/>
        <v>#N/A</v>
      </c>
      <c r="LI39" s="90" t="e">
        <f t="shared" si="869"/>
        <v>#N/A</v>
      </c>
      <c r="LJ39" s="90" t="e">
        <f t="shared" si="869"/>
        <v>#N/A</v>
      </c>
      <c r="LK39" s="90" t="e">
        <f t="shared" si="869"/>
        <v>#N/A</v>
      </c>
      <c r="LL39" s="90" t="e">
        <f t="shared" si="869"/>
        <v>#N/A</v>
      </c>
      <c r="LM39" s="90" t="e">
        <f t="shared" si="869"/>
        <v>#N/A</v>
      </c>
      <c r="LN39" s="91" t="e">
        <f t="shared" si="833"/>
        <v>#N/A</v>
      </c>
      <c r="LO39" s="90" t="e">
        <f t="shared" ref="LO39:LZ39" si="870">LO34-LO37-LO38-LO22</f>
        <v>#N/A</v>
      </c>
      <c r="LP39" s="90" t="e">
        <f t="shared" si="870"/>
        <v>#N/A</v>
      </c>
      <c r="LQ39" s="90" t="e">
        <f t="shared" si="870"/>
        <v>#N/A</v>
      </c>
      <c r="LR39" s="90" t="e">
        <f t="shared" si="870"/>
        <v>#N/A</v>
      </c>
      <c r="LS39" s="90" t="e">
        <f t="shared" si="870"/>
        <v>#N/A</v>
      </c>
      <c r="LT39" s="90" t="e">
        <f t="shared" si="870"/>
        <v>#N/A</v>
      </c>
      <c r="LU39" s="90" t="e">
        <f t="shared" si="870"/>
        <v>#N/A</v>
      </c>
      <c r="LV39" s="90" t="e">
        <f t="shared" si="870"/>
        <v>#N/A</v>
      </c>
      <c r="LW39" s="90" t="e">
        <f t="shared" si="870"/>
        <v>#N/A</v>
      </c>
      <c r="LX39" s="90" t="e">
        <f t="shared" si="870"/>
        <v>#N/A</v>
      </c>
      <c r="LY39" s="90" t="e">
        <f t="shared" si="870"/>
        <v>#N/A</v>
      </c>
      <c r="LZ39" s="90" t="e">
        <f t="shared" si="870"/>
        <v>#N/A</v>
      </c>
      <c r="MA39" s="91" t="e">
        <f t="shared" si="834"/>
        <v>#N/A</v>
      </c>
      <c r="MB39" s="90" t="e">
        <f t="shared" ref="MB39:MM39" si="871">MB34-MB37-MB38-MB22</f>
        <v>#N/A</v>
      </c>
      <c r="MC39" s="90" t="e">
        <f t="shared" si="871"/>
        <v>#N/A</v>
      </c>
      <c r="MD39" s="90" t="e">
        <f t="shared" si="871"/>
        <v>#N/A</v>
      </c>
      <c r="ME39" s="90" t="e">
        <f t="shared" si="871"/>
        <v>#N/A</v>
      </c>
      <c r="MF39" s="90" t="e">
        <f t="shared" si="871"/>
        <v>#N/A</v>
      </c>
      <c r="MG39" s="90" t="e">
        <f t="shared" si="871"/>
        <v>#N/A</v>
      </c>
      <c r="MH39" s="90" t="e">
        <f t="shared" si="871"/>
        <v>#N/A</v>
      </c>
      <c r="MI39" s="90" t="e">
        <f t="shared" si="871"/>
        <v>#N/A</v>
      </c>
      <c r="MJ39" s="90" t="e">
        <f t="shared" si="871"/>
        <v>#N/A</v>
      </c>
      <c r="MK39" s="90" t="e">
        <f t="shared" si="871"/>
        <v>#N/A</v>
      </c>
      <c r="ML39" s="90" t="e">
        <f t="shared" si="871"/>
        <v>#N/A</v>
      </c>
      <c r="MM39" s="90" t="e">
        <f t="shared" si="871"/>
        <v>#N/A</v>
      </c>
      <c r="MN39" s="91" t="e">
        <f t="shared" si="835"/>
        <v>#N/A</v>
      </c>
      <c r="MO39" s="90" t="e">
        <f t="shared" ref="MO39:MZ39" si="872">MO34-MO37-MO38-MO22</f>
        <v>#N/A</v>
      </c>
      <c r="MP39" s="90" t="e">
        <f t="shared" si="872"/>
        <v>#N/A</v>
      </c>
      <c r="MQ39" s="90" t="e">
        <f t="shared" si="872"/>
        <v>#N/A</v>
      </c>
      <c r="MR39" s="90" t="e">
        <f t="shared" si="872"/>
        <v>#N/A</v>
      </c>
      <c r="MS39" s="90" t="e">
        <f t="shared" si="872"/>
        <v>#N/A</v>
      </c>
      <c r="MT39" s="90" t="e">
        <f t="shared" si="872"/>
        <v>#N/A</v>
      </c>
      <c r="MU39" s="90" t="e">
        <f t="shared" si="872"/>
        <v>#N/A</v>
      </c>
      <c r="MV39" s="90" t="e">
        <f t="shared" si="872"/>
        <v>#N/A</v>
      </c>
      <c r="MW39" s="90" t="e">
        <f t="shared" si="872"/>
        <v>#N/A</v>
      </c>
      <c r="MX39" s="90" t="e">
        <f t="shared" si="872"/>
        <v>#N/A</v>
      </c>
      <c r="MY39" s="90" t="e">
        <f t="shared" si="872"/>
        <v>#N/A</v>
      </c>
      <c r="MZ39" s="90" t="e">
        <f t="shared" si="872"/>
        <v>#N/A</v>
      </c>
      <c r="NA39" s="91" t="e">
        <f t="shared" si="836"/>
        <v>#N/A</v>
      </c>
      <c r="NB39" s="90" t="e">
        <f t="shared" ref="NB39:NM39" si="873">NB34-NB37-NB38-NB22</f>
        <v>#N/A</v>
      </c>
      <c r="NC39" s="90" t="e">
        <f t="shared" si="873"/>
        <v>#N/A</v>
      </c>
      <c r="ND39" s="90" t="e">
        <f t="shared" si="873"/>
        <v>#N/A</v>
      </c>
      <c r="NE39" s="90" t="e">
        <f t="shared" si="873"/>
        <v>#N/A</v>
      </c>
      <c r="NF39" s="90" t="e">
        <f t="shared" si="873"/>
        <v>#N/A</v>
      </c>
      <c r="NG39" s="90" t="e">
        <f t="shared" si="873"/>
        <v>#N/A</v>
      </c>
      <c r="NH39" s="90" t="e">
        <f t="shared" si="873"/>
        <v>#N/A</v>
      </c>
      <c r="NI39" s="90" t="e">
        <f t="shared" si="873"/>
        <v>#N/A</v>
      </c>
      <c r="NJ39" s="90" t="e">
        <f t="shared" si="873"/>
        <v>#N/A</v>
      </c>
      <c r="NK39" s="90" t="e">
        <f t="shared" si="873"/>
        <v>#N/A</v>
      </c>
      <c r="NL39" s="90" t="e">
        <f t="shared" si="873"/>
        <v>#N/A</v>
      </c>
      <c r="NM39" s="90" t="e">
        <f t="shared" si="873"/>
        <v>#N/A</v>
      </c>
      <c r="NN39" s="91" t="e">
        <f t="shared" si="837"/>
        <v>#N/A</v>
      </c>
      <c r="NO39" s="90" t="e">
        <f t="shared" ref="NO39:NZ39" si="874">NO34-NO37-NO38-NO22</f>
        <v>#N/A</v>
      </c>
      <c r="NP39" s="90" t="e">
        <f t="shared" si="874"/>
        <v>#N/A</v>
      </c>
      <c r="NQ39" s="90" t="e">
        <f t="shared" si="874"/>
        <v>#N/A</v>
      </c>
      <c r="NR39" s="90" t="e">
        <f t="shared" si="874"/>
        <v>#N/A</v>
      </c>
      <c r="NS39" s="90" t="e">
        <f t="shared" si="874"/>
        <v>#N/A</v>
      </c>
      <c r="NT39" s="90" t="e">
        <f t="shared" si="874"/>
        <v>#N/A</v>
      </c>
      <c r="NU39" s="90" t="e">
        <f t="shared" si="874"/>
        <v>#N/A</v>
      </c>
      <c r="NV39" s="90" t="e">
        <f t="shared" si="874"/>
        <v>#N/A</v>
      </c>
      <c r="NW39" s="90" t="e">
        <f t="shared" si="874"/>
        <v>#N/A</v>
      </c>
      <c r="NX39" s="90" t="e">
        <f t="shared" si="874"/>
        <v>#N/A</v>
      </c>
      <c r="NY39" s="90" t="e">
        <f t="shared" si="874"/>
        <v>#N/A</v>
      </c>
      <c r="NZ39" s="90" t="e">
        <f t="shared" si="874"/>
        <v>#N/A</v>
      </c>
      <c r="OA39" s="91" t="e">
        <f t="shared" si="838"/>
        <v>#N/A</v>
      </c>
      <c r="OB39" s="90" t="e">
        <f t="shared" ref="OB39:OM39" si="875">OB34-OB37-OB38-OB22</f>
        <v>#N/A</v>
      </c>
      <c r="OC39" s="90" t="e">
        <f t="shared" si="875"/>
        <v>#N/A</v>
      </c>
      <c r="OD39" s="90" t="e">
        <f t="shared" si="875"/>
        <v>#N/A</v>
      </c>
      <c r="OE39" s="90" t="e">
        <f t="shared" si="875"/>
        <v>#N/A</v>
      </c>
      <c r="OF39" s="90" t="e">
        <f t="shared" si="875"/>
        <v>#N/A</v>
      </c>
      <c r="OG39" s="90" t="e">
        <f t="shared" si="875"/>
        <v>#N/A</v>
      </c>
      <c r="OH39" s="90" t="e">
        <f t="shared" si="875"/>
        <v>#N/A</v>
      </c>
      <c r="OI39" s="90" t="e">
        <f t="shared" si="875"/>
        <v>#N/A</v>
      </c>
      <c r="OJ39" s="90" t="e">
        <f t="shared" si="875"/>
        <v>#N/A</v>
      </c>
      <c r="OK39" s="90" t="e">
        <f t="shared" si="875"/>
        <v>#N/A</v>
      </c>
      <c r="OL39" s="90" t="e">
        <f t="shared" si="875"/>
        <v>#N/A</v>
      </c>
      <c r="OM39" s="90" t="e">
        <f t="shared" si="875"/>
        <v>#N/A</v>
      </c>
      <c r="ON39" s="91" t="e">
        <f t="shared" si="839"/>
        <v>#N/A</v>
      </c>
      <c r="OO39" s="90" t="e">
        <f t="shared" ref="OO39:OZ39" si="876">OO34-OO37-OO38-OO22</f>
        <v>#N/A</v>
      </c>
      <c r="OP39" s="90" t="e">
        <f t="shared" si="876"/>
        <v>#N/A</v>
      </c>
      <c r="OQ39" s="90" t="e">
        <f t="shared" si="876"/>
        <v>#N/A</v>
      </c>
      <c r="OR39" s="90" t="e">
        <f t="shared" si="876"/>
        <v>#N/A</v>
      </c>
      <c r="OS39" s="90" t="e">
        <f t="shared" si="876"/>
        <v>#N/A</v>
      </c>
      <c r="OT39" s="90" t="e">
        <f t="shared" si="876"/>
        <v>#N/A</v>
      </c>
      <c r="OU39" s="90" t="e">
        <f t="shared" si="876"/>
        <v>#N/A</v>
      </c>
      <c r="OV39" s="90" t="e">
        <f t="shared" si="876"/>
        <v>#N/A</v>
      </c>
      <c r="OW39" s="90" t="e">
        <f t="shared" si="876"/>
        <v>#N/A</v>
      </c>
      <c r="OX39" s="90" t="e">
        <f t="shared" si="876"/>
        <v>#N/A</v>
      </c>
      <c r="OY39" s="90" t="e">
        <f t="shared" si="876"/>
        <v>#N/A</v>
      </c>
      <c r="OZ39" s="90" t="e">
        <f t="shared" si="876"/>
        <v>#N/A</v>
      </c>
      <c r="PA39" s="91" t="e">
        <f t="shared" si="840"/>
        <v>#N/A</v>
      </c>
      <c r="PB39" s="90" t="e">
        <f t="shared" ref="PB39:PM39" si="877">PB34-PB37-PB38-PB22</f>
        <v>#N/A</v>
      </c>
      <c r="PC39" s="90" t="e">
        <f t="shared" si="877"/>
        <v>#N/A</v>
      </c>
      <c r="PD39" s="90" t="e">
        <f t="shared" si="877"/>
        <v>#N/A</v>
      </c>
      <c r="PE39" s="90" t="e">
        <f t="shared" si="877"/>
        <v>#N/A</v>
      </c>
      <c r="PF39" s="90" t="e">
        <f t="shared" si="877"/>
        <v>#N/A</v>
      </c>
      <c r="PG39" s="90" t="e">
        <f t="shared" si="877"/>
        <v>#N/A</v>
      </c>
      <c r="PH39" s="90" t="e">
        <f t="shared" si="877"/>
        <v>#N/A</v>
      </c>
      <c r="PI39" s="90" t="e">
        <f t="shared" si="877"/>
        <v>#N/A</v>
      </c>
      <c r="PJ39" s="90" t="e">
        <f t="shared" si="877"/>
        <v>#N/A</v>
      </c>
      <c r="PK39" s="90" t="e">
        <f t="shared" si="877"/>
        <v>#N/A</v>
      </c>
      <c r="PL39" s="90" t="e">
        <f t="shared" si="877"/>
        <v>#N/A</v>
      </c>
      <c r="PM39" s="90" t="e">
        <f t="shared" si="877"/>
        <v>#N/A</v>
      </c>
      <c r="PN39" s="91" t="e">
        <f t="shared" si="841"/>
        <v>#N/A</v>
      </c>
      <c r="PO39" s="90" t="e">
        <f t="shared" ref="PO39:PZ39" si="878">PO34-PO37-PO38-PO22</f>
        <v>#N/A</v>
      </c>
      <c r="PP39" s="90" t="e">
        <f t="shared" si="878"/>
        <v>#N/A</v>
      </c>
      <c r="PQ39" s="90" t="e">
        <f t="shared" si="878"/>
        <v>#N/A</v>
      </c>
      <c r="PR39" s="90" t="e">
        <f t="shared" si="878"/>
        <v>#N/A</v>
      </c>
      <c r="PS39" s="90" t="e">
        <f t="shared" si="878"/>
        <v>#N/A</v>
      </c>
      <c r="PT39" s="90" t="e">
        <f t="shared" si="878"/>
        <v>#N/A</v>
      </c>
      <c r="PU39" s="90" t="e">
        <f t="shared" si="878"/>
        <v>#N/A</v>
      </c>
      <c r="PV39" s="90" t="e">
        <f t="shared" si="878"/>
        <v>#N/A</v>
      </c>
      <c r="PW39" s="90" t="e">
        <f t="shared" si="878"/>
        <v>#N/A</v>
      </c>
      <c r="PX39" s="90" t="e">
        <f t="shared" si="878"/>
        <v>#N/A</v>
      </c>
      <c r="PY39" s="90" t="e">
        <f t="shared" si="878"/>
        <v>#N/A</v>
      </c>
      <c r="PZ39" s="90" t="e">
        <f t="shared" si="878"/>
        <v>#N/A</v>
      </c>
      <c r="QA39" s="91" t="e">
        <f t="shared" si="842"/>
        <v>#N/A</v>
      </c>
      <c r="QB39" s="90" t="e">
        <f t="shared" ref="QB39:QM39" si="879">QB34-QB37-QB38-QB22</f>
        <v>#N/A</v>
      </c>
      <c r="QC39" s="90" t="e">
        <f t="shared" si="879"/>
        <v>#N/A</v>
      </c>
      <c r="QD39" s="90" t="e">
        <f t="shared" si="879"/>
        <v>#N/A</v>
      </c>
      <c r="QE39" s="90" t="e">
        <f t="shared" si="879"/>
        <v>#N/A</v>
      </c>
      <c r="QF39" s="90" t="e">
        <f t="shared" si="879"/>
        <v>#N/A</v>
      </c>
      <c r="QG39" s="90" t="e">
        <f t="shared" si="879"/>
        <v>#N/A</v>
      </c>
      <c r="QH39" s="90" t="e">
        <f t="shared" si="879"/>
        <v>#N/A</v>
      </c>
      <c r="QI39" s="90" t="e">
        <f t="shared" si="879"/>
        <v>#N/A</v>
      </c>
      <c r="QJ39" s="90" t="e">
        <f t="shared" si="879"/>
        <v>#N/A</v>
      </c>
      <c r="QK39" s="90" t="e">
        <f t="shared" si="879"/>
        <v>#N/A</v>
      </c>
      <c r="QL39" s="90" t="e">
        <f t="shared" si="879"/>
        <v>#N/A</v>
      </c>
      <c r="QM39" s="90" t="e">
        <f t="shared" si="879"/>
        <v>#N/A</v>
      </c>
      <c r="QN39" s="91" t="e">
        <f t="shared" si="843"/>
        <v>#N/A</v>
      </c>
      <c r="QO39" s="90" t="e">
        <f t="shared" ref="QO39:QZ39" si="880">QO34-QO37-QO38-QO22</f>
        <v>#N/A</v>
      </c>
      <c r="QP39" s="90" t="e">
        <f t="shared" si="880"/>
        <v>#N/A</v>
      </c>
      <c r="QQ39" s="90" t="e">
        <f t="shared" si="880"/>
        <v>#N/A</v>
      </c>
      <c r="QR39" s="90" t="e">
        <f t="shared" si="880"/>
        <v>#N/A</v>
      </c>
      <c r="QS39" s="90" t="e">
        <f t="shared" si="880"/>
        <v>#N/A</v>
      </c>
      <c r="QT39" s="90" t="e">
        <f t="shared" si="880"/>
        <v>#N/A</v>
      </c>
      <c r="QU39" s="90" t="e">
        <f t="shared" si="880"/>
        <v>#N/A</v>
      </c>
      <c r="QV39" s="90" t="e">
        <f t="shared" si="880"/>
        <v>#N/A</v>
      </c>
      <c r="QW39" s="90" t="e">
        <f t="shared" si="880"/>
        <v>#N/A</v>
      </c>
      <c r="QX39" s="90" t="e">
        <f t="shared" si="880"/>
        <v>#N/A</v>
      </c>
      <c r="QY39" s="90" t="e">
        <f t="shared" si="880"/>
        <v>#N/A</v>
      </c>
      <c r="QZ39" s="90" t="e">
        <f t="shared" si="880"/>
        <v>#N/A</v>
      </c>
      <c r="RA39" s="91" t="e">
        <f t="shared" si="844"/>
        <v>#N/A</v>
      </c>
      <c r="RB39" s="90" t="e">
        <f t="shared" ref="RB39:RM39" si="881">RB34-RB37-RB38-RB22</f>
        <v>#N/A</v>
      </c>
      <c r="RC39" s="90" t="e">
        <f t="shared" si="881"/>
        <v>#N/A</v>
      </c>
      <c r="RD39" s="90" t="e">
        <f t="shared" si="881"/>
        <v>#N/A</v>
      </c>
      <c r="RE39" s="90" t="e">
        <f t="shared" si="881"/>
        <v>#N/A</v>
      </c>
      <c r="RF39" s="90" t="e">
        <f t="shared" si="881"/>
        <v>#N/A</v>
      </c>
      <c r="RG39" s="90" t="e">
        <f t="shared" si="881"/>
        <v>#N/A</v>
      </c>
      <c r="RH39" s="90" t="e">
        <f t="shared" si="881"/>
        <v>#N/A</v>
      </c>
      <c r="RI39" s="90" t="e">
        <f t="shared" si="881"/>
        <v>#N/A</v>
      </c>
      <c r="RJ39" s="90" t="e">
        <f t="shared" si="881"/>
        <v>#N/A</v>
      </c>
      <c r="RK39" s="90" t="e">
        <f t="shared" si="881"/>
        <v>#N/A</v>
      </c>
      <c r="RL39" s="90" t="e">
        <f t="shared" si="881"/>
        <v>#N/A</v>
      </c>
      <c r="RM39" s="90" t="e">
        <f t="shared" si="881"/>
        <v>#N/A</v>
      </c>
      <c r="RN39" s="91" t="e">
        <f t="shared" si="845"/>
        <v>#N/A</v>
      </c>
    </row>
    <row r="40" spans="1:482" s="77" customFormat="1" hidden="1" outlineLevel="1" x14ac:dyDescent="0.3">
      <c r="A40" s="74" t="s">
        <v>257</v>
      </c>
      <c r="B40" s="92" t="e">
        <f>B39/B$18</f>
        <v>#N/A</v>
      </c>
      <c r="C40" s="92" t="e">
        <f t="shared" ref="C40:BN40" si="882">C39/C$18</f>
        <v>#N/A</v>
      </c>
      <c r="D40" s="92" t="e">
        <f t="shared" si="882"/>
        <v>#N/A</v>
      </c>
      <c r="E40" s="92" t="e">
        <f t="shared" si="882"/>
        <v>#N/A</v>
      </c>
      <c r="F40" s="92" t="e">
        <f t="shared" si="882"/>
        <v>#N/A</v>
      </c>
      <c r="G40" s="92" t="e">
        <f t="shared" si="882"/>
        <v>#N/A</v>
      </c>
      <c r="H40" s="92" t="e">
        <f t="shared" si="882"/>
        <v>#N/A</v>
      </c>
      <c r="I40" s="92" t="e">
        <f t="shared" si="882"/>
        <v>#N/A</v>
      </c>
      <c r="J40" s="92" t="e">
        <f t="shared" si="882"/>
        <v>#N/A</v>
      </c>
      <c r="K40" s="92" t="e">
        <f t="shared" si="882"/>
        <v>#N/A</v>
      </c>
      <c r="L40" s="92" t="e">
        <f t="shared" si="882"/>
        <v>#N/A</v>
      </c>
      <c r="M40" s="92" t="e">
        <f t="shared" si="882"/>
        <v>#N/A</v>
      </c>
      <c r="N40" s="88" t="e">
        <f t="shared" si="882"/>
        <v>#N/A</v>
      </c>
      <c r="O40" s="92" t="e">
        <f t="shared" si="882"/>
        <v>#N/A</v>
      </c>
      <c r="P40" s="92" t="e">
        <f t="shared" si="882"/>
        <v>#N/A</v>
      </c>
      <c r="Q40" s="92" t="e">
        <f t="shared" si="882"/>
        <v>#N/A</v>
      </c>
      <c r="R40" s="92" t="e">
        <f t="shared" si="882"/>
        <v>#N/A</v>
      </c>
      <c r="S40" s="92" t="e">
        <f t="shared" si="882"/>
        <v>#N/A</v>
      </c>
      <c r="T40" s="92" t="e">
        <f t="shared" si="882"/>
        <v>#N/A</v>
      </c>
      <c r="U40" s="92" t="e">
        <f t="shared" si="882"/>
        <v>#N/A</v>
      </c>
      <c r="V40" s="92" t="e">
        <f t="shared" si="882"/>
        <v>#N/A</v>
      </c>
      <c r="W40" s="92" t="e">
        <f t="shared" si="882"/>
        <v>#N/A</v>
      </c>
      <c r="X40" s="92" t="e">
        <f t="shared" si="882"/>
        <v>#N/A</v>
      </c>
      <c r="Y40" s="92" t="e">
        <f t="shared" si="882"/>
        <v>#N/A</v>
      </c>
      <c r="Z40" s="92" t="e">
        <f t="shared" si="882"/>
        <v>#N/A</v>
      </c>
      <c r="AA40" s="88" t="e">
        <f t="shared" si="882"/>
        <v>#N/A</v>
      </c>
      <c r="AB40" s="92" t="e">
        <f t="shared" si="882"/>
        <v>#N/A</v>
      </c>
      <c r="AC40" s="92" t="e">
        <f t="shared" si="882"/>
        <v>#N/A</v>
      </c>
      <c r="AD40" s="92" t="e">
        <f t="shared" si="882"/>
        <v>#N/A</v>
      </c>
      <c r="AE40" s="92" t="e">
        <f t="shared" si="882"/>
        <v>#N/A</v>
      </c>
      <c r="AF40" s="92" t="e">
        <f t="shared" si="882"/>
        <v>#N/A</v>
      </c>
      <c r="AG40" s="92" t="e">
        <f t="shared" si="882"/>
        <v>#N/A</v>
      </c>
      <c r="AH40" s="92" t="e">
        <f t="shared" si="882"/>
        <v>#N/A</v>
      </c>
      <c r="AI40" s="92" t="e">
        <f t="shared" si="882"/>
        <v>#N/A</v>
      </c>
      <c r="AJ40" s="92" t="e">
        <f t="shared" si="882"/>
        <v>#N/A</v>
      </c>
      <c r="AK40" s="92" t="e">
        <f t="shared" si="882"/>
        <v>#N/A</v>
      </c>
      <c r="AL40" s="92" t="e">
        <f t="shared" si="882"/>
        <v>#N/A</v>
      </c>
      <c r="AM40" s="92" t="e">
        <f t="shared" si="882"/>
        <v>#N/A</v>
      </c>
      <c r="AN40" s="88" t="e">
        <f t="shared" si="882"/>
        <v>#N/A</v>
      </c>
      <c r="AO40" s="92" t="e">
        <f t="shared" si="882"/>
        <v>#N/A</v>
      </c>
      <c r="AP40" s="92" t="e">
        <f t="shared" si="882"/>
        <v>#N/A</v>
      </c>
      <c r="AQ40" s="92" t="e">
        <f t="shared" si="882"/>
        <v>#N/A</v>
      </c>
      <c r="AR40" s="92" t="e">
        <f t="shared" si="882"/>
        <v>#N/A</v>
      </c>
      <c r="AS40" s="92" t="e">
        <f t="shared" si="882"/>
        <v>#N/A</v>
      </c>
      <c r="AT40" s="92" t="e">
        <f t="shared" si="882"/>
        <v>#N/A</v>
      </c>
      <c r="AU40" s="92" t="e">
        <f t="shared" si="882"/>
        <v>#N/A</v>
      </c>
      <c r="AV40" s="92" t="e">
        <f t="shared" si="882"/>
        <v>#N/A</v>
      </c>
      <c r="AW40" s="92" t="e">
        <f t="shared" si="882"/>
        <v>#N/A</v>
      </c>
      <c r="AX40" s="92" t="e">
        <f t="shared" si="882"/>
        <v>#N/A</v>
      </c>
      <c r="AY40" s="92" t="e">
        <f t="shared" si="882"/>
        <v>#N/A</v>
      </c>
      <c r="AZ40" s="92" t="e">
        <f t="shared" si="882"/>
        <v>#N/A</v>
      </c>
      <c r="BA40" s="88" t="e">
        <f t="shared" si="882"/>
        <v>#N/A</v>
      </c>
      <c r="BB40" s="92" t="e">
        <f t="shared" si="882"/>
        <v>#N/A</v>
      </c>
      <c r="BC40" s="92" t="e">
        <f t="shared" si="882"/>
        <v>#N/A</v>
      </c>
      <c r="BD40" s="92" t="e">
        <f t="shared" si="882"/>
        <v>#N/A</v>
      </c>
      <c r="BE40" s="92" t="e">
        <f t="shared" si="882"/>
        <v>#N/A</v>
      </c>
      <c r="BF40" s="92" t="e">
        <f t="shared" si="882"/>
        <v>#N/A</v>
      </c>
      <c r="BG40" s="92" t="e">
        <f t="shared" si="882"/>
        <v>#N/A</v>
      </c>
      <c r="BH40" s="92" t="e">
        <f t="shared" si="882"/>
        <v>#N/A</v>
      </c>
      <c r="BI40" s="92" t="e">
        <f t="shared" si="882"/>
        <v>#N/A</v>
      </c>
      <c r="BJ40" s="92" t="e">
        <f t="shared" si="882"/>
        <v>#N/A</v>
      </c>
      <c r="BK40" s="92" t="e">
        <f t="shared" si="882"/>
        <v>#N/A</v>
      </c>
      <c r="BL40" s="92" t="e">
        <f t="shared" si="882"/>
        <v>#N/A</v>
      </c>
      <c r="BM40" s="92" t="e">
        <f t="shared" si="882"/>
        <v>#N/A</v>
      </c>
      <c r="BN40" s="88" t="e">
        <f t="shared" si="882"/>
        <v>#N/A</v>
      </c>
      <c r="BO40" s="92" t="e">
        <f t="shared" ref="BO40:DZ40" si="883">BO39/BO$18</f>
        <v>#N/A</v>
      </c>
      <c r="BP40" s="92" t="e">
        <f t="shared" si="883"/>
        <v>#N/A</v>
      </c>
      <c r="BQ40" s="92" t="e">
        <f t="shared" si="883"/>
        <v>#N/A</v>
      </c>
      <c r="BR40" s="92" t="e">
        <f t="shared" si="883"/>
        <v>#N/A</v>
      </c>
      <c r="BS40" s="92" t="e">
        <f t="shared" si="883"/>
        <v>#N/A</v>
      </c>
      <c r="BT40" s="92" t="e">
        <f t="shared" si="883"/>
        <v>#N/A</v>
      </c>
      <c r="BU40" s="92" t="e">
        <f t="shared" si="883"/>
        <v>#N/A</v>
      </c>
      <c r="BV40" s="92" t="e">
        <f t="shared" si="883"/>
        <v>#N/A</v>
      </c>
      <c r="BW40" s="92" t="e">
        <f t="shared" si="883"/>
        <v>#N/A</v>
      </c>
      <c r="BX40" s="92" t="e">
        <f t="shared" si="883"/>
        <v>#N/A</v>
      </c>
      <c r="BY40" s="92" t="e">
        <f t="shared" si="883"/>
        <v>#N/A</v>
      </c>
      <c r="BZ40" s="92" t="e">
        <f t="shared" si="883"/>
        <v>#N/A</v>
      </c>
      <c r="CA40" s="88" t="e">
        <f t="shared" si="883"/>
        <v>#N/A</v>
      </c>
      <c r="CB40" s="92" t="e">
        <f t="shared" si="883"/>
        <v>#N/A</v>
      </c>
      <c r="CC40" s="92" t="e">
        <f t="shared" si="883"/>
        <v>#N/A</v>
      </c>
      <c r="CD40" s="92" t="e">
        <f t="shared" si="883"/>
        <v>#N/A</v>
      </c>
      <c r="CE40" s="92" t="e">
        <f t="shared" si="883"/>
        <v>#N/A</v>
      </c>
      <c r="CF40" s="92" t="e">
        <f t="shared" si="883"/>
        <v>#N/A</v>
      </c>
      <c r="CG40" s="92" t="e">
        <f t="shared" si="883"/>
        <v>#N/A</v>
      </c>
      <c r="CH40" s="92" t="e">
        <f t="shared" si="883"/>
        <v>#N/A</v>
      </c>
      <c r="CI40" s="92" t="e">
        <f t="shared" si="883"/>
        <v>#N/A</v>
      </c>
      <c r="CJ40" s="92" t="e">
        <f t="shared" si="883"/>
        <v>#N/A</v>
      </c>
      <c r="CK40" s="92" t="e">
        <f t="shared" si="883"/>
        <v>#N/A</v>
      </c>
      <c r="CL40" s="92" t="e">
        <f t="shared" si="883"/>
        <v>#N/A</v>
      </c>
      <c r="CM40" s="92" t="e">
        <f t="shared" si="883"/>
        <v>#N/A</v>
      </c>
      <c r="CN40" s="88" t="e">
        <f t="shared" si="883"/>
        <v>#N/A</v>
      </c>
      <c r="CO40" s="92" t="e">
        <f t="shared" si="883"/>
        <v>#N/A</v>
      </c>
      <c r="CP40" s="92" t="e">
        <f t="shared" si="883"/>
        <v>#N/A</v>
      </c>
      <c r="CQ40" s="92" t="e">
        <f t="shared" si="883"/>
        <v>#N/A</v>
      </c>
      <c r="CR40" s="92" t="e">
        <f t="shared" si="883"/>
        <v>#N/A</v>
      </c>
      <c r="CS40" s="92" t="e">
        <f t="shared" si="883"/>
        <v>#N/A</v>
      </c>
      <c r="CT40" s="92" t="e">
        <f t="shared" si="883"/>
        <v>#N/A</v>
      </c>
      <c r="CU40" s="92" t="e">
        <f t="shared" si="883"/>
        <v>#N/A</v>
      </c>
      <c r="CV40" s="92" t="e">
        <f t="shared" si="883"/>
        <v>#N/A</v>
      </c>
      <c r="CW40" s="92" t="e">
        <f t="shared" si="883"/>
        <v>#N/A</v>
      </c>
      <c r="CX40" s="92" t="e">
        <f t="shared" si="883"/>
        <v>#N/A</v>
      </c>
      <c r="CY40" s="92" t="e">
        <f t="shared" si="883"/>
        <v>#N/A</v>
      </c>
      <c r="CZ40" s="92" t="e">
        <f t="shared" si="883"/>
        <v>#N/A</v>
      </c>
      <c r="DA40" s="88" t="e">
        <f t="shared" si="883"/>
        <v>#N/A</v>
      </c>
      <c r="DB40" s="92" t="e">
        <f t="shared" si="883"/>
        <v>#N/A</v>
      </c>
      <c r="DC40" s="92" t="e">
        <f t="shared" si="883"/>
        <v>#N/A</v>
      </c>
      <c r="DD40" s="92" t="e">
        <f t="shared" si="883"/>
        <v>#N/A</v>
      </c>
      <c r="DE40" s="92" t="e">
        <f t="shared" si="883"/>
        <v>#N/A</v>
      </c>
      <c r="DF40" s="92" t="e">
        <f t="shared" si="883"/>
        <v>#N/A</v>
      </c>
      <c r="DG40" s="92" t="e">
        <f t="shared" si="883"/>
        <v>#N/A</v>
      </c>
      <c r="DH40" s="92" t="e">
        <f t="shared" si="883"/>
        <v>#N/A</v>
      </c>
      <c r="DI40" s="92" t="e">
        <f t="shared" si="883"/>
        <v>#N/A</v>
      </c>
      <c r="DJ40" s="92" t="e">
        <f t="shared" si="883"/>
        <v>#N/A</v>
      </c>
      <c r="DK40" s="92" t="e">
        <f t="shared" si="883"/>
        <v>#N/A</v>
      </c>
      <c r="DL40" s="92" t="e">
        <f t="shared" si="883"/>
        <v>#N/A</v>
      </c>
      <c r="DM40" s="92" t="e">
        <f t="shared" si="883"/>
        <v>#N/A</v>
      </c>
      <c r="DN40" s="88" t="e">
        <f t="shared" si="883"/>
        <v>#N/A</v>
      </c>
      <c r="DO40" s="92" t="e">
        <f t="shared" si="883"/>
        <v>#N/A</v>
      </c>
      <c r="DP40" s="92" t="e">
        <f t="shared" si="883"/>
        <v>#N/A</v>
      </c>
      <c r="DQ40" s="92" t="e">
        <f t="shared" si="883"/>
        <v>#N/A</v>
      </c>
      <c r="DR40" s="92" t="e">
        <f t="shared" si="883"/>
        <v>#N/A</v>
      </c>
      <c r="DS40" s="92" t="e">
        <f t="shared" si="883"/>
        <v>#N/A</v>
      </c>
      <c r="DT40" s="92" t="e">
        <f t="shared" si="883"/>
        <v>#N/A</v>
      </c>
      <c r="DU40" s="92" t="e">
        <f t="shared" si="883"/>
        <v>#N/A</v>
      </c>
      <c r="DV40" s="92" t="e">
        <f t="shared" si="883"/>
        <v>#N/A</v>
      </c>
      <c r="DW40" s="92" t="e">
        <f t="shared" si="883"/>
        <v>#N/A</v>
      </c>
      <c r="DX40" s="92" t="e">
        <f t="shared" si="883"/>
        <v>#N/A</v>
      </c>
      <c r="DY40" s="92" t="e">
        <f t="shared" si="883"/>
        <v>#N/A</v>
      </c>
      <c r="DZ40" s="92" t="e">
        <f t="shared" si="883"/>
        <v>#N/A</v>
      </c>
      <c r="EA40" s="88" t="e">
        <f t="shared" ref="EA40:GL40" si="884">EA39/EA$18</f>
        <v>#N/A</v>
      </c>
      <c r="EB40" s="92" t="e">
        <f t="shared" si="884"/>
        <v>#N/A</v>
      </c>
      <c r="EC40" s="92" t="e">
        <f t="shared" si="884"/>
        <v>#N/A</v>
      </c>
      <c r="ED40" s="92" t="e">
        <f t="shared" si="884"/>
        <v>#N/A</v>
      </c>
      <c r="EE40" s="92" t="e">
        <f t="shared" si="884"/>
        <v>#N/A</v>
      </c>
      <c r="EF40" s="92" t="e">
        <f t="shared" si="884"/>
        <v>#N/A</v>
      </c>
      <c r="EG40" s="92" t="e">
        <f t="shared" si="884"/>
        <v>#N/A</v>
      </c>
      <c r="EH40" s="92" t="e">
        <f t="shared" si="884"/>
        <v>#N/A</v>
      </c>
      <c r="EI40" s="92" t="e">
        <f t="shared" si="884"/>
        <v>#N/A</v>
      </c>
      <c r="EJ40" s="92" t="e">
        <f t="shared" si="884"/>
        <v>#N/A</v>
      </c>
      <c r="EK40" s="92" t="e">
        <f t="shared" si="884"/>
        <v>#N/A</v>
      </c>
      <c r="EL40" s="92" t="e">
        <f t="shared" si="884"/>
        <v>#N/A</v>
      </c>
      <c r="EM40" s="92" t="e">
        <f t="shared" si="884"/>
        <v>#N/A</v>
      </c>
      <c r="EN40" s="88" t="e">
        <f t="shared" si="884"/>
        <v>#N/A</v>
      </c>
      <c r="EO40" s="92" t="e">
        <f t="shared" si="884"/>
        <v>#N/A</v>
      </c>
      <c r="EP40" s="92" t="e">
        <f t="shared" si="884"/>
        <v>#N/A</v>
      </c>
      <c r="EQ40" s="92" t="e">
        <f t="shared" si="884"/>
        <v>#N/A</v>
      </c>
      <c r="ER40" s="92" t="e">
        <f t="shared" si="884"/>
        <v>#N/A</v>
      </c>
      <c r="ES40" s="92" t="e">
        <f t="shared" si="884"/>
        <v>#N/A</v>
      </c>
      <c r="ET40" s="92" t="e">
        <f t="shared" si="884"/>
        <v>#N/A</v>
      </c>
      <c r="EU40" s="92" t="e">
        <f t="shared" si="884"/>
        <v>#N/A</v>
      </c>
      <c r="EV40" s="92" t="e">
        <f t="shared" si="884"/>
        <v>#N/A</v>
      </c>
      <c r="EW40" s="92" t="e">
        <f t="shared" si="884"/>
        <v>#N/A</v>
      </c>
      <c r="EX40" s="92" t="e">
        <f t="shared" si="884"/>
        <v>#N/A</v>
      </c>
      <c r="EY40" s="92" t="e">
        <f t="shared" si="884"/>
        <v>#N/A</v>
      </c>
      <c r="EZ40" s="92" t="e">
        <f t="shared" si="884"/>
        <v>#N/A</v>
      </c>
      <c r="FA40" s="88" t="e">
        <f t="shared" si="884"/>
        <v>#N/A</v>
      </c>
      <c r="FB40" s="92" t="e">
        <f t="shared" si="884"/>
        <v>#N/A</v>
      </c>
      <c r="FC40" s="92" t="e">
        <f t="shared" si="884"/>
        <v>#N/A</v>
      </c>
      <c r="FD40" s="92" t="e">
        <f t="shared" si="884"/>
        <v>#N/A</v>
      </c>
      <c r="FE40" s="92" t="e">
        <f t="shared" si="884"/>
        <v>#N/A</v>
      </c>
      <c r="FF40" s="92" t="e">
        <f t="shared" si="884"/>
        <v>#N/A</v>
      </c>
      <c r="FG40" s="92" t="e">
        <f t="shared" si="884"/>
        <v>#N/A</v>
      </c>
      <c r="FH40" s="92" t="e">
        <f t="shared" si="884"/>
        <v>#N/A</v>
      </c>
      <c r="FI40" s="92" t="e">
        <f t="shared" si="884"/>
        <v>#N/A</v>
      </c>
      <c r="FJ40" s="92" t="e">
        <f t="shared" si="884"/>
        <v>#N/A</v>
      </c>
      <c r="FK40" s="92" t="e">
        <f t="shared" si="884"/>
        <v>#N/A</v>
      </c>
      <c r="FL40" s="92" t="e">
        <f t="shared" si="884"/>
        <v>#N/A</v>
      </c>
      <c r="FM40" s="92" t="e">
        <f t="shared" si="884"/>
        <v>#N/A</v>
      </c>
      <c r="FN40" s="88" t="e">
        <f t="shared" si="884"/>
        <v>#N/A</v>
      </c>
      <c r="FO40" s="92" t="e">
        <f t="shared" si="884"/>
        <v>#N/A</v>
      </c>
      <c r="FP40" s="92" t="e">
        <f t="shared" si="884"/>
        <v>#N/A</v>
      </c>
      <c r="FQ40" s="92" t="e">
        <f t="shared" si="884"/>
        <v>#N/A</v>
      </c>
      <c r="FR40" s="92" t="e">
        <f t="shared" si="884"/>
        <v>#N/A</v>
      </c>
      <c r="FS40" s="92" t="e">
        <f t="shared" si="884"/>
        <v>#N/A</v>
      </c>
      <c r="FT40" s="92" t="e">
        <f t="shared" si="884"/>
        <v>#N/A</v>
      </c>
      <c r="FU40" s="92" t="e">
        <f t="shared" si="884"/>
        <v>#N/A</v>
      </c>
      <c r="FV40" s="92" t="e">
        <f t="shared" si="884"/>
        <v>#N/A</v>
      </c>
      <c r="FW40" s="92" t="e">
        <f t="shared" si="884"/>
        <v>#N/A</v>
      </c>
      <c r="FX40" s="92" t="e">
        <f t="shared" si="884"/>
        <v>#N/A</v>
      </c>
      <c r="FY40" s="92" t="e">
        <f t="shared" si="884"/>
        <v>#N/A</v>
      </c>
      <c r="FZ40" s="92" t="e">
        <f t="shared" si="884"/>
        <v>#N/A</v>
      </c>
      <c r="GA40" s="88" t="e">
        <f t="shared" si="884"/>
        <v>#N/A</v>
      </c>
      <c r="GB40" s="92" t="e">
        <f t="shared" si="884"/>
        <v>#N/A</v>
      </c>
      <c r="GC40" s="92" t="e">
        <f t="shared" si="884"/>
        <v>#N/A</v>
      </c>
      <c r="GD40" s="92" t="e">
        <f t="shared" si="884"/>
        <v>#N/A</v>
      </c>
      <c r="GE40" s="92" t="e">
        <f t="shared" si="884"/>
        <v>#N/A</v>
      </c>
      <c r="GF40" s="92" t="e">
        <f t="shared" si="884"/>
        <v>#N/A</v>
      </c>
      <c r="GG40" s="92" t="e">
        <f t="shared" si="884"/>
        <v>#N/A</v>
      </c>
      <c r="GH40" s="92" t="e">
        <f t="shared" si="884"/>
        <v>#N/A</v>
      </c>
      <c r="GI40" s="92" t="e">
        <f t="shared" si="884"/>
        <v>#N/A</v>
      </c>
      <c r="GJ40" s="92" t="e">
        <f t="shared" si="884"/>
        <v>#N/A</v>
      </c>
      <c r="GK40" s="92" t="e">
        <f t="shared" si="884"/>
        <v>#N/A</v>
      </c>
      <c r="GL40" s="92" t="e">
        <f t="shared" si="884"/>
        <v>#N/A</v>
      </c>
      <c r="GM40" s="92" t="e">
        <f t="shared" ref="GM40:IX40" si="885">GM39/GM$18</f>
        <v>#N/A</v>
      </c>
      <c r="GN40" s="88" t="e">
        <f t="shared" si="885"/>
        <v>#N/A</v>
      </c>
      <c r="GO40" s="92" t="e">
        <f t="shared" si="885"/>
        <v>#N/A</v>
      </c>
      <c r="GP40" s="92" t="e">
        <f t="shared" si="885"/>
        <v>#N/A</v>
      </c>
      <c r="GQ40" s="92" t="e">
        <f t="shared" si="885"/>
        <v>#N/A</v>
      </c>
      <c r="GR40" s="92" t="e">
        <f t="shared" si="885"/>
        <v>#N/A</v>
      </c>
      <c r="GS40" s="92" t="e">
        <f t="shared" si="885"/>
        <v>#N/A</v>
      </c>
      <c r="GT40" s="92" t="e">
        <f t="shared" si="885"/>
        <v>#N/A</v>
      </c>
      <c r="GU40" s="92" t="e">
        <f t="shared" si="885"/>
        <v>#N/A</v>
      </c>
      <c r="GV40" s="92" t="e">
        <f t="shared" si="885"/>
        <v>#N/A</v>
      </c>
      <c r="GW40" s="92" t="e">
        <f t="shared" si="885"/>
        <v>#N/A</v>
      </c>
      <c r="GX40" s="92" t="e">
        <f t="shared" si="885"/>
        <v>#N/A</v>
      </c>
      <c r="GY40" s="92" t="e">
        <f t="shared" si="885"/>
        <v>#N/A</v>
      </c>
      <c r="GZ40" s="92" t="e">
        <f t="shared" si="885"/>
        <v>#N/A</v>
      </c>
      <c r="HA40" s="88" t="e">
        <f t="shared" si="885"/>
        <v>#N/A</v>
      </c>
      <c r="HB40" s="92" t="e">
        <f t="shared" si="885"/>
        <v>#N/A</v>
      </c>
      <c r="HC40" s="92" t="e">
        <f t="shared" si="885"/>
        <v>#N/A</v>
      </c>
      <c r="HD40" s="92" t="e">
        <f t="shared" si="885"/>
        <v>#N/A</v>
      </c>
      <c r="HE40" s="92" t="e">
        <f t="shared" si="885"/>
        <v>#N/A</v>
      </c>
      <c r="HF40" s="92" t="e">
        <f t="shared" si="885"/>
        <v>#N/A</v>
      </c>
      <c r="HG40" s="92" t="e">
        <f t="shared" si="885"/>
        <v>#N/A</v>
      </c>
      <c r="HH40" s="92" t="e">
        <f t="shared" si="885"/>
        <v>#N/A</v>
      </c>
      <c r="HI40" s="92" t="e">
        <f t="shared" si="885"/>
        <v>#N/A</v>
      </c>
      <c r="HJ40" s="92" t="e">
        <f t="shared" si="885"/>
        <v>#N/A</v>
      </c>
      <c r="HK40" s="92" t="e">
        <f t="shared" si="885"/>
        <v>#N/A</v>
      </c>
      <c r="HL40" s="92" t="e">
        <f t="shared" si="885"/>
        <v>#N/A</v>
      </c>
      <c r="HM40" s="92" t="e">
        <f t="shared" si="885"/>
        <v>#N/A</v>
      </c>
      <c r="HN40" s="88" t="e">
        <f t="shared" si="885"/>
        <v>#N/A</v>
      </c>
      <c r="HO40" s="92" t="e">
        <f t="shared" si="885"/>
        <v>#N/A</v>
      </c>
      <c r="HP40" s="92" t="e">
        <f t="shared" si="885"/>
        <v>#N/A</v>
      </c>
      <c r="HQ40" s="92" t="e">
        <f t="shared" si="885"/>
        <v>#N/A</v>
      </c>
      <c r="HR40" s="92" t="e">
        <f t="shared" si="885"/>
        <v>#N/A</v>
      </c>
      <c r="HS40" s="92" t="e">
        <f t="shared" si="885"/>
        <v>#N/A</v>
      </c>
      <c r="HT40" s="92" t="e">
        <f t="shared" si="885"/>
        <v>#N/A</v>
      </c>
      <c r="HU40" s="92" t="e">
        <f t="shared" si="885"/>
        <v>#N/A</v>
      </c>
      <c r="HV40" s="92" t="e">
        <f t="shared" si="885"/>
        <v>#N/A</v>
      </c>
      <c r="HW40" s="92" t="e">
        <f t="shared" si="885"/>
        <v>#N/A</v>
      </c>
      <c r="HX40" s="92" t="e">
        <f t="shared" si="885"/>
        <v>#N/A</v>
      </c>
      <c r="HY40" s="92" t="e">
        <f t="shared" si="885"/>
        <v>#N/A</v>
      </c>
      <c r="HZ40" s="92" t="e">
        <f t="shared" si="885"/>
        <v>#N/A</v>
      </c>
      <c r="IA40" s="88" t="e">
        <f t="shared" si="885"/>
        <v>#N/A</v>
      </c>
      <c r="IB40" s="92" t="e">
        <f t="shared" si="885"/>
        <v>#N/A</v>
      </c>
      <c r="IC40" s="92" t="e">
        <f t="shared" si="885"/>
        <v>#N/A</v>
      </c>
      <c r="ID40" s="92" t="e">
        <f t="shared" si="885"/>
        <v>#N/A</v>
      </c>
      <c r="IE40" s="92" t="e">
        <f t="shared" si="885"/>
        <v>#N/A</v>
      </c>
      <c r="IF40" s="92" t="e">
        <f t="shared" si="885"/>
        <v>#N/A</v>
      </c>
      <c r="IG40" s="92" t="e">
        <f t="shared" si="885"/>
        <v>#N/A</v>
      </c>
      <c r="IH40" s="92" t="e">
        <f t="shared" si="885"/>
        <v>#N/A</v>
      </c>
      <c r="II40" s="92" t="e">
        <f t="shared" si="885"/>
        <v>#N/A</v>
      </c>
      <c r="IJ40" s="92" t="e">
        <f t="shared" si="885"/>
        <v>#N/A</v>
      </c>
      <c r="IK40" s="92" t="e">
        <f t="shared" si="885"/>
        <v>#N/A</v>
      </c>
      <c r="IL40" s="92" t="e">
        <f t="shared" si="885"/>
        <v>#N/A</v>
      </c>
      <c r="IM40" s="92" t="e">
        <f t="shared" si="885"/>
        <v>#N/A</v>
      </c>
      <c r="IN40" s="88" t="e">
        <f t="shared" si="885"/>
        <v>#N/A</v>
      </c>
      <c r="IO40" s="92" t="e">
        <f t="shared" si="885"/>
        <v>#N/A</v>
      </c>
      <c r="IP40" s="92" t="e">
        <f t="shared" si="885"/>
        <v>#N/A</v>
      </c>
      <c r="IQ40" s="92" t="e">
        <f t="shared" si="885"/>
        <v>#N/A</v>
      </c>
      <c r="IR40" s="92" t="e">
        <f t="shared" si="885"/>
        <v>#N/A</v>
      </c>
      <c r="IS40" s="92" t="e">
        <f t="shared" si="885"/>
        <v>#N/A</v>
      </c>
      <c r="IT40" s="92" t="e">
        <f t="shared" si="885"/>
        <v>#N/A</v>
      </c>
      <c r="IU40" s="92" t="e">
        <f t="shared" si="885"/>
        <v>#N/A</v>
      </c>
      <c r="IV40" s="92" t="e">
        <f t="shared" si="885"/>
        <v>#N/A</v>
      </c>
      <c r="IW40" s="92" t="e">
        <f t="shared" si="885"/>
        <v>#N/A</v>
      </c>
      <c r="IX40" s="92" t="e">
        <f t="shared" si="885"/>
        <v>#N/A</v>
      </c>
      <c r="IY40" s="92" t="e">
        <f t="shared" ref="IY40:LJ40" si="886">IY39/IY$18</f>
        <v>#N/A</v>
      </c>
      <c r="IZ40" s="92" t="e">
        <f t="shared" si="886"/>
        <v>#N/A</v>
      </c>
      <c r="JA40" s="88" t="e">
        <f t="shared" si="886"/>
        <v>#N/A</v>
      </c>
      <c r="JB40" s="92" t="e">
        <f t="shared" si="886"/>
        <v>#N/A</v>
      </c>
      <c r="JC40" s="92" t="e">
        <f t="shared" si="886"/>
        <v>#N/A</v>
      </c>
      <c r="JD40" s="92" t="e">
        <f t="shared" si="886"/>
        <v>#N/A</v>
      </c>
      <c r="JE40" s="92" t="e">
        <f t="shared" si="886"/>
        <v>#N/A</v>
      </c>
      <c r="JF40" s="92" t="e">
        <f t="shared" si="886"/>
        <v>#N/A</v>
      </c>
      <c r="JG40" s="92" t="e">
        <f t="shared" si="886"/>
        <v>#N/A</v>
      </c>
      <c r="JH40" s="92" t="e">
        <f t="shared" si="886"/>
        <v>#N/A</v>
      </c>
      <c r="JI40" s="92" t="e">
        <f t="shared" si="886"/>
        <v>#N/A</v>
      </c>
      <c r="JJ40" s="92" t="e">
        <f t="shared" si="886"/>
        <v>#N/A</v>
      </c>
      <c r="JK40" s="92" t="e">
        <f t="shared" si="886"/>
        <v>#N/A</v>
      </c>
      <c r="JL40" s="92" t="e">
        <f t="shared" si="886"/>
        <v>#N/A</v>
      </c>
      <c r="JM40" s="92" t="e">
        <f t="shared" si="886"/>
        <v>#N/A</v>
      </c>
      <c r="JN40" s="88" t="e">
        <f t="shared" si="886"/>
        <v>#N/A</v>
      </c>
      <c r="JO40" s="92" t="e">
        <f t="shared" si="886"/>
        <v>#N/A</v>
      </c>
      <c r="JP40" s="92" t="e">
        <f t="shared" si="886"/>
        <v>#N/A</v>
      </c>
      <c r="JQ40" s="92" t="e">
        <f t="shared" si="886"/>
        <v>#N/A</v>
      </c>
      <c r="JR40" s="92" t="e">
        <f t="shared" si="886"/>
        <v>#N/A</v>
      </c>
      <c r="JS40" s="92" t="e">
        <f t="shared" si="886"/>
        <v>#N/A</v>
      </c>
      <c r="JT40" s="92" t="e">
        <f t="shared" si="886"/>
        <v>#N/A</v>
      </c>
      <c r="JU40" s="92" t="e">
        <f t="shared" si="886"/>
        <v>#N/A</v>
      </c>
      <c r="JV40" s="92" t="e">
        <f t="shared" si="886"/>
        <v>#N/A</v>
      </c>
      <c r="JW40" s="92" t="e">
        <f t="shared" si="886"/>
        <v>#N/A</v>
      </c>
      <c r="JX40" s="92" t="e">
        <f t="shared" si="886"/>
        <v>#N/A</v>
      </c>
      <c r="JY40" s="92" t="e">
        <f t="shared" si="886"/>
        <v>#N/A</v>
      </c>
      <c r="JZ40" s="92" t="e">
        <f t="shared" si="886"/>
        <v>#N/A</v>
      </c>
      <c r="KA40" s="88" t="e">
        <f t="shared" si="886"/>
        <v>#N/A</v>
      </c>
      <c r="KB40" s="92" t="e">
        <f t="shared" si="886"/>
        <v>#N/A</v>
      </c>
      <c r="KC40" s="92" t="e">
        <f t="shared" si="886"/>
        <v>#N/A</v>
      </c>
      <c r="KD40" s="92" t="e">
        <f t="shared" si="886"/>
        <v>#N/A</v>
      </c>
      <c r="KE40" s="92" t="e">
        <f t="shared" si="886"/>
        <v>#N/A</v>
      </c>
      <c r="KF40" s="92" t="e">
        <f t="shared" si="886"/>
        <v>#N/A</v>
      </c>
      <c r="KG40" s="92" t="e">
        <f t="shared" si="886"/>
        <v>#N/A</v>
      </c>
      <c r="KH40" s="92" t="e">
        <f t="shared" si="886"/>
        <v>#N/A</v>
      </c>
      <c r="KI40" s="92" t="e">
        <f t="shared" si="886"/>
        <v>#N/A</v>
      </c>
      <c r="KJ40" s="92" t="e">
        <f t="shared" si="886"/>
        <v>#N/A</v>
      </c>
      <c r="KK40" s="92" t="e">
        <f t="shared" si="886"/>
        <v>#N/A</v>
      </c>
      <c r="KL40" s="92" t="e">
        <f t="shared" si="886"/>
        <v>#N/A</v>
      </c>
      <c r="KM40" s="92" t="e">
        <f t="shared" si="886"/>
        <v>#N/A</v>
      </c>
      <c r="KN40" s="88" t="e">
        <f t="shared" si="886"/>
        <v>#N/A</v>
      </c>
      <c r="KO40" s="92" t="e">
        <f t="shared" si="886"/>
        <v>#N/A</v>
      </c>
      <c r="KP40" s="92" t="e">
        <f t="shared" si="886"/>
        <v>#N/A</v>
      </c>
      <c r="KQ40" s="92" t="e">
        <f t="shared" si="886"/>
        <v>#N/A</v>
      </c>
      <c r="KR40" s="92" t="e">
        <f t="shared" si="886"/>
        <v>#N/A</v>
      </c>
      <c r="KS40" s="92" t="e">
        <f t="shared" si="886"/>
        <v>#N/A</v>
      </c>
      <c r="KT40" s="92" t="e">
        <f t="shared" si="886"/>
        <v>#N/A</v>
      </c>
      <c r="KU40" s="92" t="e">
        <f t="shared" si="886"/>
        <v>#N/A</v>
      </c>
      <c r="KV40" s="92" t="e">
        <f t="shared" si="886"/>
        <v>#N/A</v>
      </c>
      <c r="KW40" s="92" t="e">
        <f t="shared" si="886"/>
        <v>#N/A</v>
      </c>
      <c r="KX40" s="92" t="e">
        <f t="shared" si="886"/>
        <v>#N/A</v>
      </c>
      <c r="KY40" s="92" t="e">
        <f t="shared" si="886"/>
        <v>#N/A</v>
      </c>
      <c r="KZ40" s="92" t="e">
        <f t="shared" si="886"/>
        <v>#N/A</v>
      </c>
      <c r="LA40" s="88" t="e">
        <f t="shared" si="886"/>
        <v>#N/A</v>
      </c>
      <c r="LB40" s="92" t="e">
        <f t="shared" si="886"/>
        <v>#N/A</v>
      </c>
      <c r="LC40" s="92" t="e">
        <f t="shared" si="886"/>
        <v>#N/A</v>
      </c>
      <c r="LD40" s="92" t="e">
        <f t="shared" si="886"/>
        <v>#N/A</v>
      </c>
      <c r="LE40" s="92" t="e">
        <f t="shared" si="886"/>
        <v>#N/A</v>
      </c>
      <c r="LF40" s="92" t="e">
        <f t="shared" si="886"/>
        <v>#N/A</v>
      </c>
      <c r="LG40" s="92" t="e">
        <f t="shared" si="886"/>
        <v>#N/A</v>
      </c>
      <c r="LH40" s="92" t="e">
        <f t="shared" si="886"/>
        <v>#N/A</v>
      </c>
      <c r="LI40" s="92" t="e">
        <f t="shared" si="886"/>
        <v>#N/A</v>
      </c>
      <c r="LJ40" s="92" t="e">
        <f t="shared" si="886"/>
        <v>#N/A</v>
      </c>
      <c r="LK40" s="92" t="e">
        <f t="shared" ref="LK40:NV40" si="887">LK39/LK$18</f>
        <v>#N/A</v>
      </c>
      <c r="LL40" s="92" t="e">
        <f t="shared" si="887"/>
        <v>#N/A</v>
      </c>
      <c r="LM40" s="92" t="e">
        <f t="shared" si="887"/>
        <v>#N/A</v>
      </c>
      <c r="LN40" s="88" t="e">
        <f t="shared" si="887"/>
        <v>#N/A</v>
      </c>
      <c r="LO40" s="92" t="e">
        <f t="shared" si="887"/>
        <v>#N/A</v>
      </c>
      <c r="LP40" s="92" t="e">
        <f t="shared" si="887"/>
        <v>#N/A</v>
      </c>
      <c r="LQ40" s="92" t="e">
        <f t="shared" si="887"/>
        <v>#N/A</v>
      </c>
      <c r="LR40" s="92" t="e">
        <f t="shared" si="887"/>
        <v>#N/A</v>
      </c>
      <c r="LS40" s="92" t="e">
        <f t="shared" si="887"/>
        <v>#N/A</v>
      </c>
      <c r="LT40" s="92" t="e">
        <f t="shared" si="887"/>
        <v>#N/A</v>
      </c>
      <c r="LU40" s="92" t="e">
        <f t="shared" si="887"/>
        <v>#N/A</v>
      </c>
      <c r="LV40" s="92" t="e">
        <f t="shared" si="887"/>
        <v>#N/A</v>
      </c>
      <c r="LW40" s="92" t="e">
        <f t="shared" si="887"/>
        <v>#N/A</v>
      </c>
      <c r="LX40" s="92" t="e">
        <f t="shared" si="887"/>
        <v>#N/A</v>
      </c>
      <c r="LY40" s="92" t="e">
        <f t="shared" si="887"/>
        <v>#N/A</v>
      </c>
      <c r="LZ40" s="92" t="e">
        <f t="shared" si="887"/>
        <v>#N/A</v>
      </c>
      <c r="MA40" s="88" t="e">
        <f t="shared" si="887"/>
        <v>#N/A</v>
      </c>
      <c r="MB40" s="92" t="e">
        <f t="shared" si="887"/>
        <v>#N/A</v>
      </c>
      <c r="MC40" s="92" t="e">
        <f t="shared" si="887"/>
        <v>#N/A</v>
      </c>
      <c r="MD40" s="92" t="e">
        <f t="shared" si="887"/>
        <v>#N/A</v>
      </c>
      <c r="ME40" s="92" t="e">
        <f t="shared" si="887"/>
        <v>#N/A</v>
      </c>
      <c r="MF40" s="92" t="e">
        <f t="shared" si="887"/>
        <v>#N/A</v>
      </c>
      <c r="MG40" s="92" t="e">
        <f t="shared" si="887"/>
        <v>#N/A</v>
      </c>
      <c r="MH40" s="92" t="e">
        <f t="shared" si="887"/>
        <v>#N/A</v>
      </c>
      <c r="MI40" s="92" t="e">
        <f t="shared" si="887"/>
        <v>#N/A</v>
      </c>
      <c r="MJ40" s="92" t="e">
        <f t="shared" si="887"/>
        <v>#N/A</v>
      </c>
      <c r="MK40" s="92" t="e">
        <f t="shared" si="887"/>
        <v>#N/A</v>
      </c>
      <c r="ML40" s="92" t="e">
        <f t="shared" si="887"/>
        <v>#N/A</v>
      </c>
      <c r="MM40" s="92" t="e">
        <f t="shared" si="887"/>
        <v>#N/A</v>
      </c>
      <c r="MN40" s="88" t="e">
        <f t="shared" si="887"/>
        <v>#N/A</v>
      </c>
      <c r="MO40" s="92" t="e">
        <f t="shared" si="887"/>
        <v>#N/A</v>
      </c>
      <c r="MP40" s="92" t="e">
        <f t="shared" si="887"/>
        <v>#N/A</v>
      </c>
      <c r="MQ40" s="92" t="e">
        <f t="shared" si="887"/>
        <v>#N/A</v>
      </c>
      <c r="MR40" s="92" t="e">
        <f t="shared" si="887"/>
        <v>#N/A</v>
      </c>
      <c r="MS40" s="92" t="e">
        <f t="shared" si="887"/>
        <v>#N/A</v>
      </c>
      <c r="MT40" s="92" t="e">
        <f t="shared" si="887"/>
        <v>#N/A</v>
      </c>
      <c r="MU40" s="92" t="e">
        <f t="shared" si="887"/>
        <v>#N/A</v>
      </c>
      <c r="MV40" s="92" t="e">
        <f t="shared" si="887"/>
        <v>#N/A</v>
      </c>
      <c r="MW40" s="92" t="e">
        <f t="shared" si="887"/>
        <v>#N/A</v>
      </c>
      <c r="MX40" s="92" t="e">
        <f t="shared" si="887"/>
        <v>#N/A</v>
      </c>
      <c r="MY40" s="92" t="e">
        <f t="shared" si="887"/>
        <v>#N/A</v>
      </c>
      <c r="MZ40" s="92" t="e">
        <f t="shared" si="887"/>
        <v>#N/A</v>
      </c>
      <c r="NA40" s="88" t="e">
        <f t="shared" si="887"/>
        <v>#N/A</v>
      </c>
      <c r="NB40" s="92" t="e">
        <f t="shared" si="887"/>
        <v>#N/A</v>
      </c>
      <c r="NC40" s="92" t="e">
        <f t="shared" si="887"/>
        <v>#N/A</v>
      </c>
      <c r="ND40" s="92" t="e">
        <f t="shared" si="887"/>
        <v>#N/A</v>
      </c>
      <c r="NE40" s="92" t="e">
        <f t="shared" si="887"/>
        <v>#N/A</v>
      </c>
      <c r="NF40" s="92" t="e">
        <f t="shared" si="887"/>
        <v>#N/A</v>
      </c>
      <c r="NG40" s="92" t="e">
        <f t="shared" si="887"/>
        <v>#N/A</v>
      </c>
      <c r="NH40" s="92" t="e">
        <f t="shared" si="887"/>
        <v>#N/A</v>
      </c>
      <c r="NI40" s="92" t="e">
        <f t="shared" si="887"/>
        <v>#N/A</v>
      </c>
      <c r="NJ40" s="92" t="e">
        <f t="shared" si="887"/>
        <v>#N/A</v>
      </c>
      <c r="NK40" s="92" t="e">
        <f t="shared" si="887"/>
        <v>#N/A</v>
      </c>
      <c r="NL40" s="92" t="e">
        <f t="shared" si="887"/>
        <v>#N/A</v>
      </c>
      <c r="NM40" s="92" t="e">
        <f t="shared" si="887"/>
        <v>#N/A</v>
      </c>
      <c r="NN40" s="88" t="e">
        <f t="shared" si="887"/>
        <v>#N/A</v>
      </c>
      <c r="NO40" s="92" t="e">
        <f t="shared" si="887"/>
        <v>#N/A</v>
      </c>
      <c r="NP40" s="92" t="e">
        <f t="shared" si="887"/>
        <v>#N/A</v>
      </c>
      <c r="NQ40" s="92" t="e">
        <f t="shared" si="887"/>
        <v>#N/A</v>
      </c>
      <c r="NR40" s="92" t="e">
        <f t="shared" si="887"/>
        <v>#N/A</v>
      </c>
      <c r="NS40" s="92" t="e">
        <f t="shared" si="887"/>
        <v>#N/A</v>
      </c>
      <c r="NT40" s="92" t="e">
        <f t="shared" si="887"/>
        <v>#N/A</v>
      </c>
      <c r="NU40" s="92" t="e">
        <f t="shared" si="887"/>
        <v>#N/A</v>
      </c>
      <c r="NV40" s="92" t="e">
        <f t="shared" si="887"/>
        <v>#N/A</v>
      </c>
      <c r="NW40" s="92" t="e">
        <f t="shared" ref="NW40:QH40" si="888">NW39/NW$18</f>
        <v>#N/A</v>
      </c>
      <c r="NX40" s="92" t="e">
        <f t="shared" si="888"/>
        <v>#N/A</v>
      </c>
      <c r="NY40" s="92" t="e">
        <f t="shared" si="888"/>
        <v>#N/A</v>
      </c>
      <c r="NZ40" s="92" t="e">
        <f t="shared" si="888"/>
        <v>#N/A</v>
      </c>
      <c r="OA40" s="88" t="e">
        <f t="shared" si="888"/>
        <v>#N/A</v>
      </c>
      <c r="OB40" s="92" t="e">
        <f t="shared" si="888"/>
        <v>#N/A</v>
      </c>
      <c r="OC40" s="92" t="e">
        <f t="shared" si="888"/>
        <v>#N/A</v>
      </c>
      <c r="OD40" s="92" t="e">
        <f t="shared" si="888"/>
        <v>#N/A</v>
      </c>
      <c r="OE40" s="92" t="e">
        <f t="shared" si="888"/>
        <v>#N/A</v>
      </c>
      <c r="OF40" s="92" t="e">
        <f t="shared" si="888"/>
        <v>#N/A</v>
      </c>
      <c r="OG40" s="92" t="e">
        <f t="shared" si="888"/>
        <v>#N/A</v>
      </c>
      <c r="OH40" s="92" t="e">
        <f t="shared" si="888"/>
        <v>#N/A</v>
      </c>
      <c r="OI40" s="92" t="e">
        <f t="shared" si="888"/>
        <v>#N/A</v>
      </c>
      <c r="OJ40" s="92" t="e">
        <f t="shared" si="888"/>
        <v>#N/A</v>
      </c>
      <c r="OK40" s="92" t="e">
        <f t="shared" si="888"/>
        <v>#N/A</v>
      </c>
      <c r="OL40" s="92" t="e">
        <f t="shared" si="888"/>
        <v>#N/A</v>
      </c>
      <c r="OM40" s="92" t="e">
        <f t="shared" si="888"/>
        <v>#N/A</v>
      </c>
      <c r="ON40" s="88" t="e">
        <f t="shared" si="888"/>
        <v>#N/A</v>
      </c>
      <c r="OO40" s="92" t="e">
        <f t="shared" si="888"/>
        <v>#N/A</v>
      </c>
      <c r="OP40" s="92" t="e">
        <f t="shared" si="888"/>
        <v>#N/A</v>
      </c>
      <c r="OQ40" s="92" t="e">
        <f t="shared" si="888"/>
        <v>#N/A</v>
      </c>
      <c r="OR40" s="92" t="e">
        <f t="shared" si="888"/>
        <v>#N/A</v>
      </c>
      <c r="OS40" s="92" t="e">
        <f t="shared" si="888"/>
        <v>#N/A</v>
      </c>
      <c r="OT40" s="92" t="e">
        <f t="shared" si="888"/>
        <v>#N/A</v>
      </c>
      <c r="OU40" s="92" t="e">
        <f t="shared" si="888"/>
        <v>#N/A</v>
      </c>
      <c r="OV40" s="92" t="e">
        <f t="shared" si="888"/>
        <v>#N/A</v>
      </c>
      <c r="OW40" s="92" t="e">
        <f t="shared" si="888"/>
        <v>#N/A</v>
      </c>
      <c r="OX40" s="92" t="e">
        <f t="shared" si="888"/>
        <v>#N/A</v>
      </c>
      <c r="OY40" s="92" t="e">
        <f t="shared" si="888"/>
        <v>#N/A</v>
      </c>
      <c r="OZ40" s="92" t="e">
        <f t="shared" si="888"/>
        <v>#N/A</v>
      </c>
      <c r="PA40" s="88" t="e">
        <f t="shared" si="888"/>
        <v>#N/A</v>
      </c>
      <c r="PB40" s="92" t="e">
        <f t="shared" si="888"/>
        <v>#N/A</v>
      </c>
      <c r="PC40" s="92" t="e">
        <f t="shared" si="888"/>
        <v>#N/A</v>
      </c>
      <c r="PD40" s="92" t="e">
        <f t="shared" si="888"/>
        <v>#N/A</v>
      </c>
      <c r="PE40" s="92" t="e">
        <f t="shared" si="888"/>
        <v>#N/A</v>
      </c>
      <c r="PF40" s="92" t="e">
        <f t="shared" si="888"/>
        <v>#N/A</v>
      </c>
      <c r="PG40" s="92" t="e">
        <f t="shared" si="888"/>
        <v>#N/A</v>
      </c>
      <c r="PH40" s="92" t="e">
        <f t="shared" si="888"/>
        <v>#N/A</v>
      </c>
      <c r="PI40" s="92" t="e">
        <f t="shared" si="888"/>
        <v>#N/A</v>
      </c>
      <c r="PJ40" s="92" t="e">
        <f t="shared" si="888"/>
        <v>#N/A</v>
      </c>
      <c r="PK40" s="92" t="e">
        <f t="shared" si="888"/>
        <v>#N/A</v>
      </c>
      <c r="PL40" s="92" t="e">
        <f t="shared" si="888"/>
        <v>#N/A</v>
      </c>
      <c r="PM40" s="92" t="e">
        <f t="shared" si="888"/>
        <v>#N/A</v>
      </c>
      <c r="PN40" s="88" t="e">
        <f t="shared" si="888"/>
        <v>#N/A</v>
      </c>
      <c r="PO40" s="92" t="e">
        <f t="shared" si="888"/>
        <v>#N/A</v>
      </c>
      <c r="PP40" s="92" t="e">
        <f t="shared" si="888"/>
        <v>#N/A</v>
      </c>
      <c r="PQ40" s="92" t="e">
        <f t="shared" si="888"/>
        <v>#N/A</v>
      </c>
      <c r="PR40" s="92" t="e">
        <f t="shared" si="888"/>
        <v>#N/A</v>
      </c>
      <c r="PS40" s="92" t="e">
        <f t="shared" si="888"/>
        <v>#N/A</v>
      </c>
      <c r="PT40" s="92" t="e">
        <f t="shared" si="888"/>
        <v>#N/A</v>
      </c>
      <c r="PU40" s="92" t="e">
        <f t="shared" si="888"/>
        <v>#N/A</v>
      </c>
      <c r="PV40" s="92" t="e">
        <f t="shared" si="888"/>
        <v>#N/A</v>
      </c>
      <c r="PW40" s="92" t="e">
        <f t="shared" si="888"/>
        <v>#N/A</v>
      </c>
      <c r="PX40" s="92" t="e">
        <f t="shared" si="888"/>
        <v>#N/A</v>
      </c>
      <c r="PY40" s="92" t="e">
        <f t="shared" si="888"/>
        <v>#N/A</v>
      </c>
      <c r="PZ40" s="92" t="e">
        <f t="shared" si="888"/>
        <v>#N/A</v>
      </c>
      <c r="QA40" s="88" t="e">
        <f t="shared" si="888"/>
        <v>#N/A</v>
      </c>
      <c r="QB40" s="92" t="e">
        <f t="shared" si="888"/>
        <v>#N/A</v>
      </c>
      <c r="QC40" s="92" t="e">
        <f t="shared" si="888"/>
        <v>#N/A</v>
      </c>
      <c r="QD40" s="92" t="e">
        <f t="shared" si="888"/>
        <v>#N/A</v>
      </c>
      <c r="QE40" s="92" t="e">
        <f t="shared" si="888"/>
        <v>#N/A</v>
      </c>
      <c r="QF40" s="92" t="e">
        <f t="shared" si="888"/>
        <v>#N/A</v>
      </c>
      <c r="QG40" s="92" t="e">
        <f t="shared" si="888"/>
        <v>#N/A</v>
      </c>
      <c r="QH40" s="92" t="e">
        <f t="shared" si="888"/>
        <v>#N/A</v>
      </c>
      <c r="QI40" s="92" t="e">
        <f t="shared" ref="QI40:RN40" si="889">QI39/QI$18</f>
        <v>#N/A</v>
      </c>
      <c r="QJ40" s="92" t="e">
        <f t="shared" si="889"/>
        <v>#N/A</v>
      </c>
      <c r="QK40" s="92" t="e">
        <f t="shared" si="889"/>
        <v>#N/A</v>
      </c>
      <c r="QL40" s="92" t="e">
        <f t="shared" si="889"/>
        <v>#N/A</v>
      </c>
      <c r="QM40" s="92" t="e">
        <f t="shared" si="889"/>
        <v>#N/A</v>
      </c>
      <c r="QN40" s="88" t="e">
        <f t="shared" si="889"/>
        <v>#N/A</v>
      </c>
      <c r="QO40" s="92" t="e">
        <f t="shared" si="889"/>
        <v>#N/A</v>
      </c>
      <c r="QP40" s="92" t="e">
        <f t="shared" si="889"/>
        <v>#N/A</v>
      </c>
      <c r="QQ40" s="92" t="e">
        <f t="shared" si="889"/>
        <v>#N/A</v>
      </c>
      <c r="QR40" s="92" t="e">
        <f t="shared" si="889"/>
        <v>#N/A</v>
      </c>
      <c r="QS40" s="92" t="e">
        <f t="shared" si="889"/>
        <v>#N/A</v>
      </c>
      <c r="QT40" s="92" t="e">
        <f t="shared" si="889"/>
        <v>#N/A</v>
      </c>
      <c r="QU40" s="92" t="e">
        <f t="shared" si="889"/>
        <v>#N/A</v>
      </c>
      <c r="QV40" s="92" t="e">
        <f t="shared" si="889"/>
        <v>#N/A</v>
      </c>
      <c r="QW40" s="92" t="e">
        <f t="shared" si="889"/>
        <v>#N/A</v>
      </c>
      <c r="QX40" s="92" t="e">
        <f t="shared" si="889"/>
        <v>#N/A</v>
      </c>
      <c r="QY40" s="92" t="e">
        <f t="shared" si="889"/>
        <v>#N/A</v>
      </c>
      <c r="QZ40" s="92" t="e">
        <f t="shared" si="889"/>
        <v>#N/A</v>
      </c>
      <c r="RA40" s="88" t="e">
        <f t="shared" si="889"/>
        <v>#N/A</v>
      </c>
      <c r="RB40" s="92" t="e">
        <f t="shared" si="889"/>
        <v>#N/A</v>
      </c>
      <c r="RC40" s="92" t="e">
        <f t="shared" si="889"/>
        <v>#N/A</v>
      </c>
      <c r="RD40" s="92" t="e">
        <f t="shared" si="889"/>
        <v>#N/A</v>
      </c>
      <c r="RE40" s="92" t="e">
        <f t="shared" si="889"/>
        <v>#N/A</v>
      </c>
      <c r="RF40" s="92" t="e">
        <f t="shared" si="889"/>
        <v>#N/A</v>
      </c>
      <c r="RG40" s="92" t="e">
        <f t="shared" si="889"/>
        <v>#N/A</v>
      </c>
      <c r="RH40" s="92" t="e">
        <f t="shared" si="889"/>
        <v>#N/A</v>
      </c>
      <c r="RI40" s="92" t="e">
        <f t="shared" si="889"/>
        <v>#N/A</v>
      </c>
      <c r="RJ40" s="92" t="e">
        <f t="shared" si="889"/>
        <v>#N/A</v>
      </c>
      <c r="RK40" s="92" t="e">
        <f t="shared" si="889"/>
        <v>#N/A</v>
      </c>
      <c r="RL40" s="92" t="e">
        <f t="shared" si="889"/>
        <v>#N/A</v>
      </c>
      <c r="RM40" s="92" t="e">
        <f t="shared" si="889"/>
        <v>#N/A</v>
      </c>
      <c r="RN40" s="88" t="e">
        <f t="shared" si="889"/>
        <v>#N/A</v>
      </c>
    </row>
    <row r="41" spans="1:482" s="77" customFormat="1" hidden="1" outlineLevel="1" x14ac:dyDescent="0.3">
      <c r="A41" s="74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88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88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88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88"/>
      <c r="BB41" s="92"/>
      <c r="BC41" s="92"/>
      <c r="BD41" s="92"/>
      <c r="BE41" s="92"/>
      <c r="BF41" s="92"/>
      <c r="BG41" s="92"/>
      <c r="BH41" s="92"/>
      <c r="BI41" s="92"/>
      <c r="BJ41" s="92"/>
      <c r="BK41" s="92"/>
      <c r="BL41" s="92"/>
      <c r="BM41" s="92"/>
      <c r="BN41" s="88"/>
      <c r="BO41" s="92"/>
      <c r="BP41" s="92"/>
      <c r="BQ41" s="92"/>
      <c r="BR41" s="92"/>
      <c r="BS41" s="92"/>
      <c r="BT41" s="92"/>
      <c r="BU41" s="92"/>
      <c r="BV41" s="92"/>
      <c r="BW41" s="92"/>
      <c r="BX41" s="92"/>
      <c r="BY41" s="92"/>
      <c r="BZ41" s="92"/>
      <c r="CA41" s="88"/>
      <c r="CB41" s="92"/>
      <c r="CC41" s="92"/>
      <c r="CD41" s="92"/>
      <c r="CE41" s="92"/>
      <c r="CF41" s="92"/>
      <c r="CG41" s="92"/>
      <c r="CH41" s="92"/>
      <c r="CI41" s="92"/>
      <c r="CJ41" s="92"/>
      <c r="CK41" s="92"/>
      <c r="CL41" s="92"/>
      <c r="CM41" s="92"/>
      <c r="CN41" s="88"/>
      <c r="CO41" s="92"/>
      <c r="CP41" s="92"/>
      <c r="CQ41" s="92"/>
      <c r="CR41" s="92"/>
      <c r="CS41" s="92"/>
      <c r="CT41" s="92"/>
      <c r="CU41" s="92"/>
      <c r="CV41" s="92"/>
      <c r="CW41" s="92"/>
      <c r="CX41" s="92"/>
      <c r="CY41" s="92"/>
      <c r="CZ41" s="92"/>
      <c r="DA41" s="88"/>
      <c r="DB41" s="92"/>
      <c r="DC41" s="92"/>
      <c r="DD41" s="92"/>
      <c r="DE41" s="92"/>
      <c r="DF41" s="92"/>
      <c r="DG41" s="92"/>
      <c r="DH41" s="92"/>
      <c r="DI41" s="92"/>
      <c r="DJ41" s="92"/>
      <c r="DK41" s="92"/>
      <c r="DL41" s="92"/>
      <c r="DM41" s="92"/>
      <c r="DN41" s="88"/>
      <c r="DO41" s="92"/>
      <c r="DP41" s="92"/>
      <c r="DQ41" s="92"/>
      <c r="DR41" s="92"/>
      <c r="DS41" s="92"/>
      <c r="DT41" s="92"/>
      <c r="DU41" s="92"/>
      <c r="DV41" s="92"/>
      <c r="DW41" s="92"/>
      <c r="DX41" s="92"/>
      <c r="DY41" s="92"/>
      <c r="DZ41" s="92"/>
      <c r="EA41" s="88"/>
      <c r="EB41" s="92"/>
      <c r="EC41" s="92"/>
      <c r="ED41" s="92"/>
      <c r="EE41" s="92"/>
      <c r="EF41" s="92"/>
      <c r="EG41" s="92"/>
      <c r="EH41" s="92"/>
      <c r="EI41" s="92"/>
      <c r="EJ41" s="92"/>
      <c r="EK41" s="92"/>
      <c r="EL41" s="92"/>
      <c r="EM41" s="92"/>
      <c r="EN41" s="88"/>
      <c r="EO41" s="92"/>
      <c r="EP41" s="92"/>
      <c r="EQ41" s="92"/>
      <c r="ER41" s="92"/>
      <c r="ES41" s="92"/>
      <c r="ET41" s="92"/>
      <c r="EU41" s="92"/>
      <c r="EV41" s="92"/>
      <c r="EW41" s="92"/>
      <c r="EX41" s="92"/>
      <c r="EY41" s="92"/>
      <c r="EZ41" s="92"/>
      <c r="FA41" s="88"/>
      <c r="FB41" s="92"/>
      <c r="FC41" s="92"/>
      <c r="FD41" s="92"/>
      <c r="FE41" s="92"/>
      <c r="FF41" s="92"/>
      <c r="FG41" s="92"/>
      <c r="FH41" s="92"/>
      <c r="FI41" s="92"/>
      <c r="FJ41" s="92"/>
      <c r="FK41" s="92"/>
      <c r="FL41" s="92"/>
      <c r="FM41" s="92"/>
      <c r="FN41" s="88"/>
      <c r="FO41" s="92"/>
      <c r="FP41" s="92"/>
      <c r="FQ41" s="92"/>
      <c r="FR41" s="92"/>
      <c r="FS41" s="92"/>
      <c r="FT41" s="92"/>
      <c r="FU41" s="92"/>
      <c r="FV41" s="92"/>
      <c r="FW41" s="92"/>
      <c r="FX41" s="92"/>
      <c r="FY41" s="92"/>
      <c r="FZ41" s="92"/>
      <c r="GA41" s="88"/>
      <c r="GB41" s="92"/>
      <c r="GC41" s="92"/>
      <c r="GD41" s="92"/>
      <c r="GE41" s="92"/>
      <c r="GF41" s="92"/>
      <c r="GG41" s="92"/>
      <c r="GH41" s="92"/>
      <c r="GI41" s="92"/>
      <c r="GJ41" s="92"/>
      <c r="GK41" s="92"/>
      <c r="GL41" s="92"/>
      <c r="GM41" s="92"/>
      <c r="GN41" s="88"/>
      <c r="GO41" s="92"/>
      <c r="GP41" s="92"/>
      <c r="GQ41" s="92"/>
      <c r="GR41" s="92"/>
      <c r="GS41" s="92"/>
      <c r="GT41" s="92"/>
      <c r="GU41" s="92"/>
      <c r="GV41" s="92"/>
      <c r="GW41" s="92"/>
      <c r="GX41" s="92"/>
      <c r="GY41" s="92"/>
      <c r="GZ41" s="92"/>
      <c r="HA41" s="88"/>
      <c r="HB41" s="92"/>
      <c r="HC41" s="92"/>
      <c r="HD41" s="92"/>
      <c r="HE41" s="92"/>
      <c r="HF41" s="92"/>
      <c r="HG41" s="92"/>
      <c r="HH41" s="92"/>
      <c r="HI41" s="92"/>
      <c r="HJ41" s="92"/>
      <c r="HK41" s="92"/>
      <c r="HL41" s="92"/>
      <c r="HM41" s="92"/>
      <c r="HN41" s="88"/>
      <c r="HO41" s="92"/>
      <c r="HP41" s="92"/>
      <c r="HQ41" s="92"/>
      <c r="HR41" s="92"/>
      <c r="HS41" s="92"/>
      <c r="HT41" s="92"/>
      <c r="HU41" s="92"/>
      <c r="HV41" s="92"/>
      <c r="HW41" s="92"/>
      <c r="HX41" s="92"/>
      <c r="HY41" s="92"/>
      <c r="HZ41" s="92"/>
      <c r="IA41" s="88"/>
      <c r="IB41" s="92"/>
      <c r="IC41" s="92"/>
      <c r="ID41" s="92"/>
      <c r="IE41" s="92"/>
      <c r="IF41" s="92"/>
      <c r="IG41" s="92"/>
      <c r="IH41" s="92"/>
      <c r="II41" s="92"/>
      <c r="IJ41" s="92"/>
      <c r="IK41" s="92"/>
      <c r="IL41" s="92"/>
      <c r="IM41" s="92"/>
      <c r="IN41" s="88"/>
      <c r="IO41" s="92"/>
      <c r="IP41" s="92"/>
      <c r="IQ41" s="92"/>
      <c r="IR41" s="92"/>
      <c r="IS41" s="92"/>
      <c r="IT41" s="92"/>
      <c r="IU41" s="92"/>
      <c r="IV41" s="92"/>
      <c r="IW41" s="92"/>
      <c r="IX41" s="92"/>
      <c r="IY41" s="92"/>
      <c r="IZ41" s="92"/>
      <c r="JA41" s="88"/>
      <c r="JB41" s="92"/>
      <c r="JC41" s="92"/>
      <c r="JD41" s="92"/>
      <c r="JE41" s="92"/>
      <c r="JF41" s="92"/>
      <c r="JG41" s="92"/>
      <c r="JH41" s="92"/>
      <c r="JI41" s="92"/>
      <c r="JJ41" s="92"/>
      <c r="JK41" s="92"/>
      <c r="JL41" s="92"/>
      <c r="JM41" s="92"/>
      <c r="JN41" s="88"/>
      <c r="JO41" s="92"/>
      <c r="JP41" s="92"/>
      <c r="JQ41" s="92"/>
      <c r="JR41" s="92"/>
      <c r="JS41" s="92"/>
      <c r="JT41" s="92"/>
      <c r="JU41" s="92"/>
      <c r="JV41" s="92"/>
      <c r="JW41" s="92"/>
      <c r="JX41" s="92"/>
      <c r="JY41" s="92"/>
      <c r="JZ41" s="92"/>
      <c r="KA41" s="88"/>
      <c r="KB41" s="92"/>
      <c r="KC41" s="92"/>
      <c r="KD41" s="92"/>
      <c r="KE41" s="92"/>
      <c r="KF41" s="92"/>
      <c r="KG41" s="92"/>
      <c r="KH41" s="92"/>
      <c r="KI41" s="92"/>
      <c r="KJ41" s="92"/>
      <c r="KK41" s="92"/>
      <c r="KL41" s="92"/>
      <c r="KM41" s="92"/>
      <c r="KN41" s="88"/>
      <c r="KO41" s="92"/>
      <c r="KP41" s="92"/>
      <c r="KQ41" s="92"/>
      <c r="KR41" s="92"/>
      <c r="KS41" s="92"/>
      <c r="KT41" s="92"/>
      <c r="KU41" s="92"/>
      <c r="KV41" s="92"/>
      <c r="KW41" s="92"/>
      <c r="KX41" s="92"/>
      <c r="KY41" s="92"/>
      <c r="KZ41" s="92"/>
      <c r="LA41" s="88"/>
      <c r="LB41" s="92"/>
      <c r="LC41" s="92"/>
      <c r="LD41" s="92"/>
      <c r="LE41" s="92"/>
      <c r="LF41" s="92"/>
      <c r="LG41" s="92"/>
      <c r="LH41" s="92"/>
      <c r="LI41" s="92"/>
      <c r="LJ41" s="92"/>
      <c r="LK41" s="92"/>
      <c r="LL41" s="92"/>
      <c r="LM41" s="92"/>
      <c r="LN41" s="88"/>
      <c r="LO41" s="92"/>
      <c r="LP41" s="92"/>
      <c r="LQ41" s="92"/>
      <c r="LR41" s="92"/>
      <c r="LS41" s="92"/>
      <c r="LT41" s="92"/>
      <c r="LU41" s="92"/>
      <c r="LV41" s="92"/>
      <c r="LW41" s="92"/>
      <c r="LX41" s="92"/>
      <c r="LY41" s="92"/>
      <c r="LZ41" s="92"/>
      <c r="MA41" s="88"/>
      <c r="MB41" s="92"/>
      <c r="MC41" s="92"/>
      <c r="MD41" s="92"/>
      <c r="ME41" s="92"/>
      <c r="MF41" s="92"/>
      <c r="MG41" s="92"/>
      <c r="MH41" s="92"/>
      <c r="MI41" s="92"/>
      <c r="MJ41" s="92"/>
      <c r="MK41" s="92"/>
      <c r="ML41" s="92"/>
      <c r="MM41" s="92"/>
      <c r="MN41" s="88"/>
      <c r="MO41" s="92"/>
      <c r="MP41" s="92"/>
      <c r="MQ41" s="92"/>
      <c r="MR41" s="92"/>
      <c r="MS41" s="92"/>
      <c r="MT41" s="92"/>
      <c r="MU41" s="92"/>
      <c r="MV41" s="92"/>
      <c r="MW41" s="92"/>
      <c r="MX41" s="92"/>
      <c r="MY41" s="92"/>
      <c r="MZ41" s="92"/>
      <c r="NA41" s="88"/>
      <c r="NB41" s="92"/>
      <c r="NC41" s="92"/>
      <c r="ND41" s="92"/>
      <c r="NE41" s="92"/>
      <c r="NF41" s="92"/>
      <c r="NG41" s="92"/>
      <c r="NH41" s="92"/>
      <c r="NI41" s="92"/>
      <c r="NJ41" s="92"/>
      <c r="NK41" s="92"/>
      <c r="NL41" s="92"/>
      <c r="NM41" s="92"/>
      <c r="NN41" s="88"/>
      <c r="NO41" s="92"/>
      <c r="NP41" s="92"/>
      <c r="NQ41" s="92"/>
      <c r="NR41" s="92"/>
      <c r="NS41" s="92"/>
      <c r="NT41" s="92"/>
      <c r="NU41" s="92"/>
      <c r="NV41" s="92"/>
      <c r="NW41" s="92"/>
      <c r="NX41" s="92"/>
      <c r="NY41" s="92"/>
      <c r="NZ41" s="92"/>
      <c r="OA41" s="88"/>
      <c r="OB41" s="92"/>
      <c r="OC41" s="92"/>
      <c r="OD41" s="92"/>
      <c r="OE41" s="92"/>
      <c r="OF41" s="92"/>
      <c r="OG41" s="92"/>
      <c r="OH41" s="92"/>
      <c r="OI41" s="92"/>
      <c r="OJ41" s="92"/>
      <c r="OK41" s="92"/>
      <c r="OL41" s="92"/>
      <c r="OM41" s="92"/>
      <c r="ON41" s="88"/>
      <c r="OO41" s="92"/>
      <c r="OP41" s="92"/>
      <c r="OQ41" s="92"/>
      <c r="OR41" s="92"/>
      <c r="OS41" s="92"/>
      <c r="OT41" s="92"/>
      <c r="OU41" s="92"/>
      <c r="OV41" s="92"/>
      <c r="OW41" s="92"/>
      <c r="OX41" s="92"/>
      <c r="OY41" s="92"/>
      <c r="OZ41" s="92"/>
      <c r="PA41" s="88"/>
      <c r="PB41" s="92"/>
      <c r="PC41" s="92"/>
      <c r="PD41" s="92"/>
      <c r="PE41" s="92"/>
      <c r="PF41" s="92"/>
      <c r="PG41" s="92"/>
      <c r="PH41" s="92"/>
      <c r="PI41" s="92"/>
      <c r="PJ41" s="92"/>
      <c r="PK41" s="92"/>
      <c r="PL41" s="92"/>
      <c r="PM41" s="92"/>
      <c r="PN41" s="88"/>
      <c r="PO41" s="92"/>
      <c r="PP41" s="92"/>
      <c r="PQ41" s="92"/>
      <c r="PR41" s="92"/>
      <c r="PS41" s="92"/>
      <c r="PT41" s="92"/>
      <c r="PU41" s="92"/>
      <c r="PV41" s="92"/>
      <c r="PW41" s="92"/>
      <c r="PX41" s="92"/>
      <c r="PY41" s="92"/>
      <c r="PZ41" s="92"/>
      <c r="QA41" s="88"/>
      <c r="QB41" s="92"/>
      <c r="QC41" s="92"/>
      <c r="QD41" s="92"/>
      <c r="QE41" s="92"/>
      <c r="QF41" s="92"/>
      <c r="QG41" s="92"/>
      <c r="QH41" s="92"/>
      <c r="QI41" s="92"/>
      <c r="QJ41" s="92"/>
      <c r="QK41" s="92"/>
      <c r="QL41" s="92"/>
      <c r="QM41" s="92"/>
      <c r="QN41" s="88"/>
      <c r="QO41" s="92"/>
      <c r="QP41" s="92"/>
      <c r="QQ41" s="92"/>
      <c r="QR41" s="92"/>
      <c r="QS41" s="92"/>
      <c r="QT41" s="92"/>
      <c r="QU41" s="92"/>
      <c r="QV41" s="92"/>
      <c r="QW41" s="92"/>
      <c r="QX41" s="92"/>
      <c r="QY41" s="92"/>
      <c r="QZ41" s="92"/>
      <c r="RA41" s="88"/>
      <c r="RB41" s="92"/>
      <c r="RC41" s="92"/>
      <c r="RD41" s="92"/>
      <c r="RE41" s="92"/>
      <c r="RF41" s="92"/>
      <c r="RG41" s="92"/>
      <c r="RH41" s="92"/>
      <c r="RI41" s="92"/>
      <c r="RJ41" s="92"/>
      <c r="RK41" s="92"/>
      <c r="RL41" s="92"/>
      <c r="RM41" s="92"/>
      <c r="RN41" s="88"/>
    </row>
    <row r="42" spans="1:482" s="77" customFormat="1" hidden="1" outlineLevel="1" x14ac:dyDescent="0.3">
      <c r="A42" s="89" t="s">
        <v>258</v>
      </c>
      <c r="B42" s="86" t="e">
        <f>(B34-B37-B65)*Inputs!$B$18</f>
        <v>#N/A</v>
      </c>
      <c r="C42" s="86" t="e">
        <f>(C34-C37-C65)*Inputs!$B$18</f>
        <v>#N/A</v>
      </c>
      <c r="D42" s="86" t="e">
        <f>(D34-D37-D65)*Inputs!$B$18</f>
        <v>#N/A</v>
      </c>
      <c r="E42" s="86" t="e">
        <f>(E34-E37-E65)*Inputs!$B$18</f>
        <v>#N/A</v>
      </c>
      <c r="F42" s="86" t="e">
        <f>(F34-F37-F65)*Inputs!$B$18</f>
        <v>#N/A</v>
      </c>
      <c r="G42" s="86" t="e">
        <f>(G34-G37-G65)*Inputs!$B$18</f>
        <v>#N/A</v>
      </c>
      <c r="H42" s="86" t="e">
        <f>(H34-H37-H65)*Inputs!$B$18</f>
        <v>#N/A</v>
      </c>
      <c r="I42" s="86" t="e">
        <f>(I34-I37-I65)*Inputs!$B$18</f>
        <v>#N/A</v>
      </c>
      <c r="J42" s="86" t="e">
        <f>(J34-J37-J65)*Inputs!$B$18</f>
        <v>#N/A</v>
      </c>
      <c r="K42" s="86" t="e">
        <f>(K34-K37-K65)*Inputs!$B$18</f>
        <v>#N/A</v>
      </c>
      <c r="L42" s="86" t="e">
        <f>(L34-L37-L65)*Inputs!$B$18</f>
        <v>#N/A</v>
      </c>
      <c r="M42" s="86" t="e">
        <f>(M34-M37-M65)*Inputs!$B$18</f>
        <v>#N/A</v>
      </c>
      <c r="N42" s="87" t="e">
        <f t="shared" ref="N42" si="890">SUM(B42:M42)</f>
        <v>#N/A</v>
      </c>
      <c r="O42" s="86" t="e">
        <f>(O34-O37-O65)*Inputs!$B$18</f>
        <v>#N/A</v>
      </c>
      <c r="P42" s="86" t="e">
        <f>(P34-P37-P65)*Inputs!$B$18</f>
        <v>#N/A</v>
      </c>
      <c r="Q42" s="86" t="e">
        <f>(Q34-Q37-Q65)*Inputs!$B$18</f>
        <v>#N/A</v>
      </c>
      <c r="R42" s="86" t="e">
        <f>(R34-R37-R65)*Inputs!$B$18</f>
        <v>#N/A</v>
      </c>
      <c r="S42" s="86" t="e">
        <f>(S34-S37-S65)*Inputs!$B$18</f>
        <v>#N/A</v>
      </c>
      <c r="T42" s="86" t="e">
        <f>(T34-T37-T65)*Inputs!$B$18</f>
        <v>#N/A</v>
      </c>
      <c r="U42" s="86" t="e">
        <f>(U34-U37-U65)*Inputs!$B$18</f>
        <v>#N/A</v>
      </c>
      <c r="V42" s="86" t="e">
        <f>(V34-V37-V65)*Inputs!$B$18</f>
        <v>#N/A</v>
      </c>
      <c r="W42" s="86" t="e">
        <f>(W34-W37-W65)*Inputs!$B$18</f>
        <v>#N/A</v>
      </c>
      <c r="X42" s="86" t="e">
        <f>(X34-X37-X65)*Inputs!$B$18</f>
        <v>#N/A</v>
      </c>
      <c r="Y42" s="86" t="e">
        <f>(Y34-Y37-Y65)*Inputs!$B$18</f>
        <v>#N/A</v>
      </c>
      <c r="Z42" s="86" t="e">
        <f>(Z34-Z37-Z65)*Inputs!$B$18</f>
        <v>#N/A</v>
      </c>
      <c r="AA42" s="87" t="e">
        <f t="shared" ref="AA42:AA43" si="891">SUM(O42:Z42)</f>
        <v>#N/A</v>
      </c>
      <c r="AB42" s="86" t="e">
        <f>(AB34-AB37-AB65)*Inputs!$B$18</f>
        <v>#N/A</v>
      </c>
      <c r="AC42" s="86" t="e">
        <f>(AC34-AC37-AC65)*Inputs!$B$18</f>
        <v>#N/A</v>
      </c>
      <c r="AD42" s="86" t="e">
        <f>(AD34-AD37-AD65)*Inputs!$B$18</f>
        <v>#N/A</v>
      </c>
      <c r="AE42" s="86" t="e">
        <f>(AE34-AE37-AE65)*Inputs!$B$18</f>
        <v>#N/A</v>
      </c>
      <c r="AF42" s="86" t="e">
        <f>(AF34-AF37-AF65)*Inputs!$B$18</f>
        <v>#N/A</v>
      </c>
      <c r="AG42" s="86" t="e">
        <f>(AG34-AG37-AG65)*Inputs!$B$18</f>
        <v>#N/A</v>
      </c>
      <c r="AH42" s="86" t="e">
        <f>(AH34-AH37-AH65)*Inputs!$B$18</f>
        <v>#N/A</v>
      </c>
      <c r="AI42" s="86" t="e">
        <f>(AI34-AI37-AI65)*Inputs!$B$18</f>
        <v>#N/A</v>
      </c>
      <c r="AJ42" s="86" t="e">
        <f>(AJ34-AJ37-AJ65)*Inputs!$B$18</f>
        <v>#N/A</v>
      </c>
      <c r="AK42" s="86" t="e">
        <f>(AK34-AK37-AK65)*Inputs!$B$18</f>
        <v>#N/A</v>
      </c>
      <c r="AL42" s="86" t="e">
        <f>(AL34-AL37-AL65)*Inputs!$B$18</f>
        <v>#N/A</v>
      </c>
      <c r="AM42" s="86" t="e">
        <f>(AM34-AM37-AM65)*Inputs!$B$18</f>
        <v>#N/A</v>
      </c>
      <c r="AN42" s="87" t="e">
        <f t="shared" ref="AN42:AN43" si="892">SUM(AB42:AM42)</f>
        <v>#N/A</v>
      </c>
      <c r="AO42" s="86" t="e">
        <f>(AO34-AO37-AO65)*Inputs!$B$18</f>
        <v>#N/A</v>
      </c>
      <c r="AP42" s="86" t="e">
        <f>(AP34-AP37-AP65)*Inputs!$B$18</f>
        <v>#N/A</v>
      </c>
      <c r="AQ42" s="86" t="e">
        <f>(AQ34-AQ37-AQ65)*Inputs!$B$18</f>
        <v>#N/A</v>
      </c>
      <c r="AR42" s="86" t="e">
        <f>(AR34-AR37-AR65)*Inputs!$B$18</f>
        <v>#N/A</v>
      </c>
      <c r="AS42" s="86" t="e">
        <f>(AS34-AS37-AS65)*Inputs!$B$18</f>
        <v>#N/A</v>
      </c>
      <c r="AT42" s="86" t="e">
        <f>(AT34-AT37-AT65)*Inputs!$B$18</f>
        <v>#N/A</v>
      </c>
      <c r="AU42" s="86" t="e">
        <f>(AU34-AU37-AU65)*Inputs!$B$18</f>
        <v>#N/A</v>
      </c>
      <c r="AV42" s="86" t="e">
        <f>(AV34-AV37-AV65)*Inputs!$B$18</f>
        <v>#N/A</v>
      </c>
      <c r="AW42" s="86" t="e">
        <f>(AW34-AW37-AW65)*Inputs!$B$18</f>
        <v>#N/A</v>
      </c>
      <c r="AX42" s="86" t="e">
        <f>(AX34-AX37-AX65)*Inputs!$B$18</f>
        <v>#N/A</v>
      </c>
      <c r="AY42" s="86" t="e">
        <f>(AY34-AY37-AY65)*Inputs!$B$18</f>
        <v>#N/A</v>
      </c>
      <c r="AZ42" s="86" t="e">
        <f>(AZ34-AZ37-AZ65)*Inputs!$B$18</f>
        <v>#N/A</v>
      </c>
      <c r="BA42" s="87" t="e">
        <f t="shared" ref="BA42:BA43" si="893">SUM(AO42:AZ42)</f>
        <v>#N/A</v>
      </c>
      <c r="BB42" s="86" t="e">
        <f>(BB34-BB37-BB65)*Inputs!$B$18</f>
        <v>#N/A</v>
      </c>
      <c r="BC42" s="86" t="e">
        <f>(BC34-BC37-BC65)*Inputs!$B$18</f>
        <v>#N/A</v>
      </c>
      <c r="BD42" s="86" t="e">
        <f>(BD34-BD37-BD65)*Inputs!$B$18</f>
        <v>#N/A</v>
      </c>
      <c r="BE42" s="86" t="e">
        <f>(BE34-BE37-BE65)*Inputs!$B$18</f>
        <v>#N/A</v>
      </c>
      <c r="BF42" s="86" t="e">
        <f>(BF34-BF37-BF65)*Inputs!$B$18</f>
        <v>#N/A</v>
      </c>
      <c r="BG42" s="86" t="e">
        <f>(BG34-BG37-BG65)*Inputs!$B$18</f>
        <v>#N/A</v>
      </c>
      <c r="BH42" s="86" t="e">
        <f>(BH34-BH37-BH65)*Inputs!$B$18</f>
        <v>#N/A</v>
      </c>
      <c r="BI42" s="86" t="e">
        <f>(BI34-BI37-BI65)*Inputs!$B$18</f>
        <v>#N/A</v>
      </c>
      <c r="BJ42" s="86" t="e">
        <f>(BJ34-BJ37-BJ65)*Inputs!$B$18</f>
        <v>#N/A</v>
      </c>
      <c r="BK42" s="86" t="e">
        <f>(BK34-BK37-BK65)*Inputs!$B$18</f>
        <v>#N/A</v>
      </c>
      <c r="BL42" s="86" t="e">
        <f>(BL34-BL37-BL65)*Inputs!$B$18</f>
        <v>#N/A</v>
      </c>
      <c r="BM42" s="86" t="e">
        <f>(BM34-BM37-BM65)*Inputs!$B$18</f>
        <v>#N/A</v>
      </c>
      <c r="BN42" s="87" t="e">
        <f t="shared" ref="BN42:BN43" si="894">SUM(BB42:BM42)</f>
        <v>#N/A</v>
      </c>
      <c r="BO42" s="86" t="e">
        <f>(BO34-BO37-BO65)*Inputs!$B$18</f>
        <v>#N/A</v>
      </c>
      <c r="BP42" s="86" t="e">
        <f>(BP34-BP37-BP65)*Inputs!$B$18</f>
        <v>#N/A</v>
      </c>
      <c r="BQ42" s="86" t="e">
        <f>(BQ34-BQ37-BQ65)*Inputs!$B$18</f>
        <v>#N/A</v>
      </c>
      <c r="BR42" s="86" t="e">
        <f>(BR34-BR37-BR65)*Inputs!$B$18</f>
        <v>#N/A</v>
      </c>
      <c r="BS42" s="86" t="e">
        <f>(BS34-BS37-BS65)*Inputs!$B$18</f>
        <v>#N/A</v>
      </c>
      <c r="BT42" s="86" t="e">
        <f>(BT34-BT37-BT65)*Inputs!$B$18</f>
        <v>#N/A</v>
      </c>
      <c r="BU42" s="86" t="e">
        <f>(BU34-BU37-BU65)*Inputs!$B$18</f>
        <v>#N/A</v>
      </c>
      <c r="BV42" s="86" t="e">
        <f>(BV34-BV37-BV65)*Inputs!$B$18</f>
        <v>#N/A</v>
      </c>
      <c r="BW42" s="86" t="e">
        <f>(BW34-BW37-BW65)*Inputs!$B$18</f>
        <v>#N/A</v>
      </c>
      <c r="BX42" s="86" t="e">
        <f>(BX34-BX37-BX65)*Inputs!$B$18</f>
        <v>#N/A</v>
      </c>
      <c r="BY42" s="86" t="e">
        <f>(BY34-BY37-BY65)*Inputs!$B$18</f>
        <v>#N/A</v>
      </c>
      <c r="BZ42" s="86" t="e">
        <f>(BZ34-BZ37-BZ65)*Inputs!$B$18</f>
        <v>#N/A</v>
      </c>
      <c r="CA42" s="87" t="e">
        <f t="shared" ref="CA42:CA43" si="895">SUM(BO42:BZ42)</f>
        <v>#N/A</v>
      </c>
      <c r="CB42" s="86" t="e">
        <f>(CB34-CB37-CB65)*Inputs!$B$18</f>
        <v>#N/A</v>
      </c>
      <c r="CC42" s="86" t="e">
        <f>(CC34-CC37-CC65)*Inputs!$B$18</f>
        <v>#N/A</v>
      </c>
      <c r="CD42" s="86" t="e">
        <f>(CD34-CD37-CD65)*Inputs!$B$18</f>
        <v>#N/A</v>
      </c>
      <c r="CE42" s="86" t="e">
        <f>(CE34-CE37-CE65)*Inputs!$B$18</f>
        <v>#N/A</v>
      </c>
      <c r="CF42" s="86" t="e">
        <f>(CF34-CF37-CF65)*Inputs!$B$18</f>
        <v>#N/A</v>
      </c>
      <c r="CG42" s="86" t="e">
        <f>(CG34-CG37-CG65)*Inputs!$B$18</f>
        <v>#N/A</v>
      </c>
      <c r="CH42" s="86" t="e">
        <f>(CH34-CH37-CH65)*Inputs!$B$18</f>
        <v>#N/A</v>
      </c>
      <c r="CI42" s="86" t="e">
        <f>(CI34-CI37-CI65)*Inputs!$B$18</f>
        <v>#N/A</v>
      </c>
      <c r="CJ42" s="86" t="e">
        <f>(CJ34-CJ37-CJ65)*Inputs!$B$18</f>
        <v>#N/A</v>
      </c>
      <c r="CK42" s="86" t="e">
        <f>(CK34-CK37-CK65)*Inputs!$B$18</f>
        <v>#N/A</v>
      </c>
      <c r="CL42" s="86" t="e">
        <f>(CL34-CL37-CL65)*Inputs!$B$18</f>
        <v>#N/A</v>
      </c>
      <c r="CM42" s="86" t="e">
        <f>(CM34-CM37-CM65)*Inputs!$B$18</f>
        <v>#N/A</v>
      </c>
      <c r="CN42" s="87" t="e">
        <f t="shared" ref="CN42:CN43" si="896">SUM(CB42:CM42)</f>
        <v>#N/A</v>
      </c>
      <c r="CO42" s="86" t="e">
        <f>(CO34-CO37-CO65)*Inputs!$B$18</f>
        <v>#N/A</v>
      </c>
      <c r="CP42" s="86" t="e">
        <f>(CP34-CP37-CP65)*Inputs!$B$18</f>
        <v>#N/A</v>
      </c>
      <c r="CQ42" s="86" t="e">
        <f>(CQ34-CQ37-CQ65)*Inputs!$B$18</f>
        <v>#N/A</v>
      </c>
      <c r="CR42" s="86" t="e">
        <f>(CR34-CR37-CR65)*Inputs!$B$18</f>
        <v>#N/A</v>
      </c>
      <c r="CS42" s="86" t="e">
        <f>(CS34-CS37-CS65)*Inputs!$B$18</f>
        <v>#N/A</v>
      </c>
      <c r="CT42" s="86" t="e">
        <f>(CT34-CT37-CT65)*Inputs!$B$18</f>
        <v>#N/A</v>
      </c>
      <c r="CU42" s="86" t="e">
        <f>(CU34-CU37-CU65)*Inputs!$B$18</f>
        <v>#N/A</v>
      </c>
      <c r="CV42" s="86" t="e">
        <f>(CV34-CV37-CV65)*Inputs!$B$18</f>
        <v>#N/A</v>
      </c>
      <c r="CW42" s="86" t="e">
        <f>(CW34-CW37-CW65)*Inputs!$B$18</f>
        <v>#N/A</v>
      </c>
      <c r="CX42" s="86" t="e">
        <f>(CX34-CX37-CX65)*Inputs!$B$18</f>
        <v>#N/A</v>
      </c>
      <c r="CY42" s="86" t="e">
        <f>(CY34-CY37-CY65)*Inputs!$B$18</f>
        <v>#N/A</v>
      </c>
      <c r="CZ42" s="86" t="e">
        <f>(CZ34-CZ37-CZ65)*Inputs!$B$18</f>
        <v>#N/A</v>
      </c>
      <c r="DA42" s="87" t="e">
        <f t="shared" ref="DA42:DA43" si="897">SUM(CO42:CZ42)</f>
        <v>#N/A</v>
      </c>
      <c r="DB42" s="86" t="e">
        <f>(DB34-DB37-DB65)*Inputs!$B$18</f>
        <v>#N/A</v>
      </c>
      <c r="DC42" s="86" t="e">
        <f>(DC34-DC37-DC65)*Inputs!$B$18</f>
        <v>#N/A</v>
      </c>
      <c r="DD42" s="86" t="e">
        <f>(DD34-DD37-DD65)*Inputs!$B$18</f>
        <v>#N/A</v>
      </c>
      <c r="DE42" s="86" t="e">
        <f>(DE34-DE37-DE65)*Inputs!$B$18</f>
        <v>#N/A</v>
      </c>
      <c r="DF42" s="86" t="e">
        <f>(DF34-DF37-DF65)*Inputs!$B$18</f>
        <v>#N/A</v>
      </c>
      <c r="DG42" s="86" t="e">
        <f>(DG34-DG37-DG65)*Inputs!$B$18</f>
        <v>#N/A</v>
      </c>
      <c r="DH42" s="86" t="e">
        <f>(DH34-DH37-DH65)*Inputs!$B$18</f>
        <v>#N/A</v>
      </c>
      <c r="DI42" s="86" t="e">
        <f>(DI34-DI37-DI65)*Inputs!$B$18</f>
        <v>#N/A</v>
      </c>
      <c r="DJ42" s="86" t="e">
        <f>(DJ34-DJ37-DJ65)*Inputs!$B$18</f>
        <v>#N/A</v>
      </c>
      <c r="DK42" s="86" t="e">
        <f>(DK34-DK37-DK65)*Inputs!$B$18</f>
        <v>#N/A</v>
      </c>
      <c r="DL42" s="86" t="e">
        <f>(DL34-DL37-DL65)*Inputs!$B$18</f>
        <v>#N/A</v>
      </c>
      <c r="DM42" s="86" t="e">
        <f>(DM34-DM37-DM65)*Inputs!$B$18</f>
        <v>#N/A</v>
      </c>
      <c r="DN42" s="87" t="e">
        <f t="shared" ref="DN42:DN43" si="898">SUM(DB42:DM42)</f>
        <v>#N/A</v>
      </c>
      <c r="DO42" s="86" t="e">
        <f>(DO34-DO37-DO65)*Inputs!$B$18</f>
        <v>#N/A</v>
      </c>
      <c r="DP42" s="86" t="e">
        <f>(DP34-DP37-DP65)*Inputs!$B$18</f>
        <v>#N/A</v>
      </c>
      <c r="DQ42" s="86" t="e">
        <f>(DQ34-DQ37-DQ65)*Inputs!$B$18</f>
        <v>#N/A</v>
      </c>
      <c r="DR42" s="86" t="e">
        <f>(DR34-DR37-DR65)*Inputs!$B$18</f>
        <v>#N/A</v>
      </c>
      <c r="DS42" s="86" t="e">
        <f>(DS34-DS37-DS65)*Inputs!$B$18</f>
        <v>#N/A</v>
      </c>
      <c r="DT42" s="86" t="e">
        <f>(DT34-DT37-DT65)*Inputs!$B$18</f>
        <v>#N/A</v>
      </c>
      <c r="DU42" s="86" t="e">
        <f>(DU34-DU37-DU65)*Inputs!$B$18</f>
        <v>#N/A</v>
      </c>
      <c r="DV42" s="86" t="e">
        <f>(DV34-DV37-DV65)*Inputs!$B$18</f>
        <v>#N/A</v>
      </c>
      <c r="DW42" s="86" t="e">
        <f>(DW34-DW37-DW65)*Inputs!$B$18</f>
        <v>#N/A</v>
      </c>
      <c r="DX42" s="86" t="e">
        <f>(DX34-DX37-DX65)*Inputs!$B$18</f>
        <v>#N/A</v>
      </c>
      <c r="DY42" s="86" t="e">
        <f>(DY34-DY37-DY65)*Inputs!$B$18</f>
        <v>#N/A</v>
      </c>
      <c r="DZ42" s="86" t="e">
        <f>(DZ34-DZ37-DZ65)*Inputs!$B$18</f>
        <v>#N/A</v>
      </c>
      <c r="EA42" s="87" t="e">
        <f t="shared" ref="EA42:EA43" si="899">SUM(DO42:DZ42)</f>
        <v>#N/A</v>
      </c>
      <c r="EB42" s="86" t="e">
        <f>(EB34-EB37-EB65)*Inputs!$B$18</f>
        <v>#N/A</v>
      </c>
      <c r="EC42" s="86" t="e">
        <f>(EC34-EC37-EC65)*Inputs!$B$18</f>
        <v>#N/A</v>
      </c>
      <c r="ED42" s="86" t="e">
        <f>(ED34-ED37-ED65)*Inputs!$B$18</f>
        <v>#N/A</v>
      </c>
      <c r="EE42" s="86" t="e">
        <f>(EE34-EE37-EE65)*Inputs!$B$18</f>
        <v>#N/A</v>
      </c>
      <c r="EF42" s="86" t="e">
        <f>(EF34-EF37-EF65)*Inputs!$B$18</f>
        <v>#N/A</v>
      </c>
      <c r="EG42" s="86" t="e">
        <f>(EG34-EG37-EG65)*Inputs!$B$18</f>
        <v>#N/A</v>
      </c>
      <c r="EH42" s="86" t="e">
        <f>(EH34-EH37-EH65)*Inputs!$B$18</f>
        <v>#N/A</v>
      </c>
      <c r="EI42" s="86" t="e">
        <f>(EI34-EI37-EI65)*Inputs!$B$18</f>
        <v>#N/A</v>
      </c>
      <c r="EJ42" s="86" t="e">
        <f>(EJ34-EJ37-EJ65)*Inputs!$B$18</f>
        <v>#N/A</v>
      </c>
      <c r="EK42" s="86" t="e">
        <f>(EK34-EK37-EK65)*Inputs!$B$18</f>
        <v>#N/A</v>
      </c>
      <c r="EL42" s="86" t="e">
        <f>(EL34-EL37-EL65)*Inputs!$B$18</f>
        <v>#N/A</v>
      </c>
      <c r="EM42" s="86" t="e">
        <f>(EM34-EM37-EM65)*Inputs!$B$18</f>
        <v>#N/A</v>
      </c>
      <c r="EN42" s="87" t="e">
        <f t="shared" ref="EN42:EN43" si="900">SUM(EB42:EM42)</f>
        <v>#N/A</v>
      </c>
      <c r="EO42" s="86" t="e">
        <f>(EO34-EO37-EO65)*Inputs!$B$18</f>
        <v>#N/A</v>
      </c>
      <c r="EP42" s="86" t="e">
        <f>(EP34-EP37-EP65)*Inputs!$B$18</f>
        <v>#N/A</v>
      </c>
      <c r="EQ42" s="86" t="e">
        <f>(EQ34-EQ37-EQ65)*Inputs!$B$18</f>
        <v>#N/A</v>
      </c>
      <c r="ER42" s="86" t="e">
        <f>(ER34-ER37-ER65)*Inputs!$B$18</f>
        <v>#N/A</v>
      </c>
      <c r="ES42" s="86" t="e">
        <f>(ES34-ES37-ES65)*Inputs!$B$18</f>
        <v>#N/A</v>
      </c>
      <c r="ET42" s="86" t="e">
        <f>(ET34-ET37-ET65)*Inputs!$B$18</f>
        <v>#N/A</v>
      </c>
      <c r="EU42" s="86" t="e">
        <f>(EU34-EU37-EU65)*Inputs!$B$18</f>
        <v>#N/A</v>
      </c>
      <c r="EV42" s="86" t="e">
        <f>(EV34-EV37-EV65)*Inputs!$B$18</f>
        <v>#N/A</v>
      </c>
      <c r="EW42" s="86" t="e">
        <f>(EW34-EW37-EW65)*Inputs!$B$18</f>
        <v>#N/A</v>
      </c>
      <c r="EX42" s="86" t="e">
        <f>(EX34-EX37-EX65)*Inputs!$B$18</f>
        <v>#N/A</v>
      </c>
      <c r="EY42" s="86" t="e">
        <f>(EY34-EY37-EY65)*Inputs!$B$18</f>
        <v>#N/A</v>
      </c>
      <c r="EZ42" s="86" t="e">
        <f>(EZ34-EZ37-EZ65)*Inputs!$B$18</f>
        <v>#N/A</v>
      </c>
      <c r="FA42" s="87" t="e">
        <f t="shared" ref="FA42:FA43" si="901">SUM(EO42:EZ42)</f>
        <v>#N/A</v>
      </c>
      <c r="FB42" s="86" t="e">
        <f>(FB34-FB37-FB65)*Inputs!$B$18</f>
        <v>#N/A</v>
      </c>
      <c r="FC42" s="86" t="e">
        <f>(FC34-FC37-FC65)*Inputs!$B$18</f>
        <v>#N/A</v>
      </c>
      <c r="FD42" s="86" t="e">
        <f>(FD34-FD37-FD65)*Inputs!$B$18</f>
        <v>#N/A</v>
      </c>
      <c r="FE42" s="86" t="e">
        <f>(FE34-FE37-FE65)*Inputs!$B$18</f>
        <v>#N/A</v>
      </c>
      <c r="FF42" s="86" t="e">
        <f>(FF34-FF37-FF65)*Inputs!$B$18</f>
        <v>#N/A</v>
      </c>
      <c r="FG42" s="86" t="e">
        <f>(FG34-FG37-FG65)*Inputs!$B$18</f>
        <v>#N/A</v>
      </c>
      <c r="FH42" s="86" t="e">
        <f>(FH34-FH37-FH65)*Inputs!$B$18</f>
        <v>#N/A</v>
      </c>
      <c r="FI42" s="86" t="e">
        <f>(FI34-FI37-FI65)*Inputs!$B$18</f>
        <v>#N/A</v>
      </c>
      <c r="FJ42" s="86" t="e">
        <f>(FJ34-FJ37-FJ65)*Inputs!$B$18</f>
        <v>#N/A</v>
      </c>
      <c r="FK42" s="86" t="e">
        <f>(FK34-FK37-FK65)*Inputs!$B$18</f>
        <v>#N/A</v>
      </c>
      <c r="FL42" s="86" t="e">
        <f>(FL34-FL37-FL65)*Inputs!$B$18</f>
        <v>#N/A</v>
      </c>
      <c r="FM42" s="86" t="e">
        <f>(FM34-FM37-FM65)*Inputs!$B$18</f>
        <v>#N/A</v>
      </c>
      <c r="FN42" s="87" t="e">
        <f t="shared" ref="FN42:FN43" si="902">SUM(FB42:FM42)</f>
        <v>#N/A</v>
      </c>
      <c r="FO42" s="86" t="e">
        <f>(FO34-FO37-FO65)*Inputs!$B$18</f>
        <v>#N/A</v>
      </c>
      <c r="FP42" s="86" t="e">
        <f>(FP34-FP37-FP65)*Inputs!$B$18</f>
        <v>#N/A</v>
      </c>
      <c r="FQ42" s="86" t="e">
        <f>(FQ34-FQ37-FQ65)*Inputs!$B$18</f>
        <v>#N/A</v>
      </c>
      <c r="FR42" s="86" t="e">
        <f>(FR34-FR37-FR65)*Inputs!$B$18</f>
        <v>#N/A</v>
      </c>
      <c r="FS42" s="86" t="e">
        <f>(FS34-FS37-FS65)*Inputs!$B$18</f>
        <v>#N/A</v>
      </c>
      <c r="FT42" s="86" t="e">
        <f>(FT34-FT37-FT65)*Inputs!$B$18</f>
        <v>#N/A</v>
      </c>
      <c r="FU42" s="86" t="e">
        <f>(FU34-FU37-FU65)*Inputs!$B$18</f>
        <v>#N/A</v>
      </c>
      <c r="FV42" s="86" t="e">
        <f>(FV34-FV37-FV65)*Inputs!$B$18</f>
        <v>#N/A</v>
      </c>
      <c r="FW42" s="86" t="e">
        <f>(FW34-FW37-FW65)*Inputs!$B$18</f>
        <v>#N/A</v>
      </c>
      <c r="FX42" s="86" t="e">
        <f>(FX34-FX37-FX65)*Inputs!$B$18</f>
        <v>#N/A</v>
      </c>
      <c r="FY42" s="86" t="e">
        <f>(FY34-FY37-FY65)*Inputs!$B$18</f>
        <v>#N/A</v>
      </c>
      <c r="FZ42" s="86" t="e">
        <f>(FZ34-FZ37-FZ65)*Inputs!$B$18</f>
        <v>#N/A</v>
      </c>
      <c r="GA42" s="87" t="e">
        <f t="shared" ref="GA42:GA43" si="903">SUM(FO42:FZ42)</f>
        <v>#N/A</v>
      </c>
      <c r="GB42" s="86" t="e">
        <f>(GB34-GB37-GB65)*Inputs!$B$18</f>
        <v>#N/A</v>
      </c>
      <c r="GC42" s="86" t="e">
        <f>(GC34-GC37-GC65)*Inputs!$B$18</f>
        <v>#N/A</v>
      </c>
      <c r="GD42" s="86" t="e">
        <f>(GD34-GD37-GD65)*Inputs!$B$18</f>
        <v>#N/A</v>
      </c>
      <c r="GE42" s="86" t="e">
        <f>(GE34-GE37-GE65)*Inputs!$B$18</f>
        <v>#N/A</v>
      </c>
      <c r="GF42" s="86" t="e">
        <f>(GF34-GF37-GF65)*Inputs!$B$18</f>
        <v>#N/A</v>
      </c>
      <c r="GG42" s="86" t="e">
        <f>(GG34-GG37-GG65)*Inputs!$B$18</f>
        <v>#N/A</v>
      </c>
      <c r="GH42" s="86" t="e">
        <f>(GH34-GH37-GH65)*Inputs!$B$18</f>
        <v>#N/A</v>
      </c>
      <c r="GI42" s="86" t="e">
        <f>(GI34-GI37-GI65)*Inputs!$B$18</f>
        <v>#N/A</v>
      </c>
      <c r="GJ42" s="86" t="e">
        <f>(GJ34-GJ37-GJ65)*Inputs!$B$18</f>
        <v>#N/A</v>
      </c>
      <c r="GK42" s="86" t="e">
        <f>(GK34-GK37-GK65)*Inputs!$B$18</f>
        <v>#N/A</v>
      </c>
      <c r="GL42" s="86" t="e">
        <f>(GL34-GL37-GL65)*Inputs!$B$18</f>
        <v>#N/A</v>
      </c>
      <c r="GM42" s="86" t="e">
        <f>(GM34-GM37-GM65)*Inputs!$B$18</f>
        <v>#N/A</v>
      </c>
      <c r="GN42" s="87" t="e">
        <f t="shared" ref="GN42:GN43" si="904">SUM(GB42:GM42)</f>
        <v>#N/A</v>
      </c>
      <c r="GO42" s="86" t="e">
        <f>(GO34-GO37-GO65)*Inputs!$B$18</f>
        <v>#N/A</v>
      </c>
      <c r="GP42" s="86" t="e">
        <f>(GP34-GP37-GP65)*Inputs!$B$18</f>
        <v>#N/A</v>
      </c>
      <c r="GQ42" s="86" t="e">
        <f>(GQ34-GQ37-GQ65)*Inputs!$B$18</f>
        <v>#N/A</v>
      </c>
      <c r="GR42" s="86" t="e">
        <f>(GR34-GR37-GR65)*Inputs!$B$18</f>
        <v>#N/A</v>
      </c>
      <c r="GS42" s="86" t="e">
        <f>(GS34-GS37-GS65)*Inputs!$B$18</f>
        <v>#N/A</v>
      </c>
      <c r="GT42" s="86" t="e">
        <f>(GT34-GT37-GT65)*Inputs!$B$18</f>
        <v>#N/A</v>
      </c>
      <c r="GU42" s="86" t="e">
        <f>(GU34-GU37-GU65)*Inputs!$B$18</f>
        <v>#N/A</v>
      </c>
      <c r="GV42" s="86" t="e">
        <f>(GV34-GV37-GV65)*Inputs!$B$18</f>
        <v>#N/A</v>
      </c>
      <c r="GW42" s="86" t="e">
        <f>(GW34-GW37-GW65)*Inputs!$B$18</f>
        <v>#N/A</v>
      </c>
      <c r="GX42" s="86" t="e">
        <f>(GX34-GX37-GX65)*Inputs!$B$18</f>
        <v>#N/A</v>
      </c>
      <c r="GY42" s="86" t="e">
        <f>(GY34-GY37-GY65)*Inputs!$B$18</f>
        <v>#N/A</v>
      </c>
      <c r="GZ42" s="86" t="e">
        <f>(GZ34-GZ37-GZ65)*Inputs!$B$18</f>
        <v>#N/A</v>
      </c>
      <c r="HA42" s="87" t="e">
        <f t="shared" ref="HA42:HA43" si="905">SUM(GO42:GZ42)</f>
        <v>#N/A</v>
      </c>
      <c r="HB42" s="86" t="e">
        <f>(HB34-HB37-HB65)*Inputs!$B$18</f>
        <v>#N/A</v>
      </c>
      <c r="HC42" s="86" t="e">
        <f>(HC34-HC37-HC65)*Inputs!$B$18</f>
        <v>#N/A</v>
      </c>
      <c r="HD42" s="86" t="e">
        <f>(HD34-HD37-HD65)*Inputs!$B$18</f>
        <v>#N/A</v>
      </c>
      <c r="HE42" s="86" t="e">
        <f>(HE34-HE37-HE65)*Inputs!$B$18</f>
        <v>#N/A</v>
      </c>
      <c r="HF42" s="86" t="e">
        <f>(HF34-HF37-HF65)*Inputs!$B$18</f>
        <v>#N/A</v>
      </c>
      <c r="HG42" s="86" t="e">
        <f>(HG34-HG37-HG65)*Inputs!$B$18</f>
        <v>#N/A</v>
      </c>
      <c r="HH42" s="86" t="e">
        <f>(HH34-HH37-HH65)*Inputs!$B$18</f>
        <v>#N/A</v>
      </c>
      <c r="HI42" s="86" t="e">
        <f>(HI34-HI37-HI65)*Inputs!$B$18</f>
        <v>#N/A</v>
      </c>
      <c r="HJ42" s="86" t="e">
        <f>(HJ34-HJ37-HJ65)*Inputs!$B$18</f>
        <v>#N/A</v>
      </c>
      <c r="HK42" s="86" t="e">
        <f>(HK34-HK37-HK65)*Inputs!$B$18</f>
        <v>#N/A</v>
      </c>
      <c r="HL42" s="86" t="e">
        <f>(HL34-HL37-HL65)*Inputs!$B$18</f>
        <v>#N/A</v>
      </c>
      <c r="HM42" s="86" t="e">
        <f>(HM34-HM37-HM65)*Inputs!$B$18</f>
        <v>#N/A</v>
      </c>
      <c r="HN42" s="87" t="e">
        <f t="shared" ref="HN42:HN43" si="906">SUM(HB42:HM42)</f>
        <v>#N/A</v>
      </c>
      <c r="HO42" s="86" t="e">
        <f>(HO34-HO37-HO65)*Inputs!$B$18</f>
        <v>#N/A</v>
      </c>
      <c r="HP42" s="86" t="e">
        <f>(HP34-HP37-HP65)*Inputs!$B$18</f>
        <v>#N/A</v>
      </c>
      <c r="HQ42" s="86" t="e">
        <f>(HQ34-HQ37-HQ65)*Inputs!$B$18</f>
        <v>#N/A</v>
      </c>
      <c r="HR42" s="86" t="e">
        <f>(HR34-HR37-HR65)*Inputs!$B$18</f>
        <v>#N/A</v>
      </c>
      <c r="HS42" s="86" t="e">
        <f>(HS34-HS37-HS65)*Inputs!$B$18</f>
        <v>#N/A</v>
      </c>
      <c r="HT42" s="86" t="e">
        <f>(HT34-HT37-HT65)*Inputs!$B$18</f>
        <v>#N/A</v>
      </c>
      <c r="HU42" s="86" t="e">
        <f>(HU34-HU37-HU65)*Inputs!$B$18</f>
        <v>#N/A</v>
      </c>
      <c r="HV42" s="86" t="e">
        <f>(HV34-HV37-HV65)*Inputs!$B$18</f>
        <v>#N/A</v>
      </c>
      <c r="HW42" s="86" t="e">
        <f>(HW34-HW37-HW65)*Inputs!$B$18</f>
        <v>#N/A</v>
      </c>
      <c r="HX42" s="86" t="e">
        <f>(HX34-HX37-HX65)*Inputs!$B$18</f>
        <v>#N/A</v>
      </c>
      <c r="HY42" s="86" t="e">
        <f>(HY34-HY37-HY65)*Inputs!$B$18</f>
        <v>#N/A</v>
      </c>
      <c r="HZ42" s="86" t="e">
        <f>(HZ34-HZ37-HZ65)*Inputs!$B$18</f>
        <v>#N/A</v>
      </c>
      <c r="IA42" s="87" t="e">
        <f t="shared" ref="IA42:IA43" si="907">SUM(HO42:HZ42)</f>
        <v>#N/A</v>
      </c>
      <c r="IB42" s="86" t="e">
        <f>(IB34-IB37-IB65)*Inputs!$B$18</f>
        <v>#N/A</v>
      </c>
      <c r="IC42" s="86" t="e">
        <f>(IC34-IC37-IC65)*Inputs!$B$18</f>
        <v>#N/A</v>
      </c>
      <c r="ID42" s="86" t="e">
        <f>(ID34-ID37-ID65)*Inputs!$B$18</f>
        <v>#N/A</v>
      </c>
      <c r="IE42" s="86" t="e">
        <f>(IE34-IE37-IE65)*Inputs!$B$18</f>
        <v>#N/A</v>
      </c>
      <c r="IF42" s="86" t="e">
        <f>(IF34-IF37-IF65)*Inputs!$B$18</f>
        <v>#N/A</v>
      </c>
      <c r="IG42" s="86" t="e">
        <f>(IG34-IG37-IG65)*Inputs!$B$18</f>
        <v>#N/A</v>
      </c>
      <c r="IH42" s="86" t="e">
        <f>(IH34-IH37-IH65)*Inputs!$B$18</f>
        <v>#N/A</v>
      </c>
      <c r="II42" s="86" t="e">
        <f>(II34-II37-II65)*Inputs!$B$18</f>
        <v>#N/A</v>
      </c>
      <c r="IJ42" s="86" t="e">
        <f>(IJ34-IJ37-IJ65)*Inputs!$B$18</f>
        <v>#N/A</v>
      </c>
      <c r="IK42" s="86" t="e">
        <f>(IK34-IK37-IK65)*Inputs!$B$18</f>
        <v>#N/A</v>
      </c>
      <c r="IL42" s="86" t="e">
        <f>(IL34-IL37-IL65)*Inputs!$B$18</f>
        <v>#N/A</v>
      </c>
      <c r="IM42" s="86" t="e">
        <f>(IM34-IM37-IM65)*Inputs!$B$18</f>
        <v>#N/A</v>
      </c>
      <c r="IN42" s="87" t="e">
        <f t="shared" ref="IN42:IN43" si="908">SUM(IB42:IM42)</f>
        <v>#N/A</v>
      </c>
      <c r="IO42" s="86" t="e">
        <f>(IO34-IO37-IO65)*Inputs!$B$18</f>
        <v>#N/A</v>
      </c>
      <c r="IP42" s="86" t="e">
        <f>(IP34-IP37-IP65)*Inputs!$B$18</f>
        <v>#N/A</v>
      </c>
      <c r="IQ42" s="86" t="e">
        <f>(IQ34-IQ37-IQ65)*Inputs!$B$18</f>
        <v>#N/A</v>
      </c>
      <c r="IR42" s="86" t="e">
        <f>(IR34-IR37-IR65)*Inputs!$B$18</f>
        <v>#N/A</v>
      </c>
      <c r="IS42" s="86" t="e">
        <f>(IS34-IS37-IS65)*Inputs!$B$18</f>
        <v>#N/A</v>
      </c>
      <c r="IT42" s="86" t="e">
        <f>(IT34-IT37-IT65)*Inputs!$B$18</f>
        <v>#N/A</v>
      </c>
      <c r="IU42" s="86" t="e">
        <f>(IU34-IU37-IU65)*Inputs!$B$18</f>
        <v>#N/A</v>
      </c>
      <c r="IV42" s="86" t="e">
        <f>(IV34-IV37-IV65)*Inputs!$B$18</f>
        <v>#N/A</v>
      </c>
      <c r="IW42" s="86" t="e">
        <f>(IW34-IW37-IW65)*Inputs!$B$18</f>
        <v>#N/A</v>
      </c>
      <c r="IX42" s="86" t="e">
        <f>(IX34-IX37-IX65)*Inputs!$B$18</f>
        <v>#N/A</v>
      </c>
      <c r="IY42" s="86" t="e">
        <f>(IY34-IY37-IY65)*Inputs!$B$18</f>
        <v>#N/A</v>
      </c>
      <c r="IZ42" s="86" t="e">
        <f>(IZ34-IZ37-IZ65)*Inputs!$B$18</f>
        <v>#N/A</v>
      </c>
      <c r="JA42" s="87" t="e">
        <f t="shared" ref="JA42:JA43" si="909">SUM(IO42:IZ42)</f>
        <v>#N/A</v>
      </c>
      <c r="JB42" s="86" t="e">
        <f>(JB34-JB37-JB65)*Inputs!$B$18</f>
        <v>#N/A</v>
      </c>
      <c r="JC42" s="86" t="e">
        <f>(JC34-JC37-JC65)*Inputs!$B$18</f>
        <v>#N/A</v>
      </c>
      <c r="JD42" s="86" t="e">
        <f>(JD34-JD37-JD65)*Inputs!$B$18</f>
        <v>#N/A</v>
      </c>
      <c r="JE42" s="86" t="e">
        <f>(JE34-JE37-JE65)*Inputs!$B$18</f>
        <v>#N/A</v>
      </c>
      <c r="JF42" s="86" t="e">
        <f>(JF34-JF37-JF65)*Inputs!$B$18</f>
        <v>#N/A</v>
      </c>
      <c r="JG42" s="86" t="e">
        <f>(JG34-JG37-JG65)*Inputs!$B$18</f>
        <v>#N/A</v>
      </c>
      <c r="JH42" s="86" t="e">
        <f>(JH34-JH37-JH65)*Inputs!$B$18</f>
        <v>#N/A</v>
      </c>
      <c r="JI42" s="86" t="e">
        <f>(JI34-JI37-JI65)*Inputs!$B$18</f>
        <v>#N/A</v>
      </c>
      <c r="JJ42" s="86" t="e">
        <f>(JJ34-JJ37-JJ65)*Inputs!$B$18</f>
        <v>#N/A</v>
      </c>
      <c r="JK42" s="86" t="e">
        <f>(JK34-JK37-JK65)*Inputs!$B$18</f>
        <v>#N/A</v>
      </c>
      <c r="JL42" s="86" t="e">
        <f>(JL34-JL37-JL65)*Inputs!$B$18</f>
        <v>#N/A</v>
      </c>
      <c r="JM42" s="86" t="e">
        <f>(JM34-JM37-JM65)*Inputs!$B$18</f>
        <v>#N/A</v>
      </c>
      <c r="JN42" s="87" t="e">
        <f t="shared" ref="JN42:JN43" si="910">SUM(JB42:JM42)</f>
        <v>#N/A</v>
      </c>
      <c r="JO42" s="86" t="e">
        <f>(JO34-JO37-JO65)*Inputs!$B$18</f>
        <v>#N/A</v>
      </c>
      <c r="JP42" s="86" t="e">
        <f>(JP34-JP37-JP65)*Inputs!$B$18</f>
        <v>#N/A</v>
      </c>
      <c r="JQ42" s="86" t="e">
        <f>(JQ34-JQ37-JQ65)*Inputs!$B$18</f>
        <v>#N/A</v>
      </c>
      <c r="JR42" s="86" t="e">
        <f>(JR34-JR37-JR65)*Inputs!$B$18</f>
        <v>#N/A</v>
      </c>
      <c r="JS42" s="86" t="e">
        <f>(JS34-JS37-JS65)*Inputs!$B$18</f>
        <v>#N/A</v>
      </c>
      <c r="JT42" s="86" t="e">
        <f>(JT34-JT37-JT65)*Inputs!$B$18</f>
        <v>#N/A</v>
      </c>
      <c r="JU42" s="86" t="e">
        <f>(JU34-JU37-JU65)*Inputs!$B$18</f>
        <v>#N/A</v>
      </c>
      <c r="JV42" s="86" t="e">
        <f>(JV34-JV37-JV65)*Inputs!$B$18</f>
        <v>#N/A</v>
      </c>
      <c r="JW42" s="86" t="e">
        <f>(JW34-JW37-JW65)*Inputs!$B$18</f>
        <v>#N/A</v>
      </c>
      <c r="JX42" s="86" t="e">
        <f>(JX34-JX37-JX65)*Inputs!$B$18</f>
        <v>#N/A</v>
      </c>
      <c r="JY42" s="86" t="e">
        <f>(JY34-JY37-JY65)*Inputs!$B$18</f>
        <v>#N/A</v>
      </c>
      <c r="JZ42" s="86" t="e">
        <f>(JZ34-JZ37-JZ65)*Inputs!$B$18</f>
        <v>#N/A</v>
      </c>
      <c r="KA42" s="87" t="e">
        <f t="shared" ref="KA42:KA43" si="911">SUM(JO42:JZ42)</f>
        <v>#N/A</v>
      </c>
      <c r="KB42" s="86" t="e">
        <f>(KB34-KB37-KB65)*Inputs!$B$18</f>
        <v>#N/A</v>
      </c>
      <c r="KC42" s="86" t="e">
        <f>(KC34-KC37-KC65)*Inputs!$B$18</f>
        <v>#N/A</v>
      </c>
      <c r="KD42" s="86" t="e">
        <f>(KD34-KD37-KD65)*Inputs!$B$18</f>
        <v>#N/A</v>
      </c>
      <c r="KE42" s="86" t="e">
        <f>(KE34-KE37-KE65)*Inputs!$B$18</f>
        <v>#N/A</v>
      </c>
      <c r="KF42" s="86" t="e">
        <f>(KF34-KF37-KF65)*Inputs!$B$18</f>
        <v>#N/A</v>
      </c>
      <c r="KG42" s="86" t="e">
        <f>(KG34-KG37-KG65)*Inputs!$B$18</f>
        <v>#N/A</v>
      </c>
      <c r="KH42" s="86" t="e">
        <f>(KH34-KH37-KH65)*Inputs!$B$18</f>
        <v>#N/A</v>
      </c>
      <c r="KI42" s="86" t="e">
        <f>(KI34-KI37-KI65)*Inputs!$B$18</f>
        <v>#N/A</v>
      </c>
      <c r="KJ42" s="86" t="e">
        <f>(KJ34-KJ37-KJ65)*Inputs!$B$18</f>
        <v>#N/A</v>
      </c>
      <c r="KK42" s="86" t="e">
        <f>(KK34-KK37-KK65)*Inputs!$B$18</f>
        <v>#N/A</v>
      </c>
      <c r="KL42" s="86" t="e">
        <f>(KL34-KL37-KL65)*Inputs!$B$18</f>
        <v>#N/A</v>
      </c>
      <c r="KM42" s="86" t="e">
        <f>(KM34-KM37-KM65)*Inputs!$B$18</f>
        <v>#N/A</v>
      </c>
      <c r="KN42" s="87" t="e">
        <f t="shared" ref="KN42:KN43" si="912">SUM(KB42:KM42)</f>
        <v>#N/A</v>
      </c>
      <c r="KO42" s="86" t="e">
        <f>(KO34-KO37-KO65)*Inputs!$B$18</f>
        <v>#N/A</v>
      </c>
      <c r="KP42" s="86" t="e">
        <f>(KP34-KP37-KP65)*Inputs!$B$18</f>
        <v>#N/A</v>
      </c>
      <c r="KQ42" s="86" t="e">
        <f>(KQ34-KQ37-KQ65)*Inputs!$B$18</f>
        <v>#N/A</v>
      </c>
      <c r="KR42" s="86" t="e">
        <f>(KR34-KR37-KR65)*Inputs!$B$18</f>
        <v>#N/A</v>
      </c>
      <c r="KS42" s="86" t="e">
        <f>(KS34-KS37-KS65)*Inputs!$B$18</f>
        <v>#N/A</v>
      </c>
      <c r="KT42" s="86" t="e">
        <f>(KT34-KT37-KT65)*Inputs!$B$18</f>
        <v>#N/A</v>
      </c>
      <c r="KU42" s="86" t="e">
        <f>(KU34-KU37-KU65)*Inputs!$B$18</f>
        <v>#N/A</v>
      </c>
      <c r="KV42" s="86" t="e">
        <f>(KV34-KV37-KV65)*Inputs!$B$18</f>
        <v>#N/A</v>
      </c>
      <c r="KW42" s="86" t="e">
        <f>(KW34-KW37-KW65)*Inputs!$B$18</f>
        <v>#N/A</v>
      </c>
      <c r="KX42" s="86" t="e">
        <f>(KX34-KX37-KX65)*Inputs!$B$18</f>
        <v>#N/A</v>
      </c>
      <c r="KY42" s="86" t="e">
        <f>(KY34-KY37-KY65)*Inputs!$B$18</f>
        <v>#N/A</v>
      </c>
      <c r="KZ42" s="86" t="e">
        <f>(KZ34-KZ37-KZ65)*Inputs!$B$18</f>
        <v>#N/A</v>
      </c>
      <c r="LA42" s="87" t="e">
        <f t="shared" ref="LA42:LA43" si="913">SUM(KO42:KZ42)</f>
        <v>#N/A</v>
      </c>
      <c r="LB42" s="86" t="e">
        <f>(LB34-LB37-LB65)*Inputs!$B$18</f>
        <v>#N/A</v>
      </c>
      <c r="LC42" s="86" t="e">
        <f>(LC34-LC37-LC65)*Inputs!$B$18</f>
        <v>#N/A</v>
      </c>
      <c r="LD42" s="86" t="e">
        <f>(LD34-LD37-LD65)*Inputs!$B$18</f>
        <v>#N/A</v>
      </c>
      <c r="LE42" s="86" t="e">
        <f>(LE34-LE37-LE65)*Inputs!$B$18</f>
        <v>#N/A</v>
      </c>
      <c r="LF42" s="86" t="e">
        <f>(LF34-LF37-LF65)*Inputs!$B$18</f>
        <v>#N/A</v>
      </c>
      <c r="LG42" s="86" t="e">
        <f>(LG34-LG37-LG65)*Inputs!$B$18</f>
        <v>#N/A</v>
      </c>
      <c r="LH42" s="86" t="e">
        <f>(LH34-LH37-LH65)*Inputs!$B$18</f>
        <v>#N/A</v>
      </c>
      <c r="LI42" s="86" t="e">
        <f>(LI34-LI37-LI65)*Inputs!$B$18</f>
        <v>#N/A</v>
      </c>
      <c r="LJ42" s="86" t="e">
        <f>(LJ34-LJ37-LJ65)*Inputs!$B$18</f>
        <v>#N/A</v>
      </c>
      <c r="LK42" s="86" t="e">
        <f>(LK34-LK37-LK65)*Inputs!$B$18</f>
        <v>#N/A</v>
      </c>
      <c r="LL42" s="86" t="e">
        <f>(LL34-LL37-LL65)*Inputs!$B$18</f>
        <v>#N/A</v>
      </c>
      <c r="LM42" s="86" t="e">
        <f>(LM34-LM37-LM65)*Inputs!$B$18</f>
        <v>#N/A</v>
      </c>
      <c r="LN42" s="87" t="e">
        <f t="shared" ref="LN42:LN43" si="914">SUM(LB42:LM42)</f>
        <v>#N/A</v>
      </c>
      <c r="LO42" s="86" t="e">
        <f>(LO34-LO37-LO65)*Inputs!$B$18</f>
        <v>#N/A</v>
      </c>
      <c r="LP42" s="86" t="e">
        <f>(LP34-LP37-LP65)*Inputs!$B$18</f>
        <v>#N/A</v>
      </c>
      <c r="LQ42" s="86" t="e">
        <f>(LQ34-LQ37-LQ65)*Inputs!$B$18</f>
        <v>#N/A</v>
      </c>
      <c r="LR42" s="86" t="e">
        <f>(LR34-LR37-LR65)*Inputs!$B$18</f>
        <v>#N/A</v>
      </c>
      <c r="LS42" s="86" t="e">
        <f>(LS34-LS37-LS65)*Inputs!$B$18</f>
        <v>#N/A</v>
      </c>
      <c r="LT42" s="86" t="e">
        <f>(LT34-LT37-LT65)*Inputs!$B$18</f>
        <v>#N/A</v>
      </c>
      <c r="LU42" s="86" t="e">
        <f>(LU34-LU37-LU65)*Inputs!$B$18</f>
        <v>#N/A</v>
      </c>
      <c r="LV42" s="86" t="e">
        <f>(LV34-LV37-LV65)*Inputs!$B$18</f>
        <v>#N/A</v>
      </c>
      <c r="LW42" s="86" t="e">
        <f>(LW34-LW37-LW65)*Inputs!$B$18</f>
        <v>#N/A</v>
      </c>
      <c r="LX42" s="86" t="e">
        <f>(LX34-LX37-LX65)*Inputs!$B$18</f>
        <v>#N/A</v>
      </c>
      <c r="LY42" s="86" t="e">
        <f>(LY34-LY37-LY65)*Inputs!$B$18</f>
        <v>#N/A</v>
      </c>
      <c r="LZ42" s="86" t="e">
        <f>(LZ34-LZ37-LZ65)*Inputs!$B$18</f>
        <v>#N/A</v>
      </c>
      <c r="MA42" s="87" t="e">
        <f t="shared" ref="MA42:MA43" si="915">SUM(LO42:LZ42)</f>
        <v>#N/A</v>
      </c>
      <c r="MB42" s="86" t="e">
        <f>(MB34-MB37-MB65)*Inputs!$B$18</f>
        <v>#N/A</v>
      </c>
      <c r="MC42" s="86" t="e">
        <f>(MC34-MC37-MC65)*Inputs!$B$18</f>
        <v>#N/A</v>
      </c>
      <c r="MD42" s="86" t="e">
        <f>(MD34-MD37-MD65)*Inputs!$B$18</f>
        <v>#N/A</v>
      </c>
      <c r="ME42" s="86" t="e">
        <f>(ME34-ME37-ME65)*Inputs!$B$18</f>
        <v>#N/A</v>
      </c>
      <c r="MF42" s="86" t="e">
        <f>(MF34-MF37-MF65)*Inputs!$B$18</f>
        <v>#N/A</v>
      </c>
      <c r="MG42" s="86" t="e">
        <f>(MG34-MG37-MG65)*Inputs!$B$18</f>
        <v>#N/A</v>
      </c>
      <c r="MH42" s="86" t="e">
        <f>(MH34-MH37-MH65)*Inputs!$B$18</f>
        <v>#N/A</v>
      </c>
      <c r="MI42" s="86" t="e">
        <f>(MI34-MI37-MI65)*Inputs!$B$18</f>
        <v>#N/A</v>
      </c>
      <c r="MJ42" s="86" t="e">
        <f>(MJ34-MJ37-MJ65)*Inputs!$B$18</f>
        <v>#N/A</v>
      </c>
      <c r="MK42" s="86" t="e">
        <f>(MK34-MK37-MK65)*Inputs!$B$18</f>
        <v>#N/A</v>
      </c>
      <c r="ML42" s="86" t="e">
        <f>(ML34-ML37-ML65)*Inputs!$B$18</f>
        <v>#N/A</v>
      </c>
      <c r="MM42" s="86" t="e">
        <f>(MM34-MM37-MM65)*Inputs!$B$18</f>
        <v>#N/A</v>
      </c>
      <c r="MN42" s="87" t="e">
        <f t="shared" ref="MN42:MN43" si="916">SUM(MB42:MM42)</f>
        <v>#N/A</v>
      </c>
      <c r="MO42" s="86" t="e">
        <f>(MO34-MO37-MO65)*Inputs!$B$18</f>
        <v>#N/A</v>
      </c>
      <c r="MP42" s="86" t="e">
        <f>(MP34-MP37-MP65)*Inputs!$B$18</f>
        <v>#N/A</v>
      </c>
      <c r="MQ42" s="86" t="e">
        <f>(MQ34-MQ37-MQ65)*Inputs!$B$18</f>
        <v>#N/A</v>
      </c>
      <c r="MR42" s="86" t="e">
        <f>(MR34-MR37-MR65)*Inputs!$B$18</f>
        <v>#N/A</v>
      </c>
      <c r="MS42" s="86" t="e">
        <f>(MS34-MS37-MS65)*Inputs!$B$18</f>
        <v>#N/A</v>
      </c>
      <c r="MT42" s="86" t="e">
        <f>(MT34-MT37-MT65)*Inputs!$B$18</f>
        <v>#N/A</v>
      </c>
      <c r="MU42" s="86" t="e">
        <f>(MU34-MU37-MU65)*Inputs!$B$18</f>
        <v>#N/A</v>
      </c>
      <c r="MV42" s="86" t="e">
        <f>(MV34-MV37-MV65)*Inputs!$B$18</f>
        <v>#N/A</v>
      </c>
      <c r="MW42" s="86" t="e">
        <f>(MW34-MW37-MW65)*Inputs!$B$18</f>
        <v>#N/A</v>
      </c>
      <c r="MX42" s="86" t="e">
        <f>(MX34-MX37-MX65)*Inputs!$B$18</f>
        <v>#N/A</v>
      </c>
      <c r="MY42" s="86" t="e">
        <f>(MY34-MY37-MY65)*Inputs!$B$18</f>
        <v>#N/A</v>
      </c>
      <c r="MZ42" s="86" t="e">
        <f>(MZ34-MZ37-MZ65)*Inputs!$B$18</f>
        <v>#N/A</v>
      </c>
      <c r="NA42" s="87" t="e">
        <f t="shared" ref="NA42:NA43" si="917">SUM(MO42:MZ42)</f>
        <v>#N/A</v>
      </c>
      <c r="NB42" s="86" t="e">
        <f>(NB34-NB37-NB65)*Inputs!$B$18</f>
        <v>#N/A</v>
      </c>
      <c r="NC42" s="86" t="e">
        <f>(NC34-NC37-NC65)*Inputs!$B$18</f>
        <v>#N/A</v>
      </c>
      <c r="ND42" s="86" t="e">
        <f>(ND34-ND37-ND65)*Inputs!$B$18</f>
        <v>#N/A</v>
      </c>
      <c r="NE42" s="86" t="e">
        <f>(NE34-NE37-NE65)*Inputs!$B$18</f>
        <v>#N/A</v>
      </c>
      <c r="NF42" s="86" t="e">
        <f>(NF34-NF37-NF65)*Inputs!$B$18</f>
        <v>#N/A</v>
      </c>
      <c r="NG42" s="86" t="e">
        <f>(NG34-NG37-NG65)*Inputs!$B$18</f>
        <v>#N/A</v>
      </c>
      <c r="NH42" s="86" t="e">
        <f>(NH34-NH37-NH65)*Inputs!$B$18</f>
        <v>#N/A</v>
      </c>
      <c r="NI42" s="86" t="e">
        <f>(NI34-NI37-NI65)*Inputs!$B$18</f>
        <v>#N/A</v>
      </c>
      <c r="NJ42" s="86" t="e">
        <f>(NJ34-NJ37-NJ65)*Inputs!$B$18</f>
        <v>#N/A</v>
      </c>
      <c r="NK42" s="86" t="e">
        <f>(NK34-NK37-NK65)*Inputs!$B$18</f>
        <v>#N/A</v>
      </c>
      <c r="NL42" s="86" t="e">
        <f>(NL34-NL37-NL65)*Inputs!$B$18</f>
        <v>#N/A</v>
      </c>
      <c r="NM42" s="86" t="e">
        <f>(NM34-NM37-NM65)*Inputs!$B$18</f>
        <v>#N/A</v>
      </c>
      <c r="NN42" s="87" t="e">
        <f t="shared" ref="NN42:NN43" si="918">SUM(NB42:NM42)</f>
        <v>#N/A</v>
      </c>
      <c r="NO42" s="86" t="e">
        <f>(NO34-NO37-NO65)*Inputs!$B$18</f>
        <v>#N/A</v>
      </c>
      <c r="NP42" s="86" t="e">
        <f>(NP34-NP37-NP65)*Inputs!$B$18</f>
        <v>#N/A</v>
      </c>
      <c r="NQ42" s="86" t="e">
        <f>(NQ34-NQ37-NQ65)*Inputs!$B$18</f>
        <v>#N/A</v>
      </c>
      <c r="NR42" s="86" t="e">
        <f>(NR34-NR37-NR65)*Inputs!$B$18</f>
        <v>#N/A</v>
      </c>
      <c r="NS42" s="86" t="e">
        <f>(NS34-NS37-NS65)*Inputs!$B$18</f>
        <v>#N/A</v>
      </c>
      <c r="NT42" s="86" t="e">
        <f>(NT34-NT37-NT65)*Inputs!$B$18</f>
        <v>#N/A</v>
      </c>
      <c r="NU42" s="86" t="e">
        <f>(NU34-NU37-NU65)*Inputs!$B$18</f>
        <v>#N/A</v>
      </c>
      <c r="NV42" s="86" t="e">
        <f>(NV34-NV37-NV65)*Inputs!$B$18</f>
        <v>#N/A</v>
      </c>
      <c r="NW42" s="86" t="e">
        <f>(NW34-NW37-NW65)*Inputs!$B$18</f>
        <v>#N/A</v>
      </c>
      <c r="NX42" s="86" t="e">
        <f>(NX34-NX37-NX65)*Inputs!$B$18</f>
        <v>#N/A</v>
      </c>
      <c r="NY42" s="86" t="e">
        <f>(NY34-NY37-NY65)*Inputs!$B$18</f>
        <v>#N/A</v>
      </c>
      <c r="NZ42" s="86" t="e">
        <f>(NZ34-NZ37-NZ65)*Inputs!$B$18</f>
        <v>#N/A</v>
      </c>
      <c r="OA42" s="87" t="e">
        <f t="shared" ref="OA42:OA43" si="919">SUM(NO42:NZ42)</f>
        <v>#N/A</v>
      </c>
      <c r="OB42" s="86" t="e">
        <f>(OB34-OB37-OB65)*Inputs!$B$18</f>
        <v>#N/A</v>
      </c>
      <c r="OC42" s="86" t="e">
        <f>(OC34-OC37-OC65)*Inputs!$B$18</f>
        <v>#N/A</v>
      </c>
      <c r="OD42" s="86" t="e">
        <f>(OD34-OD37-OD65)*Inputs!$B$18</f>
        <v>#N/A</v>
      </c>
      <c r="OE42" s="86" t="e">
        <f>(OE34-OE37-OE65)*Inputs!$B$18</f>
        <v>#N/A</v>
      </c>
      <c r="OF42" s="86" t="e">
        <f>(OF34-OF37-OF65)*Inputs!$B$18</f>
        <v>#N/A</v>
      </c>
      <c r="OG42" s="86" t="e">
        <f>(OG34-OG37-OG65)*Inputs!$B$18</f>
        <v>#N/A</v>
      </c>
      <c r="OH42" s="86" t="e">
        <f>(OH34-OH37-OH65)*Inputs!$B$18</f>
        <v>#N/A</v>
      </c>
      <c r="OI42" s="86" t="e">
        <f>(OI34-OI37-OI65)*Inputs!$B$18</f>
        <v>#N/A</v>
      </c>
      <c r="OJ42" s="86" t="e">
        <f>(OJ34-OJ37-OJ65)*Inputs!$B$18</f>
        <v>#N/A</v>
      </c>
      <c r="OK42" s="86" t="e">
        <f>(OK34-OK37-OK65)*Inputs!$B$18</f>
        <v>#N/A</v>
      </c>
      <c r="OL42" s="86" t="e">
        <f>(OL34-OL37-OL65)*Inputs!$B$18</f>
        <v>#N/A</v>
      </c>
      <c r="OM42" s="86" t="e">
        <f>(OM34-OM37-OM65)*Inputs!$B$18</f>
        <v>#N/A</v>
      </c>
      <c r="ON42" s="87" t="e">
        <f t="shared" ref="ON42:ON43" si="920">SUM(OB42:OM42)</f>
        <v>#N/A</v>
      </c>
      <c r="OO42" s="86" t="e">
        <f>(OO34-OO37-OO65)*Inputs!$B$18</f>
        <v>#N/A</v>
      </c>
      <c r="OP42" s="86" t="e">
        <f>(OP34-OP37-OP65)*Inputs!$B$18</f>
        <v>#N/A</v>
      </c>
      <c r="OQ42" s="86" t="e">
        <f>(OQ34-OQ37-OQ65)*Inputs!$B$18</f>
        <v>#N/A</v>
      </c>
      <c r="OR42" s="86" t="e">
        <f>(OR34-OR37-OR65)*Inputs!$B$18</f>
        <v>#N/A</v>
      </c>
      <c r="OS42" s="86" t="e">
        <f>(OS34-OS37-OS65)*Inputs!$B$18</f>
        <v>#N/A</v>
      </c>
      <c r="OT42" s="86" t="e">
        <f>(OT34-OT37-OT65)*Inputs!$B$18</f>
        <v>#N/A</v>
      </c>
      <c r="OU42" s="86" t="e">
        <f>(OU34-OU37-OU65)*Inputs!$B$18</f>
        <v>#N/A</v>
      </c>
      <c r="OV42" s="86" t="e">
        <f>(OV34-OV37-OV65)*Inputs!$B$18</f>
        <v>#N/A</v>
      </c>
      <c r="OW42" s="86" t="e">
        <f>(OW34-OW37-OW65)*Inputs!$B$18</f>
        <v>#N/A</v>
      </c>
      <c r="OX42" s="86" t="e">
        <f>(OX34-OX37-OX65)*Inputs!$B$18</f>
        <v>#N/A</v>
      </c>
      <c r="OY42" s="86" t="e">
        <f>(OY34-OY37-OY65)*Inputs!$B$18</f>
        <v>#N/A</v>
      </c>
      <c r="OZ42" s="86" t="e">
        <f>(OZ34-OZ37-OZ65)*Inputs!$B$18</f>
        <v>#N/A</v>
      </c>
      <c r="PA42" s="87" t="e">
        <f t="shared" ref="PA42:PA43" si="921">SUM(OO42:OZ42)</f>
        <v>#N/A</v>
      </c>
      <c r="PB42" s="86" t="e">
        <f>(PB34-PB37-PB65)*Inputs!$B$18</f>
        <v>#N/A</v>
      </c>
      <c r="PC42" s="86" t="e">
        <f>(PC34-PC37-PC65)*Inputs!$B$18</f>
        <v>#N/A</v>
      </c>
      <c r="PD42" s="86" t="e">
        <f>(PD34-PD37-PD65)*Inputs!$B$18</f>
        <v>#N/A</v>
      </c>
      <c r="PE42" s="86" t="e">
        <f>(PE34-PE37-PE65)*Inputs!$B$18</f>
        <v>#N/A</v>
      </c>
      <c r="PF42" s="86" t="e">
        <f>(PF34-PF37-PF65)*Inputs!$B$18</f>
        <v>#N/A</v>
      </c>
      <c r="PG42" s="86" t="e">
        <f>(PG34-PG37-PG65)*Inputs!$B$18</f>
        <v>#N/A</v>
      </c>
      <c r="PH42" s="86" t="e">
        <f>(PH34-PH37-PH65)*Inputs!$B$18</f>
        <v>#N/A</v>
      </c>
      <c r="PI42" s="86" t="e">
        <f>(PI34-PI37-PI65)*Inputs!$B$18</f>
        <v>#N/A</v>
      </c>
      <c r="PJ42" s="86" t="e">
        <f>(PJ34-PJ37-PJ65)*Inputs!$B$18</f>
        <v>#N/A</v>
      </c>
      <c r="PK42" s="86" t="e">
        <f>(PK34-PK37-PK65)*Inputs!$B$18</f>
        <v>#N/A</v>
      </c>
      <c r="PL42" s="86" t="e">
        <f>(PL34-PL37-PL65)*Inputs!$B$18</f>
        <v>#N/A</v>
      </c>
      <c r="PM42" s="86" t="e">
        <f>(PM34-PM37-PM65)*Inputs!$B$18</f>
        <v>#N/A</v>
      </c>
      <c r="PN42" s="87" t="e">
        <f t="shared" ref="PN42:PN43" si="922">SUM(PB42:PM42)</f>
        <v>#N/A</v>
      </c>
      <c r="PO42" s="86" t="e">
        <f>(PO34-PO37-PO65)*Inputs!$B$18</f>
        <v>#N/A</v>
      </c>
      <c r="PP42" s="86" t="e">
        <f>(PP34-PP37-PP65)*Inputs!$B$18</f>
        <v>#N/A</v>
      </c>
      <c r="PQ42" s="86" t="e">
        <f>(PQ34-PQ37-PQ65)*Inputs!$B$18</f>
        <v>#N/A</v>
      </c>
      <c r="PR42" s="86" t="e">
        <f>(PR34-PR37-PR65)*Inputs!$B$18</f>
        <v>#N/A</v>
      </c>
      <c r="PS42" s="86" t="e">
        <f>(PS34-PS37-PS65)*Inputs!$B$18</f>
        <v>#N/A</v>
      </c>
      <c r="PT42" s="86" t="e">
        <f>(PT34-PT37-PT65)*Inputs!$B$18</f>
        <v>#N/A</v>
      </c>
      <c r="PU42" s="86" t="e">
        <f>(PU34-PU37-PU65)*Inputs!$B$18</f>
        <v>#N/A</v>
      </c>
      <c r="PV42" s="86" t="e">
        <f>(PV34-PV37-PV65)*Inputs!$B$18</f>
        <v>#N/A</v>
      </c>
      <c r="PW42" s="86" t="e">
        <f>(PW34-PW37-PW65)*Inputs!$B$18</f>
        <v>#N/A</v>
      </c>
      <c r="PX42" s="86" t="e">
        <f>(PX34-PX37-PX65)*Inputs!$B$18</f>
        <v>#N/A</v>
      </c>
      <c r="PY42" s="86" t="e">
        <f>(PY34-PY37-PY65)*Inputs!$B$18</f>
        <v>#N/A</v>
      </c>
      <c r="PZ42" s="86" t="e">
        <f>(PZ34-PZ37-PZ65)*Inputs!$B$18</f>
        <v>#N/A</v>
      </c>
      <c r="QA42" s="87" t="e">
        <f t="shared" ref="QA42:QA43" si="923">SUM(PO42:PZ42)</f>
        <v>#N/A</v>
      </c>
      <c r="QB42" s="86" t="e">
        <f>(QB34-QB37-QB65)*Inputs!$B$18</f>
        <v>#N/A</v>
      </c>
      <c r="QC42" s="86" t="e">
        <f>(QC34-QC37-QC65)*Inputs!$B$18</f>
        <v>#N/A</v>
      </c>
      <c r="QD42" s="86" t="e">
        <f>(QD34-QD37-QD65)*Inputs!$B$18</f>
        <v>#N/A</v>
      </c>
      <c r="QE42" s="86" t="e">
        <f>(QE34-QE37-QE65)*Inputs!$B$18</f>
        <v>#N/A</v>
      </c>
      <c r="QF42" s="86" t="e">
        <f>(QF34-QF37-QF65)*Inputs!$B$18</f>
        <v>#N/A</v>
      </c>
      <c r="QG42" s="86" t="e">
        <f>(QG34-QG37-QG65)*Inputs!$B$18</f>
        <v>#N/A</v>
      </c>
      <c r="QH42" s="86" t="e">
        <f>(QH34-QH37-QH65)*Inputs!$B$18</f>
        <v>#N/A</v>
      </c>
      <c r="QI42" s="86" t="e">
        <f>(QI34-QI37-QI65)*Inputs!$B$18</f>
        <v>#N/A</v>
      </c>
      <c r="QJ42" s="86" t="e">
        <f>(QJ34-QJ37-QJ65)*Inputs!$B$18</f>
        <v>#N/A</v>
      </c>
      <c r="QK42" s="86" t="e">
        <f>(QK34-QK37-QK65)*Inputs!$B$18</f>
        <v>#N/A</v>
      </c>
      <c r="QL42" s="86" t="e">
        <f>(QL34-QL37-QL65)*Inputs!$B$18</f>
        <v>#N/A</v>
      </c>
      <c r="QM42" s="86" t="e">
        <f>(QM34-QM37-QM65)*Inputs!$B$18</f>
        <v>#N/A</v>
      </c>
      <c r="QN42" s="87" t="e">
        <f t="shared" ref="QN42:QN43" si="924">SUM(QB42:QM42)</f>
        <v>#N/A</v>
      </c>
      <c r="QO42" s="86" t="e">
        <f>(QO34-QO37-QO65)*Inputs!$B$18</f>
        <v>#N/A</v>
      </c>
      <c r="QP42" s="86" t="e">
        <f>(QP34-QP37-QP65)*Inputs!$B$18</f>
        <v>#N/A</v>
      </c>
      <c r="QQ42" s="86" t="e">
        <f>(QQ34-QQ37-QQ65)*Inputs!$B$18</f>
        <v>#N/A</v>
      </c>
      <c r="QR42" s="86" t="e">
        <f>(QR34-QR37-QR65)*Inputs!$B$18</f>
        <v>#N/A</v>
      </c>
      <c r="QS42" s="86" t="e">
        <f>(QS34-QS37-QS65)*Inputs!$B$18</f>
        <v>#N/A</v>
      </c>
      <c r="QT42" s="86" t="e">
        <f>(QT34-QT37-QT65)*Inputs!$B$18</f>
        <v>#N/A</v>
      </c>
      <c r="QU42" s="86" t="e">
        <f>(QU34-QU37-QU65)*Inputs!$B$18</f>
        <v>#N/A</v>
      </c>
      <c r="QV42" s="86" t="e">
        <f>(QV34-QV37-QV65)*Inputs!$B$18</f>
        <v>#N/A</v>
      </c>
      <c r="QW42" s="86" t="e">
        <f>(QW34-QW37-QW65)*Inputs!$B$18</f>
        <v>#N/A</v>
      </c>
      <c r="QX42" s="86" t="e">
        <f>(QX34-QX37-QX65)*Inputs!$B$18</f>
        <v>#N/A</v>
      </c>
      <c r="QY42" s="86" t="e">
        <f>(QY34-QY37-QY65)*Inputs!$B$18</f>
        <v>#N/A</v>
      </c>
      <c r="QZ42" s="86" t="e">
        <f>(QZ34-QZ37-QZ65)*Inputs!$B$18</f>
        <v>#N/A</v>
      </c>
      <c r="RA42" s="87" t="e">
        <f t="shared" ref="RA42:RA43" si="925">SUM(QO42:QZ42)</f>
        <v>#N/A</v>
      </c>
      <c r="RB42" s="86" t="e">
        <f>(RB34-RB37-RB65)*Inputs!$B$18</f>
        <v>#N/A</v>
      </c>
      <c r="RC42" s="86" t="e">
        <f>(RC34-RC37-RC65)*Inputs!$B$18</f>
        <v>#N/A</v>
      </c>
      <c r="RD42" s="86" t="e">
        <f>(RD34-RD37-RD65)*Inputs!$B$18</f>
        <v>#N/A</v>
      </c>
      <c r="RE42" s="86" t="e">
        <f>(RE34-RE37-RE65)*Inputs!$B$18</f>
        <v>#N/A</v>
      </c>
      <c r="RF42" s="86" t="e">
        <f>(RF34-RF37-RF65)*Inputs!$B$18</f>
        <v>#N/A</v>
      </c>
      <c r="RG42" s="86" t="e">
        <f>(RG34-RG37-RG65)*Inputs!$B$18</f>
        <v>#N/A</v>
      </c>
      <c r="RH42" s="86" t="e">
        <f>(RH34-RH37-RH65)*Inputs!$B$18</f>
        <v>#N/A</v>
      </c>
      <c r="RI42" s="86" t="e">
        <f>(RI34-RI37-RI65)*Inputs!$B$18</f>
        <v>#N/A</v>
      </c>
      <c r="RJ42" s="86" t="e">
        <f>(RJ34-RJ37-RJ65)*Inputs!$B$18</f>
        <v>#N/A</v>
      </c>
      <c r="RK42" s="86" t="e">
        <f>(RK34-RK37-RK65)*Inputs!$B$18</f>
        <v>#N/A</v>
      </c>
      <c r="RL42" s="86" t="e">
        <f>(RL34-RL37-RL65)*Inputs!$B$18</f>
        <v>#N/A</v>
      </c>
      <c r="RM42" s="86" t="e">
        <f>(RM34-RM37-RM65)*Inputs!$B$18</f>
        <v>#N/A</v>
      </c>
      <c r="RN42" s="87" t="e">
        <f t="shared" ref="RN42:RN43" si="926">SUM(RB42:RM42)</f>
        <v>#N/A</v>
      </c>
    </row>
    <row r="43" spans="1:482" s="77" customFormat="1" hidden="1" outlineLevel="1" x14ac:dyDescent="0.3">
      <c r="A43" s="74" t="s">
        <v>259</v>
      </c>
      <c r="B43" s="90" t="e">
        <f>B39-B42</f>
        <v>#N/A</v>
      </c>
      <c r="C43" s="90" t="e">
        <f t="shared" ref="C43:Z43" si="927">C39-C42</f>
        <v>#N/A</v>
      </c>
      <c r="D43" s="90" t="e">
        <f t="shared" si="927"/>
        <v>#N/A</v>
      </c>
      <c r="E43" s="90" t="e">
        <f t="shared" si="927"/>
        <v>#N/A</v>
      </c>
      <c r="F43" s="90" t="e">
        <f t="shared" si="927"/>
        <v>#N/A</v>
      </c>
      <c r="G43" s="90" t="e">
        <f t="shared" si="927"/>
        <v>#N/A</v>
      </c>
      <c r="H43" s="90" t="e">
        <f t="shared" si="927"/>
        <v>#N/A</v>
      </c>
      <c r="I43" s="90" t="e">
        <f t="shared" si="927"/>
        <v>#N/A</v>
      </c>
      <c r="J43" s="90" t="e">
        <f t="shared" si="927"/>
        <v>#N/A</v>
      </c>
      <c r="K43" s="90" t="e">
        <f t="shared" si="927"/>
        <v>#N/A</v>
      </c>
      <c r="L43" s="90" t="e">
        <f t="shared" si="927"/>
        <v>#N/A</v>
      </c>
      <c r="M43" s="90" t="e">
        <f t="shared" si="927"/>
        <v>#N/A</v>
      </c>
      <c r="N43" s="91" t="e">
        <f t="shared" ref="N43" si="928">SUM(B43:M43)</f>
        <v>#N/A</v>
      </c>
      <c r="O43" s="90" t="e">
        <f t="shared" si="927"/>
        <v>#N/A</v>
      </c>
      <c r="P43" s="90" t="e">
        <f t="shared" si="927"/>
        <v>#N/A</v>
      </c>
      <c r="Q43" s="90" t="e">
        <f t="shared" si="927"/>
        <v>#N/A</v>
      </c>
      <c r="R43" s="90" t="e">
        <f t="shared" si="927"/>
        <v>#N/A</v>
      </c>
      <c r="S43" s="90" t="e">
        <f t="shared" si="927"/>
        <v>#N/A</v>
      </c>
      <c r="T43" s="90" t="e">
        <f t="shared" si="927"/>
        <v>#N/A</v>
      </c>
      <c r="U43" s="90" t="e">
        <f t="shared" si="927"/>
        <v>#N/A</v>
      </c>
      <c r="V43" s="90" t="e">
        <f t="shared" si="927"/>
        <v>#N/A</v>
      </c>
      <c r="W43" s="90" t="e">
        <f t="shared" si="927"/>
        <v>#N/A</v>
      </c>
      <c r="X43" s="90" t="e">
        <f t="shared" si="927"/>
        <v>#N/A</v>
      </c>
      <c r="Y43" s="90" t="e">
        <f t="shared" si="927"/>
        <v>#N/A</v>
      </c>
      <c r="Z43" s="90" t="e">
        <f t="shared" si="927"/>
        <v>#N/A</v>
      </c>
      <c r="AA43" s="91" t="e">
        <f t="shared" si="891"/>
        <v>#N/A</v>
      </c>
      <c r="AB43" s="90" t="e">
        <f t="shared" ref="AB43:AM43" si="929">AB39-AB42</f>
        <v>#N/A</v>
      </c>
      <c r="AC43" s="90" t="e">
        <f t="shared" si="929"/>
        <v>#N/A</v>
      </c>
      <c r="AD43" s="90" t="e">
        <f t="shared" si="929"/>
        <v>#N/A</v>
      </c>
      <c r="AE43" s="90" t="e">
        <f t="shared" si="929"/>
        <v>#N/A</v>
      </c>
      <c r="AF43" s="90" t="e">
        <f t="shared" si="929"/>
        <v>#N/A</v>
      </c>
      <c r="AG43" s="90" t="e">
        <f t="shared" si="929"/>
        <v>#N/A</v>
      </c>
      <c r="AH43" s="90" t="e">
        <f t="shared" si="929"/>
        <v>#N/A</v>
      </c>
      <c r="AI43" s="90" t="e">
        <f t="shared" si="929"/>
        <v>#N/A</v>
      </c>
      <c r="AJ43" s="90" t="e">
        <f t="shared" si="929"/>
        <v>#N/A</v>
      </c>
      <c r="AK43" s="90" t="e">
        <f t="shared" si="929"/>
        <v>#N/A</v>
      </c>
      <c r="AL43" s="90" t="e">
        <f t="shared" si="929"/>
        <v>#N/A</v>
      </c>
      <c r="AM43" s="90" t="e">
        <f t="shared" si="929"/>
        <v>#N/A</v>
      </c>
      <c r="AN43" s="91" t="e">
        <f t="shared" si="892"/>
        <v>#N/A</v>
      </c>
      <c r="AO43" s="90" t="e">
        <f t="shared" ref="AO43:AZ43" si="930">AO39-AO42</f>
        <v>#N/A</v>
      </c>
      <c r="AP43" s="90" t="e">
        <f t="shared" si="930"/>
        <v>#N/A</v>
      </c>
      <c r="AQ43" s="90" t="e">
        <f t="shared" si="930"/>
        <v>#N/A</v>
      </c>
      <c r="AR43" s="90" t="e">
        <f t="shared" si="930"/>
        <v>#N/A</v>
      </c>
      <c r="AS43" s="90" t="e">
        <f t="shared" si="930"/>
        <v>#N/A</v>
      </c>
      <c r="AT43" s="90" t="e">
        <f t="shared" si="930"/>
        <v>#N/A</v>
      </c>
      <c r="AU43" s="90" t="e">
        <f t="shared" si="930"/>
        <v>#N/A</v>
      </c>
      <c r="AV43" s="90" t="e">
        <f t="shared" si="930"/>
        <v>#N/A</v>
      </c>
      <c r="AW43" s="90" t="e">
        <f t="shared" si="930"/>
        <v>#N/A</v>
      </c>
      <c r="AX43" s="90" t="e">
        <f t="shared" si="930"/>
        <v>#N/A</v>
      </c>
      <c r="AY43" s="90" t="e">
        <f t="shared" si="930"/>
        <v>#N/A</v>
      </c>
      <c r="AZ43" s="90" t="e">
        <f t="shared" si="930"/>
        <v>#N/A</v>
      </c>
      <c r="BA43" s="91" t="e">
        <f t="shared" si="893"/>
        <v>#N/A</v>
      </c>
      <c r="BB43" s="90" t="e">
        <f t="shared" ref="BB43:BM43" si="931">BB39-BB42</f>
        <v>#N/A</v>
      </c>
      <c r="BC43" s="90" t="e">
        <f t="shared" si="931"/>
        <v>#N/A</v>
      </c>
      <c r="BD43" s="90" t="e">
        <f t="shared" si="931"/>
        <v>#N/A</v>
      </c>
      <c r="BE43" s="90" t="e">
        <f t="shared" si="931"/>
        <v>#N/A</v>
      </c>
      <c r="BF43" s="90" t="e">
        <f t="shared" si="931"/>
        <v>#N/A</v>
      </c>
      <c r="BG43" s="90" t="e">
        <f t="shared" si="931"/>
        <v>#N/A</v>
      </c>
      <c r="BH43" s="90" t="e">
        <f t="shared" si="931"/>
        <v>#N/A</v>
      </c>
      <c r="BI43" s="90" t="e">
        <f t="shared" si="931"/>
        <v>#N/A</v>
      </c>
      <c r="BJ43" s="90" t="e">
        <f t="shared" si="931"/>
        <v>#N/A</v>
      </c>
      <c r="BK43" s="90" t="e">
        <f t="shared" si="931"/>
        <v>#N/A</v>
      </c>
      <c r="BL43" s="90" t="e">
        <f t="shared" si="931"/>
        <v>#N/A</v>
      </c>
      <c r="BM43" s="90" t="e">
        <f t="shared" si="931"/>
        <v>#N/A</v>
      </c>
      <c r="BN43" s="91" t="e">
        <f t="shared" si="894"/>
        <v>#N/A</v>
      </c>
      <c r="BO43" s="90" t="e">
        <f t="shared" ref="BO43:BZ43" si="932">BO39-BO42</f>
        <v>#N/A</v>
      </c>
      <c r="BP43" s="90" t="e">
        <f t="shared" si="932"/>
        <v>#N/A</v>
      </c>
      <c r="BQ43" s="90" t="e">
        <f t="shared" si="932"/>
        <v>#N/A</v>
      </c>
      <c r="BR43" s="90" t="e">
        <f t="shared" si="932"/>
        <v>#N/A</v>
      </c>
      <c r="BS43" s="90" t="e">
        <f t="shared" si="932"/>
        <v>#N/A</v>
      </c>
      <c r="BT43" s="90" t="e">
        <f t="shared" si="932"/>
        <v>#N/A</v>
      </c>
      <c r="BU43" s="90" t="e">
        <f t="shared" si="932"/>
        <v>#N/A</v>
      </c>
      <c r="BV43" s="90" t="e">
        <f t="shared" si="932"/>
        <v>#N/A</v>
      </c>
      <c r="BW43" s="90" t="e">
        <f t="shared" si="932"/>
        <v>#N/A</v>
      </c>
      <c r="BX43" s="90" t="e">
        <f t="shared" si="932"/>
        <v>#N/A</v>
      </c>
      <c r="BY43" s="90" t="e">
        <f t="shared" si="932"/>
        <v>#N/A</v>
      </c>
      <c r="BZ43" s="90" t="e">
        <f t="shared" si="932"/>
        <v>#N/A</v>
      </c>
      <c r="CA43" s="91" t="e">
        <f t="shared" si="895"/>
        <v>#N/A</v>
      </c>
      <c r="CB43" s="90" t="e">
        <f t="shared" ref="CB43:CM43" si="933">CB39-CB42</f>
        <v>#N/A</v>
      </c>
      <c r="CC43" s="90" t="e">
        <f t="shared" si="933"/>
        <v>#N/A</v>
      </c>
      <c r="CD43" s="90" t="e">
        <f t="shared" si="933"/>
        <v>#N/A</v>
      </c>
      <c r="CE43" s="90" t="e">
        <f t="shared" si="933"/>
        <v>#N/A</v>
      </c>
      <c r="CF43" s="90" t="e">
        <f t="shared" si="933"/>
        <v>#N/A</v>
      </c>
      <c r="CG43" s="90" t="e">
        <f t="shared" si="933"/>
        <v>#N/A</v>
      </c>
      <c r="CH43" s="90" t="e">
        <f t="shared" si="933"/>
        <v>#N/A</v>
      </c>
      <c r="CI43" s="90" t="e">
        <f t="shared" si="933"/>
        <v>#N/A</v>
      </c>
      <c r="CJ43" s="90" t="e">
        <f t="shared" si="933"/>
        <v>#N/A</v>
      </c>
      <c r="CK43" s="90" t="e">
        <f t="shared" si="933"/>
        <v>#N/A</v>
      </c>
      <c r="CL43" s="90" t="e">
        <f t="shared" si="933"/>
        <v>#N/A</v>
      </c>
      <c r="CM43" s="90" t="e">
        <f t="shared" si="933"/>
        <v>#N/A</v>
      </c>
      <c r="CN43" s="91" t="e">
        <f t="shared" si="896"/>
        <v>#N/A</v>
      </c>
      <c r="CO43" s="90" t="e">
        <f t="shared" ref="CO43:CZ43" si="934">CO39-CO42</f>
        <v>#N/A</v>
      </c>
      <c r="CP43" s="90" t="e">
        <f t="shared" si="934"/>
        <v>#N/A</v>
      </c>
      <c r="CQ43" s="90" t="e">
        <f t="shared" si="934"/>
        <v>#N/A</v>
      </c>
      <c r="CR43" s="90" t="e">
        <f t="shared" si="934"/>
        <v>#N/A</v>
      </c>
      <c r="CS43" s="90" t="e">
        <f t="shared" si="934"/>
        <v>#N/A</v>
      </c>
      <c r="CT43" s="90" t="e">
        <f t="shared" si="934"/>
        <v>#N/A</v>
      </c>
      <c r="CU43" s="90" t="e">
        <f t="shared" si="934"/>
        <v>#N/A</v>
      </c>
      <c r="CV43" s="90" t="e">
        <f t="shared" si="934"/>
        <v>#N/A</v>
      </c>
      <c r="CW43" s="90" t="e">
        <f t="shared" si="934"/>
        <v>#N/A</v>
      </c>
      <c r="CX43" s="90" t="e">
        <f t="shared" si="934"/>
        <v>#N/A</v>
      </c>
      <c r="CY43" s="90" t="e">
        <f t="shared" si="934"/>
        <v>#N/A</v>
      </c>
      <c r="CZ43" s="90" t="e">
        <f t="shared" si="934"/>
        <v>#N/A</v>
      </c>
      <c r="DA43" s="91" t="e">
        <f t="shared" si="897"/>
        <v>#N/A</v>
      </c>
      <c r="DB43" s="90" t="e">
        <f t="shared" ref="DB43:DM43" si="935">DB39-DB42</f>
        <v>#N/A</v>
      </c>
      <c r="DC43" s="90" t="e">
        <f t="shared" si="935"/>
        <v>#N/A</v>
      </c>
      <c r="DD43" s="90" t="e">
        <f t="shared" si="935"/>
        <v>#N/A</v>
      </c>
      <c r="DE43" s="90" t="e">
        <f t="shared" si="935"/>
        <v>#N/A</v>
      </c>
      <c r="DF43" s="90" t="e">
        <f t="shared" si="935"/>
        <v>#N/A</v>
      </c>
      <c r="DG43" s="90" t="e">
        <f t="shared" si="935"/>
        <v>#N/A</v>
      </c>
      <c r="DH43" s="90" t="e">
        <f t="shared" si="935"/>
        <v>#N/A</v>
      </c>
      <c r="DI43" s="90" t="e">
        <f t="shared" si="935"/>
        <v>#N/A</v>
      </c>
      <c r="DJ43" s="90" t="e">
        <f t="shared" si="935"/>
        <v>#N/A</v>
      </c>
      <c r="DK43" s="90" t="e">
        <f t="shared" si="935"/>
        <v>#N/A</v>
      </c>
      <c r="DL43" s="90" t="e">
        <f t="shared" si="935"/>
        <v>#N/A</v>
      </c>
      <c r="DM43" s="90" t="e">
        <f t="shared" si="935"/>
        <v>#N/A</v>
      </c>
      <c r="DN43" s="91" t="e">
        <f t="shared" si="898"/>
        <v>#N/A</v>
      </c>
      <c r="DO43" s="90" t="e">
        <f t="shared" ref="DO43:DZ43" si="936">DO39-DO42</f>
        <v>#N/A</v>
      </c>
      <c r="DP43" s="90" t="e">
        <f t="shared" si="936"/>
        <v>#N/A</v>
      </c>
      <c r="DQ43" s="90" t="e">
        <f t="shared" si="936"/>
        <v>#N/A</v>
      </c>
      <c r="DR43" s="90" t="e">
        <f t="shared" si="936"/>
        <v>#N/A</v>
      </c>
      <c r="DS43" s="90" t="e">
        <f t="shared" si="936"/>
        <v>#N/A</v>
      </c>
      <c r="DT43" s="90" t="e">
        <f t="shared" si="936"/>
        <v>#N/A</v>
      </c>
      <c r="DU43" s="90" t="e">
        <f t="shared" si="936"/>
        <v>#N/A</v>
      </c>
      <c r="DV43" s="90" t="e">
        <f t="shared" si="936"/>
        <v>#N/A</v>
      </c>
      <c r="DW43" s="90" t="e">
        <f t="shared" si="936"/>
        <v>#N/A</v>
      </c>
      <c r="DX43" s="90" t="e">
        <f t="shared" si="936"/>
        <v>#N/A</v>
      </c>
      <c r="DY43" s="90" t="e">
        <f t="shared" si="936"/>
        <v>#N/A</v>
      </c>
      <c r="DZ43" s="90" t="e">
        <f t="shared" si="936"/>
        <v>#N/A</v>
      </c>
      <c r="EA43" s="91" t="e">
        <f t="shared" si="899"/>
        <v>#N/A</v>
      </c>
      <c r="EB43" s="90" t="e">
        <f t="shared" ref="EB43:EM43" si="937">EB39-EB42</f>
        <v>#N/A</v>
      </c>
      <c r="EC43" s="90" t="e">
        <f t="shared" si="937"/>
        <v>#N/A</v>
      </c>
      <c r="ED43" s="90" t="e">
        <f t="shared" si="937"/>
        <v>#N/A</v>
      </c>
      <c r="EE43" s="90" t="e">
        <f t="shared" si="937"/>
        <v>#N/A</v>
      </c>
      <c r="EF43" s="90" t="e">
        <f t="shared" si="937"/>
        <v>#N/A</v>
      </c>
      <c r="EG43" s="90" t="e">
        <f t="shared" si="937"/>
        <v>#N/A</v>
      </c>
      <c r="EH43" s="90" t="e">
        <f t="shared" si="937"/>
        <v>#N/A</v>
      </c>
      <c r="EI43" s="90" t="e">
        <f t="shared" si="937"/>
        <v>#N/A</v>
      </c>
      <c r="EJ43" s="90" t="e">
        <f t="shared" si="937"/>
        <v>#N/A</v>
      </c>
      <c r="EK43" s="90" t="e">
        <f t="shared" si="937"/>
        <v>#N/A</v>
      </c>
      <c r="EL43" s="90" t="e">
        <f t="shared" si="937"/>
        <v>#N/A</v>
      </c>
      <c r="EM43" s="90" t="e">
        <f t="shared" si="937"/>
        <v>#N/A</v>
      </c>
      <c r="EN43" s="91" t="e">
        <f t="shared" si="900"/>
        <v>#N/A</v>
      </c>
      <c r="EO43" s="90" t="e">
        <f t="shared" ref="EO43:EZ43" si="938">EO39-EO42</f>
        <v>#N/A</v>
      </c>
      <c r="EP43" s="90" t="e">
        <f t="shared" si="938"/>
        <v>#N/A</v>
      </c>
      <c r="EQ43" s="90" t="e">
        <f t="shared" si="938"/>
        <v>#N/A</v>
      </c>
      <c r="ER43" s="90" t="e">
        <f t="shared" si="938"/>
        <v>#N/A</v>
      </c>
      <c r="ES43" s="90" t="e">
        <f t="shared" si="938"/>
        <v>#N/A</v>
      </c>
      <c r="ET43" s="90" t="e">
        <f t="shared" si="938"/>
        <v>#N/A</v>
      </c>
      <c r="EU43" s="90" t="e">
        <f t="shared" si="938"/>
        <v>#N/A</v>
      </c>
      <c r="EV43" s="90" t="e">
        <f t="shared" si="938"/>
        <v>#N/A</v>
      </c>
      <c r="EW43" s="90" t="e">
        <f t="shared" si="938"/>
        <v>#N/A</v>
      </c>
      <c r="EX43" s="90" t="e">
        <f t="shared" si="938"/>
        <v>#N/A</v>
      </c>
      <c r="EY43" s="90" t="e">
        <f t="shared" si="938"/>
        <v>#N/A</v>
      </c>
      <c r="EZ43" s="90" t="e">
        <f t="shared" si="938"/>
        <v>#N/A</v>
      </c>
      <c r="FA43" s="91" t="e">
        <f t="shared" si="901"/>
        <v>#N/A</v>
      </c>
      <c r="FB43" s="90" t="e">
        <f t="shared" ref="FB43:FM43" si="939">FB39-FB42</f>
        <v>#N/A</v>
      </c>
      <c r="FC43" s="90" t="e">
        <f t="shared" si="939"/>
        <v>#N/A</v>
      </c>
      <c r="FD43" s="90" t="e">
        <f t="shared" si="939"/>
        <v>#N/A</v>
      </c>
      <c r="FE43" s="90" t="e">
        <f t="shared" si="939"/>
        <v>#N/A</v>
      </c>
      <c r="FF43" s="90" t="e">
        <f t="shared" si="939"/>
        <v>#N/A</v>
      </c>
      <c r="FG43" s="90" t="e">
        <f t="shared" si="939"/>
        <v>#N/A</v>
      </c>
      <c r="FH43" s="90" t="e">
        <f t="shared" si="939"/>
        <v>#N/A</v>
      </c>
      <c r="FI43" s="90" t="e">
        <f t="shared" si="939"/>
        <v>#N/A</v>
      </c>
      <c r="FJ43" s="90" t="e">
        <f t="shared" si="939"/>
        <v>#N/A</v>
      </c>
      <c r="FK43" s="90" t="e">
        <f t="shared" si="939"/>
        <v>#N/A</v>
      </c>
      <c r="FL43" s="90" t="e">
        <f t="shared" si="939"/>
        <v>#N/A</v>
      </c>
      <c r="FM43" s="90" t="e">
        <f t="shared" si="939"/>
        <v>#N/A</v>
      </c>
      <c r="FN43" s="91" t="e">
        <f t="shared" si="902"/>
        <v>#N/A</v>
      </c>
      <c r="FO43" s="90" t="e">
        <f t="shared" ref="FO43:FZ43" si="940">FO39-FO42</f>
        <v>#N/A</v>
      </c>
      <c r="FP43" s="90" t="e">
        <f t="shared" si="940"/>
        <v>#N/A</v>
      </c>
      <c r="FQ43" s="90" t="e">
        <f t="shared" si="940"/>
        <v>#N/A</v>
      </c>
      <c r="FR43" s="90" t="e">
        <f t="shared" si="940"/>
        <v>#N/A</v>
      </c>
      <c r="FS43" s="90" t="e">
        <f t="shared" si="940"/>
        <v>#N/A</v>
      </c>
      <c r="FT43" s="90" t="e">
        <f t="shared" si="940"/>
        <v>#N/A</v>
      </c>
      <c r="FU43" s="90" t="e">
        <f t="shared" si="940"/>
        <v>#N/A</v>
      </c>
      <c r="FV43" s="90" t="e">
        <f t="shared" si="940"/>
        <v>#N/A</v>
      </c>
      <c r="FW43" s="90" t="e">
        <f t="shared" si="940"/>
        <v>#N/A</v>
      </c>
      <c r="FX43" s="90" t="e">
        <f t="shared" si="940"/>
        <v>#N/A</v>
      </c>
      <c r="FY43" s="90" t="e">
        <f t="shared" si="940"/>
        <v>#N/A</v>
      </c>
      <c r="FZ43" s="90" t="e">
        <f t="shared" si="940"/>
        <v>#N/A</v>
      </c>
      <c r="GA43" s="91" t="e">
        <f t="shared" si="903"/>
        <v>#N/A</v>
      </c>
      <c r="GB43" s="90" t="e">
        <f t="shared" ref="GB43:GM43" si="941">GB39-GB42</f>
        <v>#N/A</v>
      </c>
      <c r="GC43" s="90" t="e">
        <f t="shared" si="941"/>
        <v>#N/A</v>
      </c>
      <c r="GD43" s="90" t="e">
        <f t="shared" si="941"/>
        <v>#N/A</v>
      </c>
      <c r="GE43" s="90" t="e">
        <f t="shared" si="941"/>
        <v>#N/A</v>
      </c>
      <c r="GF43" s="90" t="e">
        <f t="shared" si="941"/>
        <v>#N/A</v>
      </c>
      <c r="GG43" s="90" t="e">
        <f t="shared" si="941"/>
        <v>#N/A</v>
      </c>
      <c r="GH43" s="90" t="e">
        <f t="shared" si="941"/>
        <v>#N/A</v>
      </c>
      <c r="GI43" s="90" t="e">
        <f t="shared" si="941"/>
        <v>#N/A</v>
      </c>
      <c r="GJ43" s="90" t="e">
        <f t="shared" si="941"/>
        <v>#N/A</v>
      </c>
      <c r="GK43" s="90" t="e">
        <f t="shared" si="941"/>
        <v>#N/A</v>
      </c>
      <c r="GL43" s="90" t="e">
        <f t="shared" si="941"/>
        <v>#N/A</v>
      </c>
      <c r="GM43" s="90" t="e">
        <f t="shared" si="941"/>
        <v>#N/A</v>
      </c>
      <c r="GN43" s="91" t="e">
        <f t="shared" si="904"/>
        <v>#N/A</v>
      </c>
      <c r="GO43" s="90" t="e">
        <f t="shared" ref="GO43:GZ43" si="942">GO39-GO42</f>
        <v>#N/A</v>
      </c>
      <c r="GP43" s="90" t="e">
        <f t="shared" si="942"/>
        <v>#N/A</v>
      </c>
      <c r="GQ43" s="90" t="e">
        <f t="shared" si="942"/>
        <v>#N/A</v>
      </c>
      <c r="GR43" s="90" t="e">
        <f t="shared" si="942"/>
        <v>#N/A</v>
      </c>
      <c r="GS43" s="90" t="e">
        <f t="shared" si="942"/>
        <v>#N/A</v>
      </c>
      <c r="GT43" s="90" t="e">
        <f t="shared" si="942"/>
        <v>#N/A</v>
      </c>
      <c r="GU43" s="90" t="e">
        <f t="shared" si="942"/>
        <v>#N/A</v>
      </c>
      <c r="GV43" s="90" t="e">
        <f t="shared" si="942"/>
        <v>#N/A</v>
      </c>
      <c r="GW43" s="90" t="e">
        <f t="shared" si="942"/>
        <v>#N/A</v>
      </c>
      <c r="GX43" s="90" t="e">
        <f t="shared" si="942"/>
        <v>#N/A</v>
      </c>
      <c r="GY43" s="90" t="e">
        <f t="shared" si="942"/>
        <v>#N/A</v>
      </c>
      <c r="GZ43" s="90" t="e">
        <f t="shared" si="942"/>
        <v>#N/A</v>
      </c>
      <c r="HA43" s="91" t="e">
        <f t="shared" si="905"/>
        <v>#N/A</v>
      </c>
      <c r="HB43" s="90" t="e">
        <f t="shared" ref="HB43:HM43" si="943">HB39-HB42</f>
        <v>#N/A</v>
      </c>
      <c r="HC43" s="90" t="e">
        <f t="shared" si="943"/>
        <v>#N/A</v>
      </c>
      <c r="HD43" s="90" t="e">
        <f t="shared" si="943"/>
        <v>#N/A</v>
      </c>
      <c r="HE43" s="90" t="e">
        <f t="shared" si="943"/>
        <v>#N/A</v>
      </c>
      <c r="HF43" s="90" t="e">
        <f t="shared" si="943"/>
        <v>#N/A</v>
      </c>
      <c r="HG43" s="90" t="e">
        <f t="shared" si="943"/>
        <v>#N/A</v>
      </c>
      <c r="HH43" s="90" t="e">
        <f t="shared" si="943"/>
        <v>#N/A</v>
      </c>
      <c r="HI43" s="90" t="e">
        <f t="shared" si="943"/>
        <v>#N/A</v>
      </c>
      <c r="HJ43" s="90" t="e">
        <f t="shared" si="943"/>
        <v>#N/A</v>
      </c>
      <c r="HK43" s="90" t="e">
        <f t="shared" si="943"/>
        <v>#N/A</v>
      </c>
      <c r="HL43" s="90" t="e">
        <f t="shared" si="943"/>
        <v>#N/A</v>
      </c>
      <c r="HM43" s="90" t="e">
        <f t="shared" si="943"/>
        <v>#N/A</v>
      </c>
      <c r="HN43" s="91" t="e">
        <f t="shared" si="906"/>
        <v>#N/A</v>
      </c>
      <c r="HO43" s="90" t="e">
        <f t="shared" ref="HO43:HZ43" si="944">HO39-HO42</f>
        <v>#N/A</v>
      </c>
      <c r="HP43" s="90" t="e">
        <f t="shared" si="944"/>
        <v>#N/A</v>
      </c>
      <c r="HQ43" s="90" t="e">
        <f t="shared" si="944"/>
        <v>#N/A</v>
      </c>
      <c r="HR43" s="90" t="e">
        <f t="shared" si="944"/>
        <v>#N/A</v>
      </c>
      <c r="HS43" s="90" t="e">
        <f t="shared" si="944"/>
        <v>#N/A</v>
      </c>
      <c r="HT43" s="90" t="e">
        <f t="shared" si="944"/>
        <v>#N/A</v>
      </c>
      <c r="HU43" s="90" t="e">
        <f t="shared" si="944"/>
        <v>#N/A</v>
      </c>
      <c r="HV43" s="90" t="e">
        <f t="shared" si="944"/>
        <v>#N/A</v>
      </c>
      <c r="HW43" s="90" t="e">
        <f t="shared" si="944"/>
        <v>#N/A</v>
      </c>
      <c r="HX43" s="90" t="e">
        <f t="shared" si="944"/>
        <v>#N/A</v>
      </c>
      <c r="HY43" s="90" t="e">
        <f t="shared" si="944"/>
        <v>#N/A</v>
      </c>
      <c r="HZ43" s="90" t="e">
        <f t="shared" si="944"/>
        <v>#N/A</v>
      </c>
      <c r="IA43" s="91" t="e">
        <f t="shared" si="907"/>
        <v>#N/A</v>
      </c>
      <c r="IB43" s="90" t="e">
        <f t="shared" ref="IB43:IM43" si="945">IB39-IB42</f>
        <v>#N/A</v>
      </c>
      <c r="IC43" s="90" t="e">
        <f t="shared" si="945"/>
        <v>#N/A</v>
      </c>
      <c r="ID43" s="90" t="e">
        <f t="shared" si="945"/>
        <v>#N/A</v>
      </c>
      <c r="IE43" s="90" t="e">
        <f t="shared" si="945"/>
        <v>#N/A</v>
      </c>
      <c r="IF43" s="90" t="e">
        <f t="shared" si="945"/>
        <v>#N/A</v>
      </c>
      <c r="IG43" s="90" t="e">
        <f t="shared" si="945"/>
        <v>#N/A</v>
      </c>
      <c r="IH43" s="90" t="e">
        <f t="shared" si="945"/>
        <v>#N/A</v>
      </c>
      <c r="II43" s="90" t="e">
        <f t="shared" si="945"/>
        <v>#N/A</v>
      </c>
      <c r="IJ43" s="90" t="e">
        <f t="shared" si="945"/>
        <v>#N/A</v>
      </c>
      <c r="IK43" s="90" t="e">
        <f t="shared" si="945"/>
        <v>#N/A</v>
      </c>
      <c r="IL43" s="90" t="e">
        <f t="shared" si="945"/>
        <v>#N/A</v>
      </c>
      <c r="IM43" s="90" t="e">
        <f t="shared" si="945"/>
        <v>#N/A</v>
      </c>
      <c r="IN43" s="91" t="e">
        <f t="shared" si="908"/>
        <v>#N/A</v>
      </c>
      <c r="IO43" s="90" t="e">
        <f t="shared" ref="IO43:IZ43" si="946">IO39-IO42</f>
        <v>#N/A</v>
      </c>
      <c r="IP43" s="90" t="e">
        <f t="shared" si="946"/>
        <v>#N/A</v>
      </c>
      <c r="IQ43" s="90" t="e">
        <f t="shared" si="946"/>
        <v>#N/A</v>
      </c>
      <c r="IR43" s="90" t="e">
        <f t="shared" si="946"/>
        <v>#N/A</v>
      </c>
      <c r="IS43" s="90" t="e">
        <f t="shared" si="946"/>
        <v>#N/A</v>
      </c>
      <c r="IT43" s="90" t="e">
        <f t="shared" si="946"/>
        <v>#N/A</v>
      </c>
      <c r="IU43" s="90" t="e">
        <f t="shared" si="946"/>
        <v>#N/A</v>
      </c>
      <c r="IV43" s="90" t="e">
        <f t="shared" si="946"/>
        <v>#N/A</v>
      </c>
      <c r="IW43" s="90" t="e">
        <f t="shared" si="946"/>
        <v>#N/A</v>
      </c>
      <c r="IX43" s="90" t="e">
        <f t="shared" si="946"/>
        <v>#N/A</v>
      </c>
      <c r="IY43" s="90" t="e">
        <f t="shared" si="946"/>
        <v>#N/A</v>
      </c>
      <c r="IZ43" s="90" t="e">
        <f t="shared" si="946"/>
        <v>#N/A</v>
      </c>
      <c r="JA43" s="91" t="e">
        <f t="shared" si="909"/>
        <v>#N/A</v>
      </c>
      <c r="JB43" s="90" t="e">
        <f t="shared" ref="JB43:JM43" si="947">JB39-JB42</f>
        <v>#N/A</v>
      </c>
      <c r="JC43" s="90" t="e">
        <f t="shared" si="947"/>
        <v>#N/A</v>
      </c>
      <c r="JD43" s="90" t="e">
        <f t="shared" si="947"/>
        <v>#N/A</v>
      </c>
      <c r="JE43" s="90" t="e">
        <f t="shared" si="947"/>
        <v>#N/A</v>
      </c>
      <c r="JF43" s="90" t="e">
        <f t="shared" si="947"/>
        <v>#N/A</v>
      </c>
      <c r="JG43" s="90" t="e">
        <f t="shared" si="947"/>
        <v>#N/A</v>
      </c>
      <c r="JH43" s="90" t="e">
        <f t="shared" si="947"/>
        <v>#N/A</v>
      </c>
      <c r="JI43" s="90" t="e">
        <f t="shared" si="947"/>
        <v>#N/A</v>
      </c>
      <c r="JJ43" s="90" t="e">
        <f t="shared" si="947"/>
        <v>#N/A</v>
      </c>
      <c r="JK43" s="90" t="e">
        <f t="shared" si="947"/>
        <v>#N/A</v>
      </c>
      <c r="JL43" s="90" t="e">
        <f t="shared" si="947"/>
        <v>#N/A</v>
      </c>
      <c r="JM43" s="90" t="e">
        <f t="shared" si="947"/>
        <v>#N/A</v>
      </c>
      <c r="JN43" s="91" t="e">
        <f t="shared" si="910"/>
        <v>#N/A</v>
      </c>
      <c r="JO43" s="90" t="e">
        <f t="shared" ref="JO43:JZ43" si="948">JO39-JO42</f>
        <v>#N/A</v>
      </c>
      <c r="JP43" s="90" t="e">
        <f t="shared" si="948"/>
        <v>#N/A</v>
      </c>
      <c r="JQ43" s="90" t="e">
        <f t="shared" si="948"/>
        <v>#N/A</v>
      </c>
      <c r="JR43" s="90" t="e">
        <f t="shared" si="948"/>
        <v>#N/A</v>
      </c>
      <c r="JS43" s="90" t="e">
        <f t="shared" si="948"/>
        <v>#N/A</v>
      </c>
      <c r="JT43" s="90" t="e">
        <f t="shared" si="948"/>
        <v>#N/A</v>
      </c>
      <c r="JU43" s="90" t="e">
        <f t="shared" si="948"/>
        <v>#N/A</v>
      </c>
      <c r="JV43" s="90" t="e">
        <f t="shared" si="948"/>
        <v>#N/A</v>
      </c>
      <c r="JW43" s="90" t="e">
        <f t="shared" si="948"/>
        <v>#N/A</v>
      </c>
      <c r="JX43" s="90" t="e">
        <f t="shared" si="948"/>
        <v>#N/A</v>
      </c>
      <c r="JY43" s="90" t="e">
        <f t="shared" si="948"/>
        <v>#N/A</v>
      </c>
      <c r="JZ43" s="90" t="e">
        <f t="shared" si="948"/>
        <v>#N/A</v>
      </c>
      <c r="KA43" s="91" t="e">
        <f t="shared" si="911"/>
        <v>#N/A</v>
      </c>
      <c r="KB43" s="90" t="e">
        <f t="shared" ref="KB43:KM43" si="949">KB39-KB42</f>
        <v>#N/A</v>
      </c>
      <c r="KC43" s="90" t="e">
        <f t="shared" si="949"/>
        <v>#N/A</v>
      </c>
      <c r="KD43" s="90" t="e">
        <f t="shared" si="949"/>
        <v>#N/A</v>
      </c>
      <c r="KE43" s="90" t="e">
        <f t="shared" si="949"/>
        <v>#N/A</v>
      </c>
      <c r="KF43" s="90" t="e">
        <f t="shared" si="949"/>
        <v>#N/A</v>
      </c>
      <c r="KG43" s="90" t="e">
        <f t="shared" si="949"/>
        <v>#N/A</v>
      </c>
      <c r="KH43" s="90" t="e">
        <f t="shared" si="949"/>
        <v>#N/A</v>
      </c>
      <c r="KI43" s="90" t="e">
        <f t="shared" si="949"/>
        <v>#N/A</v>
      </c>
      <c r="KJ43" s="90" t="e">
        <f t="shared" si="949"/>
        <v>#N/A</v>
      </c>
      <c r="KK43" s="90" t="e">
        <f t="shared" si="949"/>
        <v>#N/A</v>
      </c>
      <c r="KL43" s="90" t="e">
        <f t="shared" si="949"/>
        <v>#N/A</v>
      </c>
      <c r="KM43" s="90" t="e">
        <f t="shared" si="949"/>
        <v>#N/A</v>
      </c>
      <c r="KN43" s="91" t="e">
        <f t="shared" si="912"/>
        <v>#N/A</v>
      </c>
      <c r="KO43" s="90" t="e">
        <f t="shared" ref="KO43:KZ43" si="950">KO39-KO42</f>
        <v>#N/A</v>
      </c>
      <c r="KP43" s="90" t="e">
        <f t="shared" si="950"/>
        <v>#N/A</v>
      </c>
      <c r="KQ43" s="90" t="e">
        <f t="shared" si="950"/>
        <v>#N/A</v>
      </c>
      <c r="KR43" s="90" t="e">
        <f t="shared" si="950"/>
        <v>#N/A</v>
      </c>
      <c r="KS43" s="90" t="e">
        <f t="shared" si="950"/>
        <v>#N/A</v>
      </c>
      <c r="KT43" s="90" t="e">
        <f t="shared" si="950"/>
        <v>#N/A</v>
      </c>
      <c r="KU43" s="90" t="e">
        <f t="shared" si="950"/>
        <v>#N/A</v>
      </c>
      <c r="KV43" s="90" t="e">
        <f t="shared" si="950"/>
        <v>#N/A</v>
      </c>
      <c r="KW43" s="90" t="e">
        <f t="shared" si="950"/>
        <v>#N/A</v>
      </c>
      <c r="KX43" s="90" t="e">
        <f t="shared" si="950"/>
        <v>#N/A</v>
      </c>
      <c r="KY43" s="90" t="e">
        <f t="shared" si="950"/>
        <v>#N/A</v>
      </c>
      <c r="KZ43" s="90" t="e">
        <f t="shared" si="950"/>
        <v>#N/A</v>
      </c>
      <c r="LA43" s="91" t="e">
        <f t="shared" si="913"/>
        <v>#N/A</v>
      </c>
      <c r="LB43" s="90" t="e">
        <f t="shared" ref="LB43:LM43" si="951">LB39-LB42</f>
        <v>#N/A</v>
      </c>
      <c r="LC43" s="90" t="e">
        <f t="shared" si="951"/>
        <v>#N/A</v>
      </c>
      <c r="LD43" s="90" t="e">
        <f t="shared" si="951"/>
        <v>#N/A</v>
      </c>
      <c r="LE43" s="90" t="e">
        <f t="shared" si="951"/>
        <v>#N/A</v>
      </c>
      <c r="LF43" s="90" t="e">
        <f t="shared" si="951"/>
        <v>#N/A</v>
      </c>
      <c r="LG43" s="90" t="e">
        <f t="shared" si="951"/>
        <v>#N/A</v>
      </c>
      <c r="LH43" s="90" t="e">
        <f t="shared" si="951"/>
        <v>#N/A</v>
      </c>
      <c r="LI43" s="90" t="e">
        <f t="shared" si="951"/>
        <v>#N/A</v>
      </c>
      <c r="LJ43" s="90" t="e">
        <f t="shared" si="951"/>
        <v>#N/A</v>
      </c>
      <c r="LK43" s="90" t="e">
        <f t="shared" si="951"/>
        <v>#N/A</v>
      </c>
      <c r="LL43" s="90" t="e">
        <f t="shared" si="951"/>
        <v>#N/A</v>
      </c>
      <c r="LM43" s="90" t="e">
        <f t="shared" si="951"/>
        <v>#N/A</v>
      </c>
      <c r="LN43" s="91" t="e">
        <f t="shared" si="914"/>
        <v>#N/A</v>
      </c>
      <c r="LO43" s="90" t="e">
        <f t="shared" ref="LO43:LZ43" si="952">LO39-LO42</f>
        <v>#N/A</v>
      </c>
      <c r="LP43" s="90" t="e">
        <f t="shared" si="952"/>
        <v>#N/A</v>
      </c>
      <c r="LQ43" s="90" t="e">
        <f t="shared" si="952"/>
        <v>#N/A</v>
      </c>
      <c r="LR43" s="90" t="e">
        <f t="shared" si="952"/>
        <v>#N/A</v>
      </c>
      <c r="LS43" s="90" t="e">
        <f t="shared" si="952"/>
        <v>#N/A</v>
      </c>
      <c r="LT43" s="90" t="e">
        <f t="shared" si="952"/>
        <v>#N/A</v>
      </c>
      <c r="LU43" s="90" t="e">
        <f t="shared" si="952"/>
        <v>#N/A</v>
      </c>
      <c r="LV43" s="90" t="e">
        <f t="shared" si="952"/>
        <v>#N/A</v>
      </c>
      <c r="LW43" s="90" t="e">
        <f t="shared" si="952"/>
        <v>#N/A</v>
      </c>
      <c r="LX43" s="90" t="e">
        <f t="shared" si="952"/>
        <v>#N/A</v>
      </c>
      <c r="LY43" s="90" t="e">
        <f t="shared" si="952"/>
        <v>#N/A</v>
      </c>
      <c r="LZ43" s="90" t="e">
        <f t="shared" si="952"/>
        <v>#N/A</v>
      </c>
      <c r="MA43" s="91" t="e">
        <f t="shared" si="915"/>
        <v>#N/A</v>
      </c>
      <c r="MB43" s="90" t="e">
        <f t="shared" ref="MB43:MM43" si="953">MB39-MB42</f>
        <v>#N/A</v>
      </c>
      <c r="MC43" s="90" t="e">
        <f t="shared" si="953"/>
        <v>#N/A</v>
      </c>
      <c r="MD43" s="90" t="e">
        <f t="shared" si="953"/>
        <v>#N/A</v>
      </c>
      <c r="ME43" s="90" t="e">
        <f t="shared" si="953"/>
        <v>#N/A</v>
      </c>
      <c r="MF43" s="90" t="e">
        <f t="shared" si="953"/>
        <v>#N/A</v>
      </c>
      <c r="MG43" s="90" t="e">
        <f t="shared" si="953"/>
        <v>#N/A</v>
      </c>
      <c r="MH43" s="90" t="e">
        <f t="shared" si="953"/>
        <v>#N/A</v>
      </c>
      <c r="MI43" s="90" t="e">
        <f t="shared" si="953"/>
        <v>#N/A</v>
      </c>
      <c r="MJ43" s="90" t="e">
        <f t="shared" si="953"/>
        <v>#N/A</v>
      </c>
      <c r="MK43" s="90" t="e">
        <f t="shared" si="953"/>
        <v>#N/A</v>
      </c>
      <c r="ML43" s="90" t="e">
        <f t="shared" si="953"/>
        <v>#N/A</v>
      </c>
      <c r="MM43" s="90" t="e">
        <f t="shared" si="953"/>
        <v>#N/A</v>
      </c>
      <c r="MN43" s="91" t="e">
        <f t="shared" si="916"/>
        <v>#N/A</v>
      </c>
      <c r="MO43" s="90" t="e">
        <f t="shared" ref="MO43:MZ43" si="954">MO39-MO42</f>
        <v>#N/A</v>
      </c>
      <c r="MP43" s="90" t="e">
        <f t="shared" si="954"/>
        <v>#N/A</v>
      </c>
      <c r="MQ43" s="90" t="e">
        <f t="shared" si="954"/>
        <v>#N/A</v>
      </c>
      <c r="MR43" s="90" t="e">
        <f t="shared" si="954"/>
        <v>#N/A</v>
      </c>
      <c r="MS43" s="90" t="e">
        <f t="shared" si="954"/>
        <v>#N/A</v>
      </c>
      <c r="MT43" s="90" t="e">
        <f t="shared" si="954"/>
        <v>#N/A</v>
      </c>
      <c r="MU43" s="90" t="e">
        <f t="shared" si="954"/>
        <v>#N/A</v>
      </c>
      <c r="MV43" s="90" t="e">
        <f t="shared" si="954"/>
        <v>#N/A</v>
      </c>
      <c r="MW43" s="90" t="e">
        <f t="shared" si="954"/>
        <v>#N/A</v>
      </c>
      <c r="MX43" s="90" t="e">
        <f t="shared" si="954"/>
        <v>#N/A</v>
      </c>
      <c r="MY43" s="90" t="e">
        <f t="shared" si="954"/>
        <v>#N/A</v>
      </c>
      <c r="MZ43" s="90" t="e">
        <f t="shared" si="954"/>
        <v>#N/A</v>
      </c>
      <c r="NA43" s="91" t="e">
        <f t="shared" si="917"/>
        <v>#N/A</v>
      </c>
      <c r="NB43" s="90" t="e">
        <f t="shared" ref="NB43:NM43" si="955">NB39-NB42</f>
        <v>#N/A</v>
      </c>
      <c r="NC43" s="90" t="e">
        <f t="shared" si="955"/>
        <v>#N/A</v>
      </c>
      <c r="ND43" s="90" t="e">
        <f t="shared" si="955"/>
        <v>#N/A</v>
      </c>
      <c r="NE43" s="90" t="e">
        <f t="shared" si="955"/>
        <v>#N/A</v>
      </c>
      <c r="NF43" s="90" t="e">
        <f t="shared" si="955"/>
        <v>#N/A</v>
      </c>
      <c r="NG43" s="90" t="e">
        <f t="shared" si="955"/>
        <v>#N/A</v>
      </c>
      <c r="NH43" s="90" t="e">
        <f t="shared" si="955"/>
        <v>#N/A</v>
      </c>
      <c r="NI43" s="90" t="e">
        <f t="shared" si="955"/>
        <v>#N/A</v>
      </c>
      <c r="NJ43" s="90" t="e">
        <f t="shared" si="955"/>
        <v>#N/A</v>
      </c>
      <c r="NK43" s="90" t="e">
        <f t="shared" si="955"/>
        <v>#N/A</v>
      </c>
      <c r="NL43" s="90" t="e">
        <f t="shared" si="955"/>
        <v>#N/A</v>
      </c>
      <c r="NM43" s="90" t="e">
        <f t="shared" si="955"/>
        <v>#N/A</v>
      </c>
      <c r="NN43" s="91" t="e">
        <f t="shared" si="918"/>
        <v>#N/A</v>
      </c>
      <c r="NO43" s="90" t="e">
        <f t="shared" ref="NO43:NZ43" si="956">NO39-NO42</f>
        <v>#N/A</v>
      </c>
      <c r="NP43" s="90" t="e">
        <f t="shared" si="956"/>
        <v>#N/A</v>
      </c>
      <c r="NQ43" s="90" t="e">
        <f t="shared" si="956"/>
        <v>#N/A</v>
      </c>
      <c r="NR43" s="90" t="e">
        <f t="shared" si="956"/>
        <v>#N/A</v>
      </c>
      <c r="NS43" s="90" t="e">
        <f t="shared" si="956"/>
        <v>#N/A</v>
      </c>
      <c r="NT43" s="90" t="e">
        <f t="shared" si="956"/>
        <v>#N/A</v>
      </c>
      <c r="NU43" s="90" t="e">
        <f t="shared" si="956"/>
        <v>#N/A</v>
      </c>
      <c r="NV43" s="90" t="e">
        <f t="shared" si="956"/>
        <v>#N/A</v>
      </c>
      <c r="NW43" s="90" t="e">
        <f t="shared" si="956"/>
        <v>#N/A</v>
      </c>
      <c r="NX43" s="90" t="e">
        <f t="shared" si="956"/>
        <v>#N/A</v>
      </c>
      <c r="NY43" s="90" t="e">
        <f t="shared" si="956"/>
        <v>#N/A</v>
      </c>
      <c r="NZ43" s="90" t="e">
        <f t="shared" si="956"/>
        <v>#N/A</v>
      </c>
      <c r="OA43" s="91" t="e">
        <f t="shared" si="919"/>
        <v>#N/A</v>
      </c>
      <c r="OB43" s="90" t="e">
        <f t="shared" ref="OB43:OM43" si="957">OB39-OB42</f>
        <v>#N/A</v>
      </c>
      <c r="OC43" s="90" t="e">
        <f t="shared" si="957"/>
        <v>#N/A</v>
      </c>
      <c r="OD43" s="90" t="e">
        <f t="shared" si="957"/>
        <v>#N/A</v>
      </c>
      <c r="OE43" s="90" t="e">
        <f t="shared" si="957"/>
        <v>#N/A</v>
      </c>
      <c r="OF43" s="90" t="e">
        <f t="shared" si="957"/>
        <v>#N/A</v>
      </c>
      <c r="OG43" s="90" t="e">
        <f t="shared" si="957"/>
        <v>#N/A</v>
      </c>
      <c r="OH43" s="90" t="e">
        <f t="shared" si="957"/>
        <v>#N/A</v>
      </c>
      <c r="OI43" s="90" t="e">
        <f t="shared" si="957"/>
        <v>#N/A</v>
      </c>
      <c r="OJ43" s="90" t="e">
        <f t="shared" si="957"/>
        <v>#N/A</v>
      </c>
      <c r="OK43" s="90" t="e">
        <f t="shared" si="957"/>
        <v>#N/A</v>
      </c>
      <c r="OL43" s="90" t="e">
        <f t="shared" si="957"/>
        <v>#N/A</v>
      </c>
      <c r="OM43" s="90" t="e">
        <f t="shared" si="957"/>
        <v>#N/A</v>
      </c>
      <c r="ON43" s="91" t="e">
        <f t="shared" si="920"/>
        <v>#N/A</v>
      </c>
      <c r="OO43" s="90" t="e">
        <f t="shared" ref="OO43:OZ43" si="958">OO39-OO42</f>
        <v>#N/A</v>
      </c>
      <c r="OP43" s="90" t="e">
        <f t="shared" si="958"/>
        <v>#N/A</v>
      </c>
      <c r="OQ43" s="90" t="e">
        <f t="shared" si="958"/>
        <v>#N/A</v>
      </c>
      <c r="OR43" s="90" t="e">
        <f t="shared" si="958"/>
        <v>#N/A</v>
      </c>
      <c r="OS43" s="90" t="e">
        <f t="shared" si="958"/>
        <v>#N/A</v>
      </c>
      <c r="OT43" s="90" t="e">
        <f t="shared" si="958"/>
        <v>#N/A</v>
      </c>
      <c r="OU43" s="90" t="e">
        <f t="shared" si="958"/>
        <v>#N/A</v>
      </c>
      <c r="OV43" s="90" t="e">
        <f t="shared" si="958"/>
        <v>#N/A</v>
      </c>
      <c r="OW43" s="90" t="e">
        <f t="shared" si="958"/>
        <v>#N/A</v>
      </c>
      <c r="OX43" s="90" t="e">
        <f t="shared" si="958"/>
        <v>#N/A</v>
      </c>
      <c r="OY43" s="90" t="e">
        <f t="shared" si="958"/>
        <v>#N/A</v>
      </c>
      <c r="OZ43" s="90" t="e">
        <f t="shared" si="958"/>
        <v>#N/A</v>
      </c>
      <c r="PA43" s="91" t="e">
        <f t="shared" si="921"/>
        <v>#N/A</v>
      </c>
      <c r="PB43" s="90" t="e">
        <f t="shared" ref="PB43:PM43" si="959">PB39-PB42</f>
        <v>#N/A</v>
      </c>
      <c r="PC43" s="90" t="e">
        <f t="shared" si="959"/>
        <v>#N/A</v>
      </c>
      <c r="PD43" s="90" t="e">
        <f t="shared" si="959"/>
        <v>#N/A</v>
      </c>
      <c r="PE43" s="90" t="e">
        <f t="shared" si="959"/>
        <v>#N/A</v>
      </c>
      <c r="PF43" s="90" t="e">
        <f t="shared" si="959"/>
        <v>#N/A</v>
      </c>
      <c r="PG43" s="90" t="e">
        <f t="shared" si="959"/>
        <v>#N/A</v>
      </c>
      <c r="PH43" s="90" t="e">
        <f t="shared" si="959"/>
        <v>#N/A</v>
      </c>
      <c r="PI43" s="90" t="e">
        <f t="shared" si="959"/>
        <v>#N/A</v>
      </c>
      <c r="PJ43" s="90" t="e">
        <f t="shared" si="959"/>
        <v>#N/A</v>
      </c>
      <c r="PK43" s="90" t="e">
        <f t="shared" si="959"/>
        <v>#N/A</v>
      </c>
      <c r="PL43" s="90" t="e">
        <f t="shared" si="959"/>
        <v>#N/A</v>
      </c>
      <c r="PM43" s="90" t="e">
        <f t="shared" si="959"/>
        <v>#N/A</v>
      </c>
      <c r="PN43" s="91" t="e">
        <f t="shared" si="922"/>
        <v>#N/A</v>
      </c>
      <c r="PO43" s="90" t="e">
        <f t="shared" ref="PO43:PZ43" si="960">PO39-PO42</f>
        <v>#N/A</v>
      </c>
      <c r="PP43" s="90" t="e">
        <f t="shared" si="960"/>
        <v>#N/A</v>
      </c>
      <c r="PQ43" s="90" t="e">
        <f t="shared" si="960"/>
        <v>#N/A</v>
      </c>
      <c r="PR43" s="90" t="e">
        <f t="shared" si="960"/>
        <v>#N/A</v>
      </c>
      <c r="PS43" s="90" t="e">
        <f t="shared" si="960"/>
        <v>#N/A</v>
      </c>
      <c r="PT43" s="90" t="e">
        <f t="shared" si="960"/>
        <v>#N/A</v>
      </c>
      <c r="PU43" s="90" t="e">
        <f t="shared" si="960"/>
        <v>#N/A</v>
      </c>
      <c r="PV43" s="90" t="e">
        <f t="shared" si="960"/>
        <v>#N/A</v>
      </c>
      <c r="PW43" s="90" t="e">
        <f t="shared" si="960"/>
        <v>#N/A</v>
      </c>
      <c r="PX43" s="90" t="e">
        <f t="shared" si="960"/>
        <v>#N/A</v>
      </c>
      <c r="PY43" s="90" t="e">
        <f t="shared" si="960"/>
        <v>#N/A</v>
      </c>
      <c r="PZ43" s="90" t="e">
        <f t="shared" si="960"/>
        <v>#N/A</v>
      </c>
      <c r="QA43" s="91" t="e">
        <f t="shared" si="923"/>
        <v>#N/A</v>
      </c>
      <c r="QB43" s="90" t="e">
        <f t="shared" ref="QB43:QM43" si="961">QB39-QB42</f>
        <v>#N/A</v>
      </c>
      <c r="QC43" s="90" t="e">
        <f t="shared" si="961"/>
        <v>#N/A</v>
      </c>
      <c r="QD43" s="90" t="e">
        <f t="shared" si="961"/>
        <v>#N/A</v>
      </c>
      <c r="QE43" s="90" t="e">
        <f t="shared" si="961"/>
        <v>#N/A</v>
      </c>
      <c r="QF43" s="90" t="e">
        <f t="shared" si="961"/>
        <v>#N/A</v>
      </c>
      <c r="QG43" s="90" t="e">
        <f t="shared" si="961"/>
        <v>#N/A</v>
      </c>
      <c r="QH43" s="90" t="e">
        <f t="shared" si="961"/>
        <v>#N/A</v>
      </c>
      <c r="QI43" s="90" t="e">
        <f t="shared" si="961"/>
        <v>#N/A</v>
      </c>
      <c r="QJ43" s="90" t="e">
        <f t="shared" si="961"/>
        <v>#N/A</v>
      </c>
      <c r="QK43" s="90" t="e">
        <f t="shared" si="961"/>
        <v>#N/A</v>
      </c>
      <c r="QL43" s="90" t="e">
        <f t="shared" si="961"/>
        <v>#N/A</v>
      </c>
      <c r="QM43" s="90" t="e">
        <f t="shared" si="961"/>
        <v>#N/A</v>
      </c>
      <c r="QN43" s="91" t="e">
        <f t="shared" si="924"/>
        <v>#N/A</v>
      </c>
      <c r="QO43" s="90" t="e">
        <f t="shared" ref="QO43:QZ43" si="962">QO39-QO42</f>
        <v>#N/A</v>
      </c>
      <c r="QP43" s="90" t="e">
        <f t="shared" si="962"/>
        <v>#N/A</v>
      </c>
      <c r="QQ43" s="90" t="e">
        <f t="shared" si="962"/>
        <v>#N/A</v>
      </c>
      <c r="QR43" s="90" t="e">
        <f t="shared" si="962"/>
        <v>#N/A</v>
      </c>
      <c r="QS43" s="90" t="e">
        <f t="shared" si="962"/>
        <v>#N/A</v>
      </c>
      <c r="QT43" s="90" t="e">
        <f t="shared" si="962"/>
        <v>#N/A</v>
      </c>
      <c r="QU43" s="90" t="e">
        <f t="shared" si="962"/>
        <v>#N/A</v>
      </c>
      <c r="QV43" s="90" t="e">
        <f t="shared" si="962"/>
        <v>#N/A</v>
      </c>
      <c r="QW43" s="90" t="e">
        <f t="shared" si="962"/>
        <v>#N/A</v>
      </c>
      <c r="QX43" s="90" t="e">
        <f t="shared" si="962"/>
        <v>#N/A</v>
      </c>
      <c r="QY43" s="90" t="e">
        <f t="shared" si="962"/>
        <v>#N/A</v>
      </c>
      <c r="QZ43" s="90" t="e">
        <f t="shared" si="962"/>
        <v>#N/A</v>
      </c>
      <c r="RA43" s="91" t="e">
        <f t="shared" si="925"/>
        <v>#N/A</v>
      </c>
      <c r="RB43" s="90" t="e">
        <f t="shared" ref="RB43:RM43" si="963">RB39-RB42</f>
        <v>#N/A</v>
      </c>
      <c r="RC43" s="90" t="e">
        <f t="shared" si="963"/>
        <v>#N/A</v>
      </c>
      <c r="RD43" s="90" t="e">
        <f t="shared" si="963"/>
        <v>#N/A</v>
      </c>
      <c r="RE43" s="90" t="e">
        <f t="shared" si="963"/>
        <v>#N/A</v>
      </c>
      <c r="RF43" s="90" t="e">
        <f t="shared" si="963"/>
        <v>#N/A</v>
      </c>
      <c r="RG43" s="90" t="e">
        <f t="shared" si="963"/>
        <v>#N/A</v>
      </c>
      <c r="RH43" s="90" t="e">
        <f t="shared" si="963"/>
        <v>#N/A</v>
      </c>
      <c r="RI43" s="90" t="e">
        <f t="shared" si="963"/>
        <v>#N/A</v>
      </c>
      <c r="RJ43" s="90" t="e">
        <f t="shared" si="963"/>
        <v>#N/A</v>
      </c>
      <c r="RK43" s="90" t="e">
        <f t="shared" si="963"/>
        <v>#N/A</v>
      </c>
      <c r="RL43" s="90" t="e">
        <f t="shared" si="963"/>
        <v>#N/A</v>
      </c>
      <c r="RM43" s="90" t="e">
        <f t="shared" si="963"/>
        <v>#N/A</v>
      </c>
      <c r="RN43" s="91" t="e">
        <f t="shared" si="926"/>
        <v>#N/A</v>
      </c>
    </row>
    <row r="44" spans="1:482" s="77" customFormat="1" hidden="1" outlineLevel="1" x14ac:dyDescent="0.3">
      <c r="A44" s="74" t="s">
        <v>260</v>
      </c>
      <c r="B44" s="92" t="e">
        <f>B43/B$18</f>
        <v>#N/A</v>
      </c>
      <c r="C44" s="92" t="e">
        <f t="shared" ref="C44:BN44" si="964">C43/C$18</f>
        <v>#N/A</v>
      </c>
      <c r="D44" s="92" t="e">
        <f t="shared" si="964"/>
        <v>#N/A</v>
      </c>
      <c r="E44" s="92" t="e">
        <f t="shared" si="964"/>
        <v>#N/A</v>
      </c>
      <c r="F44" s="92" t="e">
        <f t="shared" si="964"/>
        <v>#N/A</v>
      </c>
      <c r="G44" s="92" t="e">
        <f t="shared" si="964"/>
        <v>#N/A</v>
      </c>
      <c r="H44" s="92" t="e">
        <f t="shared" si="964"/>
        <v>#N/A</v>
      </c>
      <c r="I44" s="92" t="e">
        <f t="shared" si="964"/>
        <v>#N/A</v>
      </c>
      <c r="J44" s="92" t="e">
        <f t="shared" si="964"/>
        <v>#N/A</v>
      </c>
      <c r="K44" s="92" t="e">
        <f t="shared" si="964"/>
        <v>#N/A</v>
      </c>
      <c r="L44" s="92" t="e">
        <f t="shared" si="964"/>
        <v>#N/A</v>
      </c>
      <c r="M44" s="92" t="e">
        <f t="shared" si="964"/>
        <v>#N/A</v>
      </c>
      <c r="N44" s="88" t="e">
        <f t="shared" si="964"/>
        <v>#N/A</v>
      </c>
      <c r="O44" s="92" t="e">
        <f t="shared" si="964"/>
        <v>#N/A</v>
      </c>
      <c r="P44" s="92" t="e">
        <f t="shared" si="964"/>
        <v>#N/A</v>
      </c>
      <c r="Q44" s="92" t="e">
        <f t="shared" si="964"/>
        <v>#N/A</v>
      </c>
      <c r="R44" s="92" t="e">
        <f t="shared" si="964"/>
        <v>#N/A</v>
      </c>
      <c r="S44" s="92" t="e">
        <f t="shared" si="964"/>
        <v>#N/A</v>
      </c>
      <c r="T44" s="92" t="e">
        <f t="shared" si="964"/>
        <v>#N/A</v>
      </c>
      <c r="U44" s="92" t="e">
        <f t="shared" si="964"/>
        <v>#N/A</v>
      </c>
      <c r="V44" s="92" t="e">
        <f t="shared" si="964"/>
        <v>#N/A</v>
      </c>
      <c r="W44" s="92" t="e">
        <f t="shared" si="964"/>
        <v>#N/A</v>
      </c>
      <c r="X44" s="92" t="e">
        <f t="shared" si="964"/>
        <v>#N/A</v>
      </c>
      <c r="Y44" s="92" t="e">
        <f t="shared" si="964"/>
        <v>#N/A</v>
      </c>
      <c r="Z44" s="92" t="e">
        <f t="shared" si="964"/>
        <v>#N/A</v>
      </c>
      <c r="AA44" s="88" t="e">
        <f t="shared" si="964"/>
        <v>#N/A</v>
      </c>
      <c r="AB44" s="92" t="e">
        <f t="shared" si="964"/>
        <v>#N/A</v>
      </c>
      <c r="AC44" s="92" t="e">
        <f t="shared" si="964"/>
        <v>#N/A</v>
      </c>
      <c r="AD44" s="92" t="e">
        <f t="shared" si="964"/>
        <v>#N/A</v>
      </c>
      <c r="AE44" s="92" t="e">
        <f t="shared" si="964"/>
        <v>#N/A</v>
      </c>
      <c r="AF44" s="92" t="e">
        <f t="shared" si="964"/>
        <v>#N/A</v>
      </c>
      <c r="AG44" s="92" t="e">
        <f t="shared" si="964"/>
        <v>#N/A</v>
      </c>
      <c r="AH44" s="92" t="e">
        <f t="shared" si="964"/>
        <v>#N/A</v>
      </c>
      <c r="AI44" s="92" t="e">
        <f t="shared" si="964"/>
        <v>#N/A</v>
      </c>
      <c r="AJ44" s="92" t="e">
        <f t="shared" si="964"/>
        <v>#N/A</v>
      </c>
      <c r="AK44" s="92" t="e">
        <f t="shared" si="964"/>
        <v>#N/A</v>
      </c>
      <c r="AL44" s="92" t="e">
        <f t="shared" si="964"/>
        <v>#N/A</v>
      </c>
      <c r="AM44" s="92" t="e">
        <f t="shared" si="964"/>
        <v>#N/A</v>
      </c>
      <c r="AN44" s="88" t="e">
        <f t="shared" si="964"/>
        <v>#N/A</v>
      </c>
      <c r="AO44" s="92" t="e">
        <f t="shared" si="964"/>
        <v>#N/A</v>
      </c>
      <c r="AP44" s="92" t="e">
        <f t="shared" si="964"/>
        <v>#N/A</v>
      </c>
      <c r="AQ44" s="92" t="e">
        <f t="shared" si="964"/>
        <v>#N/A</v>
      </c>
      <c r="AR44" s="92" t="e">
        <f t="shared" si="964"/>
        <v>#N/A</v>
      </c>
      <c r="AS44" s="92" t="e">
        <f t="shared" si="964"/>
        <v>#N/A</v>
      </c>
      <c r="AT44" s="92" t="e">
        <f t="shared" si="964"/>
        <v>#N/A</v>
      </c>
      <c r="AU44" s="92" t="e">
        <f t="shared" si="964"/>
        <v>#N/A</v>
      </c>
      <c r="AV44" s="92" t="e">
        <f t="shared" si="964"/>
        <v>#N/A</v>
      </c>
      <c r="AW44" s="92" t="e">
        <f t="shared" si="964"/>
        <v>#N/A</v>
      </c>
      <c r="AX44" s="92" t="e">
        <f t="shared" si="964"/>
        <v>#N/A</v>
      </c>
      <c r="AY44" s="92" t="e">
        <f t="shared" si="964"/>
        <v>#N/A</v>
      </c>
      <c r="AZ44" s="92" t="e">
        <f t="shared" si="964"/>
        <v>#N/A</v>
      </c>
      <c r="BA44" s="88" t="e">
        <f t="shared" si="964"/>
        <v>#N/A</v>
      </c>
      <c r="BB44" s="92" t="e">
        <f t="shared" si="964"/>
        <v>#N/A</v>
      </c>
      <c r="BC44" s="92" t="e">
        <f t="shared" si="964"/>
        <v>#N/A</v>
      </c>
      <c r="BD44" s="92" t="e">
        <f t="shared" si="964"/>
        <v>#N/A</v>
      </c>
      <c r="BE44" s="92" t="e">
        <f t="shared" si="964"/>
        <v>#N/A</v>
      </c>
      <c r="BF44" s="92" t="e">
        <f t="shared" si="964"/>
        <v>#N/A</v>
      </c>
      <c r="BG44" s="92" t="e">
        <f t="shared" si="964"/>
        <v>#N/A</v>
      </c>
      <c r="BH44" s="92" t="e">
        <f t="shared" si="964"/>
        <v>#N/A</v>
      </c>
      <c r="BI44" s="92" t="e">
        <f t="shared" si="964"/>
        <v>#N/A</v>
      </c>
      <c r="BJ44" s="92" t="e">
        <f t="shared" si="964"/>
        <v>#N/A</v>
      </c>
      <c r="BK44" s="92" t="e">
        <f t="shared" si="964"/>
        <v>#N/A</v>
      </c>
      <c r="BL44" s="92" t="e">
        <f t="shared" si="964"/>
        <v>#N/A</v>
      </c>
      <c r="BM44" s="92" t="e">
        <f t="shared" si="964"/>
        <v>#N/A</v>
      </c>
      <c r="BN44" s="88" t="e">
        <f t="shared" si="964"/>
        <v>#N/A</v>
      </c>
      <c r="BO44" s="92" t="e">
        <f t="shared" ref="BO44:DZ44" si="965">BO43/BO$18</f>
        <v>#N/A</v>
      </c>
      <c r="BP44" s="92" t="e">
        <f t="shared" si="965"/>
        <v>#N/A</v>
      </c>
      <c r="BQ44" s="92" t="e">
        <f t="shared" si="965"/>
        <v>#N/A</v>
      </c>
      <c r="BR44" s="92" t="e">
        <f t="shared" si="965"/>
        <v>#N/A</v>
      </c>
      <c r="BS44" s="92" t="e">
        <f t="shared" si="965"/>
        <v>#N/A</v>
      </c>
      <c r="BT44" s="92" t="e">
        <f t="shared" si="965"/>
        <v>#N/A</v>
      </c>
      <c r="BU44" s="92" t="e">
        <f t="shared" si="965"/>
        <v>#N/A</v>
      </c>
      <c r="BV44" s="92" t="e">
        <f t="shared" si="965"/>
        <v>#N/A</v>
      </c>
      <c r="BW44" s="92" t="e">
        <f t="shared" si="965"/>
        <v>#N/A</v>
      </c>
      <c r="BX44" s="92" t="e">
        <f t="shared" si="965"/>
        <v>#N/A</v>
      </c>
      <c r="BY44" s="92" t="e">
        <f t="shared" si="965"/>
        <v>#N/A</v>
      </c>
      <c r="BZ44" s="92" t="e">
        <f t="shared" si="965"/>
        <v>#N/A</v>
      </c>
      <c r="CA44" s="88" t="e">
        <f t="shared" si="965"/>
        <v>#N/A</v>
      </c>
      <c r="CB44" s="92" t="e">
        <f t="shared" si="965"/>
        <v>#N/A</v>
      </c>
      <c r="CC44" s="92" t="e">
        <f t="shared" si="965"/>
        <v>#N/A</v>
      </c>
      <c r="CD44" s="92" t="e">
        <f t="shared" si="965"/>
        <v>#N/A</v>
      </c>
      <c r="CE44" s="92" t="e">
        <f t="shared" si="965"/>
        <v>#N/A</v>
      </c>
      <c r="CF44" s="92" t="e">
        <f t="shared" si="965"/>
        <v>#N/A</v>
      </c>
      <c r="CG44" s="92" t="e">
        <f t="shared" si="965"/>
        <v>#N/A</v>
      </c>
      <c r="CH44" s="92" t="e">
        <f t="shared" si="965"/>
        <v>#N/A</v>
      </c>
      <c r="CI44" s="92" t="e">
        <f t="shared" si="965"/>
        <v>#N/A</v>
      </c>
      <c r="CJ44" s="92" t="e">
        <f t="shared" si="965"/>
        <v>#N/A</v>
      </c>
      <c r="CK44" s="92" t="e">
        <f t="shared" si="965"/>
        <v>#N/A</v>
      </c>
      <c r="CL44" s="92" t="e">
        <f t="shared" si="965"/>
        <v>#N/A</v>
      </c>
      <c r="CM44" s="92" t="e">
        <f t="shared" si="965"/>
        <v>#N/A</v>
      </c>
      <c r="CN44" s="88" t="e">
        <f t="shared" si="965"/>
        <v>#N/A</v>
      </c>
      <c r="CO44" s="92" t="e">
        <f t="shared" si="965"/>
        <v>#N/A</v>
      </c>
      <c r="CP44" s="92" t="e">
        <f t="shared" si="965"/>
        <v>#N/A</v>
      </c>
      <c r="CQ44" s="92" t="e">
        <f t="shared" si="965"/>
        <v>#N/A</v>
      </c>
      <c r="CR44" s="92" t="e">
        <f t="shared" si="965"/>
        <v>#N/A</v>
      </c>
      <c r="CS44" s="92" t="e">
        <f t="shared" si="965"/>
        <v>#N/A</v>
      </c>
      <c r="CT44" s="92" t="e">
        <f t="shared" si="965"/>
        <v>#N/A</v>
      </c>
      <c r="CU44" s="92" t="e">
        <f t="shared" si="965"/>
        <v>#N/A</v>
      </c>
      <c r="CV44" s="92" t="e">
        <f t="shared" si="965"/>
        <v>#N/A</v>
      </c>
      <c r="CW44" s="92" t="e">
        <f t="shared" si="965"/>
        <v>#N/A</v>
      </c>
      <c r="CX44" s="92" t="e">
        <f t="shared" si="965"/>
        <v>#N/A</v>
      </c>
      <c r="CY44" s="92" t="e">
        <f t="shared" si="965"/>
        <v>#N/A</v>
      </c>
      <c r="CZ44" s="92" t="e">
        <f t="shared" si="965"/>
        <v>#N/A</v>
      </c>
      <c r="DA44" s="88" t="e">
        <f t="shared" si="965"/>
        <v>#N/A</v>
      </c>
      <c r="DB44" s="92" t="e">
        <f t="shared" si="965"/>
        <v>#N/A</v>
      </c>
      <c r="DC44" s="92" t="e">
        <f t="shared" si="965"/>
        <v>#N/A</v>
      </c>
      <c r="DD44" s="92" t="e">
        <f t="shared" si="965"/>
        <v>#N/A</v>
      </c>
      <c r="DE44" s="92" t="e">
        <f t="shared" si="965"/>
        <v>#N/A</v>
      </c>
      <c r="DF44" s="92" t="e">
        <f t="shared" si="965"/>
        <v>#N/A</v>
      </c>
      <c r="DG44" s="92" t="e">
        <f t="shared" si="965"/>
        <v>#N/A</v>
      </c>
      <c r="DH44" s="92" t="e">
        <f t="shared" si="965"/>
        <v>#N/A</v>
      </c>
      <c r="DI44" s="92" t="e">
        <f t="shared" si="965"/>
        <v>#N/A</v>
      </c>
      <c r="DJ44" s="92" t="e">
        <f t="shared" si="965"/>
        <v>#N/A</v>
      </c>
      <c r="DK44" s="92" t="e">
        <f t="shared" si="965"/>
        <v>#N/A</v>
      </c>
      <c r="DL44" s="92" t="e">
        <f t="shared" si="965"/>
        <v>#N/A</v>
      </c>
      <c r="DM44" s="92" t="e">
        <f t="shared" si="965"/>
        <v>#N/A</v>
      </c>
      <c r="DN44" s="88" t="e">
        <f t="shared" si="965"/>
        <v>#N/A</v>
      </c>
      <c r="DO44" s="92" t="e">
        <f t="shared" si="965"/>
        <v>#N/A</v>
      </c>
      <c r="DP44" s="92" t="e">
        <f t="shared" si="965"/>
        <v>#N/A</v>
      </c>
      <c r="DQ44" s="92" t="e">
        <f t="shared" si="965"/>
        <v>#N/A</v>
      </c>
      <c r="DR44" s="92" t="e">
        <f t="shared" si="965"/>
        <v>#N/A</v>
      </c>
      <c r="DS44" s="92" t="e">
        <f t="shared" si="965"/>
        <v>#N/A</v>
      </c>
      <c r="DT44" s="92" t="e">
        <f t="shared" si="965"/>
        <v>#N/A</v>
      </c>
      <c r="DU44" s="92" t="e">
        <f t="shared" si="965"/>
        <v>#N/A</v>
      </c>
      <c r="DV44" s="92" t="e">
        <f t="shared" si="965"/>
        <v>#N/A</v>
      </c>
      <c r="DW44" s="92" t="e">
        <f t="shared" si="965"/>
        <v>#N/A</v>
      </c>
      <c r="DX44" s="92" t="e">
        <f t="shared" si="965"/>
        <v>#N/A</v>
      </c>
      <c r="DY44" s="92" t="e">
        <f t="shared" si="965"/>
        <v>#N/A</v>
      </c>
      <c r="DZ44" s="92" t="e">
        <f t="shared" si="965"/>
        <v>#N/A</v>
      </c>
      <c r="EA44" s="88" t="e">
        <f t="shared" ref="EA44:GL44" si="966">EA43/EA$18</f>
        <v>#N/A</v>
      </c>
      <c r="EB44" s="92" t="e">
        <f t="shared" si="966"/>
        <v>#N/A</v>
      </c>
      <c r="EC44" s="92" t="e">
        <f t="shared" si="966"/>
        <v>#N/A</v>
      </c>
      <c r="ED44" s="92" t="e">
        <f t="shared" si="966"/>
        <v>#N/A</v>
      </c>
      <c r="EE44" s="92" t="e">
        <f t="shared" si="966"/>
        <v>#N/A</v>
      </c>
      <c r="EF44" s="92" t="e">
        <f t="shared" si="966"/>
        <v>#N/A</v>
      </c>
      <c r="EG44" s="92" t="e">
        <f t="shared" si="966"/>
        <v>#N/A</v>
      </c>
      <c r="EH44" s="92" t="e">
        <f t="shared" si="966"/>
        <v>#N/A</v>
      </c>
      <c r="EI44" s="92" t="e">
        <f t="shared" si="966"/>
        <v>#N/A</v>
      </c>
      <c r="EJ44" s="92" t="e">
        <f t="shared" si="966"/>
        <v>#N/A</v>
      </c>
      <c r="EK44" s="92" t="e">
        <f t="shared" si="966"/>
        <v>#N/A</v>
      </c>
      <c r="EL44" s="92" t="e">
        <f t="shared" si="966"/>
        <v>#N/A</v>
      </c>
      <c r="EM44" s="92" t="e">
        <f t="shared" si="966"/>
        <v>#N/A</v>
      </c>
      <c r="EN44" s="88" t="e">
        <f t="shared" si="966"/>
        <v>#N/A</v>
      </c>
      <c r="EO44" s="92" t="e">
        <f t="shared" si="966"/>
        <v>#N/A</v>
      </c>
      <c r="EP44" s="92" t="e">
        <f t="shared" si="966"/>
        <v>#N/A</v>
      </c>
      <c r="EQ44" s="92" t="e">
        <f t="shared" si="966"/>
        <v>#N/A</v>
      </c>
      <c r="ER44" s="92" t="e">
        <f t="shared" si="966"/>
        <v>#N/A</v>
      </c>
      <c r="ES44" s="92" t="e">
        <f t="shared" si="966"/>
        <v>#N/A</v>
      </c>
      <c r="ET44" s="92" t="e">
        <f t="shared" si="966"/>
        <v>#N/A</v>
      </c>
      <c r="EU44" s="92" t="e">
        <f t="shared" si="966"/>
        <v>#N/A</v>
      </c>
      <c r="EV44" s="92" t="e">
        <f t="shared" si="966"/>
        <v>#N/A</v>
      </c>
      <c r="EW44" s="92" t="e">
        <f t="shared" si="966"/>
        <v>#N/A</v>
      </c>
      <c r="EX44" s="92" t="e">
        <f t="shared" si="966"/>
        <v>#N/A</v>
      </c>
      <c r="EY44" s="92" t="e">
        <f t="shared" si="966"/>
        <v>#N/A</v>
      </c>
      <c r="EZ44" s="92" t="e">
        <f t="shared" si="966"/>
        <v>#N/A</v>
      </c>
      <c r="FA44" s="88" t="e">
        <f t="shared" si="966"/>
        <v>#N/A</v>
      </c>
      <c r="FB44" s="92" t="e">
        <f t="shared" si="966"/>
        <v>#N/A</v>
      </c>
      <c r="FC44" s="92" t="e">
        <f t="shared" si="966"/>
        <v>#N/A</v>
      </c>
      <c r="FD44" s="92" t="e">
        <f t="shared" si="966"/>
        <v>#N/A</v>
      </c>
      <c r="FE44" s="92" t="e">
        <f t="shared" si="966"/>
        <v>#N/A</v>
      </c>
      <c r="FF44" s="92" t="e">
        <f t="shared" si="966"/>
        <v>#N/A</v>
      </c>
      <c r="FG44" s="92" t="e">
        <f t="shared" si="966"/>
        <v>#N/A</v>
      </c>
      <c r="FH44" s="92" t="e">
        <f t="shared" si="966"/>
        <v>#N/A</v>
      </c>
      <c r="FI44" s="92" t="e">
        <f t="shared" si="966"/>
        <v>#N/A</v>
      </c>
      <c r="FJ44" s="92" t="e">
        <f t="shared" si="966"/>
        <v>#N/A</v>
      </c>
      <c r="FK44" s="92" t="e">
        <f t="shared" si="966"/>
        <v>#N/A</v>
      </c>
      <c r="FL44" s="92" t="e">
        <f t="shared" si="966"/>
        <v>#N/A</v>
      </c>
      <c r="FM44" s="92" t="e">
        <f t="shared" si="966"/>
        <v>#N/A</v>
      </c>
      <c r="FN44" s="88" t="e">
        <f t="shared" si="966"/>
        <v>#N/A</v>
      </c>
      <c r="FO44" s="92" t="e">
        <f t="shared" si="966"/>
        <v>#N/A</v>
      </c>
      <c r="FP44" s="92" t="e">
        <f t="shared" si="966"/>
        <v>#N/A</v>
      </c>
      <c r="FQ44" s="92" t="e">
        <f t="shared" si="966"/>
        <v>#N/A</v>
      </c>
      <c r="FR44" s="92" t="e">
        <f t="shared" si="966"/>
        <v>#N/A</v>
      </c>
      <c r="FS44" s="92" t="e">
        <f t="shared" si="966"/>
        <v>#N/A</v>
      </c>
      <c r="FT44" s="92" t="e">
        <f t="shared" si="966"/>
        <v>#N/A</v>
      </c>
      <c r="FU44" s="92" t="e">
        <f t="shared" si="966"/>
        <v>#N/A</v>
      </c>
      <c r="FV44" s="92" t="e">
        <f t="shared" si="966"/>
        <v>#N/A</v>
      </c>
      <c r="FW44" s="92" t="e">
        <f t="shared" si="966"/>
        <v>#N/A</v>
      </c>
      <c r="FX44" s="92" t="e">
        <f t="shared" si="966"/>
        <v>#N/A</v>
      </c>
      <c r="FY44" s="92" t="e">
        <f t="shared" si="966"/>
        <v>#N/A</v>
      </c>
      <c r="FZ44" s="92" t="e">
        <f t="shared" si="966"/>
        <v>#N/A</v>
      </c>
      <c r="GA44" s="88" t="e">
        <f t="shared" si="966"/>
        <v>#N/A</v>
      </c>
      <c r="GB44" s="92" t="e">
        <f t="shared" si="966"/>
        <v>#N/A</v>
      </c>
      <c r="GC44" s="92" t="e">
        <f t="shared" si="966"/>
        <v>#N/A</v>
      </c>
      <c r="GD44" s="92" t="e">
        <f t="shared" si="966"/>
        <v>#N/A</v>
      </c>
      <c r="GE44" s="92" t="e">
        <f t="shared" si="966"/>
        <v>#N/A</v>
      </c>
      <c r="GF44" s="92" t="e">
        <f t="shared" si="966"/>
        <v>#N/A</v>
      </c>
      <c r="GG44" s="92" t="e">
        <f t="shared" si="966"/>
        <v>#N/A</v>
      </c>
      <c r="GH44" s="92" t="e">
        <f t="shared" si="966"/>
        <v>#N/A</v>
      </c>
      <c r="GI44" s="92" t="e">
        <f t="shared" si="966"/>
        <v>#N/A</v>
      </c>
      <c r="GJ44" s="92" t="e">
        <f t="shared" si="966"/>
        <v>#N/A</v>
      </c>
      <c r="GK44" s="92" t="e">
        <f t="shared" si="966"/>
        <v>#N/A</v>
      </c>
      <c r="GL44" s="92" t="e">
        <f t="shared" si="966"/>
        <v>#N/A</v>
      </c>
      <c r="GM44" s="92" t="e">
        <f t="shared" ref="GM44:IX44" si="967">GM43/GM$18</f>
        <v>#N/A</v>
      </c>
      <c r="GN44" s="88" t="e">
        <f t="shared" si="967"/>
        <v>#N/A</v>
      </c>
      <c r="GO44" s="92" t="e">
        <f t="shared" si="967"/>
        <v>#N/A</v>
      </c>
      <c r="GP44" s="92" t="e">
        <f t="shared" si="967"/>
        <v>#N/A</v>
      </c>
      <c r="GQ44" s="92" t="e">
        <f t="shared" si="967"/>
        <v>#N/A</v>
      </c>
      <c r="GR44" s="92" t="e">
        <f t="shared" si="967"/>
        <v>#N/A</v>
      </c>
      <c r="GS44" s="92" t="e">
        <f t="shared" si="967"/>
        <v>#N/A</v>
      </c>
      <c r="GT44" s="92" t="e">
        <f t="shared" si="967"/>
        <v>#N/A</v>
      </c>
      <c r="GU44" s="92" t="e">
        <f t="shared" si="967"/>
        <v>#N/A</v>
      </c>
      <c r="GV44" s="92" t="e">
        <f t="shared" si="967"/>
        <v>#N/A</v>
      </c>
      <c r="GW44" s="92" t="e">
        <f t="shared" si="967"/>
        <v>#N/A</v>
      </c>
      <c r="GX44" s="92" t="e">
        <f t="shared" si="967"/>
        <v>#N/A</v>
      </c>
      <c r="GY44" s="92" t="e">
        <f t="shared" si="967"/>
        <v>#N/A</v>
      </c>
      <c r="GZ44" s="92" t="e">
        <f t="shared" si="967"/>
        <v>#N/A</v>
      </c>
      <c r="HA44" s="88" t="e">
        <f t="shared" si="967"/>
        <v>#N/A</v>
      </c>
      <c r="HB44" s="92" t="e">
        <f t="shared" si="967"/>
        <v>#N/A</v>
      </c>
      <c r="HC44" s="92" t="e">
        <f t="shared" si="967"/>
        <v>#N/A</v>
      </c>
      <c r="HD44" s="92" t="e">
        <f t="shared" si="967"/>
        <v>#N/A</v>
      </c>
      <c r="HE44" s="92" t="e">
        <f t="shared" si="967"/>
        <v>#N/A</v>
      </c>
      <c r="HF44" s="92" t="e">
        <f t="shared" si="967"/>
        <v>#N/A</v>
      </c>
      <c r="HG44" s="92" t="e">
        <f t="shared" si="967"/>
        <v>#N/A</v>
      </c>
      <c r="HH44" s="92" t="e">
        <f t="shared" si="967"/>
        <v>#N/A</v>
      </c>
      <c r="HI44" s="92" t="e">
        <f t="shared" si="967"/>
        <v>#N/A</v>
      </c>
      <c r="HJ44" s="92" t="e">
        <f t="shared" si="967"/>
        <v>#N/A</v>
      </c>
      <c r="HK44" s="92" t="e">
        <f t="shared" si="967"/>
        <v>#N/A</v>
      </c>
      <c r="HL44" s="92" t="e">
        <f t="shared" si="967"/>
        <v>#N/A</v>
      </c>
      <c r="HM44" s="92" t="e">
        <f t="shared" si="967"/>
        <v>#N/A</v>
      </c>
      <c r="HN44" s="88" t="e">
        <f t="shared" si="967"/>
        <v>#N/A</v>
      </c>
      <c r="HO44" s="92" t="e">
        <f t="shared" si="967"/>
        <v>#N/A</v>
      </c>
      <c r="HP44" s="92" t="e">
        <f t="shared" si="967"/>
        <v>#N/A</v>
      </c>
      <c r="HQ44" s="92" t="e">
        <f t="shared" si="967"/>
        <v>#N/A</v>
      </c>
      <c r="HR44" s="92" t="e">
        <f t="shared" si="967"/>
        <v>#N/A</v>
      </c>
      <c r="HS44" s="92" t="e">
        <f t="shared" si="967"/>
        <v>#N/A</v>
      </c>
      <c r="HT44" s="92" t="e">
        <f t="shared" si="967"/>
        <v>#N/A</v>
      </c>
      <c r="HU44" s="92" t="e">
        <f t="shared" si="967"/>
        <v>#N/A</v>
      </c>
      <c r="HV44" s="92" t="e">
        <f t="shared" si="967"/>
        <v>#N/A</v>
      </c>
      <c r="HW44" s="92" t="e">
        <f t="shared" si="967"/>
        <v>#N/A</v>
      </c>
      <c r="HX44" s="92" t="e">
        <f t="shared" si="967"/>
        <v>#N/A</v>
      </c>
      <c r="HY44" s="92" t="e">
        <f t="shared" si="967"/>
        <v>#N/A</v>
      </c>
      <c r="HZ44" s="92" t="e">
        <f t="shared" si="967"/>
        <v>#N/A</v>
      </c>
      <c r="IA44" s="88" t="e">
        <f t="shared" si="967"/>
        <v>#N/A</v>
      </c>
      <c r="IB44" s="92" t="e">
        <f t="shared" si="967"/>
        <v>#N/A</v>
      </c>
      <c r="IC44" s="92" t="e">
        <f t="shared" si="967"/>
        <v>#N/A</v>
      </c>
      <c r="ID44" s="92" t="e">
        <f t="shared" si="967"/>
        <v>#N/A</v>
      </c>
      <c r="IE44" s="92" t="e">
        <f t="shared" si="967"/>
        <v>#N/A</v>
      </c>
      <c r="IF44" s="92" t="e">
        <f t="shared" si="967"/>
        <v>#N/A</v>
      </c>
      <c r="IG44" s="92" t="e">
        <f t="shared" si="967"/>
        <v>#N/A</v>
      </c>
      <c r="IH44" s="92" t="e">
        <f t="shared" si="967"/>
        <v>#N/A</v>
      </c>
      <c r="II44" s="92" t="e">
        <f t="shared" si="967"/>
        <v>#N/A</v>
      </c>
      <c r="IJ44" s="92" t="e">
        <f t="shared" si="967"/>
        <v>#N/A</v>
      </c>
      <c r="IK44" s="92" t="e">
        <f t="shared" si="967"/>
        <v>#N/A</v>
      </c>
      <c r="IL44" s="92" t="e">
        <f t="shared" si="967"/>
        <v>#N/A</v>
      </c>
      <c r="IM44" s="92" t="e">
        <f t="shared" si="967"/>
        <v>#N/A</v>
      </c>
      <c r="IN44" s="88" t="e">
        <f t="shared" si="967"/>
        <v>#N/A</v>
      </c>
      <c r="IO44" s="92" t="e">
        <f t="shared" si="967"/>
        <v>#N/A</v>
      </c>
      <c r="IP44" s="92" t="e">
        <f t="shared" si="967"/>
        <v>#N/A</v>
      </c>
      <c r="IQ44" s="92" t="e">
        <f t="shared" si="967"/>
        <v>#N/A</v>
      </c>
      <c r="IR44" s="92" t="e">
        <f t="shared" si="967"/>
        <v>#N/A</v>
      </c>
      <c r="IS44" s="92" t="e">
        <f t="shared" si="967"/>
        <v>#N/A</v>
      </c>
      <c r="IT44" s="92" t="e">
        <f t="shared" si="967"/>
        <v>#N/A</v>
      </c>
      <c r="IU44" s="92" t="e">
        <f t="shared" si="967"/>
        <v>#N/A</v>
      </c>
      <c r="IV44" s="92" t="e">
        <f t="shared" si="967"/>
        <v>#N/A</v>
      </c>
      <c r="IW44" s="92" t="e">
        <f t="shared" si="967"/>
        <v>#N/A</v>
      </c>
      <c r="IX44" s="92" t="e">
        <f t="shared" si="967"/>
        <v>#N/A</v>
      </c>
      <c r="IY44" s="92" t="e">
        <f t="shared" ref="IY44:LJ44" si="968">IY43/IY$18</f>
        <v>#N/A</v>
      </c>
      <c r="IZ44" s="92" t="e">
        <f t="shared" si="968"/>
        <v>#N/A</v>
      </c>
      <c r="JA44" s="88" t="e">
        <f t="shared" si="968"/>
        <v>#N/A</v>
      </c>
      <c r="JB44" s="92" t="e">
        <f t="shared" si="968"/>
        <v>#N/A</v>
      </c>
      <c r="JC44" s="92" t="e">
        <f t="shared" si="968"/>
        <v>#N/A</v>
      </c>
      <c r="JD44" s="92" t="e">
        <f t="shared" si="968"/>
        <v>#N/A</v>
      </c>
      <c r="JE44" s="92" t="e">
        <f t="shared" si="968"/>
        <v>#N/A</v>
      </c>
      <c r="JF44" s="92" t="e">
        <f t="shared" si="968"/>
        <v>#N/A</v>
      </c>
      <c r="JG44" s="92" t="e">
        <f t="shared" si="968"/>
        <v>#N/A</v>
      </c>
      <c r="JH44" s="92" t="e">
        <f t="shared" si="968"/>
        <v>#N/A</v>
      </c>
      <c r="JI44" s="92" t="e">
        <f t="shared" si="968"/>
        <v>#N/A</v>
      </c>
      <c r="JJ44" s="92" t="e">
        <f t="shared" si="968"/>
        <v>#N/A</v>
      </c>
      <c r="JK44" s="92" t="e">
        <f t="shared" si="968"/>
        <v>#N/A</v>
      </c>
      <c r="JL44" s="92" t="e">
        <f t="shared" si="968"/>
        <v>#N/A</v>
      </c>
      <c r="JM44" s="92" t="e">
        <f t="shared" si="968"/>
        <v>#N/A</v>
      </c>
      <c r="JN44" s="88" t="e">
        <f t="shared" si="968"/>
        <v>#N/A</v>
      </c>
      <c r="JO44" s="92" t="e">
        <f t="shared" si="968"/>
        <v>#N/A</v>
      </c>
      <c r="JP44" s="92" t="e">
        <f t="shared" si="968"/>
        <v>#N/A</v>
      </c>
      <c r="JQ44" s="92" t="e">
        <f t="shared" si="968"/>
        <v>#N/A</v>
      </c>
      <c r="JR44" s="92" t="e">
        <f t="shared" si="968"/>
        <v>#N/A</v>
      </c>
      <c r="JS44" s="92" t="e">
        <f t="shared" si="968"/>
        <v>#N/A</v>
      </c>
      <c r="JT44" s="92" t="e">
        <f t="shared" si="968"/>
        <v>#N/A</v>
      </c>
      <c r="JU44" s="92" t="e">
        <f t="shared" si="968"/>
        <v>#N/A</v>
      </c>
      <c r="JV44" s="92" t="e">
        <f t="shared" si="968"/>
        <v>#N/A</v>
      </c>
      <c r="JW44" s="92" t="e">
        <f t="shared" si="968"/>
        <v>#N/A</v>
      </c>
      <c r="JX44" s="92" t="e">
        <f t="shared" si="968"/>
        <v>#N/A</v>
      </c>
      <c r="JY44" s="92" t="e">
        <f t="shared" si="968"/>
        <v>#N/A</v>
      </c>
      <c r="JZ44" s="92" t="e">
        <f t="shared" si="968"/>
        <v>#N/A</v>
      </c>
      <c r="KA44" s="88" t="e">
        <f t="shared" si="968"/>
        <v>#N/A</v>
      </c>
      <c r="KB44" s="92" t="e">
        <f t="shared" si="968"/>
        <v>#N/A</v>
      </c>
      <c r="KC44" s="92" t="e">
        <f t="shared" si="968"/>
        <v>#N/A</v>
      </c>
      <c r="KD44" s="92" t="e">
        <f t="shared" si="968"/>
        <v>#N/A</v>
      </c>
      <c r="KE44" s="92" t="e">
        <f t="shared" si="968"/>
        <v>#N/A</v>
      </c>
      <c r="KF44" s="92" t="e">
        <f t="shared" si="968"/>
        <v>#N/A</v>
      </c>
      <c r="KG44" s="92" t="e">
        <f t="shared" si="968"/>
        <v>#N/A</v>
      </c>
      <c r="KH44" s="92" t="e">
        <f t="shared" si="968"/>
        <v>#N/A</v>
      </c>
      <c r="KI44" s="92" t="e">
        <f t="shared" si="968"/>
        <v>#N/A</v>
      </c>
      <c r="KJ44" s="92" t="e">
        <f t="shared" si="968"/>
        <v>#N/A</v>
      </c>
      <c r="KK44" s="92" t="e">
        <f t="shared" si="968"/>
        <v>#N/A</v>
      </c>
      <c r="KL44" s="92" t="e">
        <f t="shared" si="968"/>
        <v>#N/A</v>
      </c>
      <c r="KM44" s="92" t="e">
        <f t="shared" si="968"/>
        <v>#N/A</v>
      </c>
      <c r="KN44" s="88" t="e">
        <f t="shared" si="968"/>
        <v>#N/A</v>
      </c>
      <c r="KO44" s="92" t="e">
        <f t="shared" si="968"/>
        <v>#N/A</v>
      </c>
      <c r="KP44" s="92" t="e">
        <f t="shared" si="968"/>
        <v>#N/A</v>
      </c>
      <c r="KQ44" s="92" t="e">
        <f t="shared" si="968"/>
        <v>#N/A</v>
      </c>
      <c r="KR44" s="92" t="e">
        <f t="shared" si="968"/>
        <v>#N/A</v>
      </c>
      <c r="KS44" s="92" t="e">
        <f t="shared" si="968"/>
        <v>#N/A</v>
      </c>
      <c r="KT44" s="92" t="e">
        <f t="shared" si="968"/>
        <v>#N/A</v>
      </c>
      <c r="KU44" s="92" t="e">
        <f t="shared" si="968"/>
        <v>#N/A</v>
      </c>
      <c r="KV44" s="92" t="e">
        <f t="shared" si="968"/>
        <v>#N/A</v>
      </c>
      <c r="KW44" s="92" t="e">
        <f t="shared" si="968"/>
        <v>#N/A</v>
      </c>
      <c r="KX44" s="92" t="e">
        <f t="shared" si="968"/>
        <v>#N/A</v>
      </c>
      <c r="KY44" s="92" t="e">
        <f t="shared" si="968"/>
        <v>#N/A</v>
      </c>
      <c r="KZ44" s="92" t="e">
        <f t="shared" si="968"/>
        <v>#N/A</v>
      </c>
      <c r="LA44" s="88" t="e">
        <f t="shared" si="968"/>
        <v>#N/A</v>
      </c>
      <c r="LB44" s="92" t="e">
        <f t="shared" si="968"/>
        <v>#N/A</v>
      </c>
      <c r="LC44" s="92" t="e">
        <f t="shared" si="968"/>
        <v>#N/A</v>
      </c>
      <c r="LD44" s="92" t="e">
        <f t="shared" si="968"/>
        <v>#N/A</v>
      </c>
      <c r="LE44" s="92" t="e">
        <f t="shared" si="968"/>
        <v>#N/A</v>
      </c>
      <c r="LF44" s="92" t="e">
        <f t="shared" si="968"/>
        <v>#N/A</v>
      </c>
      <c r="LG44" s="92" t="e">
        <f t="shared" si="968"/>
        <v>#N/A</v>
      </c>
      <c r="LH44" s="92" t="e">
        <f t="shared" si="968"/>
        <v>#N/A</v>
      </c>
      <c r="LI44" s="92" t="e">
        <f t="shared" si="968"/>
        <v>#N/A</v>
      </c>
      <c r="LJ44" s="92" t="e">
        <f t="shared" si="968"/>
        <v>#N/A</v>
      </c>
      <c r="LK44" s="92" t="e">
        <f t="shared" ref="LK44:NV44" si="969">LK43/LK$18</f>
        <v>#N/A</v>
      </c>
      <c r="LL44" s="92" t="e">
        <f t="shared" si="969"/>
        <v>#N/A</v>
      </c>
      <c r="LM44" s="92" t="e">
        <f t="shared" si="969"/>
        <v>#N/A</v>
      </c>
      <c r="LN44" s="88" t="e">
        <f t="shared" si="969"/>
        <v>#N/A</v>
      </c>
      <c r="LO44" s="92" t="e">
        <f t="shared" si="969"/>
        <v>#N/A</v>
      </c>
      <c r="LP44" s="92" t="e">
        <f t="shared" si="969"/>
        <v>#N/A</v>
      </c>
      <c r="LQ44" s="92" t="e">
        <f t="shared" si="969"/>
        <v>#N/A</v>
      </c>
      <c r="LR44" s="92" t="e">
        <f t="shared" si="969"/>
        <v>#N/A</v>
      </c>
      <c r="LS44" s="92" t="e">
        <f t="shared" si="969"/>
        <v>#N/A</v>
      </c>
      <c r="LT44" s="92" t="e">
        <f t="shared" si="969"/>
        <v>#N/A</v>
      </c>
      <c r="LU44" s="92" t="e">
        <f t="shared" si="969"/>
        <v>#N/A</v>
      </c>
      <c r="LV44" s="92" t="e">
        <f t="shared" si="969"/>
        <v>#N/A</v>
      </c>
      <c r="LW44" s="92" t="e">
        <f t="shared" si="969"/>
        <v>#N/A</v>
      </c>
      <c r="LX44" s="92" t="e">
        <f t="shared" si="969"/>
        <v>#N/A</v>
      </c>
      <c r="LY44" s="92" t="e">
        <f t="shared" si="969"/>
        <v>#N/A</v>
      </c>
      <c r="LZ44" s="92" t="e">
        <f t="shared" si="969"/>
        <v>#N/A</v>
      </c>
      <c r="MA44" s="88" t="e">
        <f t="shared" si="969"/>
        <v>#N/A</v>
      </c>
      <c r="MB44" s="92" t="e">
        <f t="shared" si="969"/>
        <v>#N/A</v>
      </c>
      <c r="MC44" s="92" t="e">
        <f t="shared" si="969"/>
        <v>#N/A</v>
      </c>
      <c r="MD44" s="92" t="e">
        <f t="shared" si="969"/>
        <v>#N/A</v>
      </c>
      <c r="ME44" s="92" t="e">
        <f t="shared" si="969"/>
        <v>#N/A</v>
      </c>
      <c r="MF44" s="92" t="e">
        <f t="shared" si="969"/>
        <v>#N/A</v>
      </c>
      <c r="MG44" s="92" t="e">
        <f t="shared" si="969"/>
        <v>#N/A</v>
      </c>
      <c r="MH44" s="92" t="e">
        <f t="shared" si="969"/>
        <v>#N/A</v>
      </c>
      <c r="MI44" s="92" t="e">
        <f t="shared" si="969"/>
        <v>#N/A</v>
      </c>
      <c r="MJ44" s="92" t="e">
        <f t="shared" si="969"/>
        <v>#N/A</v>
      </c>
      <c r="MK44" s="92" t="e">
        <f t="shared" si="969"/>
        <v>#N/A</v>
      </c>
      <c r="ML44" s="92" t="e">
        <f t="shared" si="969"/>
        <v>#N/A</v>
      </c>
      <c r="MM44" s="92" t="e">
        <f t="shared" si="969"/>
        <v>#N/A</v>
      </c>
      <c r="MN44" s="88" t="e">
        <f t="shared" si="969"/>
        <v>#N/A</v>
      </c>
      <c r="MO44" s="92" t="e">
        <f t="shared" si="969"/>
        <v>#N/A</v>
      </c>
      <c r="MP44" s="92" t="e">
        <f t="shared" si="969"/>
        <v>#N/A</v>
      </c>
      <c r="MQ44" s="92" t="e">
        <f t="shared" si="969"/>
        <v>#N/A</v>
      </c>
      <c r="MR44" s="92" t="e">
        <f t="shared" si="969"/>
        <v>#N/A</v>
      </c>
      <c r="MS44" s="92" t="e">
        <f t="shared" si="969"/>
        <v>#N/A</v>
      </c>
      <c r="MT44" s="92" t="e">
        <f t="shared" si="969"/>
        <v>#N/A</v>
      </c>
      <c r="MU44" s="92" t="e">
        <f t="shared" si="969"/>
        <v>#N/A</v>
      </c>
      <c r="MV44" s="92" t="e">
        <f t="shared" si="969"/>
        <v>#N/A</v>
      </c>
      <c r="MW44" s="92" t="e">
        <f t="shared" si="969"/>
        <v>#N/A</v>
      </c>
      <c r="MX44" s="92" t="e">
        <f t="shared" si="969"/>
        <v>#N/A</v>
      </c>
      <c r="MY44" s="92" t="e">
        <f t="shared" si="969"/>
        <v>#N/A</v>
      </c>
      <c r="MZ44" s="92" t="e">
        <f t="shared" si="969"/>
        <v>#N/A</v>
      </c>
      <c r="NA44" s="88" t="e">
        <f t="shared" si="969"/>
        <v>#N/A</v>
      </c>
      <c r="NB44" s="92" t="e">
        <f t="shared" si="969"/>
        <v>#N/A</v>
      </c>
      <c r="NC44" s="92" t="e">
        <f t="shared" si="969"/>
        <v>#N/A</v>
      </c>
      <c r="ND44" s="92" t="e">
        <f t="shared" si="969"/>
        <v>#N/A</v>
      </c>
      <c r="NE44" s="92" t="e">
        <f t="shared" si="969"/>
        <v>#N/A</v>
      </c>
      <c r="NF44" s="92" t="e">
        <f t="shared" si="969"/>
        <v>#N/A</v>
      </c>
      <c r="NG44" s="92" t="e">
        <f t="shared" si="969"/>
        <v>#N/A</v>
      </c>
      <c r="NH44" s="92" t="e">
        <f t="shared" si="969"/>
        <v>#N/A</v>
      </c>
      <c r="NI44" s="92" t="e">
        <f t="shared" si="969"/>
        <v>#N/A</v>
      </c>
      <c r="NJ44" s="92" t="e">
        <f t="shared" si="969"/>
        <v>#N/A</v>
      </c>
      <c r="NK44" s="92" t="e">
        <f t="shared" si="969"/>
        <v>#N/A</v>
      </c>
      <c r="NL44" s="92" t="e">
        <f t="shared" si="969"/>
        <v>#N/A</v>
      </c>
      <c r="NM44" s="92" t="e">
        <f t="shared" si="969"/>
        <v>#N/A</v>
      </c>
      <c r="NN44" s="88" t="e">
        <f t="shared" si="969"/>
        <v>#N/A</v>
      </c>
      <c r="NO44" s="92" t="e">
        <f t="shared" si="969"/>
        <v>#N/A</v>
      </c>
      <c r="NP44" s="92" t="e">
        <f t="shared" si="969"/>
        <v>#N/A</v>
      </c>
      <c r="NQ44" s="92" t="e">
        <f t="shared" si="969"/>
        <v>#N/A</v>
      </c>
      <c r="NR44" s="92" t="e">
        <f t="shared" si="969"/>
        <v>#N/A</v>
      </c>
      <c r="NS44" s="92" t="e">
        <f t="shared" si="969"/>
        <v>#N/A</v>
      </c>
      <c r="NT44" s="92" t="e">
        <f t="shared" si="969"/>
        <v>#N/A</v>
      </c>
      <c r="NU44" s="92" t="e">
        <f t="shared" si="969"/>
        <v>#N/A</v>
      </c>
      <c r="NV44" s="92" t="e">
        <f t="shared" si="969"/>
        <v>#N/A</v>
      </c>
      <c r="NW44" s="92" t="e">
        <f t="shared" ref="NW44:QH44" si="970">NW43/NW$18</f>
        <v>#N/A</v>
      </c>
      <c r="NX44" s="92" t="e">
        <f t="shared" si="970"/>
        <v>#N/A</v>
      </c>
      <c r="NY44" s="92" t="e">
        <f t="shared" si="970"/>
        <v>#N/A</v>
      </c>
      <c r="NZ44" s="92" t="e">
        <f t="shared" si="970"/>
        <v>#N/A</v>
      </c>
      <c r="OA44" s="88" t="e">
        <f t="shared" si="970"/>
        <v>#N/A</v>
      </c>
      <c r="OB44" s="92" t="e">
        <f t="shared" si="970"/>
        <v>#N/A</v>
      </c>
      <c r="OC44" s="92" t="e">
        <f t="shared" si="970"/>
        <v>#N/A</v>
      </c>
      <c r="OD44" s="92" t="e">
        <f t="shared" si="970"/>
        <v>#N/A</v>
      </c>
      <c r="OE44" s="92" t="e">
        <f t="shared" si="970"/>
        <v>#N/A</v>
      </c>
      <c r="OF44" s="92" t="e">
        <f t="shared" si="970"/>
        <v>#N/A</v>
      </c>
      <c r="OG44" s="92" t="e">
        <f t="shared" si="970"/>
        <v>#N/A</v>
      </c>
      <c r="OH44" s="92" t="e">
        <f t="shared" si="970"/>
        <v>#N/A</v>
      </c>
      <c r="OI44" s="92" t="e">
        <f t="shared" si="970"/>
        <v>#N/A</v>
      </c>
      <c r="OJ44" s="92" t="e">
        <f t="shared" si="970"/>
        <v>#N/A</v>
      </c>
      <c r="OK44" s="92" t="e">
        <f t="shared" si="970"/>
        <v>#N/A</v>
      </c>
      <c r="OL44" s="92" t="e">
        <f t="shared" si="970"/>
        <v>#N/A</v>
      </c>
      <c r="OM44" s="92" t="e">
        <f t="shared" si="970"/>
        <v>#N/A</v>
      </c>
      <c r="ON44" s="88" t="e">
        <f t="shared" si="970"/>
        <v>#N/A</v>
      </c>
      <c r="OO44" s="92" t="e">
        <f t="shared" si="970"/>
        <v>#N/A</v>
      </c>
      <c r="OP44" s="92" t="e">
        <f t="shared" si="970"/>
        <v>#N/A</v>
      </c>
      <c r="OQ44" s="92" t="e">
        <f t="shared" si="970"/>
        <v>#N/A</v>
      </c>
      <c r="OR44" s="92" t="e">
        <f t="shared" si="970"/>
        <v>#N/A</v>
      </c>
      <c r="OS44" s="92" t="e">
        <f t="shared" si="970"/>
        <v>#N/A</v>
      </c>
      <c r="OT44" s="92" t="e">
        <f t="shared" si="970"/>
        <v>#N/A</v>
      </c>
      <c r="OU44" s="92" t="e">
        <f t="shared" si="970"/>
        <v>#N/A</v>
      </c>
      <c r="OV44" s="92" t="e">
        <f t="shared" si="970"/>
        <v>#N/A</v>
      </c>
      <c r="OW44" s="92" t="e">
        <f t="shared" si="970"/>
        <v>#N/A</v>
      </c>
      <c r="OX44" s="92" t="e">
        <f t="shared" si="970"/>
        <v>#N/A</v>
      </c>
      <c r="OY44" s="92" t="e">
        <f t="shared" si="970"/>
        <v>#N/A</v>
      </c>
      <c r="OZ44" s="92" t="e">
        <f t="shared" si="970"/>
        <v>#N/A</v>
      </c>
      <c r="PA44" s="88" t="e">
        <f t="shared" si="970"/>
        <v>#N/A</v>
      </c>
      <c r="PB44" s="92" t="e">
        <f t="shared" si="970"/>
        <v>#N/A</v>
      </c>
      <c r="PC44" s="92" t="e">
        <f t="shared" si="970"/>
        <v>#N/A</v>
      </c>
      <c r="PD44" s="92" t="e">
        <f t="shared" si="970"/>
        <v>#N/A</v>
      </c>
      <c r="PE44" s="92" t="e">
        <f t="shared" si="970"/>
        <v>#N/A</v>
      </c>
      <c r="PF44" s="92" t="e">
        <f t="shared" si="970"/>
        <v>#N/A</v>
      </c>
      <c r="PG44" s="92" t="e">
        <f t="shared" si="970"/>
        <v>#N/A</v>
      </c>
      <c r="PH44" s="92" t="e">
        <f t="shared" si="970"/>
        <v>#N/A</v>
      </c>
      <c r="PI44" s="92" t="e">
        <f t="shared" si="970"/>
        <v>#N/A</v>
      </c>
      <c r="PJ44" s="92" t="e">
        <f t="shared" si="970"/>
        <v>#N/A</v>
      </c>
      <c r="PK44" s="92" t="e">
        <f t="shared" si="970"/>
        <v>#N/A</v>
      </c>
      <c r="PL44" s="92" t="e">
        <f t="shared" si="970"/>
        <v>#N/A</v>
      </c>
      <c r="PM44" s="92" t="e">
        <f t="shared" si="970"/>
        <v>#N/A</v>
      </c>
      <c r="PN44" s="88" t="e">
        <f t="shared" si="970"/>
        <v>#N/A</v>
      </c>
      <c r="PO44" s="92" t="e">
        <f t="shared" si="970"/>
        <v>#N/A</v>
      </c>
      <c r="PP44" s="92" t="e">
        <f t="shared" si="970"/>
        <v>#N/A</v>
      </c>
      <c r="PQ44" s="92" t="e">
        <f t="shared" si="970"/>
        <v>#N/A</v>
      </c>
      <c r="PR44" s="92" t="e">
        <f t="shared" si="970"/>
        <v>#N/A</v>
      </c>
      <c r="PS44" s="92" t="e">
        <f t="shared" si="970"/>
        <v>#N/A</v>
      </c>
      <c r="PT44" s="92" t="e">
        <f t="shared" si="970"/>
        <v>#N/A</v>
      </c>
      <c r="PU44" s="92" t="e">
        <f t="shared" si="970"/>
        <v>#N/A</v>
      </c>
      <c r="PV44" s="92" t="e">
        <f t="shared" si="970"/>
        <v>#N/A</v>
      </c>
      <c r="PW44" s="92" t="e">
        <f t="shared" si="970"/>
        <v>#N/A</v>
      </c>
      <c r="PX44" s="92" t="e">
        <f t="shared" si="970"/>
        <v>#N/A</v>
      </c>
      <c r="PY44" s="92" t="e">
        <f t="shared" si="970"/>
        <v>#N/A</v>
      </c>
      <c r="PZ44" s="92" t="e">
        <f t="shared" si="970"/>
        <v>#N/A</v>
      </c>
      <c r="QA44" s="88" t="e">
        <f t="shared" si="970"/>
        <v>#N/A</v>
      </c>
      <c r="QB44" s="92" t="e">
        <f t="shared" si="970"/>
        <v>#N/A</v>
      </c>
      <c r="QC44" s="92" t="e">
        <f t="shared" si="970"/>
        <v>#N/A</v>
      </c>
      <c r="QD44" s="92" t="e">
        <f t="shared" si="970"/>
        <v>#N/A</v>
      </c>
      <c r="QE44" s="92" t="e">
        <f t="shared" si="970"/>
        <v>#N/A</v>
      </c>
      <c r="QF44" s="92" t="e">
        <f t="shared" si="970"/>
        <v>#N/A</v>
      </c>
      <c r="QG44" s="92" t="e">
        <f t="shared" si="970"/>
        <v>#N/A</v>
      </c>
      <c r="QH44" s="92" t="e">
        <f t="shared" si="970"/>
        <v>#N/A</v>
      </c>
      <c r="QI44" s="92" t="e">
        <f t="shared" ref="QI44:RN44" si="971">QI43/QI$18</f>
        <v>#N/A</v>
      </c>
      <c r="QJ44" s="92" t="e">
        <f t="shared" si="971"/>
        <v>#N/A</v>
      </c>
      <c r="QK44" s="92" t="e">
        <f t="shared" si="971"/>
        <v>#N/A</v>
      </c>
      <c r="QL44" s="92" t="e">
        <f t="shared" si="971"/>
        <v>#N/A</v>
      </c>
      <c r="QM44" s="92" t="e">
        <f t="shared" si="971"/>
        <v>#N/A</v>
      </c>
      <c r="QN44" s="88" t="e">
        <f t="shared" si="971"/>
        <v>#N/A</v>
      </c>
      <c r="QO44" s="92" t="e">
        <f t="shared" si="971"/>
        <v>#N/A</v>
      </c>
      <c r="QP44" s="92" t="e">
        <f t="shared" si="971"/>
        <v>#N/A</v>
      </c>
      <c r="QQ44" s="92" t="e">
        <f t="shared" si="971"/>
        <v>#N/A</v>
      </c>
      <c r="QR44" s="92" t="e">
        <f t="shared" si="971"/>
        <v>#N/A</v>
      </c>
      <c r="QS44" s="92" t="e">
        <f t="shared" si="971"/>
        <v>#N/A</v>
      </c>
      <c r="QT44" s="92" t="e">
        <f t="shared" si="971"/>
        <v>#N/A</v>
      </c>
      <c r="QU44" s="92" t="e">
        <f t="shared" si="971"/>
        <v>#N/A</v>
      </c>
      <c r="QV44" s="92" t="e">
        <f t="shared" si="971"/>
        <v>#N/A</v>
      </c>
      <c r="QW44" s="92" t="e">
        <f t="shared" si="971"/>
        <v>#N/A</v>
      </c>
      <c r="QX44" s="92" t="e">
        <f t="shared" si="971"/>
        <v>#N/A</v>
      </c>
      <c r="QY44" s="92" t="e">
        <f t="shared" si="971"/>
        <v>#N/A</v>
      </c>
      <c r="QZ44" s="92" t="e">
        <f t="shared" si="971"/>
        <v>#N/A</v>
      </c>
      <c r="RA44" s="88" t="e">
        <f t="shared" si="971"/>
        <v>#N/A</v>
      </c>
      <c r="RB44" s="92" t="e">
        <f t="shared" si="971"/>
        <v>#N/A</v>
      </c>
      <c r="RC44" s="92" t="e">
        <f t="shared" si="971"/>
        <v>#N/A</v>
      </c>
      <c r="RD44" s="92" t="e">
        <f t="shared" si="971"/>
        <v>#N/A</v>
      </c>
      <c r="RE44" s="92" t="e">
        <f t="shared" si="971"/>
        <v>#N/A</v>
      </c>
      <c r="RF44" s="92" t="e">
        <f t="shared" si="971"/>
        <v>#N/A</v>
      </c>
      <c r="RG44" s="92" t="e">
        <f t="shared" si="971"/>
        <v>#N/A</v>
      </c>
      <c r="RH44" s="92" t="e">
        <f t="shared" si="971"/>
        <v>#N/A</v>
      </c>
      <c r="RI44" s="92" t="e">
        <f t="shared" si="971"/>
        <v>#N/A</v>
      </c>
      <c r="RJ44" s="92" t="e">
        <f t="shared" si="971"/>
        <v>#N/A</v>
      </c>
      <c r="RK44" s="92" t="e">
        <f t="shared" si="971"/>
        <v>#N/A</v>
      </c>
      <c r="RL44" s="92" t="e">
        <f t="shared" si="971"/>
        <v>#N/A</v>
      </c>
      <c r="RM44" s="92" t="e">
        <f t="shared" si="971"/>
        <v>#N/A</v>
      </c>
      <c r="RN44" s="88" t="e">
        <f t="shared" si="971"/>
        <v>#N/A</v>
      </c>
    </row>
    <row r="45" spans="1:482" hidden="1" outlineLevel="1" x14ac:dyDescent="0.3">
      <c r="AA45" s="93"/>
      <c r="AN45" s="93"/>
      <c r="BA45" s="93"/>
      <c r="BN45" s="93"/>
      <c r="CA45" s="93"/>
      <c r="CN45" s="93"/>
      <c r="DA45" s="93"/>
      <c r="DN45" s="93"/>
      <c r="EA45" s="93"/>
      <c r="EN45" s="93"/>
      <c r="FA45" s="93"/>
      <c r="FN45" s="93"/>
      <c r="GA45" s="93"/>
      <c r="GN45" s="93"/>
      <c r="HA45" s="93"/>
      <c r="HN45" s="93"/>
      <c r="IA45" s="93"/>
      <c r="IN45" s="93"/>
      <c r="JA45" s="93"/>
      <c r="JN45" s="93"/>
      <c r="KA45" s="93"/>
      <c r="KN45" s="93"/>
      <c r="LA45" s="93"/>
      <c r="LN45" s="93"/>
      <c r="MA45" s="93"/>
      <c r="MN45" s="93"/>
      <c r="NA45" s="93"/>
      <c r="NN45" s="93"/>
      <c r="OA45" s="93"/>
      <c r="ON45" s="93"/>
      <c r="PA45" s="93"/>
      <c r="PN45" s="93"/>
      <c r="QA45" s="93"/>
      <c r="QN45" s="93"/>
      <c r="RA45" s="93"/>
      <c r="RN45" s="93"/>
    </row>
    <row r="46" spans="1:482" s="85" customFormat="1" collapsed="1" x14ac:dyDescent="0.3">
      <c r="A46" s="82" t="s">
        <v>261</v>
      </c>
      <c r="N46" s="94"/>
      <c r="AA46" s="94"/>
      <c r="AN46" s="94"/>
      <c r="BA46" s="94"/>
      <c r="BN46" s="94"/>
      <c r="CA46" s="94"/>
      <c r="CN46" s="94"/>
      <c r="DA46" s="94"/>
      <c r="DN46" s="94"/>
      <c r="EA46" s="94"/>
      <c r="EN46" s="94"/>
      <c r="FA46" s="94"/>
      <c r="FN46" s="94"/>
      <c r="GA46" s="94"/>
      <c r="GN46" s="94"/>
      <c r="HA46" s="94"/>
      <c r="HN46" s="94"/>
      <c r="IA46" s="94"/>
      <c r="IN46" s="94"/>
      <c r="JA46" s="94"/>
      <c r="JN46" s="94"/>
      <c r="KA46" s="94"/>
      <c r="KN46" s="94"/>
      <c r="LA46" s="94"/>
      <c r="LN46" s="94"/>
      <c r="MA46" s="94"/>
      <c r="MN46" s="94"/>
      <c r="NA46" s="94"/>
      <c r="NN46" s="94"/>
      <c r="OA46" s="94"/>
      <c r="ON46" s="94"/>
      <c r="PA46" s="94"/>
      <c r="PN46" s="94"/>
      <c r="QA46" s="94"/>
      <c r="QN46" s="94"/>
      <c r="RA46" s="94"/>
      <c r="RN46" s="94"/>
    </row>
    <row r="47" spans="1:482" hidden="1" outlineLevel="1" x14ac:dyDescent="0.3">
      <c r="A47" s="89" t="s">
        <v>235</v>
      </c>
      <c r="B47" s="86" t="e">
        <f t="shared" ref="B47:M47" si="972">B43</f>
        <v>#N/A</v>
      </c>
      <c r="C47" s="86" t="e">
        <f t="shared" si="972"/>
        <v>#N/A</v>
      </c>
      <c r="D47" s="86" t="e">
        <f t="shared" si="972"/>
        <v>#N/A</v>
      </c>
      <c r="E47" s="86" t="e">
        <f t="shared" si="972"/>
        <v>#N/A</v>
      </c>
      <c r="F47" s="86" t="e">
        <f t="shared" si="972"/>
        <v>#N/A</v>
      </c>
      <c r="G47" s="86" t="e">
        <f t="shared" si="972"/>
        <v>#N/A</v>
      </c>
      <c r="H47" s="86" t="e">
        <f t="shared" si="972"/>
        <v>#N/A</v>
      </c>
      <c r="I47" s="86" t="e">
        <f t="shared" si="972"/>
        <v>#N/A</v>
      </c>
      <c r="J47" s="86" t="e">
        <f t="shared" si="972"/>
        <v>#N/A</v>
      </c>
      <c r="K47" s="86" t="e">
        <f t="shared" si="972"/>
        <v>#N/A</v>
      </c>
      <c r="L47" s="86" t="e">
        <f t="shared" si="972"/>
        <v>#N/A</v>
      </c>
      <c r="M47" s="86" t="e">
        <f t="shared" si="972"/>
        <v>#N/A</v>
      </c>
      <c r="N47" s="87" t="e">
        <f>SUM(B47:M47)</f>
        <v>#N/A</v>
      </c>
      <c r="O47" s="86" t="e">
        <f t="shared" ref="O47:Z47" si="973">O43</f>
        <v>#N/A</v>
      </c>
      <c r="P47" s="86" t="e">
        <f t="shared" si="973"/>
        <v>#N/A</v>
      </c>
      <c r="Q47" s="86" t="e">
        <f t="shared" si="973"/>
        <v>#N/A</v>
      </c>
      <c r="R47" s="86" t="e">
        <f t="shared" si="973"/>
        <v>#N/A</v>
      </c>
      <c r="S47" s="86" t="e">
        <f t="shared" si="973"/>
        <v>#N/A</v>
      </c>
      <c r="T47" s="86" t="e">
        <f t="shared" si="973"/>
        <v>#N/A</v>
      </c>
      <c r="U47" s="86" t="e">
        <f t="shared" si="973"/>
        <v>#N/A</v>
      </c>
      <c r="V47" s="86" t="e">
        <f t="shared" si="973"/>
        <v>#N/A</v>
      </c>
      <c r="W47" s="86" t="e">
        <f t="shared" si="973"/>
        <v>#N/A</v>
      </c>
      <c r="X47" s="86" t="e">
        <f t="shared" si="973"/>
        <v>#N/A</v>
      </c>
      <c r="Y47" s="86" t="e">
        <f t="shared" si="973"/>
        <v>#N/A</v>
      </c>
      <c r="Z47" s="86" t="e">
        <f t="shared" si="973"/>
        <v>#N/A</v>
      </c>
      <c r="AA47" s="87" t="e">
        <f>SUM(O47:Z47)</f>
        <v>#N/A</v>
      </c>
      <c r="AB47" s="86" t="e">
        <f t="shared" ref="AB47:AM47" si="974">AB43</f>
        <v>#N/A</v>
      </c>
      <c r="AC47" s="86" t="e">
        <f t="shared" si="974"/>
        <v>#N/A</v>
      </c>
      <c r="AD47" s="86" t="e">
        <f t="shared" si="974"/>
        <v>#N/A</v>
      </c>
      <c r="AE47" s="86" t="e">
        <f t="shared" si="974"/>
        <v>#N/A</v>
      </c>
      <c r="AF47" s="86" t="e">
        <f t="shared" si="974"/>
        <v>#N/A</v>
      </c>
      <c r="AG47" s="86" t="e">
        <f t="shared" si="974"/>
        <v>#N/A</v>
      </c>
      <c r="AH47" s="86" t="e">
        <f t="shared" si="974"/>
        <v>#N/A</v>
      </c>
      <c r="AI47" s="86" t="e">
        <f t="shared" si="974"/>
        <v>#N/A</v>
      </c>
      <c r="AJ47" s="86" t="e">
        <f t="shared" si="974"/>
        <v>#N/A</v>
      </c>
      <c r="AK47" s="86" t="e">
        <f t="shared" si="974"/>
        <v>#N/A</v>
      </c>
      <c r="AL47" s="86" t="e">
        <f t="shared" si="974"/>
        <v>#N/A</v>
      </c>
      <c r="AM47" s="86" t="e">
        <f t="shared" si="974"/>
        <v>#N/A</v>
      </c>
      <c r="AN47" s="87" t="e">
        <f>SUM(AB47:AM47)</f>
        <v>#N/A</v>
      </c>
      <c r="AO47" s="86" t="e">
        <f t="shared" ref="AO47:AZ47" si="975">AO43</f>
        <v>#N/A</v>
      </c>
      <c r="AP47" s="86" t="e">
        <f t="shared" si="975"/>
        <v>#N/A</v>
      </c>
      <c r="AQ47" s="86" t="e">
        <f t="shared" si="975"/>
        <v>#N/A</v>
      </c>
      <c r="AR47" s="86" t="e">
        <f t="shared" si="975"/>
        <v>#N/A</v>
      </c>
      <c r="AS47" s="86" t="e">
        <f t="shared" si="975"/>
        <v>#N/A</v>
      </c>
      <c r="AT47" s="86" t="e">
        <f t="shared" si="975"/>
        <v>#N/A</v>
      </c>
      <c r="AU47" s="86" t="e">
        <f t="shared" si="975"/>
        <v>#N/A</v>
      </c>
      <c r="AV47" s="86" t="e">
        <f t="shared" si="975"/>
        <v>#N/A</v>
      </c>
      <c r="AW47" s="86" t="e">
        <f t="shared" si="975"/>
        <v>#N/A</v>
      </c>
      <c r="AX47" s="86" t="e">
        <f t="shared" si="975"/>
        <v>#N/A</v>
      </c>
      <c r="AY47" s="86" t="e">
        <f t="shared" si="975"/>
        <v>#N/A</v>
      </c>
      <c r="AZ47" s="86" t="e">
        <f t="shared" si="975"/>
        <v>#N/A</v>
      </c>
      <c r="BA47" s="87" t="e">
        <f>SUM(AO47:AZ47)</f>
        <v>#N/A</v>
      </c>
      <c r="BB47" s="86" t="e">
        <f t="shared" ref="BB47:BM47" si="976">BB43</f>
        <v>#N/A</v>
      </c>
      <c r="BC47" s="86" t="e">
        <f t="shared" si="976"/>
        <v>#N/A</v>
      </c>
      <c r="BD47" s="86" t="e">
        <f t="shared" si="976"/>
        <v>#N/A</v>
      </c>
      <c r="BE47" s="86" t="e">
        <f t="shared" si="976"/>
        <v>#N/A</v>
      </c>
      <c r="BF47" s="86" t="e">
        <f t="shared" si="976"/>
        <v>#N/A</v>
      </c>
      <c r="BG47" s="86" t="e">
        <f t="shared" si="976"/>
        <v>#N/A</v>
      </c>
      <c r="BH47" s="86" t="e">
        <f t="shared" si="976"/>
        <v>#N/A</v>
      </c>
      <c r="BI47" s="86" t="e">
        <f t="shared" si="976"/>
        <v>#N/A</v>
      </c>
      <c r="BJ47" s="86" t="e">
        <f t="shared" si="976"/>
        <v>#N/A</v>
      </c>
      <c r="BK47" s="86" t="e">
        <f t="shared" si="976"/>
        <v>#N/A</v>
      </c>
      <c r="BL47" s="86" t="e">
        <f t="shared" si="976"/>
        <v>#N/A</v>
      </c>
      <c r="BM47" s="86" t="e">
        <f t="shared" si="976"/>
        <v>#N/A</v>
      </c>
      <c r="BN47" s="87" t="e">
        <f>SUM(BB47:BM47)</f>
        <v>#N/A</v>
      </c>
      <c r="BO47" s="86" t="e">
        <f t="shared" ref="BO47:BZ47" si="977">BO43</f>
        <v>#N/A</v>
      </c>
      <c r="BP47" s="86" t="e">
        <f t="shared" si="977"/>
        <v>#N/A</v>
      </c>
      <c r="BQ47" s="86" t="e">
        <f t="shared" si="977"/>
        <v>#N/A</v>
      </c>
      <c r="BR47" s="86" t="e">
        <f t="shared" si="977"/>
        <v>#N/A</v>
      </c>
      <c r="BS47" s="86" t="e">
        <f t="shared" si="977"/>
        <v>#N/A</v>
      </c>
      <c r="BT47" s="86" t="e">
        <f t="shared" si="977"/>
        <v>#N/A</v>
      </c>
      <c r="BU47" s="86" t="e">
        <f t="shared" si="977"/>
        <v>#N/A</v>
      </c>
      <c r="BV47" s="86" t="e">
        <f t="shared" si="977"/>
        <v>#N/A</v>
      </c>
      <c r="BW47" s="86" t="e">
        <f t="shared" si="977"/>
        <v>#N/A</v>
      </c>
      <c r="BX47" s="86" t="e">
        <f t="shared" si="977"/>
        <v>#N/A</v>
      </c>
      <c r="BY47" s="86" t="e">
        <f t="shared" si="977"/>
        <v>#N/A</v>
      </c>
      <c r="BZ47" s="86" t="e">
        <f t="shared" si="977"/>
        <v>#N/A</v>
      </c>
      <c r="CA47" s="87" t="e">
        <f>SUM(BO47:BZ47)</f>
        <v>#N/A</v>
      </c>
      <c r="CB47" s="86" t="e">
        <f t="shared" ref="CB47:CM47" si="978">CB43</f>
        <v>#N/A</v>
      </c>
      <c r="CC47" s="86" t="e">
        <f t="shared" si="978"/>
        <v>#N/A</v>
      </c>
      <c r="CD47" s="86" t="e">
        <f t="shared" si="978"/>
        <v>#N/A</v>
      </c>
      <c r="CE47" s="86" t="e">
        <f t="shared" si="978"/>
        <v>#N/A</v>
      </c>
      <c r="CF47" s="86" t="e">
        <f t="shared" si="978"/>
        <v>#N/A</v>
      </c>
      <c r="CG47" s="86" t="e">
        <f t="shared" si="978"/>
        <v>#N/A</v>
      </c>
      <c r="CH47" s="86" t="e">
        <f t="shared" si="978"/>
        <v>#N/A</v>
      </c>
      <c r="CI47" s="86" t="e">
        <f t="shared" si="978"/>
        <v>#N/A</v>
      </c>
      <c r="CJ47" s="86" t="e">
        <f t="shared" si="978"/>
        <v>#N/A</v>
      </c>
      <c r="CK47" s="86" t="e">
        <f t="shared" si="978"/>
        <v>#N/A</v>
      </c>
      <c r="CL47" s="86" t="e">
        <f t="shared" si="978"/>
        <v>#N/A</v>
      </c>
      <c r="CM47" s="86" t="e">
        <f t="shared" si="978"/>
        <v>#N/A</v>
      </c>
      <c r="CN47" s="87" t="e">
        <f>SUM(CB47:CM47)</f>
        <v>#N/A</v>
      </c>
      <c r="CO47" s="86" t="e">
        <f t="shared" ref="CO47:CZ47" si="979">CO43</f>
        <v>#N/A</v>
      </c>
      <c r="CP47" s="86" t="e">
        <f t="shared" si="979"/>
        <v>#N/A</v>
      </c>
      <c r="CQ47" s="86" t="e">
        <f t="shared" si="979"/>
        <v>#N/A</v>
      </c>
      <c r="CR47" s="86" t="e">
        <f t="shared" si="979"/>
        <v>#N/A</v>
      </c>
      <c r="CS47" s="86" t="e">
        <f t="shared" si="979"/>
        <v>#N/A</v>
      </c>
      <c r="CT47" s="86" t="e">
        <f t="shared" si="979"/>
        <v>#N/A</v>
      </c>
      <c r="CU47" s="86" t="e">
        <f t="shared" si="979"/>
        <v>#N/A</v>
      </c>
      <c r="CV47" s="86" t="e">
        <f t="shared" si="979"/>
        <v>#N/A</v>
      </c>
      <c r="CW47" s="86" t="e">
        <f t="shared" si="979"/>
        <v>#N/A</v>
      </c>
      <c r="CX47" s="86" t="e">
        <f t="shared" si="979"/>
        <v>#N/A</v>
      </c>
      <c r="CY47" s="86" t="e">
        <f t="shared" si="979"/>
        <v>#N/A</v>
      </c>
      <c r="CZ47" s="86" t="e">
        <f t="shared" si="979"/>
        <v>#N/A</v>
      </c>
      <c r="DA47" s="87" t="e">
        <f>SUM(CO47:CZ47)</f>
        <v>#N/A</v>
      </c>
      <c r="DB47" s="86" t="e">
        <f t="shared" ref="DB47:DM47" si="980">DB43</f>
        <v>#N/A</v>
      </c>
      <c r="DC47" s="86" t="e">
        <f t="shared" si="980"/>
        <v>#N/A</v>
      </c>
      <c r="DD47" s="86" t="e">
        <f t="shared" si="980"/>
        <v>#N/A</v>
      </c>
      <c r="DE47" s="86" t="e">
        <f t="shared" si="980"/>
        <v>#N/A</v>
      </c>
      <c r="DF47" s="86" t="e">
        <f t="shared" si="980"/>
        <v>#N/A</v>
      </c>
      <c r="DG47" s="86" t="e">
        <f t="shared" si="980"/>
        <v>#N/A</v>
      </c>
      <c r="DH47" s="86" t="e">
        <f t="shared" si="980"/>
        <v>#N/A</v>
      </c>
      <c r="DI47" s="86" t="e">
        <f t="shared" si="980"/>
        <v>#N/A</v>
      </c>
      <c r="DJ47" s="86" t="e">
        <f t="shared" si="980"/>
        <v>#N/A</v>
      </c>
      <c r="DK47" s="86" t="e">
        <f t="shared" si="980"/>
        <v>#N/A</v>
      </c>
      <c r="DL47" s="86" t="e">
        <f t="shared" si="980"/>
        <v>#N/A</v>
      </c>
      <c r="DM47" s="86" t="e">
        <f t="shared" si="980"/>
        <v>#N/A</v>
      </c>
      <c r="DN47" s="87" t="e">
        <f>SUM(DB47:DM47)</f>
        <v>#N/A</v>
      </c>
      <c r="DO47" s="86" t="e">
        <f t="shared" ref="DO47:DZ47" si="981">DO43</f>
        <v>#N/A</v>
      </c>
      <c r="DP47" s="86" t="e">
        <f t="shared" si="981"/>
        <v>#N/A</v>
      </c>
      <c r="DQ47" s="86" t="e">
        <f t="shared" si="981"/>
        <v>#N/A</v>
      </c>
      <c r="DR47" s="86" t="e">
        <f t="shared" si="981"/>
        <v>#N/A</v>
      </c>
      <c r="DS47" s="86" t="e">
        <f t="shared" si="981"/>
        <v>#N/A</v>
      </c>
      <c r="DT47" s="86" t="e">
        <f t="shared" si="981"/>
        <v>#N/A</v>
      </c>
      <c r="DU47" s="86" t="e">
        <f t="shared" si="981"/>
        <v>#N/A</v>
      </c>
      <c r="DV47" s="86" t="e">
        <f t="shared" si="981"/>
        <v>#N/A</v>
      </c>
      <c r="DW47" s="86" t="e">
        <f t="shared" si="981"/>
        <v>#N/A</v>
      </c>
      <c r="DX47" s="86" t="e">
        <f t="shared" si="981"/>
        <v>#N/A</v>
      </c>
      <c r="DY47" s="86" t="e">
        <f t="shared" si="981"/>
        <v>#N/A</v>
      </c>
      <c r="DZ47" s="86" t="e">
        <f t="shared" si="981"/>
        <v>#N/A</v>
      </c>
      <c r="EA47" s="87" t="e">
        <f>SUM(DO47:DZ47)</f>
        <v>#N/A</v>
      </c>
      <c r="EB47" s="86" t="e">
        <f t="shared" ref="EB47:EM47" si="982">EB43</f>
        <v>#N/A</v>
      </c>
      <c r="EC47" s="86" t="e">
        <f t="shared" si="982"/>
        <v>#N/A</v>
      </c>
      <c r="ED47" s="86" t="e">
        <f t="shared" si="982"/>
        <v>#N/A</v>
      </c>
      <c r="EE47" s="86" t="e">
        <f t="shared" si="982"/>
        <v>#N/A</v>
      </c>
      <c r="EF47" s="86" t="e">
        <f t="shared" si="982"/>
        <v>#N/A</v>
      </c>
      <c r="EG47" s="86" t="e">
        <f t="shared" si="982"/>
        <v>#N/A</v>
      </c>
      <c r="EH47" s="86" t="e">
        <f t="shared" si="982"/>
        <v>#N/A</v>
      </c>
      <c r="EI47" s="86" t="e">
        <f t="shared" si="982"/>
        <v>#N/A</v>
      </c>
      <c r="EJ47" s="86" t="e">
        <f t="shared" si="982"/>
        <v>#N/A</v>
      </c>
      <c r="EK47" s="86" t="e">
        <f t="shared" si="982"/>
        <v>#N/A</v>
      </c>
      <c r="EL47" s="86" t="e">
        <f t="shared" si="982"/>
        <v>#N/A</v>
      </c>
      <c r="EM47" s="86" t="e">
        <f t="shared" si="982"/>
        <v>#N/A</v>
      </c>
      <c r="EN47" s="87" t="e">
        <f>SUM(EB47:EM47)</f>
        <v>#N/A</v>
      </c>
      <c r="EO47" s="86" t="e">
        <f t="shared" ref="EO47:EZ47" si="983">EO43</f>
        <v>#N/A</v>
      </c>
      <c r="EP47" s="86" t="e">
        <f t="shared" si="983"/>
        <v>#N/A</v>
      </c>
      <c r="EQ47" s="86" t="e">
        <f t="shared" si="983"/>
        <v>#N/A</v>
      </c>
      <c r="ER47" s="86" t="e">
        <f t="shared" si="983"/>
        <v>#N/A</v>
      </c>
      <c r="ES47" s="86" t="e">
        <f t="shared" si="983"/>
        <v>#N/A</v>
      </c>
      <c r="ET47" s="86" t="e">
        <f t="shared" si="983"/>
        <v>#N/A</v>
      </c>
      <c r="EU47" s="86" t="e">
        <f t="shared" si="983"/>
        <v>#N/A</v>
      </c>
      <c r="EV47" s="86" t="e">
        <f t="shared" si="983"/>
        <v>#N/A</v>
      </c>
      <c r="EW47" s="86" t="e">
        <f t="shared" si="983"/>
        <v>#N/A</v>
      </c>
      <c r="EX47" s="86" t="e">
        <f t="shared" si="983"/>
        <v>#N/A</v>
      </c>
      <c r="EY47" s="86" t="e">
        <f t="shared" si="983"/>
        <v>#N/A</v>
      </c>
      <c r="EZ47" s="86" t="e">
        <f t="shared" si="983"/>
        <v>#N/A</v>
      </c>
      <c r="FA47" s="87" t="e">
        <f>SUM(EO47:EZ47)</f>
        <v>#N/A</v>
      </c>
      <c r="FB47" s="86" t="e">
        <f t="shared" ref="FB47:FM47" si="984">FB43</f>
        <v>#N/A</v>
      </c>
      <c r="FC47" s="86" t="e">
        <f t="shared" si="984"/>
        <v>#N/A</v>
      </c>
      <c r="FD47" s="86" t="e">
        <f t="shared" si="984"/>
        <v>#N/A</v>
      </c>
      <c r="FE47" s="86" t="e">
        <f t="shared" si="984"/>
        <v>#N/A</v>
      </c>
      <c r="FF47" s="86" t="e">
        <f t="shared" si="984"/>
        <v>#N/A</v>
      </c>
      <c r="FG47" s="86" t="e">
        <f t="shared" si="984"/>
        <v>#N/A</v>
      </c>
      <c r="FH47" s="86" t="e">
        <f t="shared" si="984"/>
        <v>#N/A</v>
      </c>
      <c r="FI47" s="86" t="e">
        <f t="shared" si="984"/>
        <v>#N/A</v>
      </c>
      <c r="FJ47" s="86" t="e">
        <f t="shared" si="984"/>
        <v>#N/A</v>
      </c>
      <c r="FK47" s="86" t="e">
        <f t="shared" si="984"/>
        <v>#N/A</v>
      </c>
      <c r="FL47" s="86" t="e">
        <f t="shared" si="984"/>
        <v>#N/A</v>
      </c>
      <c r="FM47" s="86" t="e">
        <f t="shared" si="984"/>
        <v>#N/A</v>
      </c>
      <c r="FN47" s="87" t="e">
        <f>SUM(FB47:FM47)</f>
        <v>#N/A</v>
      </c>
      <c r="FO47" s="86" t="e">
        <f t="shared" ref="FO47:FZ47" si="985">FO43</f>
        <v>#N/A</v>
      </c>
      <c r="FP47" s="86" t="e">
        <f t="shared" si="985"/>
        <v>#N/A</v>
      </c>
      <c r="FQ47" s="86" t="e">
        <f t="shared" si="985"/>
        <v>#N/A</v>
      </c>
      <c r="FR47" s="86" t="e">
        <f t="shared" si="985"/>
        <v>#N/A</v>
      </c>
      <c r="FS47" s="86" t="e">
        <f t="shared" si="985"/>
        <v>#N/A</v>
      </c>
      <c r="FT47" s="86" t="e">
        <f t="shared" si="985"/>
        <v>#N/A</v>
      </c>
      <c r="FU47" s="86" t="e">
        <f t="shared" si="985"/>
        <v>#N/A</v>
      </c>
      <c r="FV47" s="86" t="e">
        <f t="shared" si="985"/>
        <v>#N/A</v>
      </c>
      <c r="FW47" s="86" t="e">
        <f t="shared" si="985"/>
        <v>#N/A</v>
      </c>
      <c r="FX47" s="86" t="e">
        <f t="shared" si="985"/>
        <v>#N/A</v>
      </c>
      <c r="FY47" s="86" t="e">
        <f t="shared" si="985"/>
        <v>#N/A</v>
      </c>
      <c r="FZ47" s="86" t="e">
        <f t="shared" si="985"/>
        <v>#N/A</v>
      </c>
      <c r="GA47" s="87" t="e">
        <f>SUM(FO47:FZ47)</f>
        <v>#N/A</v>
      </c>
      <c r="GB47" s="86" t="e">
        <f t="shared" ref="GB47:GM47" si="986">GB43</f>
        <v>#N/A</v>
      </c>
      <c r="GC47" s="86" t="e">
        <f t="shared" si="986"/>
        <v>#N/A</v>
      </c>
      <c r="GD47" s="86" t="e">
        <f t="shared" si="986"/>
        <v>#N/A</v>
      </c>
      <c r="GE47" s="86" t="e">
        <f t="shared" si="986"/>
        <v>#N/A</v>
      </c>
      <c r="GF47" s="86" t="e">
        <f t="shared" si="986"/>
        <v>#N/A</v>
      </c>
      <c r="GG47" s="86" t="e">
        <f t="shared" si="986"/>
        <v>#N/A</v>
      </c>
      <c r="GH47" s="86" t="e">
        <f t="shared" si="986"/>
        <v>#N/A</v>
      </c>
      <c r="GI47" s="86" t="e">
        <f t="shared" si="986"/>
        <v>#N/A</v>
      </c>
      <c r="GJ47" s="86" t="e">
        <f t="shared" si="986"/>
        <v>#N/A</v>
      </c>
      <c r="GK47" s="86" t="e">
        <f t="shared" si="986"/>
        <v>#N/A</v>
      </c>
      <c r="GL47" s="86" t="e">
        <f t="shared" si="986"/>
        <v>#N/A</v>
      </c>
      <c r="GM47" s="86" t="e">
        <f t="shared" si="986"/>
        <v>#N/A</v>
      </c>
      <c r="GN47" s="87" t="e">
        <f>SUM(GB47:GM47)</f>
        <v>#N/A</v>
      </c>
      <c r="GO47" s="86" t="e">
        <f t="shared" ref="GO47:GZ47" si="987">GO43</f>
        <v>#N/A</v>
      </c>
      <c r="GP47" s="86" t="e">
        <f t="shared" si="987"/>
        <v>#N/A</v>
      </c>
      <c r="GQ47" s="86" t="e">
        <f t="shared" si="987"/>
        <v>#N/A</v>
      </c>
      <c r="GR47" s="86" t="e">
        <f t="shared" si="987"/>
        <v>#N/A</v>
      </c>
      <c r="GS47" s="86" t="e">
        <f t="shared" si="987"/>
        <v>#N/A</v>
      </c>
      <c r="GT47" s="86" t="e">
        <f t="shared" si="987"/>
        <v>#N/A</v>
      </c>
      <c r="GU47" s="86" t="e">
        <f t="shared" si="987"/>
        <v>#N/A</v>
      </c>
      <c r="GV47" s="86" t="e">
        <f t="shared" si="987"/>
        <v>#N/A</v>
      </c>
      <c r="GW47" s="86" t="e">
        <f t="shared" si="987"/>
        <v>#N/A</v>
      </c>
      <c r="GX47" s="86" t="e">
        <f t="shared" si="987"/>
        <v>#N/A</v>
      </c>
      <c r="GY47" s="86" t="e">
        <f t="shared" si="987"/>
        <v>#N/A</v>
      </c>
      <c r="GZ47" s="86" t="e">
        <f t="shared" si="987"/>
        <v>#N/A</v>
      </c>
      <c r="HA47" s="87" t="e">
        <f>SUM(GO47:GZ47)</f>
        <v>#N/A</v>
      </c>
      <c r="HB47" s="86" t="e">
        <f t="shared" ref="HB47:HM47" si="988">HB43</f>
        <v>#N/A</v>
      </c>
      <c r="HC47" s="86" t="e">
        <f t="shared" si="988"/>
        <v>#N/A</v>
      </c>
      <c r="HD47" s="86" t="e">
        <f t="shared" si="988"/>
        <v>#N/A</v>
      </c>
      <c r="HE47" s="86" t="e">
        <f t="shared" si="988"/>
        <v>#N/A</v>
      </c>
      <c r="HF47" s="86" t="e">
        <f t="shared" si="988"/>
        <v>#N/A</v>
      </c>
      <c r="HG47" s="86" t="e">
        <f t="shared" si="988"/>
        <v>#N/A</v>
      </c>
      <c r="HH47" s="86" t="e">
        <f t="shared" si="988"/>
        <v>#N/A</v>
      </c>
      <c r="HI47" s="86" t="e">
        <f t="shared" si="988"/>
        <v>#N/A</v>
      </c>
      <c r="HJ47" s="86" t="e">
        <f t="shared" si="988"/>
        <v>#N/A</v>
      </c>
      <c r="HK47" s="86" t="e">
        <f t="shared" si="988"/>
        <v>#N/A</v>
      </c>
      <c r="HL47" s="86" t="e">
        <f t="shared" si="988"/>
        <v>#N/A</v>
      </c>
      <c r="HM47" s="86" t="e">
        <f t="shared" si="988"/>
        <v>#N/A</v>
      </c>
      <c r="HN47" s="87" t="e">
        <f>SUM(HB47:HM47)</f>
        <v>#N/A</v>
      </c>
      <c r="HO47" s="86" t="e">
        <f t="shared" ref="HO47:HZ47" si="989">HO43</f>
        <v>#N/A</v>
      </c>
      <c r="HP47" s="86" t="e">
        <f t="shared" si="989"/>
        <v>#N/A</v>
      </c>
      <c r="HQ47" s="86" t="e">
        <f t="shared" si="989"/>
        <v>#N/A</v>
      </c>
      <c r="HR47" s="86" t="e">
        <f t="shared" si="989"/>
        <v>#N/A</v>
      </c>
      <c r="HS47" s="86" t="e">
        <f t="shared" si="989"/>
        <v>#N/A</v>
      </c>
      <c r="HT47" s="86" t="e">
        <f t="shared" si="989"/>
        <v>#N/A</v>
      </c>
      <c r="HU47" s="86" t="e">
        <f t="shared" si="989"/>
        <v>#N/A</v>
      </c>
      <c r="HV47" s="86" t="e">
        <f t="shared" si="989"/>
        <v>#N/A</v>
      </c>
      <c r="HW47" s="86" t="e">
        <f t="shared" si="989"/>
        <v>#N/A</v>
      </c>
      <c r="HX47" s="86" t="e">
        <f t="shared" si="989"/>
        <v>#N/A</v>
      </c>
      <c r="HY47" s="86" t="e">
        <f t="shared" si="989"/>
        <v>#N/A</v>
      </c>
      <c r="HZ47" s="86" t="e">
        <f t="shared" si="989"/>
        <v>#N/A</v>
      </c>
      <c r="IA47" s="87" t="e">
        <f>SUM(HO47:HZ47)</f>
        <v>#N/A</v>
      </c>
      <c r="IB47" s="86" t="e">
        <f t="shared" ref="IB47:IM47" si="990">IB43</f>
        <v>#N/A</v>
      </c>
      <c r="IC47" s="86" t="e">
        <f t="shared" si="990"/>
        <v>#N/A</v>
      </c>
      <c r="ID47" s="86" t="e">
        <f t="shared" si="990"/>
        <v>#N/A</v>
      </c>
      <c r="IE47" s="86" t="e">
        <f t="shared" si="990"/>
        <v>#N/A</v>
      </c>
      <c r="IF47" s="86" t="e">
        <f t="shared" si="990"/>
        <v>#N/A</v>
      </c>
      <c r="IG47" s="86" t="e">
        <f t="shared" si="990"/>
        <v>#N/A</v>
      </c>
      <c r="IH47" s="86" t="e">
        <f t="shared" si="990"/>
        <v>#N/A</v>
      </c>
      <c r="II47" s="86" t="e">
        <f t="shared" si="990"/>
        <v>#N/A</v>
      </c>
      <c r="IJ47" s="86" t="e">
        <f t="shared" si="990"/>
        <v>#N/A</v>
      </c>
      <c r="IK47" s="86" t="e">
        <f t="shared" si="990"/>
        <v>#N/A</v>
      </c>
      <c r="IL47" s="86" t="e">
        <f t="shared" si="990"/>
        <v>#N/A</v>
      </c>
      <c r="IM47" s="86" t="e">
        <f t="shared" si="990"/>
        <v>#N/A</v>
      </c>
      <c r="IN47" s="87" t="e">
        <f>SUM(IB47:IM47)</f>
        <v>#N/A</v>
      </c>
      <c r="IO47" s="86" t="e">
        <f t="shared" ref="IO47:IZ47" si="991">IO43</f>
        <v>#N/A</v>
      </c>
      <c r="IP47" s="86" t="e">
        <f t="shared" si="991"/>
        <v>#N/A</v>
      </c>
      <c r="IQ47" s="86" t="e">
        <f t="shared" si="991"/>
        <v>#N/A</v>
      </c>
      <c r="IR47" s="86" t="e">
        <f t="shared" si="991"/>
        <v>#N/A</v>
      </c>
      <c r="IS47" s="86" t="e">
        <f t="shared" si="991"/>
        <v>#N/A</v>
      </c>
      <c r="IT47" s="86" t="e">
        <f t="shared" si="991"/>
        <v>#N/A</v>
      </c>
      <c r="IU47" s="86" t="e">
        <f t="shared" si="991"/>
        <v>#N/A</v>
      </c>
      <c r="IV47" s="86" t="e">
        <f t="shared" si="991"/>
        <v>#N/A</v>
      </c>
      <c r="IW47" s="86" t="e">
        <f t="shared" si="991"/>
        <v>#N/A</v>
      </c>
      <c r="IX47" s="86" t="e">
        <f t="shared" si="991"/>
        <v>#N/A</v>
      </c>
      <c r="IY47" s="86" t="e">
        <f t="shared" si="991"/>
        <v>#N/A</v>
      </c>
      <c r="IZ47" s="86" t="e">
        <f t="shared" si="991"/>
        <v>#N/A</v>
      </c>
      <c r="JA47" s="87" t="e">
        <f>SUM(IO47:IZ47)</f>
        <v>#N/A</v>
      </c>
      <c r="JB47" s="86" t="e">
        <f t="shared" ref="JB47:JM47" si="992">JB43</f>
        <v>#N/A</v>
      </c>
      <c r="JC47" s="86" t="e">
        <f t="shared" si="992"/>
        <v>#N/A</v>
      </c>
      <c r="JD47" s="86" t="e">
        <f t="shared" si="992"/>
        <v>#N/A</v>
      </c>
      <c r="JE47" s="86" t="e">
        <f t="shared" si="992"/>
        <v>#N/A</v>
      </c>
      <c r="JF47" s="86" t="e">
        <f t="shared" si="992"/>
        <v>#N/A</v>
      </c>
      <c r="JG47" s="86" t="e">
        <f t="shared" si="992"/>
        <v>#N/A</v>
      </c>
      <c r="JH47" s="86" t="e">
        <f t="shared" si="992"/>
        <v>#N/A</v>
      </c>
      <c r="JI47" s="86" t="e">
        <f t="shared" si="992"/>
        <v>#N/A</v>
      </c>
      <c r="JJ47" s="86" t="e">
        <f t="shared" si="992"/>
        <v>#N/A</v>
      </c>
      <c r="JK47" s="86" t="e">
        <f t="shared" si="992"/>
        <v>#N/A</v>
      </c>
      <c r="JL47" s="86" t="e">
        <f t="shared" si="992"/>
        <v>#N/A</v>
      </c>
      <c r="JM47" s="86" t="e">
        <f t="shared" si="992"/>
        <v>#N/A</v>
      </c>
      <c r="JN47" s="87" t="e">
        <f>SUM(JB47:JM47)</f>
        <v>#N/A</v>
      </c>
      <c r="JO47" s="86" t="e">
        <f t="shared" ref="JO47:JZ47" si="993">JO43</f>
        <v>#N/A</v>
      </c>
      <c r="JP47" s="86" t="e">
        <f t="shared" si="993"/>
        <v>#N/A</v>
      </c>
      <c r="JQ47" s="86" t="e">
        <f t="shared" si="993"/>
        <v>#N/A</v>
      </c>
      <c r="JR47" s="86" t="e">
        <f t="shared" si="993"/>
        <v>#N/A</v>
      </c>
      <c r="JS47" s="86" t="e">
        <f t="shared" si="993"/>
        <v>#N/A</v>
      </c>
      <c r="JT47" s="86" t="e">
        <f t="shared" si="993"/>
        <v>#N/A</v>
      </c>
      <c r="JU47" s="86" t="e">
        <f t="shared" si="993"/>
        <v>#N/A</v>
      </c>
      <c r="JV47" s="86" t="e">
        <f t="shared" si="993"/>
        <v>#N/A</v>
      </c>
      <c r="JW47" s="86" t="e">
        <f t="shared" si="993"/>
        <v>#N/A</v>
      </c>
      <c r="JX47" s="86" t="e">
        <f t="shared" si="993"/>
        <v>#N/A</v>
      </c>
      <c r="JY47" s="86" t="e">
        <f t="shared" si="993"/>
        <v>#N/A</v>
      </c>
      <c r="JZ47" s="86" t="e">
        <f t="shared" si="993"/>
        <v>#N/A</v>
      </c>
      <c r="KA47" s="87" t="e">
        <f>SUM(JO47:JZ47)</f>
        <v>#N/A</v>
      </c>
      <c r="KB47" s="86" t="e">
        <f t="shared" ref="KB47:KM47" si="994">KB43</f>
        <v>#N/A</v>
      </c>
      <c r="KC47" s="86" t="e">
        <f t="shared" si="994"/>
        <v>#N/A</v>
      </c>
      <c r="KD47" s="86" t="e">
        <f t="shared" si="994"/>
        <v>#N/A</v>
      </c>
      <c r="KE47" s="86" t="e">
        <f t="shared" si="994"/>
        <v>#N/A</v>
      </c>
      <c r="KF47" s="86" t="e">
        <f t="shared" si="994"/>
        <v>#N/A</v>
      </c>
      <c r="KG47" s="86" t="e">
        <f t="shared" si="994"/>
        <v>#N/A</v>
      </c>
      <c r="KH47" s="86" t="e">
        <f t="shared" si="994"/>
        <v>#N/A</v>
      </c>
      <c r="KI47" s="86" t="e">
        <f t="shared" si="994"/>
        <v>#N/A</v>
      </c>
      <c r="KJ47" s="86" t="e">
        <f t="shared" si="994"/>
        <v>#N/A</v>
      </c>
      <c r="KK47" s="86" t="e">
        <f t="shared" si="994"/>
        <v>#N/A</v>
      </c>
      <c r="KL47" s="86" t="e">
        <f t="shared" si="994"/>
        <v>#N/A</v>
      </c>
      <c r="KM47" s="86" t="e">
        <f t="shared" si="994"/>
        <v>#N/A</v>
      </c>
      <c r="KN47" s="87" t="e">
        <f>SUM(KB47:KM47)</f>
        <v>#N/A</v>
      </c>
      <c r="KO47" s="86" t="e">
        <f t="shared" ref="KO47:KZ47" si="995">KO43</f>
        <v>#N/A</v>
      </c>
      <c r="KP47" s="86" t="e">
        <f t="shared" si="995"/>
        <v>#N/A</v>
      </c>
      <c r="KQ47" s="86" t="e">
        <f t="shared" si="995"/>
        <v>#N/A</v>
      </c>
      <c r="KR47" s="86" t="e">
        <f t="shared" si="995"/>
        <v>#N/A</v>
      </c>
      <c r="KS47" s="86" t="e">
        <f t="shared" si="995"/>
        <v>#N/A</v>
      </c>
      <c r="KT47" s="86" t="e">
        <f t="shared" si="995"/>
        <v>#N/A</v>
      </c>
      <c r="KU47" s="86" t="e">
        <f t="shared" si="995"/>
        <v>#N/A</v>
      </c>
      <c r="KV47" s="86" t="e">
        <f t="shared" si="995"/>
        <v>#N/A</v>
      </c>
      <c r="KW47" s="86" t="e">
        <f t="shared" si="995"/>
        <v>#N/A</v>
      </c>
      <c r="KX47" s="86" t="e">
        <f t="shared" si="995"/>
        <v>#N/A</v>
      </c>
      <c r="KY47" s="86" t="e">
        <f t="shared" si="995"/>
        <v>#N/A</v>
      </c>
      <c r="KZ47" s="86" t="e">
        <f t="shared" si="995"/>
        <v>#N/A</v>
      </c>
      <c r="LA47" s="87" t="e">
        <f>SUM(KO47:KZ47)</f>
        <v>#N/A</v>
      </c>
      <c r="LB47" s="86" t="e">
        <f t="shared" ref="LB47:LM47" si="996">LB43</f>
        <v>#N/A</v>
      </c>
      <c r="LC47" s="86" t="e">
        <f t="shared" si="996"/>
        <v>#N/A</v>
      </c>
      <c r="LD47" s="86" t="e">
        <f t="shared" si="996"/>
        <v>#N/A</v>
      </c>
      <c r="LE47" s="86" t="e">
        <f t="shared" si="996"/>
        <v>#N/A</v>
      </c>
      <c r="LF47" s="86" t="e">
        <f t="shared" si="996"/>
        <v>#N/A</v>
      </c>
      <c r="LG47" s="86" t="e">
        <f t="shared" si="996"/>
        <v>#N/A</v>
      </c>
      <c r="LH47" s="86" t="e">
        <f t="shared" si="996"/>
        <v>#N/A</v>
      </c>
      <c r="LI47" s="86" t="e">
        <f t="shared" si="996"/>
        <v>#N/A</v>
      </c>
      <c r="LJ47" s="86" t="e">
        <f t="shared" si="996"/>
        <v>#N/A</v>
      </c>
      <c r="LK47" s="86" t="e">
        <f t="shared" si="996"/>
        <v>#N/A</v>
      </c>
      <c r="LL47" s="86" t="e">
        <f t="shared" si="996"/>
        <v>#N/A</v>
      </c>
      <c r="LM47" s="86" t="e">
        <f t="shared" si="996"/>
        <v>#N/A</v>
      </c>
      <c r="LN47" s="87" t="e">
        <f>SUM(LB47:LM47)</f>
        <v>#N/A</v>
      </c>
      <c r="LO47" s="86" t="e">
        <f t="shared" ref="LO47:LZ47" si="997">LO43</f>
        <v>#N/A</v>
      </c>
      <c r="LP47" s="86" t="e">
        <f t="shared" si="997"/>
        <v>#N/A</v>
      </c>
      <c r="LQ47" s="86" t="e">
        <f t="shared" si="997"/>
        <v>#N/A</v>
      </c>
      <c r="LR47" s="86" t="e">
        <f t="shared" si="997"/>
        <v>#N/A</v>
      </c>
      <c r="LS47" s="86" t="e">
        <f t="shared" si="997"/>
        <v>#N/A</v>
      </c>
      <c r="LT47" s="86" t="e">
        <f t="shared" si="997"/>
        <v>#N/A</v>
      </c>
      <c r="LU47" s="86" t="e">
        <f t="shared" si="997"/>
        <v>#N/A</v>
      </c>
      <c r="LV47" s="86" t="e">
        <f t="shared" si="997"/>
        <v>#N/A</v>
      </c>
      <c r="LW47" s="86" t="e">
        <f t="shared" si="997"/>
        <v>#N/A</v>
      </c>
      <c r="LX47" s="86" t="e">
        <f t="shared" si="997"/>
        <v>#N/A</v>
      </c>
      <c r="LY47" s="86" t="e">
        <f t="shared" si="997"/>
        <v>#N/A</v>
      </c>
      <c r="LZ47" s="86" t="e">
        <f t="shared" si="997"/>
        <v>#N/A</v>
      </c>
      <c r="MA47" s="87" t="e">
        <f>SUM(LO47:LZ47)</f>
        <v>#N/A</v>
      </c>
      <c r="MB47" s="86" t="e">
        <f t="shared" ref="MB47:MM47" si="998">MB43</f>
        <v>#N/A</v>
      </c>
      <c r="MC47" s="86" t="e">
        <f t="shared" si="998"/>
        <v>#N/A</v>
      </c>
      <c r="MD47" s="86" t="e">
        <f t="shared" si="998"/>
        <v>#N/A</v>
      </c>
      <c r="ME47" s="86" t="e">
        <f t="shared" si="998"/>
        <v>#N/A</v>
      </c>
      <c r="MF47" s="86" t="e">
        <f t="shared" si="998"/>
        <v>#N/A</v>
      </c>
      <c r="MG47" s="86" t="e">
        <f t="shared" si="998"/>
        <v>#N/A</v>
      </c>
      <c r="MH47" s="86" t="e">
        <f t="shared" si="998"/>
        <v>#N/A</v>
      </c>
      <c r="MI47" s="86" t="e">
        <f t="shared" si="998"/>
        <v>#N/A</v>
      </c>
      <c r="MJ47" s="86" t="e">
        <f t="shared" si="998"/>
        <v>#N/A</v>
      </c>
      <c r="MK47" s="86" t="e">
        <f t="shared" si="998"/>
        <v>#N/A</v>
      </c>
      <c r="ML47" s="86" t="e">
        <f t="shared" si="998"/>
        <v>#N/A</v>
      </c>
      <c r="MM47" s="86" t="e">
        <f t="shared" si="998"/>
        <v>#N/A</v>
      </c>
      <c r="MN47" s="87" t="e">
        <f>SUM(MB47:MM47)</f>
        <v>#N/A</v>
      </c>
      <c r="MO47" s="86" t="e">
        <f t="shared" ref="MO47:MZ47" si="999">MO43</f>
        <v>#N/A</v>
      </c>
      <c r="MP47" s="86" t="e">
        <f t="shared" si="999"/>
        <v>#N/A</v>
      </c>
      <c r="MQ47" s="86" t="e">
        <f t="shared" si="999"/>
        <v>#N/A</v>
      </c>
      <c r="MR47" s="86" t="e">
        <f t="shared" si="999"/>
        <v>#N/A</v>
      </c>
      <c r="MS47" s="86" t="e">
        <f t="shared" si="999"/>
        <v>#N/A</v>
      </c>
      <c r="MT47" s="86" t="e">
        <f t="shared" si="999"/>
        <v>#N/A</v>
      </c>
      <c r="MU47" s="86" t="e">
        <f t="shared" si="999"/>
        <v>#N/A</v>
      </c>
      <c r="MV47" s="86" t="e">
        <f t="shared" si="999"/>
        <v>#N/A</v>
      </c>
      <c r="MW47" s="86" t="e">
        <f t="shared" si="999"/>
        <v>#N/A</v>
      </c>
      <c r="MX47" s="86" t="e">
        <f t="shared" si="999"/>
        <v>#N/A</v>
      </c>
      <c r="MY47" s="86" t="e">
        <f t="shared" si="999"/>
        <v>#N/A</v>
      </c>
      <c r="MZ47" s="86" t="e">
        <f t="shared" si="999"/>
        <v>#N/A</v>
      </c>
      <c r="NA47" s="87" t="e">
        <f>SUM(MO47:MZ47)</f>
        <v>#N/A</v>
      </c>
      <c r="NB47" s="86" t="e">
        <f t="shared" ref="NB47:NM47" si="1000">NB43</f>
        <v>#N/A</v>
      </c>
      <c r="NC47" s="86" t="e">
        <f t="shared" si="1000"/>
        <v>#N/A</v>
      </c>
      <c r="ND47" s="86" t="e">
        <f t="shared" si="1000"/>
        <v>#N/A</v>
      </c>
      <c r="NE47" s="86" t="e">
        <f t="shared" si="1000"/>
        <v>#N/A</v>
      </c>
      <c r="NF47" s="86" t="e">
        <f t="shared" si="1000"/>
        <v>#N/A</v>
      </c>
      <c r="NG47" s="86" t="e">
        <f t="shared" si="1000"/>
        <v>#N/A</v>
      </c>
      <c r="NH47" s="86" t="e">
        <f t="shared" si="1000"/>
        <v>#N/A</v>
      </c>
      <c r="NI47" s="86" t="e">
        <f t="shared" si="1000"/>
        <v>#N/A</v>
      </c>
      <c r="NJ47" s="86" t="e">
        <f t="shared" si="1000"/>
        <v>#N/A</v>
      </c>
      <c r="NK47" s="86" t="e">
        <f t="shared" si="1000"/>
        <v>#N/A</v>
      </c>
      <c r="NL47" s="86" t="e">
        <f t="shared" si="1000"/>
        <v>#N/A</v>
      </c>
      <c r="NM47" s="86" t="e">
        <f t="shared" si="1000"/>
        <v>#N/A</v>
      </c>
      <c r="NN47" s="87" t="e">
        <f>SUM(NB47:NM47)</f>
        <v>#N/A</v>
      </c>
      <c r="NO47" s="86" t="e">
        <f t="shared" ref="NO47:NZ47" si="1001">NO43</f>
        <v>#N/A</v>
      </c>
      <c r="NP47" s="86" t="e">
        <f t="shared" si="1001"/>
        <v>#N/A</v>
      </c>
      <c r="NQ47" s="86" t="e">
        <f t="shared" si="1001"/>
        <v>#N/A</v>
      </c>
      <c r="NR47" s="86" t="e">
        <f t="shared" si="1001"/>
        <v>#N/A</v>
      </c>
      <c r="NS47" s="86" t="e">
        <f t="shared" si="1001"/>
        <v>#N/A</v>
      </c>
      <c r="NT47" s="86" t="e">
        <f t="shared" si="1001"/>
        <v>#N/A</v>
      </c>
      <c r="NU47" s="86" t="e">
        <f t="shared" si="1001"/>
        <v>#N/A</v>
      </c>
      <c r="NV47" s="86" t="e">
        <f t="shared" si="1001"/>
        <v>#N/A</v>
      </c>
      <c r="NW47" s="86" t="e">
        <f t="shared" si="1001"/>
        <v>#N/A</v>
      </c>
      <c r="NX47" s="86" t="e">
        <f t="shared" si="1001"/>
        <v>#N/A</v>
      </c>
      <c r="NY47" s="86" t="e">
        <f t="shared" si="1001"/>
        <v>#N/A</v>
      </c>
      <c r="NZ47" s="86" t="e">
        <f t="shared" si="1001"/>
        <v>#N/A</v>
      </c>
      <c r="OA47" s="87" t="e">
        <f>SUM(NO47:NZ47)</f>
        <v>#N/A</v>
      </c>
      <c r="OB47" s="86" t="e">
        <f t="shared" ref="OB47:OM47" si="1002">OB43</f>
        <v>#N/A</v>
      </c>
      <c r="OC47" s="86" t="e">
        <f t="shared" si="1002"/>
        <v>#N/A</v>
      </c>
      <c r="OD47" s="86" t="e">
        <f t="shared" si="1002"/>
        <v>#N/A</v>
      </c>
      <c r="OE47" s="86" t="e">
        <f t="shared" si="1002"/>
        <v>#N/A</v>
      </c>
      <c r="OF47" s="86" t="e">
        <f t="shared" si="1002"/>
        <v>#N/A</v>
      </c>
      <c r="OG47" s="86" t="e">
        <f t="shared" si="1002"/>
        <v>#N/A</v>
      </c>
      <c r="OH47" s="86" t="e">
        <f t="shared" si="1002"/>
        <v>#N/A</v>
      </c>
      <c r="OI47" s="86" t="e">
        <f t="shared" si="1002"/>
        <v>#N/A</v>
      </c>
      <c r="OJ47" s="86" t="e">
        <f t="shared" si="1002"/>
        <v>#N/A</v>
      </c>
      <c r="OK47" s="86" t="e">
        <f t="shared" si="1002"/>
        <v>#N/A</v>
      </c>
      <c r="OL47" s="86" t="e">
        <f t="shared" si="1002"/>
        <v>#N/A</v>
      </c>
      <c r="OM47" s="86" t="e">
        <f t="shared" si="1002"/>
        <v>#N/A</v>
      </c>
      <c r="ON47" s="87" t="e">
        <f>SUM(OB47:OM47)</f>
        <v>#N/A</v>
      </c>
      <c r="OO47" s="86" t="e">
        <f t="shared" ref="OO47:OZ47" si="1003">OO43</f>
        <v>#N/A</v>
      </c>
      <c r="OP47" s="86" t="e">
        <f t="shared" si="1003"/>
        <v>#N/A</v>
      </c>
      <c r="OQ47" s="86" t="e">
        <f t="shared" si="1003"/>
        <v>#N/A</v>
      </c>
      <c r="OR47" s="86" t="e">
        <f t="shared" si="1003"/>
        <v>#N/A</v>
      </c>
      <c r="OS47" s="86" t="e">
        <f t="shared" si="1003"/>
        <v>#N/A</v>
      </c>
      <c r="OT47" s="86" t="e">
        <f t="shared" si="1003"/>
        <v>#N/A</v>
      </c>
      <c r="OU47" s="86" t="e">
        <f t="shared" si="1003"/>
        <v>#N/A</v>
      </c>
      <c r="OV47" s="86" t="e">
        <f t="shared" si="1003"/>
        <v>#N/A</v>
      </c>
      <c r="OW47" s="86" t="e">
        <f t="shared" si="1003"/>
        <v>#N/A</v>
      </c>
      <c r="OX47" s="86" t="e">
        <f t="shared" si="1003"/>
        <v>#N/A</v>
      </c>
      <c r="OY47" s="86" t="e">
        <f t="shared" si="1003"/>
        <v>#N/A</v>
      </c>
      <c r="OZ47" s="86" t="e">
        <f t="shared" si="1003"/>
        <v>#N/A</v>
      </c>
      <c r="PA47" s="87" t="e">
        <f>SUM(OO47:OZ47)</f>
        <v>#N/A</v>
      </c>
      <c r="PB47" s="86" t="e">
        <f t="shared" ref="PB47:PM47" si="1004">PB43</f>
        <v>#N/A</v>
      </c>
      <c r="PC47" s="86" t="e">
        <f t="shared" si="1004"/>
        <v>#N/A</v>
      </c>
      <c r="PD47" s="86" t="e">
        <f t="shared" si="1004"/>
        <v>#N/A</v>
      </c>
      <c r="PE47" s="86" t="e">
        <f t="shared" si="1004"/>
        <v>#N/A</v>
      </c>
      <c r="PF47" s="86" t="e">
        <f t="shared" si="1004"/>
        <v>#N/A</v>
      </c>
      <c r="PG47" s="86" t="e">
        <f t="shared" si="1004"/>
        <v>#N/A</v>
      </c>
      <c r="PH47" s="86" t="e">
        <f t="shared" si="1004"/>
        <v>#N/A</v>
      </c>
      <c r="PI47" s="86" t="e">
        <f t="shared" si="1004"/>
        <v>#N/A</v>
      </c>
      <c r="PJ47" s="86" t="e">
        <f t="shared" si="1004"/>
        <v>#N/A</v>
      </c>
      <c r="PK47" s="86" t="e">
        <f t="shared" si="1004"/>
        <v>#N/A</v>
      </c>
      <c r="PL47" s="86" t="e">
        <f t="shared" si="1004"/>
        <v>#N/A</v>
      </c>
      <c r="PM47" s="86" t="e">
        <f t="shared" si="1004"/>
        <v>#N/A</v>
      </c>
      <c r="PN47" s="87" t="e">
        <f>SUM(PB47:PM47)</f>
        <v>#N/A</v>
      </c>
      <c r="PO47" s="86" t="e">
        <f t="shared" ref="PO47:PZ47" si="1005">PO43</f>
        <v>#N/A</v>
      </c>
      <c r="PP47" s="86" t="e">
        <f t="shared" si="1005"/>
        <v>#N/A</v>
      </c>
      <c r="PQ47" s="86" t="e">
        <f t="shared" si="1005"/>
        <v>#N/A</v>
      </c>
      <c r="PR47" s="86" t="e">
        <f t="shared" si="1005"/>
        <v>#N/A</v>
      </c>
      <c r="PS47" s="86" t="e">
        <f t="shared" si="1005"/>
        <v>#N/A</v>
      </c>
      <c r="PT47" s="86" t="e">
        <f t="shared" si="1005"/>
        <v>#N/A</v>
      </c>
      <c r="PU47" s="86" t="e">
        <f t="shared" si="1005"/>
        <v>#N/A</v>
      </c>
      <c r="PV47" s="86" t="e">
        <f t="shared" si="1005"/>
        <v>#N/A</v>
      </c>
      <c r="PW47" s="86" t="e">
        <f t="shared" si="1005"/>
        <v>#N/A</v>
      </c>
      <c r="PX47" s="86" t="e">
        <f t="shared" si="1005"/>
        <v>#N/A</v>
      </c>
      <c r="PY47" s="86" t="e">
        <f t="shared" si="1005"/>
        <v>#N/A</v>
      </c>
      <c r="PZ47" s="86" t="e">
        <f t="shared" si="1005"/>
        <v>#N/A</v>
      </c>
      <c r="QA47" s="87" t="e">
        <f>SUM(PO47:PZ47)</f>
        <v>#N/A</v>
      </c>
      <c r="QB47" s="86" t="e">
        <f t="shared" ref="QB47:QM47" si="1006">QB43</f>
        <v>#N/A</v>
      </c>
      <c r="QC47" s="86" t="e">
        <f t="shared" si="1006"/>
        <v>#N/A</v>
      </c>
      <c r="QD47" s="86" t="e">
        <f t="shared" si="1006"/>
        <v>#N/A</v>
      </c>
      <c r="QE47" s="86" t="e">
        <f t="shared" si="1006"/>
        <v>#N/A</v>
      </c>
      <c r="QF47" s="86" t="e">
        <f t="shared" si="1006"/>
        <v>#N/A</v>
      </c>
      <c r="QG47" s="86" t="e">
        <f t="shared" si="1006"/>
        <v>#N/A</v>
      </c>
      <c r="QH47" s="86" t="e">
        <f t="shared" si="1006"/>
        <v>#N/A</v>
      </c>
      <c r="QI47" s="86" t="e">
        <f t="shared" si="1006"/>
        <v>#N/A</v>
      </c>
      <c r="QJ47" s="86" t="e">
        <f t="shared" si="1006"/>
        <v>#N/A</v>
      </c>
      <c r="QK47" s="86" t="e">
        <f t="shared" si="1006"/>
        <v>#N/A</v>
      </c>
      <c r="QL47" s="86" t="e">
        <f t="shared" si="1006"/>
        <v>#N/A</v>
      </c>
      <c r="QM47" s="86" t="e">
        <f t="shared" si="1006"/>
        <v>#N/A</v>
      </c>
      <c r="QN47" s="87" t="e">
        <f>SUM(QB47:QM47)</f>
        <v>#N/A</v>
      </c>
      <c r="QO47" s="86" t="e">
        <f t="shared" ref="QO47:QZ47" si="1007">QO43</f>
        <v>#N/A</v>
      </c>
      <c r="QP47" s="86" t="e">
        <f t="shared" si="1007"/>
        <v>#N/A</v>
      </c>
      <c r="QQ47" s="86" t="e">
        <f t="shared" si="1007"/>
        <v>#N/A</v>
      </c>
      <c r="QR47" s="86" t="e">
        <f t="shared" si="1007"/>
        <v>#N/A</v>
      </c>
      <c r="QS47" s="86" t="e">
        <f t="shared" si="1007"/>
        <v>#N/A</v>
      </c>
      <c r="QT47" s="86" t="e">
        <f t="shared" si="1007"/>
        <v>#N/A</v>
      </c>
      <c r="QU47" s="86" t="e">
        <f t="shared" si="1007"/>
        <v>#N/A</v>
      </c>
      <c r="QV47" s="86" t="e">
        <f t="shared" si="1007"/>
        <v>#N/A</v>
      </c>
      <c r="QW47" s="86" t="e">
        <f t="shared" si="1007"/>
        <v>#N/A</v>
      </c>
      <c r="QX47" s="86" t="e">
        <f t="shared" si="1007"/>
        <v>#N/A</v>
      </c>
      <c r="QY47" s="86" t="e">
        <f t="shared" si="1007"/>
        <v>#N/A</v>
      </c>
      <c r="QZ47" s="86" t="e">
        <f t="shared" si="1007"/>
        <v>#N/A</v>
      </c>
      <c r="RA47" s="87" t="e">
        <f>SUM(QO47:QZ47)</f>
        <v>#N/A</v>
      </c>
      <c r="RB47" s="86" t="e">
        <f t="shared" ref="RB47:RM47" si="1008">RB43</f>
        <v>#N/A</v>
      </c>
      <c r="RC47" s="86" t="e">
        <f t="shared" si="1008"/>
        <v>#N/A</v>
      </c>
      <c r="RD47" s="86" t="e">
        <f t="shared" si="1008"/>
        <v>#N/A</v>
      </c>
      <c r="RE47" s="86" t="e">
        <f t="shared" si="1008"/>
        <v>#N/A</v>
      </c>
      <c r="RF47" s="86" t="e">
        <f t="shared" si="1008"/>
        <v>#N/A</v>
      </c>
      <c r="RG47" s="86" t="e">
        <f t="shared" si="1008"/>
        <v>#N/A</v>
      </c>
      <c r="RH47" s="86" t="e">
        <f t="shared" si="1008"/>
        <v>#N/A</v>
      </c>
      <c r="RI47" s="86" t="e">
        <f t="shared" si="1008"/>
        <v>#N/A</v>
      </c>
      <c r="RJ47" s="86" t="e">
        <f t="shared" si="1008"/>
        <v>#N/A</v>
      </c>
      <c r="RK47" s="86" t="e">
        <f t="shared" si="1008"/>
        <v>#N/A</v>
      </c>
      <c r="RL47" s="86" t="e">
        <f t="shared" si="1008"/>
        <v>#N/A</v>
      </c>
      <c r="RM47" s="86" t="e">
        <f t="shared" si="1008"/>
        <v>#N/A</v>
      </c>
      <c r="RN47" s="87" t="e">
        <f>SUM(RB47:RM47)</f>
        <v>#N/A</v>
      </c>
    </row>
    <row r="48" spans="1:482" hidden="1" outlineLevel="1" x14ac:dyDescent="0.3">
      <c r="A48" s="89" t="s">
        <v>262</v>
      </c>
      <c r="B48" s="86" t="e">
        <f>-VLOOKUP(B$1,Amort!$B:$K,4,0)</f>
        <v>#N/A</v>
      </c>
      <c r="C48" s="86" t="e">
        <f>-VLOOKUP(C$1,Amort!$B:$K,4,0)</f>
        <v>#N/A</v>
      </c>
      <c r="D48" s="86" t="e">
        <f>-VLOOKUP(D$1,Amort!$B:$K,4,0)</f>
        <v>#N/A</v>
      </c>
      <c r="E48" s="86" t="e">
        <f>-VLOOKUP(E$1,Amort!$B:$K,4,0)</f>
        <v>#N/A</v>
      </c>
      <c r="F48" s="86" t="e">
        <f>-VLOOKUP(F$1,Amort!$B:$K,4,0)</f>
        <v>#N/A</v>
      </c>
      <c r="G48" s="86" t="e">
        <f>-VLOOKUP(G$1,Amort!$B:$K,4,0)</f>
        <v>#N/A</v>
      </c>
      <c r="H48" s="86" t="e">
        <f>-VLOOKUP(H$1,Amort!$B:$K,4,0)</f>
        <v>#N/A</v>
      </c>
      <c r="I48" s="86" t="e">
        <f>-VLOOKUP(I$1,Amort!$B:$K,4,0)</f>
        <v>#N/A</v>
      </c>
      <c r="J48" s="86" t="e">
        <f>-VLOOKUP(J$1,Amort!$B:$K,4,0)</f>
        <v>#N/A</v>
      </c>
      <c r="K48" s="86" t="e">
        <f>-VLOOKUP(K$1,Amort!$B:$K,4,0)</f>
        <v>#N/A</v>
      </c>
      <c r="L48" s="86" t="e">
        <f>-VLOOKUP(L$1,Amort!$B:$K,4,0)</f>
        <v>#N/A</v>
      </c>
      <c r="M48" s="86" t="e">
        <f>-VLOOKUP(M$1,Amort!$B:$K,4,0)</f>
        <v>#N/A</v>
      </c>
      <c r="N48" s="87" t="e">
        <f t="shared" ref="N48:N52" si="1009">SUM(B48:M48)</f>
        <v>#N/A</v>
      </c>
      <c r="O48" s="86" t="e">
        <f>-VLOOKUP(O$1,Amort!$B:$K,4,0)</f>
        <v>#N/A</v>
      </c>
      <c r="P48" s="86" t="e">
        <f>-VLOOKUP(P$1,Amort!$B:$K,4,0)</f>
        <v>#N/A</v>
      </c>
      <c r="Q48" s="86" t="e">
        <f>-VLOOKUP(Q$1,Amort!$B:$K,4,0)</f>
        <v>#N/A</v>
      </c>
      <c r="R48" s="86" t="e">
        <f>-VLOOKUP(R$1,Amort!$B:$K,4,0)</f>
        <v>#N/A</v>
      </c>
      <c r="S48" s="86" t="e">
        <f>-VLOOKUP(S$1,Amort!$B:$K,4,0)</f>
        <v>#N/A</v>
      </c>
      <c r="T48" s="86" t="e">
        <f>-VLOOKUP(T$1,Amort!$B:$K,4,0)</f>
        <v>#N/A</v>
      </c>
      <c r="U48" s="86" t="e">
        <f>-VLOOKUP(U$1,Amort!$B:$K,4,0)</f>
        <v>#N/A</v>
      </c>
      <c r="V48" s="86" t="e">
        <f>-VLOOKUP(V$1,Amort!$B:$K,4,0)</f>
        <v>#N/A</v>
      </c>
      <c r="W48" s="86" t="e">
        <f>-VLOOKUP(W$1,Amort!$B:$K,4,0)</f>
        <v>#N/A</v>
      </c>
      <c r="X48" s="86" t="e">
        <f>-VLOOKUP(X$1,Amort!$B:$K,4,0)</f>
        <v>#N/A</v>
      </c>
      <c r="Y48" s="86" t="e">
        <f>-VLOOKUP(Y$1,Amort!$B:$K,4,0)</f>
        <v>#N/A</v>
      </c>
      <c r="Z48" s="86" t="e">
        <f>-VLOOKUP(Z$1,Amort!$B:$K,4,0)</f>
        <v>#N/A</v>
      </c>
      <c r="AA48" s="87" t="e">
        <f t="shared" ref="AA48:AA52" si="1010">SUM(O48:Z48)</f>
        <v>#N/A</v>
      </c>
      <c r="AB48" s="86" t="e">
        <f>-VLOOKUP(AB$1,Amort!$B:$K,4,0)</f>
        <v>#N/A</v>
      </c>
      <c r="AC48" s="86" t="e">
        <f>-VLOOKUP(AC$1,Amort!$B:$K,4,0)</f>
        <v>#N/A</v>
      </c>
      <c r="AD48" s="86" t="e">
        <f>-VLOOKUP(AD$1,Amort!$B:$K,4,0)</f>
        <v>#N/A</v>
      </c>
      <c r="AE48" s="86" t="e">
        <f>-VLOOKUP(AE$1,Amort!$B:$K,4,0)</f>
        <v>#N/A</v>
      </c>
      <c r="AF48" s="86" t="e">
        <f>-VLOOKUP(AF$1,Amort!$B:$K,4,0)</f>
        <v>#N/A</v>
      </c>
      <c r="AG48" s="86" t="e">
        <f>-VLOOKUP(AG$1,Amort!$B:$K,4,0)</f>
        <v>#N/A</v>
      </c>
      <c r="AH48" s="86" t="e">
        <f>-VLOOKUP(AH$1,Amort!$B:$K,4,0)</f>
        <v>#N/A</v>
      </c>
      <c r="AI48" s="86" t="e">
        <f>-VLOOKUP(AI$1,Amort!$B:$K,4,0)</f>
        <v>#N/A</v>
      </c>
      <c r="AJ48" s="86" t="e">
        <f>-VLOOKUP(AJ$1,Amort!$B:$K,4,0)</f>
        <v>#N/A</v>
      </c>
      <c r="AK48" s="86" t="e">
        <f>-VLOOKUP(AK$1,Amort!$B:$K,4,0)</f>
        <v>#N/A</v>
      </c>
      <c r="AL48" s="86" t="e">
        <f>-VLOOKUP(AL$1,Amort!$B:$K,4,0)</f>
        <v>#N/A</v>
      </c>
      <c r="AM48" s="86" t="e">
        <f>-VLOOKUP(AM$1,Amort!$B:$K,4,0)</f>
        <v>#N/A</v>
      </c>
      <c r="AN48" s="87" t="e">
        <f t="shared" ref="AN48:AN52" si="1011">SUM(AB48:AM48)</f>
        <v>#N/A</v>
      </c>
      <c r="AO48" s="86" t="e">
        <f>-VLOOKUP(AO$1,Amort!$B:$K,4,0)</f>
        <v>#N/A</v>
      </c>
      <c r="AP48" s="86" t="e">
        <f>-VLOOKUP(AP$1,Amort!$B:$K,4,0)</f>
        <v>#N/A</v>
      </c>
      <c r="AQ48" s="86" t="e">
        <f>-VLOOKUP(AQ$1,Amort!$B:$K,4,0)</f>
        <v>#N/A</v>
      </c>
      <c r="AR48" s="86" t="e">
        <f>-VLOOKUP(AR$1,Amort!$B:$K,4,0)</f>
        <v>#N/A</v>
      </c>
      <c r="AS48" s="86" t="e">
        <f>-VLOOKUP(AS$1,Amort!$B:$K,4,0)</f>
        <v>#N/A</v>
      </c>
      <c r="AT48" s="86" t="e">
        <f>-VLOOKUP(AT$1,Amort!$B:$K,4,0)</f>
        <v>#N/A</v>
      </c>
      <c r="AU48" s="86" t="e">
        <f>-VLOOKUP(AU$1,Amort!$B:$K,4,0)</f>
        <v>#N/A</v>
      </c>
      <c r="AV48" s="86" t="e">
        <f>-VLOOKUP(AV$1,Amort!$B:$K,4,0)</f>
        <v>#N/A</v>
      </c>
      <c r="AW48" s="86" t="e">
        <f>-VLOOKUP(AW$1,Amort!$B:$K,4,0)</f>
        <v>#N/A</v>
      </c>
      <c r="AX48" s="86" t="e">
        <f>-VLOOKUP(AX$1,Amort!$B:$K,4,0)</f>
        <v>#N/A</v>
      </c>
      <c r="AY48" s="86" t="e">
        <f>-VLOOKUP(AY$1,Amort!$B:$K,4,0)</f>
        <v>#N/A</v>
      </c>
      <c r="AZ48" s="86" t="e">
        <f>-VLOOKUP(AZ$1,Amort!$B:$K,4,0)</f>
        <v>#N/A</v>
      </c>
      <c r="BA48" s="87" t="e">
        <f t="shared" ref="BA48:BA52" si="1012">SUM(AO48:AZ48)</f>
        <v>#N/A</v>
      </c>
      <c r="BB48" s="86" t="e">
        <f>-VLOOKUP(BB$1,Amort!$B:$K,4,0)</f>
        <v>#N/A</v>
      </c>
      <c r="BC48" s="86" t="e">
        <f>-VLOOKUP(BC$1,Amort!$B:$K,4,0)</f>
        <v>#N/A</v>
      </c>
      <c r="BD48" s="86" t="e">
        <f>-VLOOKUP(BD$1,Amort!$B:$K,4,0)</f>
        <v>#N/A</v>
      </c>
      <c r="BE48" s="86" t="e">
        <f>-VLOOKUP(BE$1,Amort!$B:$K,4,0)</f>
        <v>#N/A</v>
      </c>
      <c r="BF48" s="86" t="e">
        <f>-VLOOKUP(BF$1,Amort!$B:$K,4,0)</f>
        <v>#N/A</v>
      </c>
      <c r="BG48" s="86" t="e">
        <f>-VLOOKUP(BG$1,Amort!$B:$K,4,0)</f>
        <v>#N/A</v>
      </c>
      <c r="BH48" s="86" t="e">
        <f>-VLOOKUP(BH$1,Amort!$B:$K,4,0)</f>
        <v>#N/A</v>
      </c>
      <c r="BI48" s="86" t="e">
        <f>-VLOOKUP(BI$1,Amort!$B:$K,4,0)</f>
        <v>#N/A</v>
      </c>
      <c r="BJ48" s="86" t="e">
        <f>-VLOOKUP(BJ$1,Amort!$B:$K,4,0)</f>
        <v>#N/A</v>
      </c>
      <c r="BK48" s="86" t="e">
        <f>-VLOOKUP(BK$1,Amort!$B:$K,4,0)</f>
        <v>#N/A</v>
      </c>
      <c r="BL48" s="86" t="e">
        <f>-VLOOKUP(BL$1,Amort!$B:$K,4,0)</f>
        <v>#N/A</v>
      </c>
      <c r="BM48" s="86" t="e">
        <f>-VLOOKUP(BM$1,Amort!$B:$K,4,0)</f>
        <v>#N/A</v>
      </c>
      <c r="BN48" s="87" t="e">
        <f t="shared" ref="BN48:BN52" si="1013">SUM(BB48:BM48)</f>
        <v>#N/A</v>
      </c>
      <c r="BO48" s="86" t="e">
        <f>-VLOOKUP(BO$1,Amort!$B:$K,4,0)</f>
        <v>#N/A</v>
      </c>
      <c r="BP48" s="86" t="e">
        <f>-VLOOKUP(BP$1,Amort!$B:$K,4,0)</f>
        <v>#N/A</v>
      </c>
      <c r="BQ48" s="86" t="e">
        <f>-VLOOKUP(BQ$1,Amort!$B:$K,4,0)</f>
        <v>#N/A</v>
      </c>
      <c r="BR48" s="86" t="e">
        <f>-VLOOKUP(BR$1,Amort!$B:$K,4,0)</f>
        <v>#N/A</v>
      </c>
      <c r="BS48" s="86" t="e">
        <f>-VLOOKUP(BS$1,Amort!$B:$K,4,0)</f>
        <v>#N/A</v>
      </c>
      <c r="BT48" s="86" t="e">
        <f>-VLOOKUP(BT$1,Amort!$B:$K,4,0)</f>
        <v>#N/A</v>
      </c>
      <c r="BU48" s="86" t="e">
        <f>-VLOOKUP(BU$1,Amort!$B:$K,4,0)</f>
        <v>#N/A</v>
      </c>
      <c r="BV48" s="86" t="e">
        <f>-VLOOKUP(BV$1,Amort!$B:$K,4,0)</f>
        <v>#N/A</v>
      </c>
      <c r="BW48" s="86" t="e">
        <f>-VLOOKUP(BW$1,Amort!$B:$K,4,0)</f>
        <v>#N/A</v>
      </c>
      <c r="BX48" s="86" t="e">
        <f>-VLOOKUP(BX$1,Amort!$B:$K,4,0)</f>
        <v>#N/A</v>
      </c>
      <c r="BY48" s="86" t="e">
        <f>-VLOOKUP(BY$1,Amort!$B:$K,4,0)</f>
        <v>#N/A</v>
      </c>
      <c r="BZ48" s="86" t="e">
        <f>-VLOOKUP(BZ$1,Amort!$B:$K,4,0)</f>
        <v>#N/A</v>
      </c>
      <c r="CA48" s="87" t="e">
        <f t="shared" ref="CA48:CA52" si="1014">SUM(BO48:BZ48)</f>
        <v>#N/A</v>
      </c>
      <c r="CB48" s="86" t="e">
        <f>-VLOOKUP(CB$1,Amort!$B:$K,4,0)</f>
        <v>#N/A</v>
      </c>
      <c r="CC48" s="86" t="e">
        <f>-VLOOKUP(CC$1,Amort!$B:$K,4,0)</f>
        <v>#N/A</v>
      </c>
      <c r="CD48" s="86" t="e">
        <f>-VLOOKUP(CD$1,Amort!$B:$K,4,0)</f>
        <v>#N/A</v>
      </c>
      <c r="CE48" s="86" t="e">
        <f>-VLOOKUP(CE$1,Amort!$B:$K,4,0)</f>
        <v>#N/A</v>
      </c>
      <c r="CF48" s="86" t="e">
        <f>-VLOOKUP(CF$1,Amort!$B:$K,4,0)</f>
        <v>#N/A</v>
      </c>
      <c r="CG48" s="86" t="e">
        <f>-VLOOKUP(CG$1,Amort!$B:$K,4,0)</f>
        <v>#N/A</v>
      </c>
      <c r="CH48" s="86" t="e">
        <f>-VLOOKUP(CH$1,Amort!$B:$K,4,0)</f>
        <v>#N/A</v>
      </c>
      <c r="CI48" s="86" t="e">
        <f>-VLOOKUP(CI$1,Amort!$B:$K,4,0)</f>
        <v>#N/A</v>
      </c>
      <c r="CJ48" s="86" t="e">
        <f>-VLOOKUP(CJ$1,Amort!$B:$K,4,0)</f>
        <v>#N/A</v>
      </c>
      <c r="CK48" s="86" t="e">
        <f>-VLOOKUP(CK$1,Amort!$B:$K,4,0)</f>
        <v>#N/A</v>
      </c>
      <c r="CL48" s="86" t="e">
        <f>-VLOOKUP(CL$1,Amort!$B:$K,4,0)</f>
        <v>#N/A</v>
      </c>
      <c r="CM48" s="86" t="e">
        <f>-VLOOKUP(CM$1,Amort!$B:$K,4,0)</f>
        <v>#N/A</v>
      </c>
      <c r="CN48" s="87" t="e">
        <f t="shared" ref="CN48:CN52" si="1015">SUM(CB48:CM48)</f>
        <v>#N/A</v>
      </c>
      <c r="CO48" s="86" t="e">
        <f>-VLOOKUP(CO$1,Amort!$B:$K,4,0)</f>
        <v>#N/A</v>
      </c>
      <c r="CP48" s="86" t="e">
        <f>-VLOOKUP(CP$1,Amort!$B:$K,4,0)</f>
        <v>#N/A</v>
      </c>
      <c r="CQ48" s="86" t="e">
        <f>-VLOOKUP(CQ$1,Amort!$B:$K,4,0)</f>
        <v>#N/A</v>
      </c>
      <c r="CR48" s="86" t="e">
        <f>-VLOOKUP(CR$1,Amort!$B:$K,4,0)</f>
        <v>#N/A</v>
      </c>
      <c r="CS48" s="86" t="e">
        <f>-VLOOKUP(CS$1,Amort!$B:$K,4,0)</f>
        <v>#N/A</v>
      </c>
      <c r="CT48" s="86" t="e">
        <f>-VLOOKUP(CT$1,Amort!$B:$K,4,0)</f>
        <v>#N/A</v>
      </c>
      <c r="CU48" s="86" t="e">
        <f>-VLOOKUP(CU$1,Amort!$B:$K,4,0)</f>
        <v>#N/A</v>
      </c>
      <c r="CV48" s="86" t="e">
        <f>-VLOOKUP(CV$1,Amort!$B:$K,4,0)</f>
        <v>#N/A</v>
      </c>
      <c r="CW48" s="86" t="e">
        <f>-VLOOKUP(CW$1,Amort!$B:$K,4,0)</f>
        <v>#N/A</v>
      </c>
      <c r="CX48" s="86" t="e">
        <f>-VLOOKUP(CX$1,Amort!$B:$K,4,0)</f>
        <v>#N/A</v>
      </c>
      <c r="CY48" s="86" t="e">
        <f>-VLOOKUP(CY$1,Amort!$B:$K,4,0)</f>
        <v>#N/A</v>
      </c>
      <c r="CZ48" s="86" t="e">
        <f>-VLOOKUP(CZ$1,Amort!$B:$K,4,0)</f>
        <v>#N/A</v>
      </c>
      <c r="DA48" s="87" t="e">
        <f t="shared" ref="DA48:DA52" si="1016">SUM(CO48:CZ48)</f>
        <v>#N/A</v>
      </c>
      <c r="DB48" s="86" t="e">
        <f>-VLOOKUP(DB$1,Amort!$B:$K,4,0)</f>
        <v>#N/A</v>
      </c>
      <c r="DC48" s="86" t="e">
        <f>-VLOOKUP(DC$1,Amort!$B:$K,4,0)</f>
        <v>#N/A</v>
      </c>
      <c r="DD48" s="86" t="e">
        <f>-VLOOKUP(DD$1,Amort!$B:$K,4,0)</f>
        <v>#N/A</v>
      </c>
      <c r="DE48" s="86" t="e">
        <f>-VLOOKUP(DE$1,Amort!$B:$K,4,0)</f>
        <v>#N/A</v>
      </c>
      <c r="DF48" s="86" t="e">
        <f>-VLOOKUP(DF$1,Amort!$B:$K,4,0)</f>
        <v>#N/A</v>
      </c>
      <c r="DG48" s="86" t="e">
        <f>-VLOOKUP(DG$1,Amort!$B:$K,4,0)</f>
        <v>#N/A</v>
      </c>
      <c r="DH48" s="86" t="e">
        <f>-VLOOKUP(DH$1,Amort!$B:$K,4,0)</f>
        <v>#N/A</v>
      </c>
      <c r="DI48" s="86" t="e">
        <f>-VLOOKUP(DI$1,Amort!$B:$K,4,0)</f>
        <v>#N/A</v>
      </c>
      <c r="DJ48" s="86" t="e">
        <f>-VLOOKUP(DJ$1,Amort!$B:$K,4,0)</f>
        <v>#N/A</v>
      </c>
      <c r="DK48" s="86" t="e">
        <f>-VLOOKUP(DK$1,Amort!$B:$K,4,0)</f>
        <v>#N/A</v>
      </c>
      <c r="DL48" s="86" t="e">
        <f>-VLOOKUP(DL$1,Amort!$B:$K,4,0)</f>
        <v>#N/A</v>
      </c>
      <c r="DM48" s="86" t="e">
        <f>-VLOOKUP(DM$1,Amort!$B:$K,4,0)</f>
        <v>#N/A</v>
      </c>
      <c r="DN48" s="87" t="e">
        <f t="shared" ref="DN48:DN52" si="1017">SUM(DB48:DM48)</f>
        <v>#N/A</v>
      </c>
      <c r="DO48" s="86" t="e">
        <f>-VLOOKUP(DO$1,Amort!$B:$K,4,0)</f>
        <v>#N/A</v>
      </c>
      <c r="DP48" s="86" t="e">
        <f>-VLOOKUP(DP$1,Amort!$B:$K,4,0)</f>
        <v>#N/A</v>
      </c>
      <c r="DQ48" s="86" t="e">
        <f>-VLOOKUP(DQ$1,Amort!$B:$K,4,0)</f>
        <v>#N/A</v>
      </c>
      <c r="DR48" s="86" t="e">
        <f>-VLOOKUP(DR$1,Amort!$B:$K,4,0)</f>
        <v>#N/A</v>
      </c>
      <c r="DS48" s="86" t="e">
        <f>-VLOOKUP(DS$1,Amort!$B:$K,4,0)</f>
        <v>#N/A</v>
      </c>
      <c r="DT48" s="86" t="e">
        <f>-VLOOKUP(DT$1,Amort!$B:$K,4,0)</f>
        <v>#N/A</v>
      </c>
      <c r="DU48" s="86" t="e">
        <f>-VLOOKUP(DU$1,Amort!$B:$K,4,0)</f>
        <v>#N/A</v>
      </c>
      <c r="DV48" s="86" t="e">
        <f>-VLOOKUP(DV$1,Amort!$B:$K,4,0)</f>
        <v>#N/A</v>
      </c>
      <c r="DW48" s="86" t="e">
        <f>-VLOOKUP(DW$1,Amort!$B:$K,4,0)</f>
        <v>#N/A</v>
      </c>
      <c r="DX48" s="86" t="e">
        <f>-VLOOKUP(DX$1,Amort!$B:$K,4,0)</f>
        <v>#N/A</v>
      </c>
      <c r="DY48" s="86" t="e">
        <f>-VLOOKUP(DY$1,Amort!$B:$K,4,0)</f>
        <v>#N/A</v>
      </c>
      <c r="DZ48" s="86" t="e">
        <f>-VLOOKUP(DZ$1,Amort!$B:$K,4,0)</f>
        <v>#N/A</v>
      </c>
      <c r="EA48" s="87" t="e">
        <f t="shared" ref="EA48:EA52" si="1018">SUM(DO48:DZ48)</f>
        <v>#N/A</v>
      </c>
      <c r="EB48" s="86" t="e">
        <f>-VLOOKUP(EB$1,Amort!$B:$K,4,0)</f>
        <v>#N/A</v>
      </c>
      <c r="EC48" s="86" t="e">
        <f>-VLOOKUP(EC$1,Amort!$B:$K,4,0)</f>
        <v>#N/A</v>
      </c>
      <c r="ED48" s="86" t="e">
        <f>-VLOOKUP(ED$1,Amort!$B:$K,4,0)</f>
        <v>#N/A</v>
      </c>
      <c r="EE48" s="86" t="e">
        <f>-VLOOKUP(EE$1,Amort!$B:$K,4,0)</f>
        <v>#N/A</v>
      </c>
      <c r="EF48" s="86" t="e">
        <f>-VLOOKUP(EF$1,Amort!$B:$K,4,0)</f>
        <v>#N/A</v>
      </c>
      <c r="EG48" s="86" t="e">
        <f>-VLOOKUP(EG$1,Amort!$B:$K,4,0)</f>
        <v>#N/A</v>
      </c>
      <c r="EH48" s="86" t="e">
        <f>-VLOOKUP(EH$1,Amort!$B:$K,4,0)</f>
        <v>#N/A</v>
      </c>
      <c r="EI48" s="86" t="e">
        <f>-VLOOKUP(EI$1,Amort!$B:$K,4,0)</f>
        <v>#N/A</v>
      </c>
      <c r="EJ48" s="86" t="e">
        <f>-VLOOKUP(EJ$1,Amort!$B:$K,4,0)</f>
        <v>#N/A</v>
      </c>
      <c r="EK48" s="86" t="e">
        <f>-VLOOKUP(EK$1,Amort!$B:$K,4,0)</f>
        <v>#N/A</v>
      </c>
      <c r="EL48" s="86" t="e">
        <f>-VLOOKUP(EL$1,Amort!$B:$K,4,0)</f>
        <v>#N/A</v>
      </c>
      <c r="EM48" s="86" t="e">
        <f>-VLOOKUP(EM$1,Amort!$B:$K,4,0)</f>
        <v>#N/A</v>
      </c>
      <c r="EN48" s="87" t="e">
        <f t="shared" ref="EN48:EN52" si="1019">SUM(EB48:EM48)</f>
        <v>#N/A</v>
      </c>
      <c r="EO48" s="86" t="e">
        <f>-VLOOKUP(EO$1,Amort!$B:$K,4,0)</f>
        <v>#N/A</v>
      </c>
      <c r="EP48" s="86" t="e">
        <f>-VLOOKUP(EP$1,Amort!$B:$K,4,0)</f>
        <v>#N/A</v>
      </c>
      <c r="EQ48" s="86" t="e">
        <f>-VLOOKUP(EQ$1,Amort!$B:$K,4,0)</f>
        <v>#N/A</v>
      </c>
      <c r="ER48" s="86" t="e">
        <f>-VLOOKUP(ER$1,Amort!$B:$K,4,0)</f>
        <v>#N/A</v>
      </c>
      <c r="ES48" s="86" t="e">
        <f>-VLOOKUP(ES$1,Amort!$B:$K,4,0)</f>
        <v>#N/A</v>
      </c>
      <c r="ET48" s="86" t="e">
        <f>-VLOOKUP(ET$1,Amort!$B:$K,4,0)</f>
        <v>#N/A</v>
      </c>
      <c r="EU48" s="86" t="e">
        <f>-VLOOKUP(EU$1,Amort!$B:$K,4,0)</f>
        <v>#N/A</v>
      </c>
      <c r="EV48" s="86" t="e">
        <f>-VLOOKUP(EV$1,Amort!$B:$K,4,0)</f>
        <v>#N/A</v>
      </c>
      <c r="EW48" s="86" t="e">
        <f>-VLOOKUP(EW$1,Amort!$B:$K,4,0)</f>
        <v>#N/A</v>
      </c>
      <c r="EX48" s="86" t="e">
        <f>-VLOOKUP(EX$1,Amort!$B:$K,4,0)</f>
        <v>#N/A</v>
      </c>
      <c r="EY48" s="86" t="e">
        <f>-VLOOKUP(EY$1,Amort!$B:$K,4,0)</f>
        <v>#N/A</v>
      </c>
      <c r="EZ48" s="86" t="e">
        <f>-VLOOKUP(EZ$1,Amort!$B:$K,4,0)</f>
        <v>#N/A</v>
      </c>
      <c r="FA48" s="87" t="e">
        <f t="shared" ref="FA48:FA52" si="1020">SUM(EO48:EZ48)</f>
        <v>#N/A</v>
      </c>
      <c r="FB48" s="86" t="e">
        <f>-VLOOKUP(FB$1,Amort!$B:$K,4,0)</f>
        <v>#N/A</v>
      </c>
      <c r="FC48" s="86" t="e">
        <f>-VLOOKUP(FC$1,Amort!$B:$K,4,0)</f>
        <v>#N/A</v>
      </c>
      <c r="FD48" s="86" t="e">
        <f>-VLOOKUP(FD$1,Amort!$B:$K,4,0)</f>
        <v>#N/A</v>
      </c>
      <c r="FE48" s="86" t="e">
        <f>-VLOOKUP(FE$1,Amort!$B:$K,4,0)</f>
        <v>#N/A</v>
      </c>
      <c r="FF48" s="86" t="e">
        <f>-VLOOKUP(FF$1,Amort!$B:$K,4,0)</f>
        <v>#N/A</v>
      </c>
      <c r="FG48" s="86" t="e">
        <f>-VLOOKUP(FG$1,Amort!$B:$K,4,0)</f>
        <v>#N/A</v>
      </c>
      <c r="FH48" s="86" t="e">
        <f>-VLOOKUP(FH$1,Amort!$B:$K,4,0)</f>
        <v>#N/A</v>
      </c>
      <c r="FI48" s="86" t="e">
        <f>-VLOOKUP(FI$1,Amort!$B:$K,4,0)</f>
        <v>#N/A</v>
      </c>
      <c r="FJ48" s="86" t="e">
        <f>-VLOOKUP(FJ$1,Amort!$B:$K,4,0)</f>
        <v>#N/A</v>
      </c>
      <c r="FK48" s="86" t="e">
        <f>-VLOOKUP(FK$1,Amort!$B:$K,4,0)</f>
        <v>#N/A</v>
      </c>
      <c r="FL48" s="86" t="e">
        <f>-VLOOKUP(FL$1,Amort!$B:$K,4,0)</f>
        <v>#N/A</v>
      </c>
      <c r="FM48" s="86" t="e">
        <f>-VLOOKUP(FM$1,Amort!$B:$K,4,0)</f>
        <v>#N/A</v>
      </c>
      <c r="FN48" s="87" t="e">
        <f t="shared" ref="FN48:FN52" si="1021">SUM(FB48:FM48)</f>
        <v>#N/A</v>
      </c>
      <c r="FO48" s="86" t="e">
        <f>-VLOOKUP(FO$1,Amort!$B:$K,4,0)</f>
        <v>#N/A</v>
      </c>
      <c r="FP48" s="86" t="e">
        <f>-VLOOKUP(FP$1,Amort!$B:$K,4,0)</f>
        <v>#N/A</v>
      </c>
      <c r="FQ48" s="86" t="e">
        <f>-VLOOKUP(FQ$1,Amort!$B:$K,4,0)</f>
        <v>#N/A</v>
      </c>
      <c r="FR48" s="86" t="e">
        <f>-VLOOKUP(FR$1,Amort!$B:$K,4,0)</f>
        <v>#N/A</v>
      </c>
      <c r="FS48" s="86" t="e">
        <f>-VLOOKUP(FS$1,Amort!$B:$K,4,0)</f>
        <v>#N/A</v>
      </c>
      <c r="FT48" s="86" t="e">
        <f>-VLOOKUP(FT$1,Amort!$B:$K,4,0)</f>
        <v>#N/A</v>
      </c>
      <c r="FU48" s="86" t="e">
        <f>-VLOOKUP(FU$1,Amort!$B:$K,4,0)</f>
        <v>#N/A</v>
      </c>
      <c r="FV48" s="86" t="e">
        <f>-VLOOKUP(FV$1,Amort!$B:$K,4,0)</f>
        <v>#N/A</v>
      </c>
      <c r="FW48" s="86" t="e">
        <f>-VLOOKUP(FW$1,Amort!$B:$K,4,0)</f>
        <v>#N/A</v>
      </c>
      <c r="FX48" s="86" t="e">
        <f>-VLOOKUP(FX$1,Amort!$B:$K,4,0)</f>
        <v>#N/A</v>
      </c>
      <c r="FY48" s="86" t="e">
        <f>-VLOOKUP(FY$1,Amort!$B:$K,4,0)</f>
        <v>#N/A</v>
      </c>
      <c r="FZ48" s="86" t="e">
        <f>-VLOOKUP(FZ$1,Amort!$B:$K,4,0)</f>
        <v>#N/A</v>
      </c>
      <c r="GA48" s="87" t="e">
        <f t="shared" ref="GA48:GA52" si="1022">SUM(FO48:FZ48)</f>
        <v>#N/A</v>
      </c>
      <c r="GB48" s="86" t="e">
        <f>-VLOOKUP(GB$1,Amort!$B:$K,4,0)</f>
        <v>#N/A</v>
      </c>
      <c r="GC48" s="86" t="e">
        <f>-VLOOKUP(GC$1,Amort!$B:$K,4,0)</f>
        <v>#N/A</v>
      </c>
      <c r="GD48" s="86" t="e">
        <f>-VLOOKUP(GD$1,Amort!$B:$K,4,0)</f>
        <v>#N/A</v>
      </c>
      <c r="GE48" s="86" t="e">
        <f>-VLOOKUP(GE$1,Amort!$B:$K,4,0)</f>
        <v>#N/A</v>
      </c>
      <c r="GF48" s="86" t="e">
        <f>-VLOOKUP(GF$1,Amort!$B:$K,4,0)</f>
        <v>#N/A</v>
      </c>
      <c r="GG48" s="86" t="e">
        <f>-VLOOKUP(GG$1,Amort!$B:$K,4,0)</f>
        <v>#N/A</v>
      </c>
      <c r="GH48" s="86" t="e">
        <f>-VLOOKUP(GH$1,Amort!$B:$K,4,0)</f>
        <v>#N/A</v>
      </c>
      <c r="GI48" s="86" t="e">
        <f>-VLOOKUP(GI$1,Amort!$B:$K,4,0)</f>
        <v>#N/A</v>
      </c>
      <c r="GJ48" s="86" t="e">
        <f>-VLOOKUP(GJ$1,Amort!$B:$K,4,0)</f>
        <v>#N/A</v>
      </c>
      <c r="GK48" s="86" t="e">
        <f>-VLOOKUP(GK$1,Amort!$B:$K,4,0)</f>
        <v>#N/A</v>
      </c>
      <c r="GL48" s="86" t="e">
        <f>-VLOOKUP(GL$1,Amort!$B:$K,4,0)</f>
        <v>#N/A</v>
      </c>
      <c r="GM48" s="86" t="e">
        <f>-VLOOKUP(GM$1,Amort!$B:$K,4,0)</f>
        <v>#N/A</v>
      </c>
      <c r="GN48" s="87" t="e">
        <f t="shared" ref="GN48:GN52" si="1023">SUM(GB48:GM48)</f>
        <v>#N/A</v>
      </c>
      <c r="GO48" s="86" t="e">
        <f>-VLOOKUP(GO$1,Amort!$B:$K,4,0)</f>
        <v>#N/A</v>
      </c>
      <c r="GP48" s="86" t="e">
        <f>-VLOOKUP(GP$1,Amort!$B:$K,4,0)</f>
        <v>#N/A</v>
      </c>
      <c r="GQ48" s="86" t="e">
        <f>-VLOOKUP(GQ$1,Amort!$B:$K,4,0)</f>
        <v>#N/A</v>
      </c>
      <c r="GR48" s="86" t="e">
        <f>-VLOOKUP(GR$1,Amort!$B:$K,4,0)</f>
        <v>#N/A</v>
      </c>
      <c r="GS48" s="86" t="e">
        <f>-VLOOKUP(GS$1,Amort!$B:$K,4,0)</f>
        <v>#N/A</v>
      </c>
      <c r="GT48" s="86" t="e">
        <f>-VLOOKUP(GT$1,Amort!$B:$K,4,0)</f>
        <v>#N/A</v>
      </c>
      <c r="GU48" s="86" t="e">
        <f>-VLOOKUP(GU$1,Amort!$B:$K,4,0)</f>
        <v>#N/A</v>
      </c>
      <c r="GV48" s="86" t="e">
        <f>-VLOOKUP(GV$1,Amort!$B:$K,4,0)</f>
        <v>#N/A</v>
      </c>
      <c r="GW48" s="86" t="e">
        <f>-VLOOKUP(GW$1,Amort!$B:$K,4,0)</f>
        <v>#N/A</v>
      </c>
      <c r="GX48" s="86" t="e">
        <f>-VLOOKUP(GX$1,Amort!$B:$K,4,0)</f>
        <v>#N/A</v>
      </c>
      <c r="GY48" s="86" t="e">
        <f>-VLOOKUP(GY$1,Amort!$B:$K,4,0)</f>
        <v>#N/A</v>
      </c>
      <c r="GZ48" s="86" t="e">
        <f>-VLOOKUP(GZ$1,Amort!$B:$K,4,0)</f>
        <v>#N/A</v>
      </c>
      <c r="HA48" s="87" t="e">
        <f t="shared" ref="HA48:HA52" si="1024">SUM(GO48:GZ48)</f>
        <v>#N/A</v>
      </c>
      <c r="HB48" s="86" t="e">
        <f>-VLOOKUP(HB$1,Amort!$B:$K,4,0)</f>
        <v>#N/A</v>
      </c>
      <c r="HC48" s="86" t="e">
        <f>-VLOOKUP(HC$1,Amort!$B:$K,4,0)</f>
        <v>#N/A</v>
      </c>
      <c r="HD48" s="86" t="e">
        <f>-VLOOKUP(HD$1,Amort!$B:$K,4,0)</f>
        <v>#N/A</v>
      </c>
      <c r="HE48" s="86" t="e">
        <f>-VLOOKUP(HE$1,Amort!$B:$K,4,0)</f>
        <v>#N/A</v>
      </c>
      <c r="HF48" s="86" t="e">
        <f>-VLOOKUP(HF$1,Amort!$B:$K,4,0)</f>
        <v>#N/A</v>
      </c>
      <c r="HG48" s="86" t="e">
        <f>-VLOOKUP(HG$1,Amort!$B:$K,4,0)</f>
        <v>#N/A</v>
      </c>
      <c r="HH48" s="86" t="e">
        <f>-VLOOKUP(HH$1,Amort!$B:$K,4,0)</f>
        <v>#N/A</v>
      </c>
      <c r="HI48" s="86" t="e">
        <f>-VLOOKUP(HI$1,Amort!$B:$K,4,0)</f>
        <v>#N/A</v>
      </c>
      <c r="HJ48" s="86" t="e">
        <f>-VLOOKUP(HJ$1,Amort!$B:$K,4,0)</f>
        <v>#N/A</v>
      </c>
      <c r="HK48" s="86" t="e">
        <f>-VLOOKUP(HK$1,Amort!$B:$K,4,0)</f>
        <v>#N/A</v>
      </c>
      <c r="HL48" s="86" t="e">
        <f>-VLOOKUP(HL$1,Amort!$B:$K,4,0)</f>
        <v>#N/A</v>
      </c>
      <c r="HM48" s="86" t="e">
        <f>-VLOOKUP(HM$1,Amort!$B:$K,4,0)</f>
        <v>#N/A</v>
      </c>
      <c r="HN48" s="87" t="e">
        <f t="shared" ref="HN48:HN52" si="1025">SUM(HB48:HM48)</f>
        <v>#N/A</v>
      </c>
      <c r="HO48" s="86" t="e">
        <f>-VLOOKUP(HO$1,Amort!$B:$K,4,0)</f>
        <v>#N/A</v>
      </c>
      <c r="HP48" s="86" t="e">
        <f>-VLOOKUP(HP$1,Amort!$B:$K,4,0)</f>
        <v>#N/A</v>
      </c>
      <c r="HQ48" s="86" t="e">
        <f>-VLOOKUP(HQ$1,Amort!$B:$K,4,0)</f>
        <v>#N/A</v>
      </c>
      <c r="HR48" s="86" t="e">
        <f>-VLOOKUP(HR$1,Amort!$B:$K,4,0)</f>
        <v>#N/A</v>
      </c>
      <c r="HS48" s="86" t="e">
        <f>-VLOOKUP(HS$1,Amort!$B:$K,4,0)</f>
        <v>#N/A</v>
      </c>
      <c r="HT48" s="86" t="e">
        <f>-VLOOKUP(HT$1,Amort!$B:$K,4,0)</f>
        <v>#N/A</v>
      </c>
      <c r="HU48" s="86" t="e">
        <f>-VLOOKUP(HU$1,Amort!$B:$K,4,0)</f>
        <v>#N/A</v>
      </c>
      <c r="HV48" s="86" t="e">
        <f>-VLOOKUP(HV$1,Amort!$B:$K,4,0)</f>
        <v>#N/A</v>
      </c>
      <c r="HW48" s="86" t="e">
        <f>-VLOOKUP(HW$1,Amort!$B:$K,4,0)</f>
        <v>#N/A</v>
      </c>
      <c r="HX48" s="86" t="e">
        <f>-VLOOKUP(HX$1,Amort!$B:$K,4,0)</f>
        <v>#N/A</v>
      </c>
      <c r="HY48" s="86" t="e">
        <f>-VLOOKUP(HY$1,Amort!$B:$K,4,0)</f>
        <v>#N/A</v>
      </c>
      <c r="HZ48" s="86" t="e">
        <f>-VLOOKUP(HZ$1,Amort!$B:$K,4,0)</f>
        <v>#N/A</v>
      </c>
      <c r="IA48" s="87" t="e">
        <f t="shared" ref="IA48:IA52" si="1026">SUM(HO48:HZ48)</f>
        <v>#N/A</v>
      </c>
      <c r="IB48" s="86" t="e">
        <f>-VLOOKUP(IB$1,Amort!$B:$K,4,0)</f>
        <v>#N/A</v>
      </c>
      <c r="IC48" s="86" t="e">
        <f>-VLOOKUP(IC$1,Amort!$B:$K,4,0)</f>
        <v>#N/A</v>
      </c>
      <c r="ID48" s="86" t="e">
        <f>-VLOOKUP(ID$1,Amort!$B:$K,4,0)</f>
        <v>#N/A</v>
      </c>
      <c r="IE48" s="86" t="e">
        <f>-VLOOKUP(IE$1,Amort!$B:$K,4,0)</f>
        <v>#N/A</v>
      </c>
      <c r="IF48" s="86" t="e">
        <f>-VLOOKUP(IF$1,Amort!$B:$K,4,0)</f>
        <v>#N/A</v>
      </c>
      <c r="IG48" s="86" t="e">
        <f>-VLOOKUP(IG$1,Amort!$B:$K,4,0)</f>
        <v>#N/A</v>
      </c>
      <c r="IH48" s="86" t="e">
        <f>-VLOOKUP(IH$1,Amort!$B:$K,4,0)</f>
        <v>#N/A</v>
      </c>
      <c r="II48" s="86" t="e">
        <f>-VLOOKUP(II$1,Amort!$B:$K,4,0)</f>
        <v>#N/A</v>
      </c>
      <c r="IJ48" s="86" t="e">
        <f>-VLOOKUP(IJ$1,Amort!$B:$K,4,0)</f>
        <v>#N/A</v>
      </c>
      <c r="IK48" s="86" t="e">
        <f>-VLOOKUP(IK$1,Amort!$B:$K,4,0)</f>
        <v>#N/A</v>
      </c>
      <c r="IL48" s="86" t="e">
        <f>-VLOOKUP(IL$1,Amort!$B:$K,4,0)</f>
        <v>#N/A</v>
      </c>
      <c r="IM48" s="86" t="e">
        <f>-VLOOKUP(IM$1,Amort!$B:$K,4,0)</f>
        <v>#N/A</v>
      </c>
      <c r="IN48" s="87" t="e">
        <f t="shared" ref="IN48:IN52" si="1027">SUM(IB48:IM48)</f>
        <v>#N/A</v>
      </c>
      <c r="IO48" s="86" t="e">
        <f>-VLOOKUP(IO$1,Amort!$B:$K,4,0)</f>
        <v>#N/A</v>
      </c>
      <c r="IP48" s="86" t="e">
        <f>-VLOOKUP(IP$1,Amort!$B:$K,4,0)</f>
        <v>#N/A</v>
      </c>
      <c r="IQ48" s="86" t="e">
        <f>-VLOOKUP(IQ$1,Amort!$B:$K,4,0)</f>
        <v>#N/A</v>
      </c>
      <c r="IR48" s="86" t="e">
        <f>-VLOOKUP(IR$1,Amort!$B:$K,4,0)</f>
        <v>#N/A</v>
      </c>
      <c r="IS48" s="86" t="e">
        <f>-VLOOKUP(IS$1,Amort!$B:$K,4,0)</f>
        <v>#N/A</v>
      </c>
      <c r="IT48" s="86" t="e">
        <f>-VLOOKUP(IT$1,Amort!$B:$K,4,0)</f>
        <v>#N/A</v>
      </c>
      <c r="IU48" s="86" t="e">
        <f>-VLOOKUP(IU$1,Amort!$B:$K,4,0)</f>
        <v>#N/A</v>
      </c>
      <c r="IV48" s="86" t="e">
        <f>-VLOOKUP(IV$1,Amort!$B:$K,4,0)</f>
        <v>#N/A</v>
      </c>
      <c r="IW48" s="86" t="e">
        <f>-VLOOKUP(IW$1,Amort!$B:$K,4,0)</f>
        <v>#N/A</v>
      </c>
      <c r="IX48" s="86" t="e">
        <f>-VLOOKUP(IX$1,Amort!$B:$K,4,0)</f>
        <v>#N/A</v>
      </c>
      <c r="IY48" s="86" t="e">
        <f>-VLOOKUP(IY$1,Amort!$B:$K,4,0)</f>
        <v>#N/A</v>
      </c>
      <c r="IZ48" s="86" t="e">
        <f>-VLOOKUP(IZ$1,Amort!$B:$K,4,0)</f>
        <v>#N/A</v>
      </c>
      <c r="JA48" s="87" t="e">
        <f t="shared" ref="JA48:JA52" si="1028">SUM(IO48:IZ48)</f>
        <v>#N/A</v>
      </c>
      <c r="JB48" s="86" t="e">
        <f>-VLOOKUP(JB$1,Amort!$B:$K,4,0)</f>
        <v>#N/A</v>
      </c>
      <c r="JC48" s="86" t="e">
        <f>-VLOOKUP(JC$1,Amort!$B:$K,4,0)</f>
        <v>#N/A</v>
      </c>
      <c r="JD48" s="86" t="e">
        <f>-VLOOKUP(JD$1,Amort!$B:$K,4,0)</f>
        <v>#N/A</v>
      </c>
      <c r="JE48" s="86" t="e">
        <f>-VLOOKUP(JE$1,Amort!$B:$K,4,0)</f>
        <v>#N/A</v>
      </c>
      <c r="JF48" s="86" t="e">
        <f>-VLOOKUP(JF$1,Amort!$B:$K,4,0)</f>
        <v>#N/A</v>
      </c>
      <c r="JG48" s="86" t="e">
        <f>-VLOOKUP(JG$1,Amort!$B:$K,4,0)</f>
        <v>#N/A</v>
      </c>
      <c r="JH48" s="86" t="e">
        <f>-VLOOKUP(JH$1,Amort!$B:$K,4,0)</f>
        <v>#N/A</v>
      </c>
      <c r="JI48" s="86" t="e">
        <f>-VLOOKUP(JI$1,Amort!$B:$K,4,0)</f>
        <v>#N/A</v>
      </c>
      <c r="JJ48" s="86" t="e">
        <f>-VLOOKUP(JJ$1,Amort!$B:$K,4,0)</f>
        <v>#N/A</v>
      </c>
      <c r="JK48" s="86" t="e">
        <f>-VLOOKUP(JK$1,Amort!$B:$K,4,0)</f>
        <v>#N/A</v>
      </c>
      <c r="JL48" s="86" t="e">
        <f>-VLOOKUP(JL$1,Amort!$B:$K,4,0)</f>
        <v>#N/A</v>
      </c>
      <c r="JM48" s="86" t="e">
        <f>-VLOOKUP(JM$1,Amort!$B:$K,4,0)</f>
        <v>#N/A</v>
      </c>
      <c r="JN48" s="87" t="e">
        <f t="shared" ref="JN48:JN52" si="1029">SUM(JB48:JM48)</f>
        <v>#N/A</v>
      </c>
      <c r="JO48" s="86" t="e">
        <f>-VLOOKUP(JO$1,Amort!$B:$K,4,0)</f>
        <v>#N/A</v>
      </c>
      <c r="JP48" s="86" t="e">
        <f>-VLOOKUP(JP$1,Amort!$B:$K,4,0)</f>
        <v>#N/A</v>
      </c>
      <c r="JQ48" s="86" t="e">
        <f>-VLOOKUP(JQ$1,Amort!$B:$K,4,0)</f>
        <v>#N/A</v>
      </c>
      <c r="JR48" s="86" t="e">
        <f>-VLOOKUP(JR$1,Amort!$B:$K,4,0)</f>
        <v>#N/A</v>
      </c>
      <c r="JS48" s="86" t="e">
        <f>-VLOOKUP(JS$1,Amort!$B:$K,4,0)</f>
        <v>#N/A</v>
      </c>
      <c r="JT48" s="86" t="e">
        <f>-VLOOKUP(JT$1,Amort!$B:$K,4,0)</f>
        <v>#N/A</v>
      </c>
      <c r="JU48" s="86" t="e">
        <f>-VLOOKUP(JU$1,Amort!$B:$K,4,0)</f>
        <v>#N/A</v>
      </c>
      <c r="JV48" s="86" t="e">
        <f>-VLOOKUP(JV$1,Amort!$B:$K,4,0)</f>
        <v>#N/A</v>
      </c>
      <c r="JW48" s="86" t="e">
        <f>-VLOOKUP(JW$1,Amort!$B:$K,4,0)</f>
        <v>#N/A</v>
      </c>
      <c r="JX48" s="86" t="e">
        <f>-VLOOKUP(JX$1,Amort!$B:$K,4,0)</f>
        <v>#N/A</v>
      </c>
      <c r="JY48" s="86" t="e">
        <f>-VLOOKUP(JY$1,Amort!$B:$K,4,0)</f>
        <v>#N/A</v>
      </c>
      <c r="JZ48" s="86" t="e">
        <f>-VLOOKUP(JZ$1,Amort!$B:$K,4,0)</f>
        <v>#N/A</v>
      </c>
      <c r="KA48" s="87" t="e">
        <f t="shared" ref="KA48:KA52" si="1030">SUM(JO48:JZ48)</f>
        <v>#N/A</v>
      </c>
      <c r="KB48" s="86" t="e">
        <f>-VLOOKUP(KB$1,Amort!$B:$K,4,0)</f>
        <v>#N/A</v>
      </c>
      <c r="KC48" s="86" t="e">
        <f>-VLOOKUP(KC$1,Amort!$B:$K,4,0)</f>
        <v>#N/A</v>
      </c>
      <c r="KD48" s="86" t="e">
        <f>-VLOOKUP(KD$1,Amort!$B:$K,4,0)</f>
        <v>#N/A</v>
      </c>
      <c r="KE48" s="86" t="e">
        <f>-VLOOKUP(KE$1,Amort!$B:$K,4,0)</f>
        <v>#N/A</v>
      </c>
      <c r="KF48" s="86" t="e">
        <f>-VLOOKUP(KF$1,Amort!$B:$K,4,0)</f>
        <v>#N/A</v>
      </c>
      <c r="KG48" s="86" t="e">
        <f>-VLOOKUP(KG$1,Amort!$B:$K,4,0)</f>
        <v>#N/A</v>
      </c>
      <c r="KH48" s="86" t="e">
        <f>-VLOOKUP(KH$1,Amort!$B:$K,4,0)</f>
        <v>#N/A</v>
      </c>
      <c r="KI48" s="86" t="e">
        <f>-VLOOKUP(KI$1,Amort!$B:$K,4,0)</f>
        <v>#N/A</v>
      </c>
      <c r="KJ48" s="86" t="e">
        <f>-VLOOKUP(KJ$1,Amort!$B:$K,4,0)</f>
        <v>#N/A</v>
      </c>
      <c r="KK48" s="86" t="e">
        <f>-VLOOKUP(KK$1,Amort!$B:$K,4,0)</f>
        <v>#N/A</v>
      </c>
      <c r="KL48" s="86" t="e">
        <f>-VLOOKUP(KL$1,Amort!$B:$K,4,0)</f>
        <v>#N/A</v>
      </c>
      <c r="KM48" s="86" t="e">
        <f>-VLOOKUP(KM$1,Amort!$B:$K,4,0)</f>
        <v>#N/A</v>
      </c>
      <c r="KN48" s="87" t="e">
        <f t="shared" ref="KN48:KN52" si="1031">SUM(KB48:KM48)</f>
        <v>#N/A</v>
      </c>
      <c r="KO48" s="86" t="e">
        <f>-VLOOKUP(KO$1,Amort!$B:$K,4,0)</f>
        <v>#N/A</v>
      </c>
      <c r="KP48" s="86" t="e">
        <f>-VLOOKUP(KP$1,Amort!$B:$K,4,0)</f>
        <v>#N/A</v>
      </c>
      <c r="KQ48" s="86" t="e">
        <f>-VLOOKUP(KQ$1,Amort!$B:$K,4,0)</f>
        <v>#N/A</v>
      </c>
      <c r="KR48" s="86" t="e">
        <f>-VLOOKUP(KR$1,Amort!$B:$K,4,0)</f>
        <v>#N/A</v>
      </c>
      <c r="KS48" s="86" t="e">
        <f>-VLOOKUP(KS$1,Amort!$B:$K,4,0)</f>
        <v>#N/A</v>
      </c>
      <c r="KT48" s="86" t="e">
        <f>-VLOOKUP(KT$1,Amort!$B:$K,4,0)</f>
        <v>#N/A</v>
      </c>
      <c r="KU48" s="86" t="e">
        <f>-VLOOKUP(KU$1,Amort!$B:$K,4,0)</f>
        <v>#N/A</v>
      </c>
      <c r="KV48" s="86" t="e">
        <f>-VLOOKUP(KV$1,Amort!$B:$K,4,0)</f>
        <v>#N/A</v>
      </c>
      <c r="KW48" s="86" t="e">
        <f>-VLOOKUP(KW$1,Amort!$B:$K,4,0)</f>
        <v>#N/A</v>
      </c>
      <c r="KX48" s="86" t="e">
        <f>-VLOOKUP(KX$1,Amort!$B:$K,4,0)</f>
        <v>#N/A</v>
      </c>
      <c r="KY48" s="86" t="e">
        <f>-VLOOKUP(KY$1,Amort!$B:$K,4,0)</f>
        <v>#N/A</v>
      </c>
      <c r="KZ48" s="86" t="e">
        <f>-VLOOKUP(KZ$1,Amort!$B:$K,4,0)</f>
        <v>#N/A</v>
      </c>
      <c r="LA48" s="87" t="e">
        <f t="shared" ref="LA48:LA52" si="1032">SUM(KO48:KZ48)</f>
        <v>#N/A</v>
      </c>
      <c r="LB48" s="86" t="e">
        <f>-VLOOKUP(LB$1,Amort!$B:$K,4,0)</f>
        <v>#N/A</v>
      </c>
      <c r="LC48" s="86" t="e">
        <f>-VLOOKUP(LC$1,Amort!$B:$K,4,0)</f>
        <v>#N/A</v>
      </c>
      <c r="LD48" s="86" t="e">
        <f>-VLOOKUP(LD$1,Amort!$B:$K,4,0)</f>
        <v>#N/A</v>
      </c>
      <c r="LE48" s="86" t="e">
        <f>-VLOOKUP(LE$1,Amort!$B:$K,4,0)</f>
        <v>#N/A</v>
      </c>
      <c r="LF48" s="86" t="e">
        <f>-VLOOKUP(LF$1,Amort!$B:$K,4,0)</f>
        <v>#N/A</v>
      </c>
      <c r="LG48" s="86" t="e">
        <f>-VLOOKUP(LG$1,Amort!$B:$K,4,0)</f>
        <v>#N/A</v>
      </c>
      <c r="LH48" s="86" t="e">
        <f>-VLOOKUP(LH$1,Amort!$B:$K,4,0)</f>
        <v>#N/A</v>
      </c>
      <c r="LI48" s="86" t="e">
        <f>-VLOOKUP(LI$1,Amort!$B:$K,4,0)</f>
        <v>#N/A</v>
      </c>
      <c r="LJ48" s="86" t="e">
        <f>-VLOOKUP(LJ$1,Amort!$B:$K,4,0)</f>
        <v>#N/A</v>
      </c>
      <c r="LK48" s="86" t="e">
        <f>-VLOOKUP(LK$1,Amort!$B:$K,4,0)</f>
        <v>#N/A</v>
      </c>
      <c r="LL48" s="86" t="e">
        <f>-VLOOKUP(LL$1,Amort!$B:$K,4,0)</f>
        <v>#N/A</v>
      </c>
      <c r="LM48" s="86" t="e">
        <f>-VLOOKUP(LM$1,Amort!$B:$K,4,0)</f>
        <v>#N/A</v>
      </c>
      <c r="LN48" s="87" t="e">
        <f t="shared" ref="LN48:LN52" si="1033">SUM(LB48:LM48)</f>
        <v>#N/A</v>
      </c>
      <c r="LO48" s="86" t="e">
        <f>-VLOOKUP(LO$1,Amort!$B:$K,4,0)</f>
        <v>#N/A</v>
      </c>
      <c r="LP48" s="86" t="e">
        <f>-VLOOKUP(LP$1,Amort!$B:$K,4,0)</f>
        <v>#N/A</v>
      </c>
      <c r="LQ48" s="86" t="e">
        <f>-VLOOKUP(LQ$1,Amort!$B:$K,4,0)</f>
        <v>#N/A</v>
      </c>
      <c r="LR48" s="86" t="e">
        <f>-VLOOKUP(LR$1,Amort!$B:$K,4,0)</f>
        <v>#N/A</v>
      </c>
      <c r="LS48" s="86" t="e">
        <f>-VLOOKUP(LS$1,Amort!$B:$K,4,0)</f>
        <v>#N/A</v>
      </c>
      <c r="LT48" s="86" t="e">
        <f>-VLOOKUP(LT$1,Amort!$B:$K,4,0)</f>
        <v>#N/A</v>
      </c>
      <c r="LU48" s="86" t="e">
        <f>-VLOOKUP(LU$1,Amort!$B:$K,4,0)</f>
        <v>#N/A</v>
      </c>
      <c r="LV48" s="86" t="e">
        <f>-VLOOKUP(LV$1,Amort!$B:$K,4,0)</f>
        <v>#N/A</v>
      </c>
      <c r="LW48" s="86" t="e">
        <f>-VLOOKUP(LW$1,Amort!$B:$K,4,0)</f>
        <v>#N/A</v>
      </c>
      <c r="LX48" s="86" t="e">
        <f>-VLOOKUP(LX$1,Amort!$B:$K,4,0)</f>
        <v>#N/A</v>
      </c>
      <c r="LY48" s="86" t="e">
        <f>-VLOOKUP(LY$1,Amort!$B:$K,4,0)</f>
        <v>#N/A</v>
      </c>
      <c r="LZ48" s="86" t="e">
        <f>-VLOOKUP(LZ$1,Amort!$B:$K,4,0)</f>
        <v>#N/A</v>
      </c>
      <c r="MA48" s="87" t="e">
        <f t="shared" ref="MA48:MA52" si="1034">SUM(LO48:LZ48)</f>
        <v>#N/A</v>
      </c>
      <c r="MB48" s="86" t="e">
        <f>-VLOOKUP(MB$1,Amort!$B:$K,4,0)</f>
        <v>#N/A</v>
      </c>
      <c r="MC48" s="86" t="e">
        <f>-VLOOKUP(MC$1,Amort!$B:$K,4,0)</f>
        <v>#N/A</v>
      </c>
      <c r="MD48" s="86" t="e">
        <f>-VLOOKUP(MD$1,Amort!$B:$K,4,0)</f>
        <v>#N/A</v>
      </c>
      <c r="ME48" s="86" t="e">
        <f>-VLOOKUP(ME$1,Amort!$B:$K,4,0)</f>
        <v>#N/A</v>
      </c>
      <c r="MF48" s="86" t="e">
        <f>-VLOOKUP(MF$1,Amort!$B:$K,4,0)</f>
        <v>#N/A</v>
      </c>
      <c r="MG48" s="86" t="e">
        <f>-VLOOKUP(MG$1,Amort!$B:$K,4,0)</f>
        <v>#N/A</v>
      </c>
      <c r="MH48" s="86" t="e">
        <f>-VLOOKUP(MH$1,Amort!$B:$K,4,0)</f>
        <v>#N/A</v>
      </c>
      <c r="MI48" s="86" t="e">
        <f>-VLOOKUP(MI$1,Amort!$B:$K,4,0)</f>
        <v>#N/A</v>
      </c>
      <c r="MJ48" s="86" t="e">
        <f>-VLOOKUP(MJ$1,Amort!$B:$K,4,0)</f>
        <v>#N/A</v>
      </c>
      <c r="MK48" s="86" t="e">
        <f>-VLOOKUP(MK$1,Amort!$B:$K,4,0)</f>
        <v>#N/A</v>
      </c>
      <c r="ML48" s="86" t="e">
        <f>-VLOOKUP(ML$1,Amort!$B:$K,4,0)</f>
        <v>#N/A</v>
      </c>
      <c r="MM48" s="86" t="e">
        <f>-VLOOKUP(MM$1,Amort!$B:$K,4,0)</f>
        <v>#N/A</v>
      </c>
      <c r="MN48" s="87" t="e">
        <f t="shared" ref="MN48:MN52" si="1035">SUM(MB48:MM48)</f>
        <v>#N/A</v>
      </c>
      <c r="MO48" s="86" t="e">
        <f>-VLOOKUP(MO$1,Amort!$B:$K,4,0)</f>
        <v>#N/A</v>
      </c>
      <c r="MP48" s="86" t="e">
        <f>-VLOOKUP(MP$1,Amort!$B:$K,4,0)</f>
        <v>#N/A</v>
      </c>
      <c r="MQ48" s="86" t="e">
        <f>-VLOOKUP(MQ$1,Amort!$B:$K,4,0)</f>
        <v>#N/A</v>
      </c>
      <c r="MR48" s="86" t="e">
        <f>-VLOOKUP(MR$1,Amort!$B:$K,4,0)</f>
        <v>#N/A</v>
      </c>
      <c r="MS48" s="86" t="e">
        <f>-VLOOKUP(MS$1,Amort!$B:$K,4,0)</f>
        <v>#N/A</v>
      </c>
      <c r="MT48" s="86" t="e">
        <f>-VLOOKUP(MT$1,Amort!$B:$K,4,0)</f>
        <v>#N/A</v>
      </c>
      <c r="MU48" s="86" t="e">
        <f>-VLOOKUP(MU$1,Amort!$B:$K,4,0)</f>
        <v>#N/A</v>
      </c>
      <c r="MV48" s="86" t="e">
        <f>-VLOOKUP(MV$1,Amort!$B:$K,4,0)</f>
        <v>#N/A</v>
      </c>
      <c r="MW48" s="86" t="e">
        <f>-VLOOKUP(MW$1,Amort!$B:$K,4,0)</f>
        <v>#N/A</v>
      </c>
      <c r="MX48" s="86" t="e">
        <f>-VLOOKUP(MX$1,Amort!$B:$K,4,0)</f>
        <v>#N/A</v>
      </c>
      <c r="MY48" s="86" t="e">
        <f>-VLOOKUP(MY$1,Amort!$B:$K,4,0)</f>
        <v>#N/A</v>
      </c>
      <c r="MZ48" s="86" t="e">
        <f>-VLOOKUP(MZ$1,Amort!$B:$K,4,0)</f>
        <v>#N/A</v>
      </c>
      <c r="NA48" s="87" t="e">
        <f t="shared" ref="NA48:NA52" si="1036">SUM(MO48:MZ48)</f>
        <v>#N/A</v>
      </c>
      <c r="NB48" s="86" t="e">
        <f>-VLOOKUP(NB$1,Amort!$B:$K,4,0)</f>
        <v>#N/A</v>
      </c>
      <c r="NC48" s="86" t="e">
        <f>-VLOOKUP(NC$1,Amort!$B:$K,4,0)</f>
        <v>#N/A</v>
      </c>
      <c r="ND48" s="86" t="e">
        <f>-VLOOKUP(ND$1,Amort!$B:$K,4,0)</f>
        <v>#N/A</v>
      </c>
      <c r="NE48" s="86" t="e">
        <f>-VLOOKUP(NE$1,Amort!$B:$K,4,0)</f>
        <v>#N/A</v>
      </c>
      <c r="NF48" s="86" t="e">
        <f>-VLOOKUP(NF$1,Amort!$B:$K,4,0)</f>
        <v>#N/A</v>
      </c>
      <c r="NG48" s="86" t="e">
        <f>-VLOOKUP(NG$1,Amort!$B:$K,4,0)</f>
        <v>#N/A</v>
      </c>
      <c r="NH48" s="86" t="e">
        <f>-VLOOKUP(NH$1,Amort!$B:$K,4,0)</f>
        <v>#N/A</v>
      </c>
      <c r="NI48" s="86" t="e">
        <f>-VLOOKUP(NI$1,Amort!$B:$K,4,0)</f>
        <v>#N/A</v>
      </c>
      <c r="NJ48" s="86" t="e">
        <f>-VLOOKUP(NJ$1,Amort!$B:$K,4,0)</f>
        <v>#N/A</v>
      </c>
      <c r="NK48" s="86" t="e">
        <f>-VLOOKUP(NK$1,Amort!$B:$K,4,0)</f>
        <v>#N/A</v>
      </c>
      <c r="NL48" s="86" t="e">
        <f>-VLOOKUP(NL$1,Amort!$B:$K,4,0)</f>
        <v>#N/A</v>
      </c>
      <c r="NM48" s="86" t="e">
        <f>-VLOOKUP(NM$1,Amort!$B:$K,4,0)</f>
        <v>#N/A</v>
      </c>
      <c r="NN48" s="87" t="e">
        <f t="shared" ref="NN48:NN52" si="1037">SUM(NB48:NM48)</f>
        <v>#N/A</v>
      </c>
      <c r="NO48" s="86" t="e">
        <f>-VLOOKUP(NO$1,Amort!$B:$K,4,0)</f>
        <v>#N/A</v>
      </c>
      <c r="NP48" s="86" t="e">
        <f>-VLOOKUP(NP$1,Amort!$B:$K,4,0)</f>
        <v>#N/A</v>
      </c>
      <c r="NQ48" s="86" t="e">
        <f>-VLOOKUP(NQ$1,Amort!$B:$K,4,0)</f>
        <v>#N/A</v>
      </c>
      <c r="NR48" s="86" t="e">
        <f>-VLOOKUP(NR$1,Amort!$B:$K,4,0)</f>
        <v>#N/A</v>
      </c>
      <c r="NS48" s="86" t="e">
        <f>-VLOOKUP(NS$1,Amort!$B:$K,4,0)</f>
        <v>#N/A</v>
      </c>
      <c r="NT48" s="86" t="e">
        <f>-VLOOKUP(NT$1,Amort!$B:$K,4,0)</f>
        <v>#N/A</v>
      </c>
      <c r="NU48" s="86" t="e">
        <f>-VLOOKUP(NU$1,Amort!$B:$K,4,0)</f>
        <v>#N/A</v>
      </c>
      <c r="NV48" s="86" t="e">
        <f>-VLOOKUP(NV$1,Amort!$B:$K,4,0)</f>
        <v>#N/A</v>
      </c>
      <c r="NW48" s="86" t="e">
        <f>-VLOOKUP(NW$1,Amort!$B:$K,4,0)</f>
        <v>#N/A</v>
      </c>
      <c r="NX48" s="86" t="e">
        <f>-VLOOKUP(NX$1,Amort!$B:$K,4,0)</f>
        <v>#N/A</v>
      </c>
      <c r="NY48" s="86" t="e">
        <f>-VLOOKUP(NY$1,Amort!$B:$K,4,0)</f>
        <v>#N/A</v>
      </c>
      <c r="NZ48" s="86" t="e">
        <f>-VLOOKUP(NZ$1,Amort!$B:$K,4,0)</f>
        <v>#N/A</v>
      </c>
      <c r="OA48" s="87" t="e">
        <f t="shared" ref="OA48:OA52" si="1038">SUM(NO48:NZ48)</f>
        <v>#N/A</v>
      </c>
      <c r="OB48" s="86" t="e">
        <f>-VLOOKUP(OB$1,Amort!$B:$K,4,0)</f>
        <v>#N/A</v>
      </c>
      <c r="OC48" s="86" t="e">
        <f>-VLOOKUP(OC$1,Amort!$B:$K,4,0)</f>
        <v>#N/A</v>
      </c>
      <c r="OD48" s="86" t="e">
        <f>-VLOOKUP(OD$1,Amort!$B:$K,4,0)</f>
        <v>#N/A</v>
      </c>
      <c r="OE48" s="86" t="e">
        <f>-VLOOKUP(OE$1,Amort!$B:$K,4,0)</f>
        <v>#N/A</v>
      </c>
      <c r="OF48" s="86" t="e">
        <f>-VLOOKUP(OF$1,Amort!$B:$K,4,0)</f>
        <v>#N/A</v>
      </c>
      <c r="OG48" s="86" t="e">
        <f>-VLOOKUP(OG$1,Amort!$B:$K,4,0)</f>
        <v>#N/A</v>
      </c>
      <c r="OH48" s="86" t="e">
        <f>-VLOOKUP(OH$1,Amort!$B:$K,4,0)</f>
        <v>#N/A</v>
      </c>
      <c r="OI48" s="86" t="e">
        <f>-VLOOKUP(OI$1,Amort!$B:$K,4,0)</f>
        <v>#N/A</v>
      </c>
      <c r="OJ48" s="86" t="e">
        <f>-VLOOKUP(OJ$1,Amort!$B:$K,4,0)</f>
        <v>#N/A</v>
      </c>
      <c r="OK48" s="86" t="e">
        <f>-VLOOKUP(OK$1,Amort!$B:$K,4,0)</f>
        <v>#N/A</v>
      </c>
      <c r="OL48" s="86" t="e">
        <f>-VLOOKUP(OL$1,Amort!$B:$K,4,0)</f>
        <v>#N/A</v>
      </c>
      <c r="OM48" s="86" t="e">
        <f>-VLOOKUP(OM$1,Amort!$B:$K,4,0)</f>
        <v>#N/A</v>
      </c>
      <c r="ON48" s="87" t="e">
        <f t="shared" ref="ON48:ON52" si="1039">SUM(OB48:OM48)</f>
        <v>#N/A</v>
      </c>
      <c r="OO48" s="86" t="e">
        <f>-VLOOKUP(OO$1,Amort!$B:$K,4,0)</f>
        <v>#N/A</v>
      </c>
      <c r="OP48" s="86" t="e">
        <f>-VLOOKUP(OP$1,Amort!$B:$K,4,0)</f>
        <v>#N/A</v>
      </c>
      <c r="OQ48" s="86" t="e">
        <f>-VLOOKUP(OQ$1,Amort!$B:$K,4,0)</f>
        <v>#N/A</v>
      </c>
      <c r="OR48" s="86" t="e">
        <f>-VLOOKUP(OR$1,Amort!$B:$K,4,0)</f>
        <v>#N/A</v>
      </c>
      <c r="OS48" s="86" t="e">
        <f>-VLOOKUP(OS$1,Amort!$B:$K,4,0)</f>
        <v>#N/A</v>
      </c>
      <c r="OT48" s="86" t="e">
        <f>-VLOOKUP(OT$1,Amort!$B:$K,4,0)</f>
        <v>#N/A</v>
      </c>
      <c r="OU48" s="86" t="e">
        <f>-VLOOKUP(OU$1,Amort!$B:$K,4,0)</f>
        <v>#N/A</v>
      </c>
      <c r="OV48" s="86" t="e">
        <f>-VLOOKUP(OV$1,Amort!$B:$K,4,0)</f>
        <v>#N/A</v>
      </c>
      <c r="OW48" s="86" t="e">
        <f>-VLOOKUP(OW$1,Amort!$B:$K,4,0)</f>
        <v>#N/A</v>
      </c>
      <c r="OX48" s="86" t="e">
        <f>-VLOOKUP(OX$1,Amort!$B:$K,4,0)</f>
        <v>#N/A</v>
      </c>
      <c r="OY48" s="86" t="e">
        <f>-VLOOKUP(OY$1,Amort!$B:$K,4,0)</f>
        <v>#N/A</v>
      </c>
      <c r="OZ48" s="86" t="e">
        <f>-VLOOKUP(OZ$1,Amort!$B:$K,4,0)</f>
        <v>#N/A</v>
      </c>
      <c r="PA48" s="87" t="e">
        <f t="shared" ref="PA48:PA52" si="1040">SUM(OO48:OZ48)</f>
        <v>#N/A</v>
      </c>
      <c r="PB48" s="86" t="e">
        <f>-VLOOKUP(PB$1,Amort!$B:$K,4,0)</f>
        <v>#N/A</v>
      </c>
      <c r="PC48" s="86" t="e">
        <f>-VLOOKUP(PC$1,Amort!$B:$K,4,0)</f>
        <v>#N/A</v>
      </c>
      <c r="PD48" s="86" t="e">
        <f>-VLOOKUP(PD$1,Amort!$B:$K,4,0)</f>
        <v>#N/A</v>
      </c>
      <c r="PE48" s="86" t="e">
        <f>-VLOOKUP(PE$1,Amort!$B:$K,4,0)</f>
        <v>#N/A</v>
      </c>
      <c r="PF48" s="86" t="e">
        <f>-VLOOKUP(PF$1,Amort!$B:$K,4,0)</f>
        <v>#N/A</v>
      </c>
      <c r="PG48" s="86" t="e">
        <f>-VLOOKUP(PG$1,Amort!$B:$K,4,0)</f>
        <v>#N/A</v>
      </c>
      <c r="PH48" s="86" t="e">
        <f>-VLOOKUP(PH$1,Amort!$B:$K,4,0)</f>
        <v>#N/A</v>
      </c>
      <c r="PI48" s="86" t="e">
        <f>-VLOOKUP(PI$1,Amort!$B:$K,4,0)</f>
        <v>#N/A</v>
      </c>
      <c r="PJ48" s="86" t="e">
        <f>-VLOOKUP(PJ$1,Amort!$B:$K,4,0)</f>
        <v>#N/A</v>
      </c>
      <c r="PK48" s="86" t="e">
        <f>-VLOOKUP(PK$1,Amort!$B:$K,4,0)</f>
        <v>#N/A</v>
      </c>
      <c r="PL48" s="86" t="e">
        <f>-VLOOKUP(PL$1,Amort!$B:$K,4,0)</f>
        <v>#N/A</v>
      </c>
      <c r="PM48" s="86" t="e">
        <f>-VLOOKUP(PM$1,Amort!$B:$K,4,0)</f>
        <v>#N/A</v>
      </c>
      <c r="PN48" s="87" t="e">
        <f t="shared" ref="PN48:PN52" si="1041">SUM(PB48:PM48)</f>
        <v>#N/A</v>
      </c>
      <c r="PO48" s="86" t="e">
        <f>-VLOOKUP(PO$1,Amort!$B:$K,4,0)</f>
        <v>#N/A</v>
      </c>
      <c r="PP48" s="86" t="e">
        <f>-VLOOKUP(PP$1,Amort!$B:$K,4,0)</f>
        <v>#N/A</v>
      </c>
      <c r="PQ48" s="86" t="e">
        <f>-VLOOKUP(PQ$1,Amort!$B:$K,4,0)</f>
        <v>#N/A</v>
      </c>
      <c r="PR48" s="86" t="e">
        <f>-VLOOKUP(PR$1,Amort!$B:$K,4,0)</f>
        <v>#N/A</v>
      </c>
      <c r="PS48" s="86" t="e">
        <f>-VLOOKUP(PS$1,Amort!$B:$K,4,0)</f>
        <v>#N/A</v>
      </c>
      <c r="PT48" s="86" t="e">
        <f>-VLOOKUP(PT$1,Amort!$B:$K,4,0)</f>
        <v>#N/A</v>
      </c>
      <c r="PU48" s="86" t="e">
        <f>-VLOOKUP(PU$1,Amort!$B:$K,4,0)</f>
        <v>#N/A</v>
      </c>
      <c r="PV48" s="86" t="e">
        <f>-VLOOKUP(PV$1,Amort!$B:$K,4,0)</f>
        <v>#N/A</v>
      </c>
      <c r="PW48" s="86" t="e">
        <f>-VLOOKUP(PW$1,Amort!$B:$K,4,0)</f>
        <v>#N/A</v>
      </c>
      <c r="PX48" s="86" t="e">
        <f>-VLOOKUP(PX$1,Amort!$B:$K,4,0)</f>
        <v>#N/A</v>
      </c>
      <c r="PY48" s="86" t="e">
        <f>-VLOOKUP(PY$1,Amort!$B:$K,4,0)</f>
        <v>#N/A</v>
      </c>
      <c r="PZ48" s="86" t="e">
        <f>-VLOOKUP(PZ$1,Amort!$B:$K,4,0)</f>
        <v>#N/A</v>
      </c>
      <c r="QA48" s="87" t="e">
        <f t="shared" ref="QA48:QA52" si="1042">SUM(PO48:PZ48)</f>
        <v>#N/A</v>
      </c>
      <c r="QB48" s="86" t="e">
        <f>-VLOOKUP(QB$1,Amort!$B:$K,4,0)</f>
        <v>#N/A</v>
      </c>
      <c r="QC48" s="86" t="e">
        <f>-VLOOKUP(QC$1,Amort!$B:$K,4,0)</f>
        <v>#N/A</v>
      </c>
      <c r="QD48" s="86" t="e">
        <f>-VLOOKUP(QD$1,Amort!$B:$K,4,0)</f>
        <v>#N/A</v>
      </c>
      <c r="QE48" s="86" t="e">
        <f>-VLOOKUP(QE$1,Amort!$B:$K,4,0)</f>
        <v>#N/A</v>
      </c>
      <c r="QF48" s="86" t="e">
        <f>-VLOOKUP(QF$1,Amort!$B:$K,4,0)</f>
        <v>#N/A</v>
      </c>
      <c r="QG48" s="86" t="e">
        <f>-VLOOKUP(QG$1,Amort!$B:$K,4,0)</f>
        <v>#N/A</v>
      </c>
      <c r="QH48" s="86" t="e">
        <f>-VLOOKUP(QH$1,Amort!$B:$K,4,0)</f>
        <v>#N/A</v>
      </c>
      <c r="QI48" s="86" t="e">
        <f>-VLOOKUP(QI$1,Amort!$B:$K,4,0)</f>
        <v>#N/A</v>
      </c>
      <c r="QJ48" s="86" t="e">
        <f>-VLOOKUP(QJ$1,Amort!$B:$K,4,0)</f>
        <v>#N/A</v>
      </c>
      <c r="QK48" s="86" t="e">
        <f>-VLOOKUP(QK$1,Amort!$B:$K,4,0)</f>
        <v>#N/A</v>
      </c>
      <c r="QL48" s="86" t="e">
        <f>-VLOOKUP(QL$1,Amort!$B:$K,4,0)</f>
        <v>#N/A</v>
      </c>
      <c r="QM48" s="86" t="e">
        <f>-VLOOKUP(QM$1,Amort!$B:$K,4,0)</f>
        <v>#N/A</v>
      </c>
      <c r="QN48" s="87" t="e">
        <f t="shared" ref="QN48:QN52" si="1043">SUM(QB48:QM48)</f>
        <v>#N/A</v>
      </c>
      <c r="QO48" s="86" t="e">
        <f>-VLOOKUP(QO$1,Amort!$B:$K,4,0)</f>
        <v>#N/A</v>
      </c>
      <c r="QP48" s="86" t="e">
        <f>-VLOOKUP(QP$1,Amort!$B:$K,4,0)</f>
        <v>#N/A</v>
      </c>
      <c r="QQ48" s="86" t="e">
        <f>-VLOOKUP(QQ$1,Amort!$B:$K,4,0)</f>
        <v>#N/A</v>
      </c>
      <c r="QR48" s="86" t="e">
        <f>-VLOOKUP(QR$1,Amort!$B:$K,4,0)</f>
        <v>#N/A</v>
      </c>
      <c r="QS48" s="86" t="e">
        <f>-VLOOKUP(QS$1,Amort!$B:$K,4,0)</f>
        <v>#N/A</v>
      </c>
      <c r="QT48" s="86" t="e">
        <f>-VLOOKUP(QT$1,Amort!$B:$K,4,0)</f>
        <v>#N/A</v>
      </c>
      <c r="QU48" s="86" t="e">
        <f>-VLOOKUP(QU$1,Amort!$B:$K,4,0)</f>
        <v>#N/A</v>
      </c>
      <c r="QV48" s="86" t="e">
        <f>-VLOOKUP(QV$1,Amort!$B:$K,4,0)</f>
        <v>#N/A</v>
      </c>
      <c r="QW48" s="86" t="e">
        <f>-VLOOKUP(QW$1,Amort!$B:$K,4,0)</f>
        <v>#N/A</v>
      </c>
      <c r="QX48" s="86" t="e">
        <f>-VLOOKUP(QX$1,Amort!$B:$K,4,0)</f>
        <v>#N/A</v>
      </c>
      <c r="QY48" s="86" t="e">
        <f>-VLOOKUP(QY$1,Amort!$B:$K,4,0)</f>
        <v>#N/A</v>
      </c>
      <c r="QZ48" s="86" t="e">
        <f>-VLOOKUP(QZ$1,Amort!$B:$K,4,0)</f>
        <v>#N/A</v>
      </c>
      <c r="RA48" s="87" t="e">
        <f t="shared" ref="RA48:RA52" si="1044">SUM(QO48:QZ48)</f>
        <v>#N/A</v>
      </c>
      <c r="RB48" s="86" t="e">
        <f>-VLOOKUP(RB$1,Amort!$B:$K,4,0)</f>
        <v>#N/A</v>
      </c>
      <c r="RC48" s="86" t="e">
        <f>-VLOOKUP(RC$1,Amort!$B:$K,4,0)</f>
        <v>#N/A</v>
      </c>
      <c r="RD48" s="86" t="e">
        <f>-VLOOKUP(RD$1,Amort!$B:$K,4,0)</f>
        <v>#N/A</v>
      </c>
      <c r="RE48" s="86" t="e">
        <f>-VLOOKUP(RE$1,Amort!$B:$K,4,0)</f>
        <v>#N/A</v>
      </c>
      <c r="RF48" s="86" t="e">
        <f>-VLOOKUP(RF$1,Amort!$B:$K,4,0)</f>
        <v>#N/A</v>
      </c>
      <c r="RG48" s="86" t="e">
        <f>-VLOOKUP(RG$1,Amort!$B:$K,4,0)</f>
        <v>#N/A</v>
      </c>
      <c r="RH48" s="86" t="e">
        <f>-VLOOKUP(RH$1,Amort!$B:$K,4,0)</f>
        <v>#N/A</v>
      </c>
      <c r="RI48" s="86" t="e">
        <f>-VLOOKUP(RI$1,Amort!$B:$K,4,0)</f>
        <v>#N/A</v>
      </c>
      <c r="RJ48" s="86" t="e">
        <f>-VLOOKUP(RJ$1,Amort!$B:$K,4,0)</f>
        <v>#N/A</v>
      </c>
      <c r="RK48" s="86" t="e">
        <f>-VLOOKUP(RK$1,Amort!$B:$K,4,0)</f>
        <v>#N/A</v>
      </c>
      <c r="RL48" s="86" t="e">
        <f>-VLOOKUP(RL$1,Amort!$B:$K,4,0)</f>
        <v>#N/A</v>
      </c>
      <c r="RM48" s="86" t="e">
        <f>-VLOOKUP(RM$1,Amort!$B:$K,4,0)</f>
        <v>#N/A</v>
      </c>
      <c r="RN48" s="87" t="e">
        <f t="shared" ref="RN48:RN52" si="1045">SUM(RB48:RM48)</f>
        <v>#N/A</v>
      </c>
    </row>
    <row r="49" spans="1:482" hidden="1" outlineLevel="1" x14ac:dyDescent="0.3">
      <c r="A49" s="89" t="s">
        <v>263</v>
      </c>
      <c r="B49" s="86">
        <f>-VLOOKUP(B$1,Amort!$B:$K,9,0)</f>
        <v>0</v>
      </c>
      <c r="C49" s="86">
        <f>-VLOOKUP(C$1,Amort!$B:$K,9,0)</f>
        <v>0</v>
      </c>
      <c r="D49" s="86">
        <f>-VLOOKUP(D$1,Amort!$B:$K,9,0)</f>
        <v>0</v>
      </c>
      <c r="E49" s="86">
        <f>-VLOOKUP(E$1,Amort!$B:$K,9,0)</f>
        <v>0</v>
      </c>
      <c r="F49" s="86">
        <f>-VLOOKUP(F$1,Amort!$B:$K,9,0)</f>
        <v>0</v>
      </c>
      <c r="G49" s="86">
        <f>-VLOOKUP(G$1,Amort!$B:$K,9,0)</f>
        <v>0</v>
      </c>
      <c r="H49" s="86">
        <f>-VLOOKUP(H$1,Amort!$B:$K,9,0)</f>
        <v>0</v>
      </c>
      <c r="I49" s="86">
        <f>-VLOOKUP(I$1,Amort!$B:$K,9,0)</f>
        <v>0</v>
      </c>
      <c r="J49" s="86">
        <f>-VLOOKUP(J$1,Amort!$B:$K,9,0)</f>
        <v>0</v>
      </c>
      <c r="K49" s="86">
        <f>-VLOOKUP(K$1,Amort!$B:$K,9,0)</f>
        <v>0</v>
      </c>
      <c r="L49" s="86">
        <f>-VLOOKUP(L$1,Amort!$B:$K,9,0)</f>
        <v>0</v>
      </c>
      <c r="M49" s="86">
        <f>-VLOOKUP(M$1,Amort!$B:$K,9,0)</f>
        <v>0</v>
      </c>
      <c r="N49" s="87">
        <f t="shared" si="1009"/>
        <v>0</v>
      </c>
      <c r="O49" s="86">
        <f>-VLOOKUP(O$1,Amort!$B:$K,9,0)</f>
        <v>0</v>
      </c>
      <c r="P49" s="86">
        <f>-VLOOKUP(P$1,Amort!$B:$K,9,0)</f>
        <v>0</v>
      </c>
      <c r="Q49" s="86">
        <f>-VLOOKUP(Q$1,Amort!$B:$K,9,0)</f>
        <v>0</v>
      </c>
      <c r="R49" s="86">
        <f>-VLOOKUP(R$1,Amort!$B:$K,9,0)</f>
        <v>0</v>
      </c>
      <c r="S49" s="86">
        <f>-VLOOKUP(S$1,Amort!$B:$K,9,0)</f>
        <v>0</v>
      </c>
      <c r="T49" s="86">
        <f>-VLOOKUP(T$1,Amort!$B:$K,9,0)</f>
        <v>0</v>
      </c>
      <c r="U49" s="86">
        <f>-VLOOKUP(U$1,Amort!$B:$K,9,0)</f>
        <v>0</v>
      </c>
      <c r="V49" s="86">
        <f>-VLOOKUP(V$1,Amort!$B:$K,9,0)</f>
        <v>0</v>
      </c>
      <c r="W49" s="86">
        <f>-VLOOKUP(W$1,Amort!$B:$K,9,0)</f>
        <v>0</v>
      </c>
      <c r="X49" s="86">
        <f>-VLOOKUP(X$1,Amort!$B:$K,9,0)</f>
        <v>0</v>
      </c>
      <c r="Y49" s="86">
        <f>-VLOOKUP(Y$1,Amort!$B:$K,9,0)</f>
        <v>0</v>
      </c>
      <c r="Z49" s="86">
        <f>-VLOOKUP(Z$1,Amort!$B:$K,9,0)</f>
        <v>0</v>
      </c>
      <c r="AA49" s="87">
        <f t="shared" si="1010"/>
        <v>0</v>
      </c>
      <c r="AB49" s="86">
        <f>-VLOOKUP(AB$1,Amort!$B:$K,9,0)</f>
        <v>0</v>
      </c>
      <c r="AC49" s="86">
        <f>-VLOOKUP(AC$1,Amort!$B:$K,9,0)</f>
        <v>0</v>
      </c>
      <c r="AD49" s="86">
        <f>-VLOOKUP(AD$1,Amort!$B:$K,9,0)</f>
        <v>0</v>
      </c>
      <c r="AE49" s="86">
        <f>-VLOOKUP(AE$1,Amort!$B:$K,9,0)</f>
        <v>0</v>
      </c>
      <c r="AF49" s="86">
        <f>-VLOOKUP(AF$1,Amort!$B:$K,9,0)</f>
        <v>0</v>
      </c>
      <c r="AG49" s="86">
        <f>-VLOOKUP(AG$1,Amort!$B:$K,9,0)</f>
        <v>0</v>
      </c>
      <c r="AH49" s="86">
        <f>-VLOOKUP(AH$1,Amort!$B:$K,9,0)</f>
        <v>0</v>
      </c>
      <c r="AI49" s="86">
        <f>-VLOOKUP(AI$1,Amort!$B:$K,9,0)</f>
        <v>0</v>
      </c>
      <c r="AJ49" s="86">
        <f>-VLOOKUP(AJ$1,Amort!$B:$K,9,0)</f>
        <v>0</v>
      </c>
      <c r="AK49" s="86">
        <f>-VLOOKUP(AK$1,Amort!$B:$K,9,0)</f>
        <v>0</v>
      </c>
      <c r="AL49" s="86">
        <f>-VLOOKUP(AL$1,Amort!$B:$K,9,0)</f>
        <v>0</v>
      </c>
      <c r="AM49" s="86">
        <f>-VLOOKUP(AM$1,Amort!$B:$K,9,0)</f>
        <v>0</v>
      </c>
      <c r="AN49" s="87">
        <f t="shared" si="1011"/>
        <v>0</v>
      </c>
      <c r="AO49" s="86">
        <f>-VLOOKUP(AO$1,Amort!$B:$K,9,0)</f>
        <v>0</v>
      </c>
      <c r="AP49" s="86">
        <f>-VLOOKUP(AP$1,Amort!$B:$K,9,0)</f>
        <v>0</v>
      </c>
      <c r="AQ49" s="86">
        <f>-VLOOKUP(AQ$1,Amort!$B:$K,9,0)</f>
        <v>0</v>
      </c>
      <c r="AR49" s="86">
        <f>-VLOOKUP(AR$1,Amort!$B:$K,9,0)</f>
        <v>0</v>
      </c>
      <c r="AS49" s="86">
        <f>-VLOOKUP(AS$1,Amort!$B:$K,9,0)</f>
        <v>0</v>
      </c>
      <c r="AT49" s="86">
        <f>-VLOOKUP(AT$1,Amort!$B:$K,9,0)</f>
        <v>0</v>
      </c>
      <c r="AU49" s="86">
        <f>-VLOOKUP(AU$1,Amort!$B:$K,9,0)</f>
        <v>0</v>
      </c>
      <c r="AV49" s="86">
        <f>-VLOOKUP(AV$1,Amort!$B:$K,9,0)</f>
        <v>0</v>
      </c>
      <c r="AW49" s="86">
        <f>-VLOOKUP(AW$1,Amort!$B:$K,9,0)</f>
        <v>0</v>
      </c>
      <c r="AX49" s="86">
        <f>-VLOOKUP(AX$1,Amort!$B:$K,9,0)</f>
        <v>0</v>
      </c>
      <c r="AY49" s="86">
        <f>-VLOOKUP(AY$1,Amort!$B:$K,9,0)</f>
        <v>0</v>
      </c>
      <c r="AZ49" s="86">
        <f>-VLOOKUP(AZ$1,Amort!$B:$K,9,0)</f>
        <v>0</v>
      </c>
      <c r="BA49" s="87">
        <f t="shared" si="1012"/>
        <v>0</v>
      </c>
      <c r="BB49" s="86">
        <f>-VLOOKUP(BB$1,Amort!$B:$K,9,0)</f>
        <v>0</v>
      </c>
      <c r="BC49" s="86">
        <f>-VLOOKUP(BC$1,Amort!$B:$K,9,0)</f>
        <v>0</v>
      </c>
      <c r="BD49" s="86">
        <f>-VLOOKUP(BD$1,Amort!$B:$K,9,0)</f>
        <v>0</v>
      </c>
      <c r="BE49" s="86">
        <f>-VLOOKUP(BE$1,Amort!$B:$K,9,0)</f>
        <v>0</v>
      </c>
      <c r="BF49" s="86">
        <f>-VLOOKUP(BF$1,Amort!$B:$K,9,0)</f>
        <v>0</v>
      </c>
      <c r="BG49" s="86">
        <f>-VLOOKUP(BG$1,Amort!$B:$K,9,0)</f>
        <v>0</v>
      </c>
      <c r="BH49" s="86">
        <f>-VLOOKUP(BH$1,Amort!$B:$K,9,0)</f>
        <v>0</v>
      </c>
      <c r="BI49" s="86">
        <f>-VLOOKUP(BI$1,Amort!$B:$K,9,0)</f>
        <v>0</v>
      </c>
      <c r="BJ49" s="86">
        <f>-VLOOKUP(BJ$1,Amort!$B:$K,9,0)</f>
        <v>0</v>
      </c>
      <c r="BK49" s="86">
        <f>-VLOOKUP(BK$1,Amort!$B:$K,9,0)</f>
        <v>0</v>
      </c>
      <c r="BL49" s="86">
        <f>-VLOOKUP(BL$1,Amort!$B:$K,9,0)</f>
        <v>0</v>
      </c>
      <c r="BM49" s="86">
        <f>-VLOOKUP(BM$1,Amort!$B:$K,9,0)</f>
        <v>0</v>
      </c>
      <c r="BN49" s="87">
        <f t="shared" si="1013"/>
        <v>0</v>
      </c>
      <c r="BO49" s="86">
        <f>-VLOOKUP(BO$1,Amort!$B:$K,9,0)</f>
        <v>0</v>
      </c>
      <c r="BP49" s="86">
        <f>-VLOOKUP(BP$1,Amort!$B:$K,9,0)</f>
        <v>0</v>
      </c>
      <c r="BQ49" s="86">
        <f>-VLOOKUP(BQ$1,Amort!$B:$K,9,0)</f>
        <v>0</v>
      </c>
      <c r="BR49" s="86">
        <f>-VLOOKUP(BR$1,Amort!$B:$K,9,0)</f>
        <v>0</v>
      </c>
      <c r="BS49" s="86">
        <f>-VLOOKUP(BS$1,Amort!$B:$K,9,0)</f>
        <v>0</v>
      </c>
      <c r="BT49" s="86">
        <f>-VLOOKUP(BT$1,Amort!$B:$K,9,0)</f>
        <v>0</v>
      </c>
      <c r="BU49" s="86">
        <f>-VLOOKUP(BU$1,Amort!$B:$K,9,0)</f>
        <v>0</v>
      </c>
      <c r="BV49" s="86">
        <f>-VLOOKUP(BV$1,Amort!$B:$K,9,0)</f>
        <v>0</v>
      </c>
      <c r="BW49" s="86">
        <f>-VLOOKUP(BW$1,Amort!$B:$K,9,0)</f>
        <v>0</v>
      </c>
      <c r="BX49" s="86">
        <f>-VLOOKUP(BX$1,Amort!$B:$K,9,0)</f>
        <v>0</v>
      </c>
      <c r="BY49" s="86">
        <f>-VLOOKUP(BY$1,Amort!$B:$K,9,0)</f>
        <v>0</v>
      </c>
      <c r="BZ49" s="86">
        <f>-VLOOKUP(BZ$1,Amort!$B:$K,9,0)</f>
        <v>0</v>
      </c>
      <c r="CA49" s="87">
        <f t="shared" si="1014"/>
        <v>0</v>
      </c>
      <c r="CB49" s="86">
        <f>-VLOOKUP(CB$1,Amort!$B:$K,9,0)</f>
        <v>0</v>
      </c>
      <c r="CC49" s="86">
        <f>-VLOOKUP(CC$1,Amort!$B:$K,9,0)</f>
        <v>0</v>
      </c>
      <c r="CD49" s="86">
        <f>-VLOOKUP(CD$1,Amort!$B:$K,9,0)</f>
        <v>0</v>
      </c>
      <c r="CE49" s="86">
        <f>-VLOOKUP(CE$1,Amort!$B:$K,9,0)</f>
        <v>0</v>
      </c>
      <c r="CF49" s="86">
        <f>-VLOOKUP(CF$1,Amort!$B:$K,9,0)</f>
        <v>0</v>
      </c>
      <c r="CG49" s="86">
        <f>-VLOOKUP(CG$1,Amort!$B:$K,9,0)</f>
        <v>0</v>
      </c>
      <c r="CH49" s="86">
        <f>-VLOOKUP(CH$1,Amort!$B:$K,9,0)</f>
        <v>0</v>
      </c>
      <c r="CI49" s="86">
        <f>-VLOOKUP(CI$1,Amort!$B:$K,9,0)</f>
        <v>0</v>
      </c>
      <c r="CJ49" s="86">
        <f>-VLOOKUP(CJ$1,Amort!$B:$K,9,0)</f>
        <v>0</v>
      </c>
      <c r="CK49" s="86">
        <f>-VLOOKUP(CK$1,Amort!$B:$K,9,0)</f>
        <v>0</v>
      </c>
      <c r="CL49" s="86">
        <f>-VLOOKUP(CL$1,Amort!$B:$K,9,0)</f>
        <v>0</v>
      </c>
      <c r="CM49" s="86">
        <f>-VLOOKUP(CM$1,Amort!$B:$K,9,0)</f>
        <v>0</v>
      </c>
      <c r="CN49" s="87">
        <f t="shared" si="1015"/>
        <v>0</v>
      </c>
      <c r="CO49" s="86">
        <f>-VLOOKUP(CO$1,Amort!$B:$K,9,0)</f>
        <v>0</v>
      </c>
      <c r="CP49" s="86">
        <f>-VLOOKUP(CP$1,Amort!$B:$K,9,0)</f>
        <v>0</v>
      </c>
      <c r="CQ49" s="86">
        <f>-VLOOKUP(CQ$1,Amort!$B:$K,9,0)</f>
        <v>0</v>
      </c>
      <c r="CR49" s="86">
        <f>-VLOOKUP(CR$1,Amort!$B:$K,9,0)</f>
        <v>0</v>
      </c>
      <c r="CS49" s="86">
        <f>-VLOOKUP(CS$1,Amort!$B:$K,9,0)</f>
        <v>0</v>
      </c>
      <c r="CT49" s="86">
        <f>-VLOOKUP(CT$1,Amort!$B:$K,9,0)</f>
        <v>0</v>
      </c>
      <c r="CU49" s="86">
        <f>-VLOOKUP(CU$1,Amort!$B:$K,9,0)</f>
        <v>0</v>
      </c>
      <c r="CV49" s="86">
        <f>-VLOOKUP(CV$1,Amort!$B:$K,9,0)</f>
        <v>0</v>
      </c>
      <c r="CW49" s="86">
        <f>-VLOOKUP(CW$1,Amort!$B:$K,9,0)</f>
        <v>0</v>
      </c>
      <c r="CX49" s="86">
        <f>-VLOOKUP(CX$1,Amort!$B:$K,9,0)</f>
        <v>0</v>
      </c>
      <c r="CY49" s="86">
        <f>-VLOOKUP(CY$1,Amort!$B:$K,9,0)</f>
        <v>0</v>
      </c>
      <c r="CZ49" s="86">
        <f>-VLOOKUP(CZ$1,Amort!$B:$K,9,0)</f>
        <v>0</v>
      </c>
      <c r="DA49" s="87">
        <f t="shared" si="1016"/>
        <v>0</v>
      </c>
      <c r="DB49" s="86">
        <f>-VLOOKUP(DB$1,Amort!$B:$K,9,0)</f>
        <v>0</v>
      </c>
      <c r="DC49" s="86">
        <f>-VLOOKUP(DC$1,Amort!$B:$K,9,0)</f>
        <v>0</v>
      </c>
      <c r="DD49" s="86">
        <f>-VLOOKUP(DD$1,Amort!$B:$K,9,0)</f>
        <v>0</v>
      </c>
      <c r="DE49" s="86">
        <f>-VLOOKUP(DE$1,Amort!$B:$K,9,0)</f>
        <v>0</v>
      </c>
      <c r="DF49" s="86">
        <f>-VLOOKUP(DF$1,Amort!$B:$K,9,0)</f>
        <v>0</v>
      </c>
      <c r="DG49" s="86">
        <f>-VLOOKUP(DG$1,Amort!$B:$K,9,0)</f>
        <v>0</v>
      </c>
      <c r="DH49" s="86">
        <f>-VLOOKUP(DH$1,Amort!$B:$K,9,0)</f>
        <v>0</v>
      </c>
      <c r="DI49" s="86">
        <f>-VLOOKUP(DI$1,Amort!$B:$K,9,0)</f>
        <v>0</v>
      </c>
      <c r="DJ49" s="86">
        <f>-VLOOKUP(DJ$1,Amort!$B:$K,9,0)</f>
        <v>0</v>
      </c>
      <c r="DK49" s="86">
        <f>-VLOOKUP(DK$1,Amort!$B:$K,9,0)</f>
        <v>0</v>
      </c>
      <c r="DL49" s="86">
        <f>-VLOOKUP(DL$1,Amort!$B:$K,9,0)</f>
        <v>0</v>
      </c>
      <c r="DM49" s="86">
        <f>-VLOOKUP(DM$1,Amort!$B:$K,9,0)</f>
        <v>0</v>
      </c>
      <c r="DN49" s="87">
        <f t="shared" si="1017"/>
        <v>0</v>
      </c>
      <c r="DO49" s="86">
        <f>-VLOOKUP(DO$1,Amort!$B:$K,9,0)</f>
        <v>0</v>
      </c>
      <c r="DP49" s="86">
        <f>-VLOOKUP(DP$1,Amort!$B:$K,9,0)</f>
        <v>0</v>
      </c>
      <c r="DQ49" s="86">
        <f>-VLOOKUP(DQ$1,Amort!$B:$K,9,0)</f>
        <v>0</v>
      </c>
      <c r="DR49" s="86">
        <f>-VLOOKUP(DR$1,Amort!$B:$K,9,0)</f>
        <v>0</v>
      </c>
      <c r="DS49" s="86">
        <f>-VLOOKUP(DS$1,Amort!$B:$K,9,0)</f>
        <v>0</v>
      </c>
      <c r="DT49" s="86">
        <f>-VLOOKUP(DT$1,Amort!$B:$K,9,0)</f>
        <v>0</v>
      </c>
      <c r="DU49" s="86">
        <f>-VLOOKUP(DU$1,Amort!$B:$K,9,0)</f>
        <v>0</v>
      </c>
      <c r="DV49" s="86">
        <f>-VLOOKUP(DV$1,Amort!$B:$K,9,0)</f>
        <v>0</v>
      </c>
      <c r="DW49" s="86">
        <f>-VLOOKUP(DW$1,Amort!$B:$K,9,0)</f>
        <v>0</v>
      </c>
      <c r="DX49" s="86">
        <f>-VLOOKUP(DX$1,Amort!$B:$K,9,0)</f>
        <v>0</v>
      </c>
      <c r="DY49" s="86">
        <f>-VLOOKUP(DY$1,Amort!$B:$K,9,0)</f>
        <v>0</v>
      </c>
      <c r="DZ49" s="86">
        <f>-VLOOKUP(DZ$1,Amort!$B:$K,9,0)</f>
        <v>0</v>
      </c>
      <c r="EA49" s="87">
        <f t="shared" si="1018"/>
        <v>0</v>
      </c>
      <c r="EB49" s="86">
        <f>-VLOOKUP(EB$1,Amort!$B:$K,9,0)</f>
        <v>0</v>
      </c>
      <c r="EC49" s="86">
        <f>-VLOOKUP(EC$1,Amort!$B:$K,9,0)</f>
        <v>0</v>
      </c>
      <c r="ED49" s="86">
        <f>-VLOOKUP(ED$1,Amort!$B:$K,9,0)</f>
        <v>0</v>
      </c>
      <c r="EE49" s="86">
        <f>-VLOOKUP(EE$1,Amort!$B:$K,9,0)</f>
        <v>0</v>
      </c>
      <c r="EF49" s="86">
        <f>-VLOOKUP(EF$1,Amort!$B:$K,9,0)</f>
        <v>0</v>
      </c>
      <c r="EG49" s="86">
        <f>-VLOOKUP(EG$1,Amort!$B:$K,9,0)</f>
        <v>0</v>
      </c>
      <c r="EH49" s="86">
        <f>-VLOOKUP(EH$1,Amort!$B:$K,9,0)</f>
        <v>0</v>
      </c>
      <c r="EI49" s="86">
        <f>-VLOOKUP(EI$1,Amort!$B:$K,9,0)</f>
        <v>0</v>
      </c>
      <c r="EJ49" s="86">
        <f>-VLOOKUP(EJ$1,Amort!$B:$K,9,0)</f>
        <v>0</v>
      </c>
      <c r="EK49" s="86">
        <f>-VLOOKUP(EK$1,Amort!$B:$K,9,0)</f>
        <v>0</v>
      </c>
      <c r="EL49" s="86">
        <f>-VLOOKUP(EL$1,Amort!$B:$K,9,0)</f>
        <v>0</v>
      </c>
      <c r="EM49" s="86">
        <f>-VLOOKUP(EM$1,Amort!$B:$K,9,0)</f>
        <v>0</v>
      </c>
      <c r="EN49" s="87">
        <f t="shared" si="1019"/>
        <v>0</v>
      </c>
      <c r="EO49" s="86">
        <f>-VLOOKUP(EO$1,Amort!$B:$K,9,0)</f>
        <v>0</v>
      </c>
      <c r="EP49" s="86">
        <f>-VLOOKUP(EP$1,Amort!$B:$K,9,0)</f>
        <v>0</v>
      </c>
      <c r="EQ49" s="86">
        <f>-VLOOKUP(EQ$1,Amort!$B:$K,9,0)</f>
        <v>0</v>
      </c>
      <c r="ER49" s="86">
        <f>-VLOOKUP(ER$1,Amort!$B:$K,9,0)</f>
        <v>0</v>
      </c>
      <c r="ES49" s="86">
        <f>-VLOOKUP(ES$1,Amort!$B:$K,9,0)</f>
        <v>0</v>
      </c>
      <c r="ET49" s="86">
        <f>-VLOOKUP(ET$1,Amort!$B:$K,9,0)</f>
        <v>0</v>
      </c>
      <c r="EU49" s="86">
        <f>-VLOOKUP(EU$1,Amort!$B:$K,9,0)</f>
        <v>0</v>
      </c>
      <c r="EV49" s="86">
        <f>-VLOOKUP(EV$1,Amort!$B:$K,9,0)</f>
        <v>0</v>
      </c>
      <c r="EW49" s="86">
        <f>-VLOOKUP(EW$1,Amort!$B:$K,9,0)</f>
        <v>0</v>
      </c>
      <c r="EX49" s="86">
        <f>-VLOOKUP(EX$1,Amort!$B:$K,9,0)</f>
        <v>0</v>
      </c>
      <c r="EY49" s="86">
        <f>-VLOOKUP(EY$1,Amort!$B:$K,9,0)</f>
        <v>0</v>
      </c>
      <c r="EZ49" s="86">
        <f>-VLOOKUP(EZ$1,Amort!$B:$K,9,0)</f>
        <v>0</v>
      </c>
      <c r="FA49" s="87">
        <f t="shared" si="1020"/>
        <v>0</v>
      </c>
      <c r="FB49" s="86">
        <f>-VLOOKUP(FB$1,Amort!$B:$K,9,0)</f>
        <v>0</v>
      </c>
      <c r="FC49" s="86">
        <f>-VLOOKUP(FC$1,Amort!$B:$K,9,0)</f>
        <v>0</v>
      </c>
      <c r="FD49" s="86">
        <f>-VLOOKUP(FD$1,Amort!$B:$K,9,0)</f>
        <v>0</v>
      </c>
      <c r="FE49" s="86">
        <f>-VLOOKUP(FE$1,Amort!$B:$K,9,0)</f>
        <v>0</v>
      </c>
      <c r="FF49" s="86">
        <f>-VLOOKUP(FF$1,Amort!$B:$K,9,0)</f>
        <v>0</v>
      </c>
      <c r="FG49" s="86">
        <f>-VLOOKUP(FG$1,Amort!$B:$K,9,0)</f>
        <v>0</v>
      </c>
      <c r="FH49" s="86">
        <f>-VLOOKUP(FH$1,Amort!$B:$K,9,0)</f>
        <v>0</v>
      </c>
      <c r="FI49" s="86">
        <f>-VLOOKUP(FI$1,Amort!$B:$K,9,0)</f>
        <v>0</v>
      </c>
      <c r="FJ49" s="86">
        <f>-VLOOKUP(FJ$1,Amort!$B:$K,9,0)</f>
        <v>0</v>
      </c>
      <c r="FK49" s="86">
        <f>-VLOOKUP(FK$1,Amort!$B:$K,9,0)</f>
        <v>0</v>
      </c>
      <c r="FL49" s="86">
        <f>-VLOOKUP(FL$1,Amort!$B:$K,9,0)</f>
        <v>0</v>
      </c>
      <c r="FM49" s="86">
        <f>-VLOOKUP(FM$1,Amort!$B:$K,9,0)</f>
        <v>0</v>
      </c>
      <c r="FN49" s="87">
        <f t="shared" si="1021"/>
        <v>0</v>
      </c>
      <c r="FO49" s="86">
        <f>-VLOOKUP(FO$1,Amort!$B:$K,9,0)</f>
        <v>0</v>
      </c>
      <c r="FP49" s="86">
        <f>-VLOOKUP(FP$1,Amort!$B:$K,9,0)</f>
        <v>0</v>
      </c>
      <c r="FQ49" s="86">
        <f>-VLOOKUP(FQ$1,Amort!$B:$K,9,0)</f>
        <v>0</v>
      </c>
      <c r="FR49" s="86">
        <f>-VLOOKUP(FR$1,Amort!$B:$K,9,0)</f>
        <v>0</v>
      </c>
      <c r="FS49" s="86">
        <f>-VLOOKUP(FS$1,Amort!$B:$K,9,0)</f>
        <v>0</v>
      </c>
      <c r="FT49" s="86">
        <f>-VLOOKUP(FT$1,Amort!$B:$K,9,0)</f>
        <v>0</v>
      </c>
      <c r="FU49" s="86">
        <f>-VLOOKUP(FU$1,Amort!$B:$K,9,0)</f>
        <v>0</v>
      </c>
      <c r="FV49" s="86">
        <f>-VLOOKUP(FV$1,Amort!$B:$K,9,0)</f>
        <v>0</v>
      </c>
      <c r="FW49" s="86">
        <f>-VLOOKUP(FW$1,Amort!$B:$K,9,0)</f>
        <v>0</v>
      </c>
      <c r="FX49" s="86">
        <f>-VLOOKUP(FX$1,Amort!$B:$K,9,0)</f>
        <v>0</v>
      </c>
      <c r="FY49" s="86">
        <f>-VLOOKUP(FY$1,Amort!$B:$K,9,0)</f>
        <v>0</v>
      </c>
      <c r="FZ49" s="86">
        <f>-VLOOKUP(FZ$1,Amort!$B:$K,9,0)</f>
        <v>0</v>
      </c>
      <c r="GA49" s="87">
        <f t="shared" si="1022"/>
        <v>0</v>
      </c>
      <c r="GB49" s="86">
        <f>-VLOOKUP(GB$1,Amort!$B:$K,9,0)</f>
        <v>0</v>
      </c>
      <c r="GC49" s="86">
        <f>-VLOOKUP(GC$1,Amort!$B:$K,9,0)</f>
        <v>0</v>
      </c>
      <c r="GD49" s="86">
        <f>-VLOOKUP(GD$1,Amort!$B:$K,9,0)</f>
        <v>0</v>
      </c>
      <c r="GE49" s="86">
        <f>-VLOOKUP(GE$1,Amort!$B:$K,9,0)</f>
        <v>0</v>
      </c>
      <c r="GF49" s="86">
        <f>-VLOOKUP(GF$1,Amort!$B:$K,9,0)</f>
        <v>0</v>
      </c>
      <c r="GG49" s="86">
        <f>-VLOOKUP(GG$1,Amort!$B:$K,9,0)</f>
        <v>0</v>
      </c>
      <c r="GH49" s="86">
        <f>-VLOOKUP(GH$1,Amort!$B:$K,9,0)</f>
        <v>0</v>
      </c>
      <c r="GI49" s="86">
        <f>-VLOOKUP(GI$1,Amort!$B:$K,9,0)</f>
        <v>0</v>
      </c>
      <c r="GJ49" s="86">
        <f>-VLOOKUP(GJ$1,Amort!$B:$K,9,0)</f>
        <v>0</v>
      </c>
      <c r="GK49" s="86">
        <f>-VLOOKUP(GK$1,Amort!$B:$K,9,0)</f>
        <v>0</v>
      </c>
      <c r="GL49" s="86">
        <f>-VLOOKUP(GL$1,Amort!$B:$K,9,0)</f>
        <v>0</v>
      </c>
      <c r="GM49" s="86">
        <f>-VLOOKUP(GM$1,Amort!$B:$K,9,0)</f>
        <v>0</v>
      </c>
      <c r="GN49" s="87">
        <f t="shared" si="1023"/>
        <v>0</v>
      </c>
      <c r="GO49" s="86">
        <f>-VLOOKUP(GO$1,Amort!$B:$K,9,0)</f>
        <v>0</v>
      </c>
      <c r="GP49" s="86">
        <f>-VLOOKUP(GP$1,Amort!$B:$K,9,0)</f>
        <v>0</v>
      </c>
      <c r="GQ49" s="86">
        <f>-VLOOKUP(GQ$1,Amort!$B:$K,9,0)</f>
        <v>0</v>
      </c>
      <c r="GR49" s="86">
        <f>-VLOOKUP(GR$1,Amort!$B:$K,9,0)</f>
        <v>0</v>
      </c>
      <c r="GS49" s="86">
        <f>-VLOOKUP(GS$1,Amort!$B:$K,9,0)</f>
        <v>0</v>
      </c>
      <c r="GT49" s="86">
        <f>-VLOOKUP(GT$1,Amort!$B:$K,9,0)</f>
        <v>0</v>
      </c>
      <c r="GU49" s="86">
        <f>-VLOOKUP(GU$1,Amort!$B:$K,9,0)</f>
        <v>0</v>
      </c>
      <c r="GV49" s="86">
        <f>-VLOOKUP(GV$1,Amort!$B:$K,9,0)</f>
        <v>0</v>
      </c>
      <c r="GW49" s="86">
        <f>-VLOOKUP(GW$1,Amort!$B:$K,9,0)</f>
        <v>0</v>
      </c>
      <c r="GX49" s="86">
        <f>-VLOOKUP(GX$1,Amort!$B:$K,9,0)</f>
        <v>0</v>
      </c>
      <c r="GY49" s="86">
        <f>-VLOOKUP(GY$1,Amort!$B:$K,9,0)</f>
        <v>0</v>
      </c>
      <c r="GZ49" s="86">
        <f>-VLOOKUP(GZ$1,Amort!$B:$K,9,0)</f>
        <v>0</v>
      </c>
      <c r="HA49" s="87">
        <f t="shared" si="1024"/>
        <v>0</v>
      </c>
      <c r="HB49" s="86">
        <f>-VLOOKUP(HB$1,Amort!$B:$K,9,0)</f>
        <v>0</v>
      </c>
      <c r="HC49" s="86">
        <f>-VLOOKUP(HC$1,Amort!$B:$K,9,0)</f>
        <v>0</v>
      </c>
      <c r="HD49" s="86">
        <f>-VLOOKUP(HD$1,Amort!$B:$K,9,0)</f>
        <v>0</v>
      </c>
      <c r="HE49" s="86">
        <f>-VLOOKUP(HE$1,Amort!$B:$K,9,0)</f>
        <v>0</v>
      </c>
      <c r="HF49" s="86">
        <f>-VLOOKUP(HF$1,Amort!$B:$K,9,0)</f>
        <v>0</v>
      </c>
      <c r="HG49" s="86">
        <f>-VLOOKUP(HG$1,Amort!$B:$K,9,0)</f>
        <v>0</v>
      </c>
      <c r="HH49" s="86">
        <f>-VLOOKUP(HH$1,Amort!$B:$K,9,0)</f>
        <v>0</v>
      </c>
      <c r="HI49" s="86">
        <f>-VLOOKUP(HI$1,Amort!$B:$K,9,0)</f>
        <v>0</v>
      </c>
      <c r="HJ49" s="86">
        <f>-VLOOKUP(HJ$1,Amort!$B:$K,9,0)</f>
        <v>0</v>
      </c>
      <c r="HK49" s="86">
        <f>-VLOOKUP(HK$1,Amort!$B:$K,9,0)</f>
        <v>0</v>
      </c>
      <c r="HL49" s="86">
        <f>-VLOOKUP(HL$1,Amort!$B:$K,9,0)</f>
        <v>0</v>
      </c>
      <c r="HM49" s="86">
        <f>-VLOOKUP(HM$1,Amort!$B:$K,9,0)</f>
        <v>0</v>
      </c>
      <c r="HN49" s="87">
        <f t="shared" si="1025"/>
        <v>0</v>
      </c>
      <c r="HO49" s="86">
        <f>-VLOOKUP(HO$1,Amort!$B:$K,9,0)</f>
        <v>0</v>
      </c>
      <c r="HP49" s="86">
        <f>-VLOOKUP(HP$1,Amort!$B:$K,9,0)</f>
        <v>0</v>
      </c>
      <c r="HQ49" s="86">
        <f>-VLOOKUP(HQ$1,Amort!$B:$K,9,0)</f>
        <v>0</v>
      </c>
      <c r="HR49" s="86">
        <f>-VLOOKUP(HR$1,Amort!$B:$K,9,0)</f>
        <v>0</v>
      </c>
      <c r="HS49" s="86">
        <f>-VLOOKUP(HS$1,Amort!$B:$K,9,0)</f>
        <v>0</v>
      </c>
      <c r="HT49" s="86">
        <f>-VLOOKUP(HT$1,Amort!$B:$K,9,0)</f>
        <v>0</v>
      </c>
      <c r="HU49" s="86">
        <f>-VLOOKUP(HU$1,Amort!$B:$K,9,0)</f>
        <v>0</v>
      </c>
      <c r="HV49" s="86">
        <f>-VLOOKUP(HV$1,Amort!$B:$K,9,0)</f>
        <v>0</v>
      </c>
      <c r="HW49" s="86">
        <f>-VLOOKUP(HW$1,Amort!$B:$K,9,0)</f>
        <v>0</v>
      </c>
      <c r="HX49" s="86">
        <f>-VLOOKUP(HX$1,Amort!$B:$K,9,0)</f>
        <v>0</v>
      </c>
      <c r="HY49" s="86">
        <f>-VLOOKUP(HY$1,Amort!$B:$K,9,0)</f>
        <v>0</v>
      </c>
      <c r="HZ49" s="86">
        <f>-VLOOKUP(HZ$1,Amort!$B:$K,9,0)</f>
        <v>0</v>
      </c>
      <c r="IA49" s="87">
        <f t="shared" si="1026"/>
        <v>0</v>
      </c>
      <c r="IB49" s="86">
        <f>-VLOOKUP(IB$1,Amort!$B:$K,9,0)</f>
        <v>0</v>
      </c>
      <c r="IC49" s="86">
        <f>-VLOOKUP(IC$1,Amort!$B:$K,9,0)</f>
        <v>0</v>
      </c>
      <c r="ID49" s="86">
        <f>-VLOOKUP(ID$1,Amort!$B:$K,9,0)</f>
        <v>0</v>
      </c>
      <c r="IE49" s="86">
        <f>-VLOOKUP(IE$1,Amort!$B:$K,9,0)</f>
        <v>0</v>
      </c>
      <c r="IF49" s="86">
        <f>-VLOOKUP(IF$1,Amort!$B:$K,9,0)</f>
        <v>0</v>
      </c>
      <c r="IG49" s="86">
        <f>-VLOOKUP(IG$1,Amort!$B:$K,9,0)</f>
        <v>0</v>
      </c>
      <c r="IH49" s="86">
        <f>-VLOOKUP(IH$1,Amort!$B:$K,9,0)</f>
        <v>0</v>
      </c>
      <c r="II49" s="86">
        <f>-VLOOKUP(II$1,Amort!$B:$K,9,0)</f>
        <v>0</v>
      </c>
      <c r="IJ49" s="86">
        <f>-VLOOKUP(IJ$1,Amort!$B:$K,9,0)</f>
        <v>0</v>
      </c>
      <c r="IK49" s="86">
        <f>-VLOOKUP(IK$1,Amort!$B:$K,9,0)</f>
        <v>0</v>
      </c>
      <c r="IL49" s="86">
        <f>-VLOOKUP(IL$1,Amort!$B:$K,9,0)</f>
        <v>0</v>
      </c>
      <c r="IM49" s="86">
        <f>-VLOOKUP(IM$1,Amort!$B:$K,9,0)</f>
        <v>0</v>
      </c>
      <c r="IN49" s="87">
        <f t="shared" si="1027"/>
        <v>0</v>
      </c>
      <c r="IO49" s="86">
        <f>-VLOOKUP(IO$1,Amort!$B:$K,9,0)</f>
        <v>0</v>
      </c>
      <c r="IP49" s="86">
        <f>-VLOOKUP(IP$1,Amort!$B:$K,9,0)</f>
        <v>0</v>
      </c>
      <c r="IQ49" s="86">
        <f>-VLOOKUP(IQ$1,Amort!$B:$K,9,0)</f>
        <v>0</v>
      </c>
      <c r="IR49" s="86">
        <f>-VLOOKUP(IR$1,Amort!$B:$K,9,0)</f>
        <v>0</v>
      </c>
      <c r="IS49" s="86">
        <f>-VLOOKUP(IS$1,Amort!$B:$K,9,0)</f>
        <v>0</v>
      </c>
      <c r="IT49" s="86">
        <f>-VLOOKUP(IT$1,Amort!$B:$K,9,0)</f>
        <v>0</v>
      </c>
      <c r="IU49" s="86">
        <f>-VLOOKUP(IU$1,Amort!$B:$K,9,0)</f>
        <v>0</v>
      </c>
      <c r="IV49" s="86">
        <f>-VLOOKUP(IV$1,Amort!$B:$K,9,0)</f>
        <v>0</v>
      </c>
      <c r="IW49" s="86">
        <f>-VLOOKUP(IW$1,Amort!$B:$K,9,0)</f>
        <v>0</v>
      </c>
      <c r="IX49" s="86">
        <f>-VLOOKUP(IX$1,Amort!$B:$K,9,0)</f>
        <v>0</v>
      </c>
      <c r="IY49" s="86">
        <f>-VLOOKUP(IY$1,Amort!$B:$K,9,0)</f>
        <v>0</v>
      </c>
      <c r="IZ49" s="86">
        <f>-VLOOKUP(IZ$1,Amort!$B:$K,9,0)</f>
        <v>0</v>
      </c>
      <c r="JA49" s="87">
        <f t="shared" si="1028"/>
        <v>0</v>
      </c>
      <c r="JB49" s="86">
        <f>-VLOOKUP(JB$1,Amort!$B:$K,9,0)</f>
        <v>0</v>
      </c>
      <c r="JC49" s="86">
        <f>-VLOOKUP(JC$1,Amort!$B:$K,9,0)</f>
        <v>0</v>
      </c>
      <c r="JD49" s="86">
        <f>-VLOOKUP(JD$1,Amort!$B:$K,9,0)</f>
        <v>0</v>
      </c>
      <c r="JE49" s="86">
        <f>-VLOOKUP(JE$1,Amort!$B:$K,9,0)</f>
        <v>0</v>
      </c>
      <c r="JF49" s="86">
        <f>-VLOOKUP(JF$1,Amort!$B:$K,9,0)</f>
        <v>0</v>
      </c>
      <c r="JG49" s="86">
        <f>-VLOOKUP(JG$1,Amort!$B:$K,9,0)</f>
        <v>0</v>
      </c>
      <c r="JH49" s="86">
        <f>-VLOOKUP(JH$1,Amort!$B:$K,9,0)</f>
        <v>0</v>
      </c>
      <c r="JI49" s="86">
        <f>-VLOOKUP(JI$1,Amort!$B:$K,9,0)</f>
        <v>0</v>
      </c>
      <c r="JJ49" s="86">
        <f>-VLOOKUP(JJ$1,Amort!$B:$K,9,0)</f>
        <v>0</v>
      </c>
      <c r="JK49" s="86">
        <f>-VLOOKUP(JK$1,Amort!$B:$K,9,0)</f>
        <v>0</v>
      </c>
      <c r="JL49" s="86">
        <f>-VLOOKUP(JL$1,Amort!$B:$K,9,0)</f>
        <v>0</v>
      </c>
      <c r="JM49" s="86">
        <f>-VLOOKUP(JM$1,Amort!$B:$K,9,0)</f>
        <v>0</v>
      </c>
      <c r="JN49" s="87">
        <f t="shared" si="1029"/>
        <v>0</v>
      </c>
      <c r="JO49" s="86">
        <f>-VLOOKUP(JO$1,Amort!$B:$K,9,0)</f>
        <v>0</v>
      </c>
      <c r="JP49" s="86">
        <f>-VLOOKUP(JP$1,Amort!$B:$K,9,0)</f>
        <v>0</v>
      </c>
      <c r="JQ49" s="86">
        <f>-VLOOKUP(JQ$1,Amort!$B:$K,9,0)</f>
        <v>0</v>
      </c>
      <c r="JR49" s="86">
        <f>-VLOOKUP(JR$1,Amort!$B:$K,9,0)</f>
        <v>0</v>
      </c>
      <c r="JS49" s="86">
        <f>-VLOOKUP(JS$1,Amort!$B:$K,9,0)</f>
        <v>0</v>
      </c>
      <c r="JT49" s="86">
        <f>-VLOOKUP(JT$1,Amort!$B:$K,9,0)</f>
        <v>0</v>
      </c>
      <c r="JU49" s="86">
        <f>-VLOOKUP(JU$1,Amort!$B:$K,9,0)</f>
        <v>0</v>
      </c>
      <c r="JV49" s="86">
        <f>-VLOOKUP(JV$1,Amort!$B:$K,9,0)</f>
        <v>0</v>
      </c>
      <c r="JW49" s="86">
        <f>-VLOOKUP(JW$1,Amort!$B:$K,9,0)</f>
        <v>0</v>
      </c>
      <c r="JX49" s="86">
        <f>-VLOOKUP(JX$1,Amort!$B:$K,9,0)</f>
        <v>0</v>
      </c>
      <c r="JY49" s="86">
        <f>-VLOOKUP(JY$1,Amort!$B:$K,9,0)</f>
        <v>0</v>
      </c>
      <c r="JZ49" s="86">
        <f>-VLOOKUP(JZ$1,Amort!$B:$K,9,0)</f>
        <v>0</v>
      </c>
      <c r="KA49" s="87">
        <f t="shared" si="1030"/>
        <v>0</v>
      </c>
      <c r="KB49" s="86">
        <f>-VLOOKUP(KB$1,Amort!$B:$K,9,0)</f>
        <v>0</v>
      </c>
      <c r="KC49" s="86">
        <f>-VLOOKUP(KC$1,Amort!$B:$K,9,0)</f>
        <v>0</v>
      </c>
      <c r="KD49" s="86">
        <f>-VLOOKUP(KD$1,Amort!$B:$K,9,0)</f>
        <v>0</v>
      </c>
      <c r="KE49" s="86">
        <f>-VLOOKUP(KE$1,Amort!$B:$K,9,0)</f>
        <v>0</v>
      </c>
      <c r="KF49" s="86">
        <f>-VLOOKUP(KF$1,Amort!$B:$K,9,0)</f>
        <v>0</v>
      </c>
      <c r="KG49" s="86">
        <f>-VLOOKUP(KG$1,Amort!$B:$K,9,0)</f>
        <v>0</v>
      </c>
      <c r="KH49" s="86">
        <f>-VLOOKUP(KH$1,Amort!$B:$K,9,0)</f>
        <v>0</v>
      </c>
      <c r="KI49" s="86">
        <f>-VLOOKUP(KI$1,Amort!$B:$K,9,0)</f>
        <v>0</v>
      </c>
      <c r="KJ49" s="86">
        <f>-VLOOKUP(KJ$1,Amort!$B:$K,9,0)</f>
        <v>0</v>
      </c>
      <c r="KK49" s="86">
        <f>-VLOOKUP(KK$1,Amort!$B:$K,9,0)</f>
        <v>0</v>
      </c>
      <c r="KL49" s="86">
        <f>-VLOOKUP(KL$1,Amort!$B:$K,9,0)</f>
        <v>0</v>
      </c>
      <c r="KM49" s="86">
        <f>-VLOOKUP(KM$1,Amort!$B:$K,9,0)</f>
        <v>0</v>
      </c>
      <c r="KN49" s="87">
        <f t="shared" si="1031"/>
        <v>0</v>
      </c>
      <c r="KO49" s="86">
        <f>-VLOOKUP(KO$1,Amort!$B:$K,9,0)</f>
        <v>0</v>
      </c>
      <c r="KP49" s="86">
        <f>-VLOOKUP(KP$1,Amort!$B:$K,9,0)</f>
        <v>0</v>
      </c>
      <c r="KQ49" s="86">
        <f>-VLOOKUP(KQ$1,Amort!$B:$K,9,0)</f>
        <v>0</v>
      </c>
      <c r="KR49" s="86">
        <f>-VLOOKUP(KR$1,Amort!$B:$K,9,0)</f>
        <v>0</v>
      </c>
      <c r="KS49" s="86">
        <f>-VLOOKUP(KS$1,Amort!$B:$K,9,0)</f>
        <v>0</v>
      </c>
      <c r="KT49" s="86">
        <f>-VLOOKUP(KT$1,Amort!$B:$K,9,0)</f>
        <v>0</v>
      </c>
      <c r="KU49" s="86">
        <f>-VLOOKUP(KU$1,Amort!$B:$K,9,0)</f>
        <v>0</v>
      </c>
      <c r="KV49" s="86">
        <f>-VLOOKUP(KV$1,Amort!$B:$K,9,0)</f>
        <v>0</v>
      </c>
      <c r="KW49" s="86">
        <f>-VLOOKUP(KW$1,Amort!$B:$K,9,0)</f>
        <v>0</v>
      </c>
      <c r="KX49" s="86">
        <f>-VLOOKUP(KX$1,Amort!$B:$K,9,0)</f>
        <v>0</v>
      </c>
      <c r="KY49" s="86">
        <f>-VLOOKUP(KY$1,Amort!$B:$K,9,0)</f>
        <v>0</v>
      </c>
      <c r="KZ49" s="86">
        <f>-VLOOKUP(KZ$1,Amort!$B:$K,9,0)</f>
        <v>0</v>
      </c>
      <c r="LA49" s="87">
        <f t="shared" si="1032"/>
        <v>0</v>
      </c>
      <c r="LB49" s="86">
        <f>-VLOOKUP(LB$1,Amort!$B:$K,9,0)</f>
        <v>0</v>
      </c>
      <c r="LC49" s="86">
        <f>-VLOOKUP(LC$1,Amort!$B:$K,9,0)</f>
        <v>0</v>
      </c>
      <c r="LD49" s="86">
        <f>-VLOOKUP(LD$1,Amort!$B:$K,9,0)</f>
        <v>0</v>
      </c>
      <c r="LE49" s="86">
        <f>-VLOOKUP(LE$1,Amort!$B:$K,9,0)</f>
        <v>0</v>
      </c>
      <c r="LF49" s="86">
        <f>-VLOOKUP(LF$1,Amort!$B:$K,9,0)</f>
        <v>0</v>
      </c>
      <c r="LG49" s="86">
        <f>-VLOOKUP(LG$1,Amort!$B:$K,9,0)</f>
        <v>0</v>
      </c>
      <c r="LH49" s="86">
        <f>-VLOOKUP(LH$1,Amort!$B:$K,9,0)</f>
        <v>0</v>
      </c>
      <c r="LI49" s="86">
        <f>-VLOOKUP(LI$1,Amort!$B:$K,9,0)</f>
        <v>0</v>
      </c>
      <c r="LJ49" s="86">
        <f>-VLOOKUP(LJ$1,Amort!$B:$K,9,0)</f>
        <v>0</v>
      </c>
      <c r="LK49" s="86">
        <f>-VLOOKUP(LK$1,Amort!$B:$K,9,0)</f>
        <v>0</v>
      </c>
      <c r="LL49" s="86">
        <f>-VLOOKUP(LL$1,Amort!$B:$K,9,0)</f>
        <v>0</v>
      </c>
      <c r="LM49" s="86">
        <f>-VLOOKUP(LM$1,Amort!$B:$K,9,0)</f>
        <v>0</v>
      </c>
      <c r="LN49" s="87">
        <f t="shared" si="1033"/>
        <v>0</v>
      </c>
      <c r="LO49" s="86">
        <f>-VLOOKUP(LO$1,Amort!$B:$K,9,0)</f>
        <v>0</v>
      </c>
      <c r="LP49" s="86">
        <f>-VLOOKUP(LP$1,Amort!$B:$K,9,0)</f>
        <v>0</v>
      </c>
      <c r="LQ49" s="86">
        <f>-VLOOKUP(LQ$1,Amort!$B:$K,9,0)</f>
        <v>0</v>
      </c>
      <c r="LR49" s="86">
        <f>-VLOOKUP(LR$1,Amort!$B:$K,9,0)</f>
        <v>0</v>
      </c>
      <c r="LS49" s="86">
        <f>-VLOOKUP(LS$1,Amort!$B:$K,9,0)</f>
        <v>0</v>
      </c>
      <c r="LT49" s="86">
        <f>-VLOOKUP(LT$1,Amort!$B:$K,9,0)</f>
        <v>0</v>
      </c>
      <c r="LU49" s="86">
        <f>-VLOOKUP(LU$1,Amort!$B:$K,9,0)</f>
        <v>0</v>
      </c>
      <c r="LV49" s="86">
        <f>-VLOOKUP(LV$1,Amort!$B:$K,9,0)</f>
        <v>0</v>
      </c>
      <c r="LW49" s="86">
        <f>-VLOOKUP(LW$1,Amort!$B:$K,9,0)</f>
        <v>0</v>
      </c>
      <c r="LX49" s="86">
        <f>-VLOOKUP(LX$1,Amort!$B:$K,9,0)</f>
        <v>0</v>
      </c>
      <c r="LY49" s="86">
        <f>-VLOOKUP(LY$1,Amort!$B:$K,9,0)</f>
        <v>0</v>
      </c>
      <c r="LZ49" s="86">
        <f>-VLOOKUP(LZ$1,Amort!$B:$K,9,0)</f>
        <v>0</v>
      </c>
      <c r="MA49" s="87">
        <f t="shared" si="1034"/>
        <v>0</v>
      </c>
      <c r="MB49" s="86">
        <f>-VLOOKUP(MB$1,Amort!$B:$K,9,0)</f>
        <v>0</v>
      </c>
      <c r="MC49" s="86">
        <f>-VLOOKUP(MC$1,Amort!$B:$K,9,0)</f>
        <v>0</v>
      </c>
      <c r="MD49" s="86">
        <f>-VLOOKUP(MD$1,Amort!$B:$K,9,0)</f>
        <v>0</v>
      </c>
      <c r="ME49" s="86">
        <f>-VLOOKUP(ME$1,Amort!$B:$K,9,0)</f>
        <v>0</v>
      </c>
      <c r="MF49" s="86">
        <f>-VLOOKUP(MF$1,Amort!$B:$K,9,0)</f>
        <v>0</v>
      </c>
      <c r="MG49" s="86">
        <f>-VLOOKUP(MG$1,Amort!$B:$K,9,0)</f>
        <v>0</v>
      </c>
      <c r="MH49" s="86">
        <f>-VLOOKUP(MH$1,Amort!$B:$K,9,0)</f>
        <v>0</v>
      </c>
      <c r="MI49" s="86">
        <f>-VLOOKUP(MI$1,Amort!$B:$K,9,0)</f>
        <v>0</v>
      </c>
      <c r="MJ49" s="86">
        <f>-VLOOKUP(MJ$1,Amort!$B:$K,9,0)</f>
        <v>0</v>
      </c>
      <c r="MK49" s="86">
        <f>-VLOOKUP(MK$1,Amort!$B:$K,9,0)</f>
        <v>0</v>
      </c>
      <c r="ML49" s="86">
        <f>-VLOOKUP(ML$1,Amort!$B:$K,9,0)</f>
        <v>0</v>
      </c>
      <c r="MM49" s="86">
        <f>-VLOOKUP(MM$1,Amort!$B:$K,9,0)</f>
        <v>0</v>
      </c>
      <c r="MN49" s="87">
        <f t="shared" si="1035"/>
        <v>0</v>
      </c>
      <c r="MO49" s="86">
        <f>-VLOOKUP(MO$1,Amort!$B:$K,9,0)</f>
        <v>0</v>
      </c>
      <c r="MP49" s="86">
        <f>-VLOOKUP(MP$1,Amort!$B:$K,9,0)</f>
        <v>0</v>
      </c>
      <c r="MQ49" s="86">
        <f>-VLOOKUP(MQ$1,Amort!$B:$K,9,0)</f>
        <v>0</v>
      </c>
      <c r="MR49" s="86">
        <f>-VLOOKUP(MR$1,Amort!$B:$K,9,0)</f>
        <v>0</v>
      </c>
      <c r="MS49" s="86">
        <f>-VLOOKUP(MS$1,Amort!$B:$K,9,0)</f>
        <v>0</v>
      </c>
      <c r="MT49" s="86">
        <f>-VLOOKUP(MT$1,Amort!$B:$K,9,0)</f>
        <v>0</v>
      </c>
      <c r="MU49" s="86">
        <f>-VLOOKUP(MU$1,Amort!$B:$K,9,0)</f>
        <v>0</v>
      </c>
      <c r="MV49" s="86">
        <f>-VLOOKUP(MV$1,Amort!$B:$K,9,0)</f>
        <v>0</v>
      </c>
      <c r="MW49" s="86">
        <f>-VLOOKUP(MW$1,Amort!$B:$K,9,0)</f>
        <v>0</v>
      </c>
      <c r="MX49" s="86">
        <f>-VLOOKUP(MX$1,Amort!$B:$K,9,0)</f>
        <v>0</v>
      </c>
      <c r="MY49" s="86">
        <f>-VLOOKUP(MY$1,Amort!$B:$K,9,0)</f>
        <v>0</v>
      </c>
      <c r="MZ49" s="86">
        <f>-VLOOKUP(MZ$1,Amort!$B:$K,9,0)</f>
        <v>0</v>
      </c>
      <c r="NA49" s="87">
        <f t="shared" si="1036"/>
        <v>0</v>
      </c>
      <c r="NB49" s="86">
        <f>-VLOOKUP(NB$1,Amort!$B:$K,9,0)</f>
        <v>0</v>
      </c>
      <c r="NC49" s="86">
        <f>-VLOOKUP(NC$1,Amort!$B:$K,9,0)</f>
        <v>0</v>
      </c>
      <c r="ND49" s="86">
        <f>-VLOOKUP(ND$1,Amort!$B:$K,9,0)</f>
        <v>0</v>
      </c>
      <c r="NE49" s="86">
        <f>-VLOOKUP(NE$1,Amort!$B:$K,9,0)</f>
        <v>0</v>
      </c>
      <c r="NF49" s="86">
        <f>-VLOOKUP(NF$1,Amort!$B:$K,9,0)</f>
        <v>0</v>
      </c>
      <c r="NG49" s="86">
        <f>-VLOOKUP(NG$1,Amort!$B:$K,9,0)</f>
        <v>0</v>
      </c>
      <c r="NH49" s="86">
        <f>-VLOOKUP(NH$1,Amort!$B:$K,9,0)</f>
        <v>0</v>
      </c>
      <c r="NI49" s="86">
        <f>-VLOOKUP(NI$1,Amort!$B:$K,9,0)</f>
        <v>0</v>
      </c>
      <c r="NJ49" s="86">
        <f>-VLOOKUP(NJ$1,Amort!$B:$K,9,0)</f>
        <v>0</v>
      </c>
      <c r="NK49" s="86">
        <f>-VLOOKUP(NK$1,Amort!$B:$K,9,0)</f>
        <v>0</v>
      </c>
      <c r="NL49" s="86">
        <f>-VLOOKUP(NL$1,Amort!$B:$K,9,0)</f>
        <v>0</v>
      </c>
      <c r="NM49" s="86">
        <f>-VLOOKUP(NM$1,Amort!$B:$K,9,0)</f>
        <v>0</v>
      </c>
      <c r="NN49" s="87">
        <f t="shared" si="1037"/>
        <v>0</v>
      </c>
      <c r="NO49" s="86">
        <f>-VLOOKUP(NO$1,Amort!$B:$K,9,0)</f>
        <v>0</v>
      </c>
      <c r="NP49" s="86">
        <f>-VLOOKUP(NP$1,Amort!$B:$K,9,0)</f>
        <v>0</v>
      </c>
      <c r="NQ49" s="86">
        <f>-VLOOKUP(NQ$1,Amort!$B:$K,9,0)</f>
        <v>0</v>
      </c>
      <c r="NR49" s="86">
        <f>-VLOOKUP(NR$1,Amort!$B:$K,9,0)</f>
        <v>0</v>
      </c>
      <c r="NS49" s="86">
        <f>-VLOOKUP(NS$1,Amort!$B:$K,9,0)</f>
        <v>0</v>
      </c>
      <c r="NT49" s="86">
        <f>-VLOOKUP(NT$1,Amort!$B:$K,9,0)</f>
        <v>0</v>
      </c>
      <c r="NU49" s="86">
        <f>-VLOOKUP(NU$1,Amort!$B:$K,9,0)</f>
        <v>0</v>
      </c>
      <c r="NV49" s="86">
        <f>-VLOOKUP(NV$1,Amort!$B:$K,9,0)</f>
        <v>0</v>
      </c>
      <c r="NW49" s="86">
        <f>-VLOOKUP(NW$1,Amort!$B:$K,9,0)</f>
        <v>0</v>
      </c>
      <c r="NX49" s="86">
        <f>-VLOOKUP(NX$1,Amort!$B:$K,9,0)</f>
        <v>0</v>
      </c>
      <c r="NY49" s="86">
        <f>-VLOOKUP(NY$1,Amort!$B:$K,9,0)</f>
        <v>0</v>
      </c>
      <c r="NZ49" s="86">
        <f>-VLOOKUP(NZ$1,Amort!$B:$K,9,0)</f>
        <v>0</v>
      </c>
      <c r="OA49" s="87">
        <f t="shared" si="1038"/>
        <v>0</v>
      </c>
      <c r="OB49" s="86">
        <f>-VLOOKUP(OB$1,Amort!$B:$K,9,0)</f>
        <v>0</v>
      </c>
      <c r="OC49" s="86">
        <f>-VLOOKUP(OC$1,Amort!$B:$K,9,0)</f>
        <v>0</v>
      </c>
      <c r="OD49" s="86">
        <f>-VLOOKUP(OD$1,Amort!$B:$K,9,0)</f>
        <v>0</v>
      </c>
      <c r="OE49" s="86">
        <f>-VLOOKUP(OE$1,Amort!$B:$K,9,0)</f>
        <v>0</v>
      </c>
      <c r="OF49" s="86">
        <f>-VLOOKUP(OF$1,Amort!$B:$K,9,0)</f>
        <v>0</v>
      </c>
      <c r="OG49" s="86">
        <f>-VLOOKUP(OG$1,Amort!$B:$K,9,0)</f>
        <v>0</v>
      </c>
      <c r="OH49" s="86">
        <f>-VLOOKUP(OH$1,Amort!$B:$K,9,0)</f>
        <v>0</v>
      </c>
      <c r="OI49" s="86">
        <f>-VLOOKUP(OI$1,Amort!$B:$K,9,0)</f>
        <v>0</v>
      </c>
      <c r="OJ49" s="86">
        <f>-VLOOKUP(OJ$1,Amort!$B:$K,9,0)</f>
        <v>0</v>
      </c>
      <c r="OK49" s="86">
        <f>-VLOOKUP(OK$1,Amort!$B:$K,9,0)</f>
        <v>0</v>
      </c>
      <c r="OL49" s="86">
        <f>-VLOOKUP(OL$1,Amort!$B:$K,9,0)</f>
        <v>0</v>
      </c>
      <c r="OM49" s="86">
        <f>-VLOOKUP(OM$1,Amort!$B:$K,9,0)</f>
        <v>0</v>
      </c>
      <c r="ON49" s="87">
        <f t="shared" si="1039"/>
        <v>0</v>
      </c>
      <c r="OO49" s="86">
        <f>-VLOOKUP(OO$1,Amort!$B:$K,9,0)</f>
        <v>0</v>
      </c>
      <c r="OP49" s="86">
        <f>-VLOOKUP(OP$1,Amort!$B:$K,9,0)</f>
        <v>0</v>
      </c>
      <c r="OQ49" s="86">
        <f>-VLOOKUP(OQ$1,Amort!$B:$K,9,0)</f>
        <v>0</v>
      </c>
      <c r="OR49" s="86">
        <f>-VLOOKUP(OR$1,Amort!$B:$K,9,0)</f>
        <v>0</v>
      </c>
      <c r="OS49" s="86">
        <f>-VLOOKUP(OS$1,Amort!$B:$K,9,0)</f>
        <v>0</v>
      </c>
      <c r="OT49" s="86">
        <f>-VLOOKUP(OT$1,Amort!$B:$K,9,0)</f>
        <v>0</v>
      </c>
      <c r="OU49" s="86">
        <f>-VLOOKUP(OU$1,Amort!$B:$K,9,0)</f>
        <v>0</v>
      </c>
      <c r="OV49" s="86">
        <f>-VLOOKUP(OV$1,Amort!$B:$K,9,0)</f>
        <v>0</v>
      </c>
      <c r="OW49" s="86">
        <f>-VLOOKUP(OW$1,Amort!$B:$K,9,0)</f>
        <v>0</v>
      </c>
      <c r="OX49" s="86">
        <f>-VLOOKUP(OX$1,Amort!$B:$K,9,0)</f>
        <v>0</v>
      </c>
      <c r="OY49" s="86">
        <f>-VLOOKUP(OY$1,Amort!$B:$K,9,0)</f>
        <v>0</v>
      </c>
      <c r="OZ49" s="86">
        <f>-VLOOKUP(OZ$1,Amort!$B:$K,9,0)</f>
        <v>0</v>
      </c>
      <c r="PA49" s="87">
        <f t="shared" si="1040"/>
        <v>0</v>
      </c>
      <c r="PB49" s="86">
        <f>-VLOOKUP(PB$1,Amort!$B:$K,9,0)</f>
        <v>0</v>
      </c>
      <c r="PC49" s="86">
        <f>-VLOOKUP(PC$1,Amort!$B:$K,9,0)</f>
        <v>0</v>
      </c>
      <c r="PD49" s="86">
        <f>-VLOOKUP(PD$1,Amort!$B:$K,9,0)</f>
        <v>0</v>
      </c>
      <c r="PE49" s="86">
        <f>-VLOOKUP(PE$1,Amort!$B:$K,9,0)</f>
        <v>0</v>
      </c>
      <c r="PF49" s="86">
        <f>-VLOOKUP(PF$1,Amort!$B:$K,9,0)</f>
        <v>0</v>
      </c>
      <c r="PG49" s="86">
        <f>-VLOOKUP(PG$1,Amort!$B:$K,9,0)</f>
        <v>0</v>
      </c>
      <c r="PH49" s="86">
        <f>-VLOOKUP(PH$1,Amort!$B:$K,9,0)</f>
        <v>0</v>
      </c>
      <c r="PI49" s="86">
        <f>-VLOOKUP(PI$1,Amort!$B:$K,9,0)</f>
        <v>0</v>
      </c>
      <c r="PJ49" s="86">
        <f>-VLOOKUP(PJ$1,Amort!$B:$K,9,0)</f>
        <v>0</v>
      </c>
      <c r="PK49" s="86">
        <f>-VLOOKUP(PK$1,Amort!$B:$K,9,0)</f>
        <v>0</v>
      </c>
      <c r="PL49" s="86">
        <f>-VLOOKUP(PL$1,Amort!$B:$K,9,0)</f>
        <v>0</v>
      </c>
      <c r="PM49" s="86">
        <f>-VLOOKUP(PM$1,Amort!$B:$K,9,0)</f>
        <v>0</v>
      </c>
      <c r="PN49" s="87">
        <f t="shared" si="1041"/>
        <v>0</v>
      </c>
      <c r="PO49" s="86">
        <f>-VLOOKUP(PO$1,Amort!$B:$K,9,0)</f>
        <v>0</v>
      </c>
      <c r="PP49" s="86">
        <f>-VLOOKUP(PP$1,Amort!$B:$K,9,0)</f>
        <v>0</v>
      </c>
      <c r="PQ49" s="86">
        <f>-VLOOKUP(PQ$1,Amort!$B:$K,9,0)</f>
        <v>0</v>
      </c>
      <c r="PR49" s="86">
        <f>-VLOOKUP(PR$1,Amort!$B:$K,9,0)</f>
        <v>0</v>
      </c>
      <c r="PS49" s="86">
        <f>-VLOOKUP(PS$1,Amort!$B:$K,9,0)</f>
        <v>0</v>
      </c>
      <c r="PT49" s="86">
        <f>-VLOOKUP(PT$1,Amort!$B:$K,9,0)</f>
        <v>0</v>
      </c>
      <c r="PU49" s="86">
        <f>-VLOOKUP(PU$1,Amort!$B:$K,9,0)</f>
        <v>0</v>
      </c>
      <c r="PV49" s="86">
        <f>-VLOOKUP(PV$1,Amort!$B:$K,9,0)</f>
        <v>0</v>
      </c>
      <c r="PW49" s="86">
        <f>-VLOOKUP(PW$1,Amort!$B:$K,9,0)</f>
        <v>0</v>
      </c>
      <c r="PX49" s="86">
        <f>-VLOOKUP(PX$1,Amort!$B:$K,9,0)</f>
        <v>0</v>
      </c>
      <c r="PY49" s="86">
        <f>-VLOOKUP(PY$1,Amort!$B:$K,9,0)</f>
        <v>0</v>
      </c>
      <c r="PZ49" s="86">
        <f>-VLOOKUP(PZ$1,Amort!$B:$K,9,0)</f>
        <v>0</v>
      </c>
      <c r="QA49" s="87">
        <f t="shared" si="1042"/>
        <v>0</v>
      </c>
      <c r="QB49" s="86">
        <f>-VLOOKUP(QB$1,Amort!$B:$K,9,0)</f>
        <v>0</v>
      </c>
      <c r="QC49" s="86">
        <f>-VLOOKUP(QC$1,Amort!$B:$K,9,0)</f>
        <v>0</v>
      </c>
      <c r="QD49" s="86">
        <f>-VLOOKUP(QD$1,Amort!$B:$K,9,0)</f>
        <v>0</v>
      </c>
      <c r="QE49" s="86">
        <f>-VLOOKUP(QE$1,Amort!$B:$K,9,0)</f>
        <v>0</v>
      </c>
      <c r="QF49" s="86">
        <f>-VLOOKUP(QF$1,Amort!$B:$K,9,0)</f>
        <v>0</v>
      </c>
      <c r="QG49" s="86">
        <f>-VLOOKUP(QG$1,Amort!$B:$K,9,0)</f>
        <v>0</v>
      </c>
      <c r="QH49" s="86">
        <f>-VLOOKUP(QH$1,Amort!$B:$K,9,0)</f>
        <v>0</v>
      </c>
      <c r="QI49" s="86">
        <f>-VLOOKUP(QI$1,Amort!$B:$K,9,0)</f>
        <v>0</v>
      </c>
      <c r="QJ49" s="86">
        <f>-VLOOKUP(QJ$1,Amort!$B:$K,9,0)</f>
        <v>0</v>
      </c>
      <c r="QK49" s="86">
        <f>-VLOOKUP(QK$1,Amort!$B:$K,9,0)</f>
        <v>0</v>
      </c>
      <c r="QL49" s="86">
        <f>-VLOOKUP(QL$1,Amort!$B:$K,9,0)</f>
        <v>0</v>
      </c>
      <c r="QM49" s="86">
        <f>-VLOOKUP(QM$1,Amort!$B:$K,9,0)</f>
        <v>0</v>
      </c>
      <c r="QN49" s="87">
        <f t="shared" si="1043"/>
        <v>0</v>
      </c>
      <c r="QO49" s="86">
        <f>-VLOOKUP(QO$1,Amort!$B:$K,9,0)</f>
        <v>0</v>
      </c>
      <c r="QP49" s="86">
        <f>-VLOOKUP(QP$1,Amort!$B:$K,9,0)</f>
        <v>0</v>
      </c>
      <c r="QQ49" s="86">
        <f>-VLOOKUP(QQ$1,Amort!$B:$K,9,0)</f>
        <v>0</v>
      </c>
      <c r="QR49" s="86">
        <f>-VLOOKUP(QR$1,Amort!$B:$K,9,0)</f>
        <v>0</v>
      </c>
      <c r="QS49" s="86">
        <f>-VLOOKUP(QS$1,Amort!$B:$K,9,0)</f>
        <v>0</v>
      </c>
      <c r="QT49" s="86">
        <f>-VLOOKUP(QT$1,Amort!$B:$K,9,0)</f>
        <v>0</v>
      </c>
      <c r="QU49" s="86">
        <f>-VLOOKUP(QU$1,Amort!$B:$K,9,0)</f>
        <v>0</v>
      </c>
      <c r="QV49" s="86">
        <f>-VLOOKUP(QV$1,Amort!$B:$K,9,0)</f>
        <v>0</v>
      </c>
      <c r="QW49" s="86">
        <f>-VLOOKUP(QW$1,Amort!$B:$K,9,0)</f>
        <v>0</v>
      </c>
      <c r="QX49" s="86">
        <f>-VLOOKUP(QX$1,Amort!$B:$K,9,0)</f>
        <v>0</v>
      </c>
      <c r="QY49" s="86">
        <f>-VLOOKUP(QY$1,Amort!$B:$K,9,0)</f>
        <v>0</v>
      </c>
      <c r="QZ49" s="86">
        <f>-VLOOKUP(QZ$1,Amort!$B:$K,9,0)</f>
        <v>0</v>
      </c>
      <c r="RA49" s="87">
        <f t="shared" si="1044"/>
        <v>0</v>
      </c>
      <c r="RB49" s="86">
        <f>-VLOOKUP(RB$1,Amort!$B:$K,9,0)</f>
        <v>0</v>
      </c>
      <c r="RC49" s="86">
        <f>-VLOOKUP(RC$1,Amort!$B:$K,9,0)</f>
        <v>0</v>
      </c>
      <c r="RD49" s="86">
        <f>-VLOOKUP(RD$1,Amort!$B:$K,9,0)</f>
        <v>0</v>
      </c>
      <c r="RE49" s="86">
        <f>-VLOOKUP(RE$1,Amort!$B:$K,9,0)</f>
        <v>0</v>
      </c>
      <c r="RF49" s="86">
        <f>-VLOOKUP(RF$1,Amort!$B:$K,9,0)</f>
        <v>0</v>
      </c>
      <c r="RG49" s="86">
        <f>-VLOOKUP(RG$1,Amort!$B:$K,9,0)</f>
        <v>0</v>
      </c>
      <c r="RH49" s="86">
        <f>-VLOOKUP(RH$1,Amort!$B:$K,9,0)</f>
        <v>0</v>
      </c>
      <c r="RI49" s="86">
        <f>-VLOOKUP(RI$1,Amort!$B:$K,9,0)</f>
        <v>0</v>
      </c>
      <c r="RJ49" s="86">
        <f>-VLOOKUP(RJ$1,Amort!$B:$K,9,0)</f>
        <v>0</v>
      </c>
      <c r="RK49" s="86">
        <f>-VLOOKUP(RK$1,Amort!$B:$K,9,0)</f>
        <v>0</v>
      </c>
      <c r="RL49" s="86">
        <f>-VLOOKUP(RL$1,Amort!$B:$K,9,0)</f>
        <v>0</v>
      </c>
      <c r="RM49" s="86">
        <f>-VLOOKUP(RM$1,Amort!$B:$K,9,0)</f>
        <v>0</v>
      </c>
      <c r="RN49" s="87">
        <f t="shared" si="1045"/>
        <v>0</v>
      </c>
    </row>
    <row r="50" spans="1:482" hidden="1" outlineLevel="1" x14ac:dyDescent="0.3">
      <c r="A50" s="89" t="s">
        <v>264</v>
      </c>
      <c r="B50" s="86">
        <v>0</v>
      </c>
      <c r="C50" s="81">
        <v>0</v>
      </c>
      <c r="D50" s="81">
        <v>0</v>
      </c>
      <c r="E50" s="81">
        <v>0</v>
      </c>
      <c r="F50" s="81">
        <v>0</v>
      </c>
      <c r="G50" s="81">
        <v>0</v>
      </c>
      <c r="H50" s="81">
        <v>0</v>
      </c>
      <c r="I50" s="81">
        <v>0</v>
      </c>
      <c r="J50" s="81">
        <v>0</v>
      </c>
      <c r="K50" s="81">
        <v>0</v>
      </c>
      <c r="L50" s="81">
        <v>0</v>
      </c>
      <c r="M50" s="81">
        <v>0</v>
      </c>
      <c r="N50" s="87">
        <f t="shared" si="1009"/>
        <v>0</v>
      </c>
      <c r="O50" s="81">
        <v>0</v>
      </c>
      <c r="P50" s="81">
        <v>0</v>
      </c>
      <c r="Q50" s="81">
        <v>0</v>
      </c>
      <c r="R50" s="81">
        <v>0</v>
      </c>
      <c r="S50" s="81">
        <v>0</v>
      </c>
      <c r="T50" s="81">
        <v>0</v>
      </c>
      <c r="U50" s="81">
        <v>0</v>
      </c>
      <c r="V50" s="81">
        <v>0</v>
      </c>
      <c r="W50" s="81">
        <v>0</v>
      </c>
      <c r="X50" s="81">
        <v>0</v>
      </c>
      <c r="Y50" s="81">
        <v>0</v>
      </c>
      <c r="Z50" s="81">
        <v>0</v>
      </c>
      <c r="AA50" s="87">
        <f t="shared" si="1010"/>
        <v>0</v>
      </c>
      <c r="AB50" s="81">
        <v>0</v>
      </c>
      <c r="AC50" s="81">
        <v>0</v>
      </c>
      <c r="AD50" s="81">
        <v>0</v>
      </c>
      <c r="AE50" s="81">
        <v>0</v>
      </c>
      <c r="AF50" s="81">
        <v>0</v>
      </c>
      <c r="AG50" s="81">
        <v>0</v>
      </c>
      <c r="AH50" s="81">
        <v>0</v>
      </c>
      <c r="AI50" s="81">
        <v>0</v>
      </c>
      <c r="AJ50" s="81">
        <v>0</v>
      </c>
      <c r="AK50" s="81">
        <v>0</v>
      </c>
      <c r="AL50" s="81">
        <v>0</v>
      </c>
      <c r="AM50" s="81">
        <v>0</v>
      </c>
      <c r="AN50" s="87">
        <f t="shared" si="1011"/>
        <v>0</v>
      </c>
      <c r="AO50" s="81">
        <v>0</v>
      </c>
      <c r="AP50" s="81">
        <v>0</v>
      </c>
      <c r="AQ50" s="81">
        <v>0</v>
      </c>
      <c r="AR50" s="81">
        <v>0</v>
      </c>
      <c r="AS50" s="81">
        <v>0</v>
      </c>
      <c r="AT50" s="81">
        <v>0</v>
      </c>
      <c r="AU50" s="81">
        <v>0</v>
      </c>
      <c r="AV50" s="81">
        <v>0</v>
      </c>
      <c r="AW50" s="81">
        <v>0</v>
      </c>
      <c r="AX50" s="81">
        <v>0</v>
      </c>
      <c r="AY50" s="81">
        <v>0</v>
      </c>
      <c r="AZ50" s="81">
        <v>0</v>
      </c>
      <c r="BA50" s="87">
        <f t="shared" si="1012"/>
        <v>0</v>
      </c>
      <c r="BB50" s="81">
        <v>0</v>
      </c>
      <c r="BC50" s="81">
        <v>0</v>
      </c>
      <c r="BD50" s="81">
        <v>0</v>
      </c>
      <c r="BE50" s="81">
        <v>0</v>
      </c>
      <c r="BF50" s="81">
        <v>0</v>
      </c>
      <c r="BG50" s="81">
        <v>0</v>
      </c>
      <c r="BH50" s="81">
        <v>0</v>
      </c>
      <c r="BI50" s="81">
        <v>0</v>
      </c>
      <c r="BJ50" s="81">
        <v>0</v>
      </c>
      <c r="BK50" s="81">
        <v>0</v>
      </c>
      <c r="BL50" s="81">
        <v>0</v>
      </c>
      <c r="BM50" s="81">
        <v>0</v>
      </c>
      <c r="BN50" s="87">
        <f t="shared" si="1013"/>
        <v>0</v>
      </c>
      <c r="BO50" s="81">
        <v>0</v>
      </c>
      <c r="BP50" s="81">
        <v>0</v>
      </c>
      <c r="BQ50" s="81">
        <v>0</v>
      </c>
      <c r="BR50" s="81">
        <v>0</v>
      </c>
      <c r="BS50" s="81">
        <v>0</v>
      </c>
      <c r="BT50" s="81">
        <v>0</v>
      </c>
      <c r="BU50" s="81">
        <v>0</v>
      </c>
      <c r="BV50" s="81">
        <v>0</v>
      </c>
      <c r="BW50" s="81">
        <v>0</v>
      </c>
      <c r="BX50" s="81">
        <v>0</v>
      </c>
      <c r="BY50" s="81">
        <v>0</v>
      </c>
      <c r="BZ50" s="81">
        <v>0</v>
      </c>
      <c r="CA50" s="87">
        <f t="shared" si="1014"/>
        <v>0</v>
      </c>
      <c r="CB50" s="81">
        <v>0</v>
      </c>
      <c r="CC50" s="81">
        <v>0</v>
      </c>
      <c r="CD50" s="81">
        <v>0</v>
      </c>
      <c r="CE50" s="81">
        <v>0</v>
      </c>
      <c r="CF50" s="81">
        <v>0</v>
      </c>
      <c r="CG50" s="81">
        <v>0</v>
      </c>
      <c r="CH50" s="81">
        <v>0</v>
      </c>
      <c r="CI50" s="81">
        <v>0</v>
      </c>
      <c r="CJ50" s="81">
        <v>0</v>
      </c>
      <c r="CK50" s="81">
        <v>0</v>
      </c>
      <c r="CL50" s="81">
        <v>0</v>
      </c>
      <c r="CM50" s="81">
        <v>0</v>
      </c>
      <c r="CN50" s="87">
        <f t="shared" si="1015"/>
        <v>0</v>
      </c>
      <c r="CO50" s="81">
        <v>0</v>
      </c>
      <c r="CP50" s="81">
        <v>0</v>
      </c>
      <c r="CQ50" s="81">
        <v>0</v>
      </c>
      <c r="CR50" s="81">
        <v>0</v>
      </c>
      <c r="CS50" s="81">
        <v>0</v>
      </c>
      <c r="CT50" s="81">
        <v>0</v>
      </c>
      <c r="CU50" s="81">
        <v>0</v>
      </c>
      <c r="CV50" s="81">
        <v>0</v>
      </c>
      <c r="CW50" s="81">
        <v>0</v>
      </c>
      <c r="CX50" s="81">
        <v>0</v>
      </c>
      <c r="CY50" s="81">
        <v>0</v>
      </c>
      <c r="CZ50" s="81">
        <v>0</v>
      </c>
      <c r="DA50" s="87">
        <f t="shared" si="1016"/>
        <v>0</v>
      </c>
      <c r="DB50" s="81">
        <v>0</v>
      </c>
      <c r="DC50" s="81">
        <v>0</v>
      </c>
      <c r="DD50" s="81">
        <v>0</v>
      </c>
      <c r="DE50" s="81">
        <v>0</v>
      </c>
      <c r="DF50" s="81">
        <v>0</v>
      </c>
      <c r="DG50" s="81">
        <v>0</v>
      </c>
      <c r="DH50" s="81">
        <v>0</v>
      </c>
      <c r="DI50" s="81">
        <v>0</v>
      </c>
      <c r="DJ50" s="81">
        <v>0</v>
      </c>
      <c r="DK50" s="81">
        <v>0</v>
      </c>
      <c r="DL50" s="81">
        <v>0</v>
      </c>
      <c r="DM50" s="81">
        <v>0</v>
      </c>
      <c r="DN50" s="87">
        <f t="shared" si="1017"/>
        <v>0</v>
      </c>
      <c r="DO50" s="81">
        <v>0</v>
      </c>
      <c r="DP50" s="81">
        <v>0</v>
      </c>
      <c r="DQ50" s="81">
        <v>0</v>
      </c>
      <c r="DR50" s="81">
        <v>0</v>
      </c>
      <c r="DS50" s="81">
        <v>0</v>
      </c>
      <c r="DT50" s="81">
        <v>0</v>
      </c>
      <c r="DU50" s="81">
        <v>0</v>
      </c>
      <c r="DV50" s="81">
        <v>0</v>
      </c>
      <c r="DW50" s="81">
        <v>0</v>
      </c>
      <c r="DX50" s="81">
        <v>0</v>
      </c>
      <c r="DY50" s="81">
        <v>0</v>
      </c>
      <c r="DZ50" s="81">
        <v>0</v>
      </c>
      <c r="EA50" s="87">
        <f t="shared" si="1018"/>
        <v>0</v>
      </c>
      <c r="EB50" s="81">
        <v>0</v>
      </c>
      <c r="EC50" s="81">
        <v>0</v>
      </c>
      <c r="ED50" s="81">
        <v>0</v>
      </c>
      <c r="EE50" s="81">
        <v>0</v>
      </c>
      <c r="EF50" s="81">
        <v>0</v>
      </c>
      <c r="EG50" s="81">
        <v>0</v>
      </c>
      <c r="EH50" s="81">
        <v>0</v>
      </c>
      <c r="EI50" s="81">
        <v>0</v>
      </c>
      <c r="EJ50" s="81">
        <v>0</v>
      </c>
      <c r="EK50" s="81">
        <v>0</v>
      </c>
      <c r="EL50" s="81">
        <v>0</v>
      </c>
      <c r="EM50" s="81">
        <v>0</v>
      </c>
      <c r="EN50" s="87">
        <f t="shared" si="1019"/>
        <v>0</v>
      </c>
      <c r="EO50" s="81">
        <v>0</v>
      </c>
      <c r="EP50" s="81">
        <v>0</v>
      </c>
      <c r="EQ50" s="81">
        <v>0</v>
      </c>
      <c r="ER50" s="81">
        <v>0</v>
      </c>
      <c r="ES50" s="81">
        <v>0</v>
      </c>
      <c r="ET50" s="81">
        <v>0</v>
      </c>
      <c r="EU50" s="81">
        <v>0</v>
      </c>
      <c r="EV50" s="81">
        <v>0</v>
      </c>
      <c r="EW50" s="81">
        <v>0</v>
      </c>
      <c r="EX50" s="81">
        <v>0</v>
      </c>
      <c r="EY50" s="81">
        <v>0</v>
      </c>
      <c r="EZ50" s="81">
        <v>0</v>
      </c>
      <c r="FA50" s="87">
        <f t="shared" si="1020"/>
        <v>0</v>
      </c>
      <c r="FB50" s="81">
        <v>0</v>
      </c>
      <c r="FC50" s="81">
        <v>0</v>
      </c>
      <c r="FD50" s="81">
        <v>0</v>
      </c>
      <c r="FE50" s="81">
        <v>0</v>
      </c>
      <c r="FF50" s="81">
        <v>0</v>
      </c>
      <c r="FG50" s="81">
        <v>0</v>
      </c>
      <c r="FH50" s="81">
        <v>0</v>
      </c>
      <c r="FI50" s="81">
        <v>0</v>
      </c>
      <c r="FJ50" s="81">
        <v>0</v>
      </c>
      <c r="FK50" s="81">
        <v>0</v>
      </c>
      <c r="FL50" s="81">
        <v>0</v>
      </c>
      <c r="FM50" s="81">
        <v>0</v>
      </c>
      <c r="FN50" s="87">
        <f t="shared" si="1021"/>
        <v>0</v>
      </c>
      <c r="FO50" s="81">
        <v>0</v>
      </c>
      <c r="FP50" s="81">
        <v>0</v>
      </c>
      <c r="FQ50" s="81">
        <v>0</v>
      </c>
      <c r="FR50" s="81">
        <v>0</v>
      </c>
      <c r="FS50" s="81">
        <v>0</v>
      </c>
      <c r="FT50" s="81">
        <v>0</v>
      </c>
      <c r="FU50" s="81">
        <v>0</v>
      </c>
      <c r="FV50" s="81">
        <v>0</v>
      </c>
      <c r="FW50" s="81">
        <v>0</v>
      </c>
      <c r="FX50" s="81">
        <v>0</v>
      </c>
      <c r="FY50" s="81">
        <v>0</v>
      </c>
      <c r="FZ50" s="81">
        <v>0</v>
      </c>
      <c r="GA50" s="87">
        <f t="shared" si="1022"/>
        <v>0</v>
      </c>
      <c r="GB50" s="81">
        <v>0</v>
      </c>
      <c r="GC50" s="81">
        <v>0</v>
      </c>
      <c r="GD50" s="81">
        <v>0</v>
      </c>
      <c r="GE50" s="81">
        <v>0</v>
      </c>
      <c r="GF50" s="81">
        <v>0</v>
      </c>
      <c r="GG50" s="81">
        <v>0</v>
      </c>
      <c r="GH50" s="81">
        <v>0</v>
      </c>
      <c r="GI50" s="81">
        <v>0</v>
      </c>
      <c r="GJ50" s="81">
        <v>0</v>
      </c>
      <c r="GK50" s="81">
        <v>0</v>
      </c>
      <c r="GL50" s="81">
        <v>0</v>
      </c>
      <c r="GM50" s="81">
        <v>0</v>
      </c>
      <c r="GN50" s="87">
        <f t="shared" si="1023"/>
        <v>0</v>
      </c>
      <c r="GO50" s="81">
        <v>0</v>
      </c>
      <c r="GP50" s="81">
        <v>0</v>
      </c>
      <c r="GQ50" s="81">
        <v>0</v>
      </c>
      <c r="GR50" s="81">
        <v>0</v>
      </c>
      <c r="GS50" s="81">
        <v>0</v>
      </c>
      <c r="GT50" s="81">
        <v>0</v>
      </c>
      <c r="GU50" s="81">
        <v>0</v>
      </c>
      <c r="GV50" s="81">
        <v>0</v>
      </c>
      <c r="GW50" s="81">
        <v>0</v>
      </c>
      <c r="GX50" s="81">
        <v>0</v>
      </c>
      <c r="GY50" s="81">
        <v>0</v>
      </c>
      <c r="GZ50" s="81">
        <v>0</v>
      </c>
      <c r="HA50" s="87">
        <f t="shared" si="1024"/>
        <v>0</v>
      </c>
      <c r="HB50" s="81">
        <v>0</v>
      </c>
      <c r="HC50" s="81">
        <v>0</v>
      </c>
      <c r="HD50" s="81">
        <v>0</v>
      </c>
      <c r="HE50" s="81">
        <v>0</v>
      </c>
      <c r="HF50" s="81">
        <v>0</v>
      </c>
      <c r="HG50" s="81">
        <v>0</v>
      </c>
      <c r="HH50" s="81">
        <v>0</v>
      </c>
      <c r="HI50" s="81">
        <v>0</v>
      </c>
      <c r="HJ50" s="81">
        <v>0</v>
      </c>
      <c r="HK50" s="81">
        <v>0</v>
      </c>
      <c r="HL50" s="81">
        <v>0</v>
      </c>
      <c r="HM50" s="81">
        <v>0</v>
      </c>
      <c r="HN50" s="87">
        <f t="shared" si="1025"/>
        <v>0</v>
      </c>
      <c r="HO50" s="81">
        <v>0</v>
      </c>
      <c r="HP50" s="81">
        <v>0</v>
      </c>
      <c r="HQ50" s="81">
        <v>0</v>
      </c>
      <c r="HR50" s="81">
        <v>0</v>
      </c>
      <c r="HS50" s="81">
        <v>0</v>
      </c>
      <c r="HT50" s="81">
        <v>0</v>
      </c>
      <c r="HU50" s="81">
        <v>0</v>
      </c>
      <c r="HV50" s="81">
        <v>0</v>
      </c>
      <c r="HW50" s="81">
        <v>0</v>
      </c>
      <c r="HX50" s="81">
        <v>0</v>
      </c>
      <c r="HY50" s="81">
        <v>0</v>
      </c>
      <c r="HZ50" s="81">
        <v>0</v>
      </c>
      <c r="IA50" s="87">
        <f t="shared" si="1026"/>
        <v>0</v>
      </c>
      <c r="IB50" s="81">
        <v>0</v>
      </c>
      <c r="IC50" s="81">
        <v>0</v>
      </c>
      <c r="ID50" s="81">
        <v>0</v>
      </c>
      <c r="IE50" s="81">
        <v>0</v>
      </c>
      <c r="IF50" s="81">
        <v>0</v>
      </c>
      <c r="IG50" s="81">
        <v>0</v>
      </c>
      <c r="IH50" s="81">
        <v>0</v>
      </c>
      <c r="II50" s="81">
        <v>0</v>
      </c>
      <c r="IJ50" s="81">
        <v>0</v>
      </c>
      <c r="IK50" s="81">
        <v>0</v>
      </c>
      <c r="IL50" s="81">
        <v>0</v>
      </c>
      <c r="IM50" s="81">
        <v>0</v>
      </c>
      <c r="IN50" s="87">
        <f t="shared" si="1027"/>
        <v>0</v>
      </c>
      <c r="IO50" s="81">
        <v>0</v>
      </c>
      <c r="IP50" s="81">
        <v>0</v>
      </c>
      <c r="IQ50" s="81">
        <v>0</v>
      </c>
      <c r="IR50" s="81">
        <v>0</v>
      </c>
      <c r="IS50" s="81">
        <v>0</v>
      </c>
      <c r="IT50" s="81">
        <v>0</v>
      </c>
      <c r="IU50" s="81">
        <v>0</v>
      </c>
      <c r="IV50" s="81">
        <v>0</v>
      </c>
      <c r="IW50" s="81">
        <v>0</v>
      </c>
      <c r="IX50" s="81">
        <v>0</v>
      </c>
      <c r="IY50" s="81">
        <v>0</v>
      </c>
      <c r="IZ50" s="81">
        <v>0</v>
      </c>
      <c r="JA50" s="87">
        <f t="shared" si="1028"/>
        <v>0</v>
      </c>
      <c r="JB50" s="81">
        <v>0</v>
      </c>
      <c r="JC50" s="81">
        <v>0</v>
      </c>
      <c r="JD50" s="81">
        <v>0</v>
      </c>
      <c r="JE50" s="81">
        <v>0</v>
      </c>
      <c r="JF50" s="81">
        <v>0</v>
      </c>
      <c r="JG50" s="81">
        <v>0</v>
      </c>
      <c r="JH50" s="81">
        <v>0</v>
      </c>
      <c r="JI50" s="81">
        <v>0</v>
      </c>
      <c r="JJ50" s="81">
        <v>0</v>
      </c>
      <c r="JK50" s="81">
        <v>0</v>
      </c>
      <c r="JL50" s="81">
        <v>0</v>
      </c>
      <c r="JM50" s="81">
        <v>0</v>
      </c>
      <c r="JN50" s="87">
        <f t="shared" si="1029"/>
        <v>0</v>
      </c>
      <c r="JO50" s="81">
        <v>0</v>
      </c>
      <c r="JP50" s="81">
        <v>0</v>
      </c>
      <c r="JQ50" s="81">
        <v>0</v>
      </c>
      <c r="JR50" s="81">
        <v>0</v>
      </c>
      <c r="JS50" s="81">
        <v>0</v>
      </c>
      <c r="JT50" s="81">
        <v>0</v>
      </c>
      <c r="JU50" s="81">
        <v>0</v>
      </c>
      <c r="JV50" s="81">
        <v>0</v>
      </c>
      <c r="JW50" s="81">
        <v>0</v>
      </c>
      <c r="JX50" s="81">
        <v>0</v>
      </c>
      <c r="JY50" s="81">
        <v>0</v>
      </c>
      <c r="JZ50" s="81">
        <v>0</v>
      </c>
      <c r="KA50" s="87">
        <f t="shared" si="1030"/>
        <v>0</v>
      </c>
      <c r="KB50" s="81">
        <v>0</v>
      </c>
      <c r="KC50" s="81">
        <v>0</v>
      </c>
      <c r="KD50" s="81">
        <v>0</v>
      </c>
      <c r="KE50" s="81">
        <v>0</v>
      </c>
      <c r="KF50" s="81">
        <v>0</v>
      </c>
      <c r="KG50" s="81">
        <v>0</v>
      </c>
      <c r="KH50" s="81">
        <v>0</v>
      </c>
      <c r="KI50" s="81">
        <v>0</v>
      </c>
      <c r="KJ50" s="81">
        <v>0</v>
      </c>
      <c r="KK50" s="81">
        <v>0</v>
      </c>
      <c r="KL50" s="81">
        <v>0</v>
      </c>
      <c r="KM50" s="81">
        <v>0</v>
      </c>
      <c r="KN50" s="87">
        <f t="shared" si="1031"/>
        <v>0</v>
      </c>
      <c r="KO50" s="81">
        <v>0</v>
      </c>
      <c r="KP50" s="81">
        <v>0</v>
      </c>
      <c r="KQ50" s="81">
        <v>0</v>
      </c>
      <c r="KR50" s="81">
        <v>0</v>
      </c>
      <c r="KS50" s="81">
        <v>0</v>
      </c>
      <c r="KT50" s="81">
        <v>0</v>
      </c>
      <c r="KU50" s="81">
        <v>0</v>
      </c>
      <c r="KV50" s="81">
        <v>0</v>
      </c>
      <c r="KW50" s="81">
        <v>0</v>
      </c>
      <c r="KX50" s="81">
        <v>0</v>
      </c>
      <c r="KY50" s="81">
        <v>0</v>
      </c>
      <c r="KZ50" s="81">
        <v>0</v>
      </c>
      <c r="LA50" s="87">
        <f t="shared" si="1032"/>
        <v>0</v>
      </c>
      <c r="LB50" s="81">
        <v>0</v>
      </c>
      <c r="LC50" s="81">
        <v>0</v>
      </c>
      <c r="LD50" s="81">
        <v>0</v>
      </c>
      <c r="LE50" s="81">
        <v>0</v>
      </c>
      <c r="LF50" s="81">
        <v>0</v>
      </c>
      <c r="LG50" s="81">
        <v>0</v>
      </c>
      <c r="LH50" s="81">
        <v>0</v>
      </c>
      <c r="LI50" s="81">
        <v>0</v>
      </c>
      <c r="LJ50" s="81">
        <v>0</v>
      </c>
      <c r="LK50" s="81">
        <v>0</v>
      </c>
      <c r="LL50" s="81">
        <v>0</v>
      </c>
      <c r="LM50" s="81">
        <v>0</v>
      </c>
      <c r="LN50" s="87">
        <f t="shared" si="1033"/>
        <v>0</v>
      </c>
      <c r="LO50" s="81">
        <v>0</v>
      </c>
      <c r="LP50" s="81">
        <v>0</v>
      </c>
      <c r="LQ50" s="81">
        <v>0</v>
      </c>
      <c r="LR50" s="81">
        <v>0</v>
      </c>
      <c r="LS50" s="81">
        <v>0</v>
      </c>
      <c r="LT50" s="81">
        <v>0</v>
      </c>
      <c r="LU50" s="81">
        <v>0</v>
      </c>
      <c r="LV50" s="81">
        <v>0</v>
      </c>
      <c r="LW50" s="81">
        <v>0</v>
      </c>
      <c r="LX50" s="81">
        <v>0</v>
      </c>
      <c r="LY50" s="81">
        <v>0</v>
      </c>
      <c r="LZ50" s="81">
        <v>0</v>
      </c>
      <c r="MA50" s="87">
        <f t="shared" si="1034"/>
        <v>0</v>
      </c>
      <c r="MB50" s="81">
        <v>0</v>
      </c>
      <c r="MC50" s="81">
        <v>0</v>
      </c>
      <c r="MD50" s="81">
        <v>0</v>
      </c>
      <c r="ME50" s="81">
        <v>0</v>
      </c>
      <c r="MF50" s="81">
        <v>0</v>
      </c>
      <c r="MG50" s="81">
        <v>0</v>
      </c>
      <c r="MH50" s="81">
        <v>0</v>
      </c>
      <c r="MI50" s="81">
        <v>0</v>
      </c>
      <c r="MJ50" s="81">
        <v>0</v>
      </c>
      <c r="MK50" s="81">
        <v>0</v>
      </c>
      <c r="ML50" s="81">
        <v>0</v>
      </c>
      <c r="MM50" s="81">
        <v>0</v>
      </c>
      <c r="MN50" s="87">
        <f t="shared" si="1035"/>
        <v>0</v>
      </c>
      <c r="MO50" s="81">
        <v>0</v>
      </c>
      <c r="MP50" s="81">
        <v>0</v>
      </c>
      <c r="MQ50" s="81">
        <v>0</v>
      </c>
      <c r="MR50" s="81">
        <v>0</v>
      </c>
      <c r="MS50" s="81">
        <v>0</v>
      </c>
      <c r="MT50" s="81">
        <v>0</v>
      </c>
      <c r="MU50" s="81">
        <v>0</v>
      </c>
      <c r="MV50" s="81">
        <v>0</v>
      </c>
      <c r="MW50" s="81">
        <v>0</v>
      </c>
      <c r="MX50" s="81">
        <v>0</v>
      </c>
      <c r="MY50" s="81">
        <v>0</v>
      </c>
      <c r="MZ50" s="81">
        <v>0</v>
      </c>
      <c r="NA50" s="87">
        <f t="shared" si="1036"/>
        <v>0</v>
      </c>
      <c r="NB50" s="81">
        <v>0</v>
      </c>
      <c r="NC50" s="81">
        <v>0</v>
      </c>
      <c r="ND50" s="81">
        <v>0</v>
      </c>
      <c r="NE50" s="81">
        <v>0</v>
      </c>
      <c r="NF50" s="81">
        <v>0</v>
      </c>
      <c r="NG50" s="81">
        <v>0</v>
      </c>
      <c r="NH50" s="81">
        <v>0</v>
      </c>
      <c r="NI50" s="81">
        <v>0</v>
      </c>
      <c r="NJ50" s="81">
        <v>0</v>
      </c>
      <c r="NK50" s="81">
        <v>0</v>
      </c>
      <c r="NL50" s="81">
        <v>0</v>
      </c>
      <c r="NM50" s="81">
        <v>0</v>
      </c>
      <c r="NN50" s="87">
        <f t="shared" si="1037"/>
        <v>0</v>
      </c>
      <c r="NO50" s="81">
        <v>0</v>
      </c>
      <c r="NP50" s="81">
        <v>0</v>
      </c>
      <c r="NQ50" s="81">
        <v>0</v>
      </c>
      <c r="NR50" s="81">
        <v>0</v>
      </c>
      <c r="NS50" s="81">
        <v>0</v>
      </c>
      <c r="NT50" s="81">
        <v>0</v>
      </c>
      <c r="NU50" s="81">
        <v>0</v>
      </c>
      <c r="NV50" s="81">
        <v>0</v>
      </c>
      <c r="NW50" s="81">
        <v>0</v>
      </c>
      <c r="NX50" s="81">
        <v>0</v>
      </c>
      <c r="NY50" s="81">
        <v>0</v>
      </c>
      <c r="NZ50" s="81">
        <v>0</v>
      </c>
      <c r="OA50" s="87">
        <f t="shared" si="1038"/>
        <v>0</v>
      </c>
      <c r="OB50" s="81">
        <v>0</v>
      </c>
      <c r="OC50" s="81">
        <v>0</v>
      </c>
      <c r="OD50" s="81">
        <v>0</v>
      </c>
      <c r="OE50" s="81">
        <v>0</v>
      </c>
      <c r="OF50" s="81">
        <v>0</v>
      </c>
      <c r="OG50" s="81">
        <v>0</v>
      </c>
      <c r="OH50" s="81">
        <v>0</v>
      </c>
      <c r="OI50" s="81">
        <v>0</v>
      </c>
      <c r="OJ50" s="81">
        <v>0</v>
      </c>
      <c r="OK50" s="81">
        <v>0</v>
      </c>
      <c r="OL50" s="81">
        <v>0</v>
      </c>
      <c r="OM50" s="81">
        <v>0</v>
      </c>
      <c r="ON50" s="87">
        <f t="shared" si="1039"/>
        <v>0</v>
      </c>
      <c r="OO50" s="81">
        <v>0</v>
      </c>
      <c r="OP50" s="81">
        <v>0</v>
      </c>
      <c r="OQ50" s="81">
        <v>0</v>
      </c>
      <c r="OR50" s="81">
        <v>0</v>
      </c>
      <c r="OS50" s="81">
        <v>0</v>
      </c>
      <c r="OT50" s="81">
        <v>0</v>
      </c>
      <c r="OU50" s="81">
        <v>0</v>
      </c>
      <c r="OV50" s="81">
        <v>0</v>
      </c>
      <c r="OW50" s="81">
        <v>0</v>
      </c>
      <c r="OX50" s="81">
        <v>0</v>
      </c>
      <c r="OY50" s="81">
        <v>0</v>
      </c>
      <c r="OZ50" s="81">
        <v>0</v>
      </c>
      <c r="PA50" s="87">
        <f t="shared" si="1040"/>
        <v>0</v>
      </c>
      <c r="PB50" s="81">
        <v>0</v>
      </c>
      <c r="PC50" s="81">
        <v>0</v>
      </c>
      <c r="PD50" s="81">
        <v>0</v>
      </c>
      <c r="PE50" s="81">
        <v>0</v>
      </c>
      <c r="PF50" s="81">
        <v>0</v>
      </c>
      <c r="PG50" s="81">
        <v>0</v>
      </c>
      <c r="PH50" s="81">
        <v>0</v>
      </c>
      <c r="PI50" s="81">
        <v>0</v>
      </c>
      <c r="PJ50" s="81">
        <v>0</v>
      </c>
      <c r="PK50" s="81">
        <v>0</v>
      </c>
      <c r="PL50" s="81">
        <v>0</v>
      </c>
      <c r="PM50" s="81">
        <v>0</v>
      </c>
      <c r="PN50" s="87">
        <f t="shared" si="1041"/>
        <v>0</v>
      </c>
      <c r="PO50" s="81">
        <v>0</v>
      </c>
      <c r="PP50" s="81">
        <v>0</v>
      </c>
      <c r="PQ50" s="81">
        <v>0</v>
      </c>
      <c r="PR50" s="81">
        <v>0</v>
      </c>
      <c r="PS50" s="81">
        <v>0</v>
      </c>
      <c r="PT50" s="81">
        <v>0</v>
      </c>
      <c r="PU50" s="81">
        <v>0</v>
      </c>
      <c r="PV50" s="81">
        <v>0</v>
      </c>
      <c r="PW50" s="81">
        <v>0</v>
      </c>
      <c r="PX50" s="81">
        <v>0</v>
      </c>
      <c r="PY50" s="81">
        <v>0</v>
      </c>
      <c r="PZ50" s="81">
        <v>0</v>
      </c>
      <c r="QA50" s="87">
        <f t="shared" si="1042"/>
        <v>0</v>
      </c>
      <c r="QB50" s="81">
        <v>0</v>
      </c>
      <c r="QC50" s="81">
        <v>0</v>
      </c>
      <c r="QD50" s="81">
        <v>0</v>
      </c>
      <c r="QE50" s="81">
        <v>0</v>
      </c>
      <c r="QF50" s="81">
        <v>0</v>
      </c>
      <c r="QG50" s="81">
        <v>0</v>
      </c>
      <c r="QH50" s="81">
        <v>0</v>
      </c>
      <c r="QI50" s="81">
        <v>0</v>
      </c>
      <c r="QJ50" s="81">
        <v>0</v>
      </c>
      <c r="QK50" s="81">
        <v>0</v>
      </c>
      <c r="QL50" s="81">
        <v>0</v>
      </c>
      <c r="QM50" s="81">
        <v>0</v>
      </c>
      <c r="QN50" s="87">
        <f t="shared" si="1043"/>
        <v>0</v>
      </c>
      <c r="QO50" s="81">
        <v>0</v>
      </c>
      <c r="QP50" s="81">
        <v>0</v>
      </c>
      <c r="QQ50" s="81">
        <v>0</v>
      </c>
      <c r="QR50" s="81">
        <v>0</v>
      </c>
      <c r="QS50" s="81">
        <v>0</v>
      </c>
      <c r="QT50" s="81">
        <v>0</v>
      </c>
      <c r="QU50" s="81">
        <v>0</v>
      </c>
      <c r="QV50" s="81">
        <v>0</v>
      </c>
      <c r="QW50" s="81">
        <v>0</v>
      </c>
      <c r="QX50" s="81">
        <v>0</v>
      </c>
      <c r="QY50" s="81">
        <v>0</v>
      </c>
      <c r="QZ50" s="81">
        <v>0</v>
      </c>
      <c r="RA50" s="87">
        <f t="shared" si="1044"/>
        <v>0</v>
      </c>
      <c r="RB50" s="81">
        <v>0</v>
      </c>
      <c r="RC50" s="81">
        <v>0</v>
      </c>
      <c r="RD50" s="81">
        <v>0</v>
      </c>
      <c r="RE50" s="81">
        <v>0</v>
      </c>
      <c r="RF50" s="81">
        <v>0</v>
      </c>
      <c r="RG50" s="81">
        <v>0</v>
      </c>
      <c r="RH50" s="81">
        <v>0</v>
      </c>
      <c r="RI50" s="81">
        <v>0</v>
      </c>
      <c r="RJ50" s="81">
        <v>0</v>
      </c>
      <c r="RK50" s="81">
        <v>0</v>
      </c>
      <c r="RL50" s="81">
        <v>0</v>
      </c>
      <c r="RM50" s="81">
        <v>0</v>
      </c>
      <c r="RN50" s="87">
        <f t="shared" si="1045"/>
        <v>0</v>
      </c>
    </row>
    <row r="51" spans="1:482" hidden="1" outlineLevel="1" x14ac:dyDescent="0.3">
      <c r="A51" s="89" t="s">
        <v>265</v>
      </c>
      <c r="B51" s="86">
        <f t="shared" ref="B51:M51" si="1046">-B22</f>
        <v>0</v>
      </c>
      <c r="C51" s="86">
        <f t="shared" si="1046"/>
        <v>0</v>
      </c>
      <c r="D51" s="86">
        <f t="shared" si="1046"/>
        <v>0</v>
      </c>
      <c r="E51" s="86">
        <f t="shared" si="1046"/>
        <v>0</v>
      </c>
      <c r="F51" s="86">
        <f t="shared" si="1046"/>
        <v>0</v>
      </c>
      <c r="G51" s="86">
        <f t="shared" si="1046"/>
        <v>0</v>
      </c>
      <c r="H51" s="86">
        <f t="shared" si="1046"/>
        <v>0</v>
      </c>
      <c r="I51" s="86">
        <f t="shared" si="1046"/>
        <v>0</v>
      </c>
      <c r="J51" s="86">
        <f t="shared" si="1046"/>
        <v>0</v>
      </c>
      <c r="K51" s="86">
        <f t="shared" si="1046"/>
        <v>0</v>
      </c>
      <c r="L51" s="86">
        <f t="shared" si="1046"/>
        <v>0</v>
      </c>
      <c r="M51" s="86">
        <f t="shared" si="1046"/>
        <v>0</v>
      </c>
      <c r="N51" s="87">
        <f t="shared" si="1009"/>
        <v>0</v>
      </c>
      <c r="O51" s="86">
        <f t="shared" ref="O51:Z51" si="1047">-O22</f>
        <v>0</v>
      </c>
      <c r="P51" s="86">
        <f t="shared" si="1047"/>
        <v>0</v>
      </c>
      <c r="Q51" s="86">
        <f t="shared" si="1047"/>
        <v>0</v>
      </c>
      <c r="R51" s="86">
        <f t="shared" si="1047"/>
        <v>0</v>
      </c>
      <c r="S51" s="86">
        <f t="shared" si="1047"/>
        <v>0</v>
      </c>
      <c r="T51" s="86">
        <f t="shared" si="1047"/>
        <v>0</v>
      </c>
      <c r="U51" s="86">
        <f t="shared" si="1047"/>
        <v>0</v>
      </c>
      <c r="V51" s="86">
        <f t="shared" si="1047"/>
        <v>0</v>
      </c>
      <c r="W51" s="86">
        <f t="shared" si="1047"/>
        <v>0</v>
      </c>
      <c r="X51" s="86">
        <f t="shared" si="1047"/>
        <v>0</v>
      </c>
      <c r="Y51" s="86">
        <f t="shared" si="1047"/>
        <v>0</v>
      </c>
      <c r="Z51" s="86">
        <f t="shared" si="1047"/>
        <v>0</v>
      </c>
      <c r="AA51" s="87">
        <f t="shared" si="1010"/>
        <v>0</v>
      </c>
      <c r="AB51" s="86">
        <f t="shared" ref="AB51:AM51" si="1048">-AB22</f>
        <v>0</v>
      </c>
      <c r="AC51" s="86">
        <f t="shared" si="1048"/>
        <v>0</v>
      </c>
      <c r="AD51" s="86">
        <f t="shared" si="1048"/>
        <v>0</v>
      </c>
      <c r="AE51" s="86">
        <f t="shared" si="1048"/>
        <v>0</v>
      </c>
      <c r="AF51" s="86">
        <f t="shared" si="1048"/>
        <v>0</v>
      </c>
      <c r="AG51" s="86">
        <f t="shared" si="1048"/>
        <v>0</v>
      </c>
      <c r="AH51" s="86">
        <f t="shared" si="1048"/>
        <v>0</v>
      </c>
      <c r="AI51" s="86">
        <f t="shared" si="1048"/>
        <v>0</v>
      </c>
      <c r="AJ51" s="86">
        <f t="shared" si="1048"/>
        <v>0</v>
      </c>
      <c r="AK51" s="86">
        <f t="shared" si="1048"/>
        <v>0</v>
      </c>
      <c r="AL51" s="86">
        <f t="shared" si="1048"/>
        <v>0</v>
      </c>
      <c r="AM51" s="86">
        <f t="shared" si="1048"/>
        <v>0</v>
      </c>
      <c r="AN51" s="87">
        <f t="shared" si="1011"/>
        <v>0</v>
      </c>
      <c r="AO51" s="86">
        <f t="shared" ref="AO51:AZ51" si="1049">-AO22</f>
        <v>0</v>
      </c>
      <c r="AP51" s="86">
        <f t="shared" si="1049"/>
        <v>0</v>
      </c>
      <c r="AQ51" s="86">
        <f t="shared" si="1049"/>
        <v>0</v>
      </c>
      <c r="AR51" s="86">
        <f t="shared" si="1049"/>
        <v>0</v>
      </c>
      <c r="AS51" s="86">
        <f t="shared" si="1049"/>
        <v>0</v>
      </c>
      <c r="AT51" s="86">
        <f t="shared" si="1049"/>
        <v>0</v>
      </c>
      <c r="AU51" s="86">
        <f t="shared" si="1049"/>
        <v>0</v>
      </c>
      <c r="AV51" s="86">
        <f t="shared" si="1049"/>
        <v>0</v>
      </c>
      <c r="AW51" s="86">
        <f t="shared" si="1049"/>
        <v>0</v>
      </c>
      <c r="AX51" s="86">
        <f t="shared" si="1049"/>
        <v>0</v>
      </c>
      <c r="AY51" s="86">
        <f t="shared" si="1049"/>
        <v>0</v>
      </c>
      <c r="AZ51" s="86">
        <f t="shared" si="1049"/>
        <v>0</v>
      </c>
      <c r="BA51" s="87">
        <f t="shared" si="1012"/>
        <v>0</v>
      </c>
      <c r="BB51" s="86">
        <f t="shared" ref="BB51:BM51" si="1050">-BB22</f>
        <v>0</v>
      </c>
      <c r="BC51" s="86">
        <f t="shared" si="1050"/>
        <v>0</v>
      </c>
      <c r="BD51" s="86">
        <f t="shared" si="1050"/>
        <v>0</v>
      </c>
      <c r="BE51" s="86">
        <f t="shared" si="1050"/>
        <v>0</v>
      </c>
      <c r="BF51" s="86">
        <f t="shared" si="1050"/>
        <v>0</v>
      </c>
      <c r="BG51" s="86">
        <f t="shared" si="1050"/>
        <v>0</v>
      </c>
      <c r="BH51" s="86">
        <f t="shared" si="1050"/>
        <v>0</v>
      </c>
      <c r="BI51" s="86">
        <f t="shared" si="1050"/>
        <v>0</v>
      </c>
      <c r="BJ51" s="86">
        <f t="shared" si="1050"/>
        <v>0</v>
      </c>
      <c r="BK51" s="86">
        <f t="shared" si="1050"/>
        <v>0</v>
      </c>
      <c r="BL51" s="86">
        <f t="shared" si="1050"/>
        <v>0</v>
      </c>
      <c r="BM51" s="86">
        <f t="shared" si="1050"/>
        <v>0</v>
      </c>
      <c r="BN51" s="87">
        <f t="shared" si="1013"/>
        <v>0</v>
      </c>
      <c r="BO51" s="86">
        <f t="shared" ref="BO51:BZ51" si="1051">-BO22</f>
        <v>0</v>
      </c>
      <c r="BP51" s="86">
        <f t="shared" si="1051"/>
        <v>0</v>
      </c>
      <c r="BQ51" s="86">
        <f t="shared" si="1051"/>
        <v>0</v>
      </c>
      <c r="BR51" s="86">
        <f t="shared" si="1051"/>
        <v>0</v>
      </c>
      <c r="BS51" s="86">
        <f t="shared" si="1051"/>
        <v>0</v>
      </c>
      <c r="BT51" s="86">
        <f t="shared" si="1051"/>
        <v>0</v>
      </c>
      <c r="BU51" s="86">
        <f t="shared" si="1051"/>
        <v>0</v>
      </c>
      <c r="BV51" s="86">
        <f t="shared" si="1051"/>
        <v>0</v>
      </c>
      <c r="BW51" s="86">
        <f t="shared" si="1051"/>
        <v>0</v>
      </c>
      <c r="BX51" s="86">
        <f t="shared" si="1051"/>
        <v>0</v>
      </c>
      <c r="BY51" s="86">
        <f t="shared" si="1051"/>
        <v>0</v>
      </c>
      <c r="BZ51" s="86">
        <f t="shared" si="1051"/>
        <v>0</v>
      </c>
      <c r="CA51" s="87">
        <f t="shared" si="1014"/>
        <v>0</v>
      </c>
      <c r="CB51" s="86">
        <f t="shared" ref="CB51:CM51" si="1052">-CB22</f>
        <v>0</v>
      </c>
      <c r="CC51" s="86">
        <f t="shared" si="1052"/>
        <v>0</v>
      </c>
      <c r="CD51" s="86">
        <f t="shared" si="1052"/>
        <v>0</v>
      </c>
      <c r="CE51" s="86">
        <f t="shared" si="1052"/>
        <v>0</v>
      </c>
      <c r="CF51" s="86">
        <f t="shared" si="1052"/>
        <v>0</v>
      </c>
      <c r="CG51" s="86">
        <f t="shared" si="1052"/>
        <v>0</v>
      </c>
      <c r="CH51" s="86">
        <f t="shared" si="1052"/>
        <v>0</v>
      </c>
      <c r="CI51" s="86">
        <f t="shared" si="1052"/>
        <v>0</v>
      </c>
      <c r="CJ51" s="86">
        <f t="shared" si="1052"/>
        <v>0</v>
      </c>
      <c r="CK51" s="86">
        <f t="shared" si="1052"/>
        <v>0</v>
      </c>
      <c r="CL51" s="86">
        <f t="shared" si="1052"/>
        <v>0</v>
      </c>
      <c r="CM51" s="86">
        <f t="shared" si="1052"/>
        <v>0</v>
      </c>
      <c r="CN51" s="87">
        <f t="shared" si="1015"/>
        <v>0</v>
      </c>
      <c r="CO51" s="86">
        <f t="shared" ref="CO51:CZ51" si="1053">-CO22</f>
        <v>0</v>
      </c>
      <c r="CP51" s="86">
        <f t="shared" si="1053"/>
        <v>0</v>
      </c>
      <c r="CQ51" s="86">
        <f t="shared" si="1053"/>
        <v>0</v>
      </c>
      <c r="CR51" s="86">
        <f t="shared" si="1053"/>
        <v>0</v>
      </c>
      <c r="CS51" s="86">
        <f t="shared" si="1053"/>
        <v>0</v>
      </c>
      <c r="CT51" s="86">
        <f t="shared" si="1053"/>
        <v>0</v>
      </c>
      <c r="CU51" s="86">
        <f t="shared" si="1053"/>
        <v>0</v>
      </c>
      <c r="CV51" s="86">
        <f t="shared" si="1053"/>
        <v>0</v>
      </c>
      <c r="CW51" s="86">
        <f t="shared" si="1053"/>
        <v>0</v>
      </c>
      <c r="CX51" s="86">
        <f t="shared" si="1053"/>
        <v>0</v>
      </c>
      <c r="CY51" s="86">
        <f t="shared" si="1053"/>
        <v>0</v>
      </c>
      <c r="CZ51" s="86">
        <f t="shared" si="1053"/>
        <v>0</v>
      </c>
      <c r="DA51" s="87">
        <f t="shared" si="1016"/>
        <v>0</v>
      </c>
      <c r="DB51" s="86">
        <f t="shared" ref="DB51:DM51" si="1054">-DB22</f>
        <v>0</v>
      </c>
      <c r="DC51" s="86">
        <f t="shared" si="1054"/>
        <v>0</v>
      </c>
      <c r="DD51" s="86">
        <f t="shared" si="1054"/>
        <v>0</v>
      </c>
      <c r="DE51" s="86">
        <f t="shared" si="1054"/>
        <v>0</v>
      </c>
      <c r="DF51" s="86">
        <f t="shared" si="1054"/>
        <v>0</v>
      </c>
      <c r="DG51" s="86">
        <f t="shared" si="1054"/>
        <v>0</v>
      </c>
      <c r="DH51" s="86">
        <f t="shared" si="1054"/>
        <v>0</v>
      </c>
      <c r="DI51" s="86">
        <f t="shared" si="1054"/>
        <v>0</v>
      </c>
      <c r="DJ51" s="86">
        <f t="shared" si="1054"/>
        <v>0</v>
      </c>
      <c r="DK51" s="86">
        <f t="shared" si="1054"/>
        <v>0</v>
      </c>
      <c r="DL51" s="86">
        <f t="shared" si="1054"/>
        <v>0</v>
      </c>
      <c r="DM51" s="86">
        <f t="shared" si="1054"/>
        <v>0</v>
      </c>
      <c r="DN51" s="87">
        <f t="shared" si="1017"/>
        <v>0</v>
      </c>
      <c r="DO51" s="86">
        <f t="shared" ref="DO51:DZ51" si="1055">-DO22</f>
        <v>0</v>
      </c>
      <c r="DP51" s="86">
        <f t="shared" si="1055"/>
        <v>0</v>
      </c>
      <c r="DQ51" s="86">
        <f t="shared" si="1055"/>
        <v>0</v>
      </c>
      <c r="DR51" s="86">
        <f t="shared" si="1055"/>
        <v>0</v>
      </c>
      <c r="DS51" s="86">
        <f t="shared" si="1055"/>
        <v>0</v>
      </c>
      <c r="DT51" s="86">
        <f t="shared" si="1055"/>
        <v>0</v>
      </c>
      <c r="DU51" s="86">
        <f t="shared" si="1055"/>
        <v>0</v>
      </c>
      <c r="DV51" s="86">
        <f t="shared" si="1055"/>
        <v>0</v>
      </c>
      <c r="DW51" s="86">
        <f t="shared" si="1055"/>
        <v>0</v>
      </c>
      <c r="DX51" s="86">
        <f t="shared" si="1055"/>
        <v>0</v>
      </c>
      <c r="DY51" s="86">
        <f t="shared" si="1055"/>
        <v>0</v>
      </c>
      <c r="DZ51" s="86">
        <f t="shared" si="1055"/>
        <v>0</v>
      </c>
      <c r="EA51" s="87">
        <f t="shared" si="1018"/>
        <v>0</v>
      </c>
      <c r="EB51" s="86">
        <f t="shared" ref="EB51:EM51" si="1056">-EB22</f>
        <v>0</v>
      </c>
      <c r="EC51" s="86">
        <f t="shared" si="1056"/>
        <v>0</v>
      </c>
      <c r="ED51" s="86">
        <f t="shared" si="1056"/>
        <v>0</v>
      </c>
      <c r="EE51" s="86">
        <f t="shared" si="1056"/>
        <v>0</v>
      </c>
      <c r="EF51" s="86">
        <f t="shared" si="1056"/>
        <v>0</v>
      </c>
      <c r="EG51" s="86">
        <f t="shared" si="1056"/>
        <v>0</v>
      </c>
      <c r="EH51" s="86">
        <f t="shared" si="1056"/>
        <v>0</v>
      </c>
      <c r="EI51" s="86">
        <f t="shared" si="1056"/>
        <v>0</v>
      </c>
      <c r="EJ51" s="86">
        <f t="shared" si="1056"/>
        <v>0</v>
      </c>
      <c r="EK51" s="86">
        <f t="shared" si="1056"/>
        <v>0</v>
      </c>
      <c r="EL51" s="86">
        <f t="shared" si="1056"/>
        <v>0</v>
      </c>
      <c r="EM51" s="86">
        <f t="shared" si="1056"/>
        <v>0</v>
      </c>
      <c r="EN51" s="87">
        <f t="shared" si="1019"/>
        <v>0</v>
      </c>
      <c r="EO51" s="86">
        <f t="shared" ref="EO51:EZ51" si="1057">-EO22</f>
        <v>0</v>
      </c>
      <c r="EP51" s="86">
        <f t="shared" si="1057"/>
        <v>0</v>
      </c>
      <c r="EQ51" s="86">
        <f t="shared" si="1057"/>
        <v>0</v>
      </c>
      <c r="ER51" s="86">
        <f t="shared" si="1057"/>
        <v>0</v>
      </c>
      <c r="ES51" s="86">
        <f t="shared" si="1057"/>
        <v>0</v>
      </c>
      <c r="ET51" s="86">
        <f t="shared" si="1057"/>
        <v>0</v>
      </c>
      <c r="EU51" s="86">
        <f t="shared" si="1057"/>
        <v>0</v>
      </c>
      <c r="EV51" s="86">
        <f t="shared" si="1057"/>
        <v>0</v>
      </c>
      <c r="EW51" s="86">
        <f t="shared" si="1057"/>
        <v>0</v>
      </c>
      <c r="EX51" s="86">
        <f t="shared" si="1057"/>
        <v>0</v>
      </c>
      <c r="EY51" s="86">
        <f t="shared" si="1057"/>
        <v>0</v>
      </c>
      <c r="EZ51" s="86">
        <f t="shared" si="1057"/>
        <v>0</v>
      </c>
      <c r="FA51" s="87">
        <f t="shared" si="1020"/>
        <v>0</v>
      </c>
      <c r="FB51" s="86">
        <f t="shared" ref="FB51:FM51" si="1058">-FB22</f>
        <v>0</v>
      </c>
      <c r="FC51" s="86">
        <f t="shared" si="1058"/>
        <v>0</v>
      </c>
      <c r="FD51" s="86">
        <f t="shared" si="1058"/>
        <v>0</v>
      </c>
      <c r="FE51" s="86">
        <f t="shared" si="1058"/>
        <v>0</v>
      </c>
      <c r="FF51" s="86">
        <f t="shared" si="1058"/>
        <v>0</v>
      </c>
      <c r="FG51" s="86">
        <f t="shared" si="1058"/>
        <v>0</v>
      </c>
      <c r="FH51" s="86">
        <f t="shared" si="1058"/>
        <v>0</v>
      </c>
      <c r="FI51" s="86">
        <f t="shared" si="1058"/>
        <v>0</v>
      </c>
      <c r="FJ51" s="86">
        <f t="shared" si="1058"/>
        <v>0</v>
      </c>
      <c r="FK51" s="86">
        <f t="shared" si="1058"/>
        <v>0</v>
      </c>
      <c r="FL51" s="86">
        <f t="shared" si="1058"/>
        <v>0</v>
      </c>
      <c r="FM51" s="86">
        <f t="shared" si="1058"/>
        <v>0</v>
      </c>
      <c r="FN51" s="87">
        <f t="shared" si="1021"/>
        <v>0</v>
      </c>
      <c r="FO51" s="86">
        <f t="shared" ref="FO51:FZ51" si="1059">-FO22</f>
        <v>0</v>
      </c>
      <c r="FP51" s="86">
        <f t="shared" si="1059"/>
        <v>0</v>
      </c>
      <c r="FQ51" s="86">
        <f t="shared" si="1059"/>
        <v>0</v>
      </c>
      <c r="FR51" s="86">
        <f t="shared" si="1059"/>
        <v>0</v>
      </c>
      <c r="FS51" s="86">
        <f t="shared" si="1059"/>
        <v>0</v>
      </c>
      <c r="FT51" s="86">
        <f t="shared" si="1059"/>
        <v>0</v>
      </c>
      <c r="FU51" s="86">
        <f t="shared" si="1059"/>
        <v>0</v>
      </c>
      <c r="FV51" s="86">
        <f t="shared" si="1059"/>
        <v>0</v>
      </c>
      <c r="FW51" s="86">
        <f t="shared" si="1059"/>
        <v>0</v>
      </c>
      <c r="FX51" s="86">
        <f t="shared" si="1059"/>
        <v>0</v>
      </c>
      <c r="FY51" s="86">
        <f t="shared" si="1059"/>
        <v>0</v>
      </c>
      <c r="FZ51" s="86">
        <f t="shared" si="1059"/>
        <v>0</v>
      </c>
      <c r="GA51" s="87">
        <f t="shared" si="1022"/>
        <v>0</v>
      </c>
      <c r="GB51" s="86">
        <f t="shared" ref="GB51:GM51" si="1060">-GB22</f>
        <v>0</v>
      </c>
      <c r="GC51" s="86">
        <f t="shared" si="1060"/>
        <v>0</v>
      </c>
      <c r="GD51" s="86">
        <f t="shared" si="1060"/>
        <v>0</v>
      </c>
      <c r="GE51" s="86">
        <f t="shared" si="1060"/>
        <v>0</v>
      </c>
      <c r="GF51" s="86">
        <f t="shared" si="1060"/>
        <v>0</v>
      </c>
      <c r="GG51" s="86">
        <f t="shared" si="1060"/>
        <v>0</v>
      </c>
      <c r="GH51" s="86">
        <f t="shared" si="1060"/>
        <v>0</v>
      </c>
      <c r="GI51" s="86">
        <f t="shared" si="1060"/>
        <v>0</v>
      </c>
      <c r="GJ51" s="86">
        <f t="shared" si="1060"/>
        <v>0</v>
      </c>
      <c r="GK51" s="86">
        <f t="shared" si="1060"/>
        <v>0</v>
      </c>
      <c r="GL51" s="86">
        <f t="shared" si="1060"/>
        <v>0</v>
      </c>
      <c r="GM51" s="86">
        <f t="shared" si="1060"/>
        <v>0</v>
      </c>
      <c r="GN51" s="87">
        <f t="shared" si="1023"/>
        <v>0</v>
      </c>
      <c r="GO51" s="86">
        <f t="shared" ref="GO51:GZ51" si="1061">-GO22</f>
        <v>0</v>
      </c>
      <c r="GP51" s="86">
        <f t="shared" si="1061"/>
        <v>0</v>
      </c>
      <c r="GQ51" s="86">
        <f t="shared" si="1061"/>
        <v>0</v>
      </c>
      <c r="GR51" s="86">
        <f t="shared" si="1061"/>
        <v>0</v>
      </c>
      <c r="GS51" s="86">
        <f t="shared" si="1061"/>
        <v>0</v>
      </c>
      <c r="GT51" s="86">
        <f t="shared" si="1061"/>
        <v>0</v>
      </c>
      <c r="GU51" s="86">
        <f t="shared" si="1061"/>
        <v>0</v>
      </c>
      <c r="GV51" s="86">
        <f t="shared" si="1061"/>
        <v>0</v>
      </c>
      <c r="GW51" s="86">
        <f t="shared" si="1061"/>
        <v>0</v>
      </c>
      <c r="GX51" s="86">
        <f t="shared" si="1061"/>
        <v>0</v>
      </c>
      <c r="GY51" s="86">
        <f t="shared" si="1061"/>
        <v>0</v>
      </c>
      <c r="GZ51" s="86">
        <f t="shared" si="1061"/>
        <v>0</v>
      </c>
      <c r="HA51" s="87">
        <f t="shared" si="1024"/>
        <v>0</v>
      </c>
      <c r="HB51" s="86">
        <f t="shared" ref="HB51:HM51" si="1062">-HB22</f>
        <v>0</v>
      </c>
      <c r="HC51" s="86">
        <f t="shared" si="1062"/>
        <v>0</v>
      </c>
      <c r="HD51" s="86">
        <f t="shared" si="1062"/>
        <v>0</v>
      </c>
      <c r="HE51" s="86">
        <f t="shared" si="1062"/>
        <v>0</v>
      </c>
      <c r="HF51" s="86">
        <f t="shared" si="1062"/>
        <v>0</v>
      </c>
      <c r="HG51" s="86">
        <f t="shared" si="1062"/>
        <v>0</v>
      </c>
      <c r="HH51" s="86">
        <f t="shared" si="1062"/>
        <v>0</v>
      </c>
      <c r="HI51" s="86">
        <f t="shared" si="1062"/>
        <v>0</v>
      </c>
      <c r="HJ51" s="86">
        <f t="shared" si="1062"/>
        <v>0</v>
      </c>
      <c r="HK51" s="86">
        <f t="shared" si="1062"/>
        <v>0</v>
      </c>
      <c r="HL51" s="86">
        <f t="shared" si="1062"/>
        <v>0</v>
      </c>
      <c r="HM51" s="86">
        <f t="shared" si="1062"/>
        <v>0</v>
      </c>
      <c r="HN51" s="87">
        <f t="shared" si="1025"/>
        <v>0</v>
      </c>
      <c r="HO51" s="86">
        <f t="shared" ref="HO51:HZ51" si="1063">-HO22</f>
        <v>0</v>
      </c>
      <c r="HP51" s="86">
        <f t="shared" si="1063"/>
        <v>0</v>
      </c>
      <c r="HQ51" s="86">
        <f t="shared" si="1063"/>
        <v>0</v>
      </c>
      <c r="HR51" s="86">
        <f t="shared" si="1063"/>
        <v>0</v>
      </c>
      <c r="HS51" s="86">
        <f t="shared" si="1063"/>
        <v>0</v>
      </c>
      <c r="HT51" s="86">
        <f t="shared" si="1063"/>
        <v>0</v>
      </c>
      <c r="HU51" s="86">
        <f t="shared" si="1063"/>
        <v>0</v>
      </c>
      <c r="HV51" s="86">
        <f t="shared" si="1063"/>
        <v>0</v>
      </c>
      <c r="HW51" s="86">
        <f t="shared" si="1063"/>
        <v>0</v>
      </c>
      <c r="HX51" s="86">
        <f t="shared" si="1063"/>
        <v>0</v>
      </c>
      <c r="HY51" s="86">
        <f t="shared" si="1063"/>
        <v>0</v>
      </c>
      <c r="HZ51" s="86">
        <f t="shared" si="1063"/>
        <v>0</v>
      </c>
      <c r="IA51" s="87">
        <f t="shared" si="1026"/>
        <v>0</v>
      </c>
      <c r="IB51" s="86">
        <f t="shared" ref="IB51:IM51" si="1064">-IB22</f>
        <v>0</v>
      </c>
      <c r="IC51" s="86">
        <f t="shared" si="1064"/>
        <v>0</v>
      </c>
      <c r="ID51" s="86">
        <f t="shared" si="1064"/>
        <v>0</v>
      </c>
      <c r="IE51" s="86">
        <f t="shared" si="1064"/>
        <v>0</v>
      </c>
      <c r="IF51" s="86">
        <f t="shared" si="1064"/>
        <v>0</v>
      </c>
      <c r="IG51" s="86">
        <f t="shared" si="1064"/>
        <v>0</v>
      </c>
      <c r="IH51" s="86">
        <f t="shared" si="1064"/>
        <v>0</v>
      </c>
      <c r="II51" s="86">
        <f t="shared" si="1064"/>
        <v>0</v>
      </c>
      <c r="IJ51" s="86">
        <f t="shared" si="1064"/>
        <v>0</v>
      </c>
      <c r="IK51" s="86">
        <f t="shared" si="1064"/>
        <v>0</v>
      </c>
      <c r="IL51" s="86">
        <f t="shared" si="1064"/>
        <v>0</v>
      </c>
      <c r="IM51" s="86">
        <f t="shared" si="1064"/>
        <v>0</v>
      </c>
      <c r="IN51" s="87">
        <f t="shared" si="1027"/>
        <v>0</v>
      </c>
      <c r="IO51" s="86">
        <f t="shared" ref="IO51:IZ51" si="1065">-IO22</f>
        <v>0</v>
      </c>
      <c r="IP51" s="86">
        <f t="shared" si="1065"/>
        <v>0</v>
      </c>
      <c r="IQ51" s="86">
        <f t="shared" si="1065"/>
        <v>0</v>
      </c>
      <c r="IR51" s="86">
        <f t="shared" si="1065"/>
        <v>0</v>
      </c>
      <c r="IS51" s="86">
        <f t="shared" si="1065"/>
        <v>0</v>
      </c>
      <c r="IT51" s="86">
        <f t="shared" si="1065"/>
        <v>0</v>
      </c>
      <c r="IU51" s="86">
        <f t="shared" si="1065"/>
        <v>0</v>
      </c>
      <c r="IV51" s="86">
        <f t="shared" si="1065"/>
        <v>0</v>
      </c>
      <c r="IW51" s="86">
        <f t="shared" si="1065"/>
        <v>0</v>
      </c>
      <c r="IX51" s="86">
        <f t="shared" si="1065"/>
        <v>0</v>
      </c>
      <c r="IY51" s="86">
        <f t="shared" si="1065"/>
        <v>0</v>
      </c>
      <c r="IZ51" s="86">
        <f t="shared" si="1065"/>
        <v>0</v>
      </c>
      <c r="JA51" s="87">
        <f t="shared" si="1028"/>
        <v>0</v>
      </c>
      <c r="JB51" s="86">
        <f t="shared" ref="JB51:JM51" si="1066">-JB22</f>
        <v>0</v>
      </c>
      <c r="JC51" s="86">
        <f t="shared" si="1066"/>
        <v>0</v>
      </c>
      <c r="JD51" s="86">
        <f t="shared" si="1066"/>
        <v>0</v>
      </c>
      <c r="JE51" s="86">
        <f t="shared" si="1066"/>
        <v>0</v>
      </c>
      <c r="JF51" s="86">
        <f t="shared" si="1066"/>
        <v>0</v>
      </c>
      <c r="JG51" s="86">
        <f t="shared" si="1066"/>
        <v>0</v>
      </c>
      <c r="JH51" s="86">
        <f t="shared" si="1066"/>
        <v>0</v>
      </c>
      <c r="JI51" s="86">
        <f t="shared" si="1066"/>
        <v>0</v>
      </c>
      <c r="JJ51" s="86">
        <f t="shared" si="1066"/>
        <v>0</v>
      </c>
      <c r="JK51" s="86">
        <f t="shared" si="1066"/>
        <v>0</v>
      </c>
      <c r="JL51" s="86">
        <f t="shared" si="1066"/>
        <v>0</v>
      </c>
      <c r="JM51" s="86">
        <f t="shared" si="1066"/>
        <v>0</v>
      </c>
      <c r="JN51" s="87">
        <f t="shared" si="1029"/>
        <v>0</v>
      </c>
      <c r="JO51" s="86">
        <f t="shared" ref="JO51:JZ51" si="1067">-JO22</f>
        <v>0</v>
      </c>
      <c r="JP51" s="86">
        <f t="shared" si="1067"/>
        <v>0</v>
      </c>
      <c r="JQ51" s="86">
        <f t="shared" si="1067"/>
        <v>0</v>
      </c>
      <c r="JR51" s="86">
        <f t="shared" si="1067"/>
        <v>0</v>
      </c>
      <c r="JS51" s="86">
        <f t="shared" si="1067"/>
        <v>0</v>
      </c>
      <c r="JT51" s="86">
        <f t="shared" si="1067"/>
        <v>0</v>
      </c>
      <c r="JU51" s="86">
        <f t="shared" si="1067"/>
        <v>0</v>
      </c>
      <c r="JV51" s="86">
        <f t="shared" si="1067"/>
        <v>0</v>
      </c>
      <c r="JW51" s="86">
        <f t="shared" si="1067"/>
        <v>0</v>
      </c>
      <c r="JX51" s="86">
        <f t="shared" si="1067"/>
        <v>0</v>
      </c>
      <c r="JY51" s="86">
        <f t="shared" si="1067"/>
        <v>0</v>
      </c>
      <c r="JZ51" s="86">
        <f t="shared" si="1067"/>
        <v>0</v>
      </c>
      <c r="KA51" s="87">
        <f t="shared" si="1030"/>
        <v>0</v>
      </c>
      <c r="KB51" s="86">
        <f t="shared" ref="KB51:KM51" si="1068">-KB22</f>
        <v>0</v>
      </c>
      <c r="KC51" s="86">
        <f t="shared" si="1068"/>
        <v>0</v>
      </c>
      <c r="KD51" s="86">
        <f t="shared" si="1068"/>
        <v>0</v>
      </c>
      <c r="KE51" s="86">
        <f t="shared" si="1068"/>
        <v>0</v>
      </c>
      <c r="KF51" s="86">
        <f t="shared" si="1068"/>
        <v>0</v>
      </c>
      <c r="KG51" s="86">
        <f t="shared" si="1068"/>
        <v>0</v>
      </c>
      <c r="KH51" s="86">
        <f t="shared" si="1068"/>
        <v>0</v>
      </c>
      <c r="KI51" s="86">
        <f t="shared" si="1068"/>
        <v>0</v>
      </c>
      <c r="KJ51" s="86">
        <f t="shared" si="1068"/>
        <v>0</v>
      </c>
      <c r="KK51" s="86">
        <f t="shared" si="1068"/>
        <v>0</v>
      </c>
      <c r="KL51" s="86">
        <f t="shared" si="1068"/>
        <v>0</v>
      </c>
      <c r="KM51" s="86">
        <f t="shared" si="1068"/>
        <v>0</v>
      </c>
      <c r="KN51" s="87">
        <f t="shared" si="1031"/>
        <v>0</v>
      </c>
      <c r="KO51" s="86">
        <f t="shared" ref="KO51:KZ51" si="1069">-KO22</f>
        <v>0</v>
      </c>
      <c r="KP51" s="86">
        <f t="shared" si="1069"/>
        <v>0</v>
      </c>
      <c r="KQ51" s="86">
        <f t="shared" si="1069"/>
        <v>0</v>
      </c>
      <c r="KR51" s="86">
        <f t="shared" si="1069"/>
        <v>0</v>
      </c>
      <c r="KS51" s="86">
        <f t="shared" si="1069"/>
        <v>0</v>
      </c>
      <c r="KT51" s="86">
        <f t="shared" si="1069"/>
        <v>0</v>
      </c>
      <c r="KU51" s="86">
        <f t="shared" si="1069"/>
        <v>0</v>
      </c>
      <c r="KV51" s="86">
        <f t="shared" si="1069"/>
        <v>0</v>
      </c>
      <c r="KW51" s="86">
        <f t="shared" si="1069"/>
        <v>0</v>
      </c>
      <c r="KX51" s="86">
        <f t="shared" si="1069"/>
        <v>0</v>
      </c>
      <c r="KY51" s="86">
        <f t="shared" si="1069"/>
        <v>0</v>
      </c>
      <c r="KZ51" s="86">
        <f t="shared" si="1069"/>
        <v>0</v>
      </c>
      <c r="LA51" s="87">
        <f t="shared" si="1032"/>
        <v>0</v>
      </c>
      <c r="LB51" s="86">
        <f t="shared" ref="LB51:LM51" si="1070">-LB22</f>
        <v>0</v>
      </c>
      <c r="LC51" s="86">
        <f t="shared" si="1070"/>
        <v>0</v>
      </c>
      <c r="LD51" s="86">
        <f t="shared" si="1070"/>
        <v>0</v>
      </c>
      <c r="LE51" s="86">
        <f t="shared" si="1070"/>
        <v>0</v>
      </c>
      <c r="LF51" s="86">
        <f t="shared" si="1070"/>
        <v>0</v>
      </c>
      <c r="LG51" s="86">
        <f t="shared" si="1070"/>
        <v>0</v>
      </c>
      <c r="LH51" s="86">
        <f t="shared" si="1070"/>
        <v>0</v>
      </c>
      <c r="LI51" s="86">
        <f t="shared" si="1070"/>
        <v>0</v>
      </c>
      <c r="LJ51" s="86">
        <f t="shared" si="1070"/>
        <v>0</v>
      </c>
      <c r="LK51" s="86">
        <f t="shared" si="1070"/>
        <v>0</v>
      </c>
      <c r="LL51" s="86">
        <f t="shared" si="1070"/>
        <v>0</v>
      </c>
      <c r="LM51" s="86">
        <f t="shared" si="1070"/>
        <v>0</v>
      </c>
      <c r="LN51" s="87">
        <f t="shared" si="1033"/>
        <v>0</v>
      </c>
      <c r="LO51" s="86">
        <f t="shared" ref="LO51:LZ51" si="1071">-LO22</f>
        <v>0</v>
      </c>
      <c r="LP51" s="86">
        <f t="shared" si="1071"/>
        <v>0</v>
      </c>
      <c r="LQ51" s="86">
        <f t="shared" si="1071"/>
        <v>0</v>
      </c>
      <c r="LR51" s="86">
        <f t="shared" si="1071"/>
        <v>0</v>
      </c>
      <c r="LS51" s="86">
        <f t="shared" si="1071"/>
        <v>0</v>
      </c>
      <c r="LT51" s="86">
        <f t="shared" si="1071"/>
        <v>0</v>
      </c>
      <c r="LU51" s="86">
        <f t="shared" si="1071"/>
        <v>0</v>
      </c>
      <c r="LV51" s="86">
        <f t="shared" si="1071"/>
        <v>0</v>
      </c>
      <c r="LW51" s="86">
        <f t="shared" si="1071"/>
        <v>0</v>
      </c>
      <c r="LX51" s="86">
        <f t="shared" si="1071"/>
        <v>0</v>
      </c>
      <c r="LY51" s="86">
        <f t="shared" si="1071"/>
        <v>0</v>
      </c>
      <c r="LZ51" s="86">
        <f t="shared" si="1071"/>
        <v>0</v>
      </c>
      <c r="MA51" s="87">
        <f t="shared" si="1034"/>
        <v>0</v>
      </c>
      <c r="MB51" s="86">
        <f t="shared" ref="MB51:MM51" si="1072">-MB22</f>
        <v>0</v>
      </c>
      <c r="MC51" s="86">
        <f t="shared" si="1072"/>
        <v>0</v>
      </c>
      <c r="MD51" s="86">
        <f t="shared" si="1072"/>
        <v>0</v>
      </c>
      <c r="ME51" s="86">
        <f t="shared" si="1072"/>
        <v>0</v>
      </c>
      <c r="MF51" s="86">
        <f t="shared" si="1072"/>
        <v>0</v>
      </c>
      <c r="MG51" s="86">
        <f t="shared" si="1072"/>
        <v>0</v>
      </c>
      <c r="MH51" s="86">
        <f t="shared" si="1072"/>
        <v>0</v>
      </c>
      <c r="MI51" s="86">
        <f t="shared" si="1072"/>
        <v>0</v>
      </c>
      <c r="MJ51" s="86">
        <f t="shared" si="1072"/>
        <v>0</v>
      </c>
      <c r="MK51" s="86">
        <f t="shared" si="1072"/>
        <v>0</v>
      </c>
      <c r="ML51" s="86">
        <f t="shared" si="1072"/>
        <v>0</v>
      </c>
      <c r="MM51" s="86">
        <f t="shared" si="1072"/>
        <v>0</v>
      </c>
      <c r="MN51" s="87">
        <f t="shared" si="1035"/>
        <v>0</v>
      </c>
      <c r="MO51" s="86">
        <f t="shared" ref="MO51:MZ51" si="1073">-MO22</f>
        <v>0</v>
      </c>
      <c r="MP51" s="86">
        <f t="shared" si="1073"/>
        <v>0</v>
      </c>
      <c r="MQ51" s="86">
        <f t="shared" si="1073"/>
        <v>0</v>
      </c>
      <c r="MR51" s="86">
        <f t="shared" si="1073"/>
        <v>0</v>
      </c>
      <c r="MS51" s="86">
        <f t="shared" si="1073"/>
        <v>0</v>
      </c>
      <c r="MT51" s="86">
        <f t="shared" si="1073"/>
        <v>0</v>
      </c>
      <c r="MU51" s="86">
        <f t="shared" si="1073"/>
        <v>0</v>
      </c>
      <c r="MV51" s="86">
        <f t="shared" si="1073"/>
        <v>0</v>
      </c>
      <c r="MW51" s="86">
        <f t="shared" si="1073"/>
        <v>0</v>
      </c>
      <c r="MX51" s="86">
        <f t="shared" si="1073"/>
        <v>0</v>
      </c>
      <c r="MY51" s="86">
        <f t="shared" si="1073"/>
        <v>0</v>
      </c>
      <c r="MZ51" s="86">
        <f t="shared" si="1073"/>
        <v>0</v>
      </c>
      <c r="NA51" s="87">
        <f t="shared" si="1036"/>
        <v>0</v>
      </c>
      <c r="NB51" s="86">
        <f t="shared" ref="NB51:NM51" si="1074">-NB22</f>
        <v>0</v>
      </c>
      <c r="NC51" s="86">
        <f t="shared" si="1074"/>
        <v>0</v>
      </c>
      <c r="ND51" s="86">
        <f t="shared" si="1074"/>
        <v>0</v>
      </c>
      <c r="NE51" s="86">
        <f t="shared" si="1074"/>
        <v>0</v>
      </c>
      <c r="NF51" s="86">
        <f t="shared" si="1074"/>
        <v>0</v>
      </c>
      <c r="NG51" s="86">
        <f t="shared" si="1074"/>
        <v>0</v>
      </c>
      <c r="NH51" s="86">
        <f t="shared" si="1074"/>
        <v>0</v>
      </c>
      <c r="NI51" s="86">
        <f t="shared" si="1074"/>
        <v>0</v>
      </c>
      <c r="NJ51" s="86">
        <f t="shared" si="1074"/>
        <v>0</v>
      </c>
      <c r="NK51" s="86">
        <f t="shared" si="1074"/>
        <v>0</v>
      </c>
      <c r="NL51" s="86">
        <f t="shared" si="1074"/>
        <v>0</v>
      </c>
      <c r="NM51" s="86">
        <f t="shared" si="1074"/>
        <v>0</v>
      </c>
      <c r="NN51" s="87">
        <f t="shared" si="1037"/>
        <v>0</v>
      </c>
      <c r="NO51" s="86">
        <f t="shared" ref="NO51:NZ51" si="1075">-NO22</f>
        <v>0</v>
      </c>
      <c r="NP51" s="86">
        <f t="shared" si="1075"/>
        <v>0</v>
      </c>
      <c r="NQ51" s="86">
        <f t="shared" si="1075"/>
        <v>0</v>
      </c>
      <c r="NR51" s="86">
        <f t="shared" si="1075"/>
        <v>0</v>
      </c>
      <c r="NS51" s="86">
        <f t="shared" si="1075"/>
        <v>0</v>
      </c>
      <c r="NT51" s="86">
        <f t="shared" si="1075"/>
        <v>0</v>
      </c>
      <c r="NU51" s="86">
        <f t="shared" si="1075"/>
        <v>0</v>
      </c>
      <c r="NV51" s="86">
        <f t="shared" si="1075"/>
        <v>0</v>
      </c>
      <c r="NW51" s="86">
        <f t="shared" si="1075"/>
        <v>0</v>
      </c>
      <c r="NX51" s="86">
        <f t="shared" si="1075"/>
        <v>0</v>
      </c>
      <c r="NY51" s="86">
        <f t="shared" si="1075"/>
        <v>0</v>
      </c>
      <c r="NZ51" s="86">
        <f t="shared" si="1075"/>
        <v>0</v>
      </c>
      <c r="OA51" s="87">
        <f t="shared" si="1038"/>
        <v>0</v>
      </c>
      <c r="OB51" s="86">
        <f t="shared" ref="OB51:OM51" si="1076">-OB22</f>
        <v>0</v>
      </c>
      <c r="OC51" s="86">
        <f t="shared" si="1076"/>
        <v>0</v>
      </c>
      <c r="OD51" s="86">
        <f t="shared" si="1076"/>
        <v>0</v>
      </c>
      <c r="OE51" s="86">
        <f t="shared" si="1076"/>
        <v>0</v>
      </c>
      <c r="OF51" s="86">
        <f t="shared" si="1076"/>
        <v>0</v>
      </c>
      <c r="OG51" s="86">
        <f t="shared" si="1076"/>
        <v>0</v>
      </c>
      <c r="OH51" s="86">
        <f t="shared" si="1076"/>
        <v>0</v>
      </c>
      <c r="OI51" s="86">
        <f t="shared" si="1076"/>
        <v>0</v>
      </c>
      <c r="OJ51" s="86">
        <f t="shared" si="1076"/>
        <v>0</v>
      </c>
      <c r="OK51" s="86">
        <f t="shared" si="1076"/>
        <v>0</v>
      </c>
      <c r="OL51" s="86">
        <f t="shared" si="1076"/>
        <v>0</v>
      </c>
      <c r="OM51" s="86">
        <f t="shared" si="1076"/>
        <v>0</v>
      </c>
      <c r="ON51" s="87">
        <f t="shared" si="1039"/>
        <v>0</v>
      </c>
      <c r="OO51" s="86">
        <f t="shared" ref="OO51:OZ51" si="1077">-OO22</f>
        <v>0</v>
      </c>
      <c r="OP51" s="86">
        <f t="shared" si="1077"/>
        <v>0</v>
      </c>
      <c r="OQ51" s="86">
        <f t="shared" si="1077"/>
        <v>0</v>
      </c>
      <c r="OR51" s="86">
        <f t="shared" si="1077"/>
        <v>0</v>
      </c>
      <c r="OS51" s="86">
        <f t="shared" si="1077"/>
        <v>0</v>
      </c>
      <c r="OT51" s="86">
        <f t="shared" si="1077"/>
        <v>0</v>
      </c>
      <c r="OU51" s="86">
        <f t="shared" si="1077"/>
        <v>0</v>
      </c>
      <c r="OV51" s="86">
        <f t="shared" si="1077"/>
        <v>0</v>
      </c>
      <c r="OW51" s="86">
        <f t="shared" si="1077"/>
        <v>0</v>
      </c>
      <c r="OX51" s="86">
        <f t="shared" si="1077"/>
        <v>0</v>
      </c>
      <c r="OY51" s="86">
        <f t="shared" si="1077"/>
        <v>0</v>
      </c>
      <c r="OZ51" s="86">
        <f t="shared" si="1077"/>
        <v>0</v>
      </c>
      <c r="PA51" s="87">
        <f t="shared" si="1040"/>
        <v>0</v>
      </c>
      <c r="PB51" s="86">
        <f t="shared" ref="PB51:PM51" si="1078">-PB22</f>
        <v>0</v>
      </c>
      <c r="PC51" s="86">
        <f t="shared" si="1078"/>
        <v>0</v>
      </c>
      <c r="PD51" s="86">
        <f t="shared" si="1078"/>
        <v>0</v>
      </c>
      <c r="PE51" s="86">
        <f t="shared" si="1078"/>
        <v>0</v>
      </c>
      <c r="PF51" s="86">
        <f t="shared" si="1078"/>
        <v>0</v>
      </c>
      <c r="PG51" s="86">
        <f t="shared" si="1078"/>
        <v>0</v>
      </c>
      <c r="PH51" s="86">
        <f t="shared" si="1078"/>
        <v>0</v>
      </c>
      <c r="PI51" s="86">
        <f t="shared" si="1078"/>
        <v>0</v>
      </c>
      <c r="PJ51" s="86">
        <f t="shared" si="1078"/>
        <v>0</v>
      </c>
      <c r="PK51" s="86">
        <f t="shared" si="1078"/>
        <v>0</v>
      </c>
      <c r="PL51" s="86">
        <f t="shared" si="1078"/>
        <v>0</v>
      </c>
      <c r="PM51" s="86">
        <f t="shared" si="1078"/>
        <v>0</v>
      </c>
      <c r="PN51" s="87">
        <f t="shared" si="1041"/>
        <v>0</v>
      </c>
      <c r="PO51" s="86">
        <f t="shared" ref="PO51:PZ51" si="1079">-PO22</f>
        <v>0</v>
      </c>
      <c r="PP51" s="86">
        <f t="shared" si="1079"/>
        <v>0</v>
      </c>
      <c r="PQ51" s="86">
        <f t="shared" si="1079"/>
        <v>0</v>
      </c>
      <c r="PR51" s="86">
        <f t="shared" si="1079"/>
        <v>0</v>
      </c>
      <c r="PS51" s="86">
        <f t="shared" si="1079"/>
        <v>0</v>
      </c>
      <c r="PT51" s="86">
        <f t="shared" si="1079"/>
        <v>0</v>
      </c>
      <c r="PU51" s="86">
        <f t="shared" si="1079"/>
        <v>0</v>
      </c>
      <c r="PV51" s="86">
        <f t="shared" si="1079"/>
        <v>0</v>
      </c>
      <c r="PW51" s="86">
        <f t="shared" si="1079"/>
        <v>0</v>
      </c>
      <c r="PX51" s="86">
        <f t="shared" si="1079"/>
        <v>0</v>
      </c>
      <c r="PY51" s="86">
        <f t="shared" si="1079"/>
        <v>0</v>
      </c>
      <c r="PZ51" s="86">
        <f t="shared" si="1079"/>
        <v>0</v>
      </c>
      <c r="QA51" s="87">
        <f t="shared" si="1042"/>
        <v>0</v>
      </c>
      <c r="QB51" s="86">
        <f t="shared" ref="QB51:QM51" si="1080">-QB22</f>
        <v>0</v>
      </c>
      <c r="QC51" s="86">
        <f t="shared" si="1080"/>
        <v>0</v>
      </c>
      <c r="QD51" s="86">
        <f t="shared" si="1080"/>
        <v>0</v>
      </c>
      <c r="QE51" s="86">
        <f t="shared" si="1080"/>
        <v>0</v>
      </c>
      <c r="QF51" s="86">
        <f t="shared" si="1080"/>
        <v>0</v>
      </c>
      <c r="QG51" s="86">
        <f t="shared" si="1080"/>
        <v>0</v>
      </c>
      <c r="QH51" s="86">
        <f t="shared" si="1080"/>
        <v>0</v>
      </c>
      <c r="QI51" s="86">
        <f t="shared" si="1080"/>
        <v>0</v>
      </c>
      <c r="QJ51" s="86">
        <f t="shared" si="1080"/>
        <v>0</v>
      </c>
      <c r="QK51" s="86">
        <f t="shared" si="1080"/>
        <v>0</v>
      </c>
      <c r="QL51" s="86">
        <f t="shared" si="1080"/>
        <v>0</v>
      </c>
      <c r="QM51" s="86">
        <f t="shared" si="1080"/>
        <v>0</v>
      </c>
      <c r="QN51" s="87">
        <f t="shared" si="1043"/>
        <v>0</v>
      </c>
      <c r="QO51" s="86">
        <f t="shared" ref="QO51:QZ51" si="1081">-QO22</f>
        <v>0</v>
      </c>
      <c r="QP51" s="86">
        <f t="shared" si="1081"/>
        <v>0</v>
      </c>
      <c r="QQ51" s="86">
        <f t="shared" si="1081"/>
        <v>0</v>
      </c>
      <c r="QR51" s="86">
        <f t="shared" si="1081"/>
        <v>0</v>
      </c>
      <c r="QS51" s="86">
        <f t="shared" si="1081"/>
        <v>0</v>
      </c>
      <c r="QT51" s="86">
        <f t="shared" si="1081"/>
        <v>0</v>
      </c>
      <c r="QU51" s="86">
        <f t="shared" si="1081"/>
        <v>0</v>
      </c>
      <c r="QV51" s="86">
        <f t="shared" si="1081"/>
        <v>0</v>
      </c>
      <c r="QW51" s="86">
        <f t="shared" si="1081"/>
        <v>0</v>
      </c>
      <c r="QX51" s="86">
        <f t="shared" si="1081"/>
        <v>0</v>
      </c>
      <c r="QY51" s="86">
        <f t="shared" si="1081"/>
        <v>0</v>
      </c>
      <c r="QZ51" s="86">
        <f t="shared" si="1081"/>
        <v>0</v>
      </c>
      <c r="RA51" s="87">
        <f t="shared" si="1044"/>
        <v>0</v>
      </c>
      <c r="RB51" s="86">
        <f t="shared" ref="RB51:RM51" si="1082">-RB22</f>
        <v>0</v>
      </c>
      <c r="RC51" s="86">
        <f t="shared" si="1082"/>
        <v>0</v>
      </c>
      <c r="RD51" s="86">
        <f t="shared" si="1082"/>
        <v>0</v>
      </c>
      <c r="RE51" s="86">
        <f t="shared" si="1082"/>
        <v>0</v>
      </c>
      <c r="RF51" s="86">
        <f t="shared" si="1082"/>
        <v>0</v>
      </c>
      <c r="RG51" s="86">
        <f t="shared" si="1082"/>
        <v>0</v>
      </c>
      <c r="RH51" s="86">
        <f t="shared" si="1082"/>
        <v>0</v>
      </c>
      <c r="RI51" s="86">
        <f t="shared" si="1082"/>
        <v>0</v>
      </c>
      <c r="RJ51" s="86">
        <f t="shared" si="1082"/>
        <v>0</v>
      </c>
      <c r="RK51" s="86">
        <f t="shared" si="1082"/>
        <v>0</v>
      </c>
      <c r="RL51" s="86">
        <f t="shared" si="1082"/>
        <v>0</v>
      </c>
      <c r="RM51" s="86">
        <f t="shared" si="1082"/>
        <v>0</v>
      </c>
      <c r="RN51" s="87">
        <f t="shared" si="1045"/>
        <v>0</v>
      </c>
    </row>
    <row r="52" spans="1:482" hidden="1" outlineLevel="1" x14ac:dyDescent="0.3">
      <c r="A52" s="74" t="s">
        <v>266</v>
      </c>
      <c r="B52" s="90" t="e">
        <f>SUM(B47:B51)</f>
        <v>#N/A</v>
      </c>
      <c r="C52" s="90" t="e">
        <f t="shared" ref="C52:BM52" si="1083">SUM(C47:C51)</f>
        <v>#N/A</v>
      </c>
      <c r="D52" s="90" t="e">
        <f t="shared" si="1083"/>
        <v>#N/A</v>
      </c>
      <c r="E52" s="90" t="e">
        <f t="shared" si="1083"/>
        <v>#N/A</v>
      </c>
      <c r="F52" s="90" t="e">
        <f t="shared" si="1083"/>
        <v>#N/A</v>
      </c>
      <c r="G52" s="90" t="e">
        <f t="shared" si="1083"/>
        <v>#N/A</v>
      </c>
      <c r="H52" s="90" t="e">
        <f t="shared" si="1083"/>
        <v>#N/A</v>
      </c>
      <c r="I52" s="90" t="e">
        <f t="shared" si="1083"/>
        <v>#N/A</v>
      </c>
      <c r="J52" s="90" t="e">
        <f t="shared" si="1083"/>
        <v>#N/A</v>
      </c>
      <c r="K52" s="90" t="e">
        <f t="shared" si="1083"/>
        <v>#N/A</v>
      </c>
      <c r="L52" s="90" t="e">
        <f t="shared" si="1083"/>
        <v>#N/A</v>
      </c>
      <c r="M52" s="90" t="e">
        <f t="shared" si="1083"/>
        <v>#N/A</v>
      </c>
      <c r="N52" s="91" t="e">
        <f t="shared" si="1009"/>
        <v>#N/A</v>
      </c>
      <c r="O52" s="90" t="e">
        <f t="shared" si="1083"/>
        <v>#N/A</v>
      </c>
      <c r="P52" s="90" t="e">
        <f t="shared" si="1083"/>
        <v>#N/A</v>
      </c>
      <c r="Q52" s="90" t="e">
        <f t="shared" si="1083"/>
        <v>#N/A</v>
      </c>
      <c r="R52" s="90" t="e">
        <f t="shared" si="1083"/>
        <v>#N/A</v>
      </c>
      <c r="S52" s="90" t="e">
        <f t="shared" si="1083"/>
        <v>#N/A</v>
      </c>
      <c r="T52" s="90" t="e">
        <f t="shared" si="1083"/>
        <v>#N/A</v>
      </c>
      <c r="U52" s="90" t="e">
        <f t="shared" si="1083"/>
        <v>#N/A</v>
      </c>
      <c r="V52" s="90" t="e">
        <f t="shared" si="1083"/>
        <v>#N/A</v>
      </c>
      <c r="W52" s="90" t="e">
        <f t="shared" si="1083"/>
        <v>#N/A</v>
      </c>
      <c r="X52" s="90" t="e">
        <f t="shared" si="1083"/>
        <v>#N/A</v>
      </c>
      <c r="Y52" s="90" t="e">
        <f t="shared" si="1083"/>
        <v>#N/A</v>
      </c>
      <c r="Z52" s="90" t="e">
        <f t="shared" si="1083"/>
        <v>#N/A</v>
      </c>
      <c r="AA52" s="91" t="e">
        <f t="shared" si="1010"/>
        <v>#N/A</v>
      </c>
      <c r="AB52" s="90" t="e">
        <f t="shared" si="1083"/>
        <v>#N/A</v>
      </c>
      <c r="AC52" s="90" t="e">
        <f t="shared" si="1083"/>
        <v>#N/A</v>
      </c>
      <c r="AD52" s="90" t="e">
        <f t="shared" si="1083"/>
        <v>#N/A</v>
      </c>
      <c r="AE52" s="90" t="e">
        <f t="shared" si="1083"/>
        <v>#N/A</v>
      </c>
      <c r="AF52" s="90" t="e">
        <f t="shared" si="1083"/>
        <v>#N/A</v>
      </c>
      <c r="AG52" s="90" t="e">
        <f t="shared" si="1083"/>
        <v>#N/A</v>
      </c>
      <c r="AH52" s="90" t="e">
        <f t="shared" si="1083"/>
        <v>#N/A</v>
      </c>
      <c r="AI52" s="90" t="e">
        <f t="shared" si="1083"/>
        <v>#N/A</v>
      </c>
      <c r="AJ52" s="90" t="e">
        <f t="shared" si="1083"/>
        <v>#N/A</v>
      </c>
      <c r="AK52" s="90" t="e">
        <f t="shared" si="1083"/>
        <v>#N/A</v>
      </c>
      <c r="AL52" s="90" t="e">
        <f t="shared" si="1083"/>
        <v>#N/A</v>
      </c>
      <c r="AM52" s="90" t="e">
        <f t="shared" si="1083"/>
        <v>#N/A</v>
      </c>
      <c r="AN52" s="91" t="e">
        <f t="shared" si="1011"/>
        <v>#N/A</v>
      </c>
      <c r="AO52" s="90" t="e">
        <f t="shared" si="1083"/>
        <v>#N/A</v>
      </c>
      <c r="AP52" s="90" t="e">
        <f t="shared" si="1083"/>
        <v>#N/A</v>
      </c>
      <c r="AQ52" s="90" t="e">
        <f t="shared" si="1083"/>
        <v>#N/A</v>
      </c>
      <c r="AR52" s="90" t="e">
        <f t="shared" si="1083"/>
        <v>#N/A</v>
      </c>
      <c r="AS52" s="90" t="e">
        <f t="shared" si="1083"/>
        <v>#N/A</v>
      </c>
      <c r="AT52" s="90" t="e">
        <f t="shared" si="1083"/>
        <v>#N/A</v>
      </c>
      <c r="AU52" s="90" t="e">
        <f t="shared" si="1083"/>
        <v>#N/A</v>
      </c>
      <c r="AV52" s="90" t="e">
        <f t="shared" si="1083"/>
        <v>#N/A</v>
      </c>
      <c r="AW52" s="90" t="e">
        <f t="shared" si="1083"/>
        <v>#N/A</v>
      </c>
      <c r="AX52" s="90" t="e">
        <f t="shared" si="1083"/>
        <v>#N/A</v>
      </c>
      <c r="AY52" s="90" t="e">
        <f t="shared" si="1083"/>
        <v>#N/A</v>
      </c>
      <c r="AZ52" s="90" t="e">
        <f t="shared" si="1083"/>
        <v>#N/A</v>
      </c>
      <c r="BA52" s="91" t="e">
        <f t="shared" si="1012"/>
        <v>#N/A</v>
      </c>
      <c r="BB52" s="90" t="e">
        <f t="shared" si="1083"/>
        <v>#N/A</v>
      </c>
      <c r="BC52" s="90" t="e">
        <f t="shared" si="1083"/>
        <v>#N/A</v>
      </c>
      <c r="BD52" s="90" t="e">
        <f t="shared" si="1083"/>
        <v>#N/A</v>
      </c>
      <c r="BE52" s="90" t="e">
        <f t="shared" si="1083"/>
        <v>#N/A</v>
      </c>
      <c r="BF52" s="90" t="e">
        <f t="shared" si="1083"/>
        <v>#N/A</v>
      </c>
      <c r="BG52" s="90" t="e">
        <f t="shared" si="1083"/>
        <v>#N/A</v>
      </c>
      <c r="BH52" s="90" t="e">
        <f t="shared" si="1083"/>
        <v>#N/A</v>
      </c>
      <c r="BI52" s="90" t="e">
        <f t="shared" si="1083"/>
        <v>#N/A</v>
      </c>
      <c r="BJ52" s="90" t="e">
        <f t="shared" si="1083"/>
        <v>#N/A</v>
      </c>
      <c r="BK52" s="90" t="e">
        <f t="shared" si="1083"/>
        <v>#N/A</v>
      </c>
      <c r="BL52" s="90" t="e">
        <f t="shared" si="1083"/>
        <v>#N/A</v>
      </c>
      <c r="BM52" s="90" t="e">
        <f t="shared" si="1083"/>
        <v>#N/A</v>
      </c>
      <c r="BN52" s="91" t="e">
        <f t="shared" si="1013"/>
        <v>#N/A</v>
      </c>
      <c r="BO52" s="90" t="e">
        <f t="shared" ref="BO52:DZ52" si="1084">SUM(BO47:BO51)</f>
        <v>#N/A</v>
      </c>
      <c r="BP52" s="90" t="e">
        <f t="shared" si="1084"/>
        <v>#N/A</v>
      </c>
      <c r="BQ52" s="90" t="e">
        <f t="shared" si="1084"/>
        <v>#N/A</v>
      </c>
      <c r="BR52" s="90" t="e">
        <f t="shared" si="1084"/>
        <v>#N/A</v>
      </c>
      <c r="BS52" s="90" t="e">
        <f t="shared" si="1084"/>
        <v>#N/A</v>
      </c>
      <c r="BT52" s="90" t="e">
        <f t="shared" si="1084"/>
        <v>#N/A</v>
      </c>
      <c r="BU52" s="90" t="e">
        <f t="shared" si="1084"/>
        <v>#N/A</v>
      </c>
      <c r="BV52" s="90" t="e">
        <f t="shared" si="1084"/>
        <v>#N/A</v>
      </c>
      <c r="BW52" s="90" t="e">
        <f t="shared" si="1084"/>
        <v>#N/A</v>
      </c>
      <c r="BX52" s="90" t="e">
        <f t="shared" si="1084"/>
        <v>#N/A</v>
      </c>
      <c r="BY52" s="90" t="e">
        <f t="shared" si="1084"/>
        <v>#N/A</v>
      </c>
      <c r="BZ52" s="90" t="e">
        <f t="shared" si="1084"/>
        <v>#N/A</v>
      </c>
      <c r="CA52" s="91" t="e">
        <f t="shared" si="1014"/>
        <v>#N/A</v>
      </c>
      <c r="CB52" s="90" t="e">
        <f t="shared" si="1084"/>
        <v>#N/A</v>
      </c>
      <c r="CC52" s="90" t="e">
        <f t="shared" si="1084"/>
        <v>#N/A</v>
      </c>
      <c r="CD52" s="90" t="e">
        <f t="shared" si="1084"/>
        <v>#N/A</v>
      </c>
      <c r="CE52" s="90" t="e">
        <f t="shared" si="1084"/>
        <v>#N/A</v>
      </c>
      <c r="CF52" s="90" t="e">
        <f t="shared" si="1084"/>
        <v>#N/A</v>
      </c>
      <c r="CG52" s="90" t="e">
        <f t="shared" si="1084"/>
        <v>#N/A</v>
      </c>
      <c r="CH52" s="90" t="e">
        <f t="shared" si="1084"/>
        <v>#N/A</v>
      </c>
      <c r="CI52" s="90" t="e">
        <f t="shared" si="1084"/>
        <v>#N/A</v>
      </c>
      <c r="CJ52" s="90" t="e">
        <f t="shared" si="1084"/>
        <v>#N/A</v>
      </c>
      <c r="CK52" s="90" t="e">
        <f t="shared" si="1084"/>
        <v>#N/A</v>
      </c>
      <c r="CL52" s="90" t="e">
        <f t="shared" si="1084"/>
        <v>#N/A</v>
      </c>
      <c r="CM52" s="90" t="e">
        <f t="shared" si="1084"/>
        <v>#N/A</v>
      </c>
      <c r="CN52" s="91" t="e">
        <f t="shared" si="1015"/>
        <v>#N/A</v>
      </c>
      <c r="CO52" s="90" t="e">
        <f t="shared" si="1084"/>
        <v>#N/A</v>
      </c>
      <c r="CP52" s="90" t="e">
        <f t="shared" si="1084"/>
        <v>#N/A</v>
      </c>
      <c r="CQ52" s="90" t="e">
        <f t="shared" si="1084"/>
        <v>#N/A</v>
      </c>
      <c r="CR52" s="90" t="e">
        <f t="shared" si="1084"/>
        <v>#N/A</v>
      </c>
      <c r="CS52" s="90" t="e">
        <f t="shared" si="1084"/>
        <v>#N/A</v>
      </c>
      <c r="CT52" s="90" t="e">
        <f t="shared" si="1084"/>
        <v>#N/A</v>
      </c>
      <c r="CU52" s="90" t="e">
        <f t="shared" si="1084"/>
        <v>#N/A</v>
      </c>
      <c r="CV52" s="90" t="e">
        <f t="shared" si="1084"/>
        <v>#N/A</v>
      </c>
      <c r="CW52" s="90" t="e">
        <f t="shared" si="1084"/>
        <v>#N/A</v>
      </c>
      <c r="CX52" s="90" t="e">
        <f t="shared" si="1084"/>
        <v>#N/A</v>
      </c>
      <c r="CY52" s="90" t="e">
        <f t="shared" si="1084"/>
        <v>#N/A</v>
      </c>
      <c r="CZ52" s="90" t="e">
        <f t="shared" si="1084"/>
        <v>#N/A</v>
      </c>
      <c r="DA52" s="91" t="e">
        <f t="shared" si="1016"/>
        <v>#N/A</v>
      </c>
      <c r="DB52" s="90" t="e">
        <f t="shared" si="1084"/>
        <v>#N/A</v>
      </c>
      <c r="DC52" s="90" t="e">
        <f t="shared" si="1084"/>
        <v>#N/A</v>
      </c>
      <c r="DD52" s="90" t="e">
        <f t="shared" si="1084"/>
        <v>#N/A</v>
      </c>
      <c r="DE52" s="90" t="e">
        <f t="shared" si="1084"/>
        <v>#N/A</v>
      </c>
      <c r="DF52" s="90" t="e">
        <f t="shared" si="1084"/>
        <v>#N/A</v>
      </c>
      <c r="DG52" s="90" t="e">
        <f t="shared" si="1084"/>
        <v>#N/A</v>
      </c>
      <c r="DH52" s="90" t="e">
        <f t="shared" si="1084"/>
        <v>#N/A</v>
      </c>
      <c r="DI52" s="90" t="e">
        <f t="shared" si="1084"/>
        <v>#N/A</v>
      </c>
      <c r="DJ52" s="90" t="e">
        <f t="shared" si="1084"/>
        <v>#N/A</v>
      </c>
      <c r="DK52" s="90" t="e">
        <f t="shared" si="1084"/>
        <v>#N/A</v>
      </c>
      <c r="DL52" s="90" t="e">
        <f t="shared" si="1084"/>
        <v>#N/A</v>
      </c>
      <c r="DM52" s="90" t="e">
        <f t="shared" si="1084"/>
        <v>#N/A</v>
      </c>
      <c r="DN52" s="91" t="e">
        <f t="shared" si="1017"/>
        <v>#N/A</v>
      </c>
      <c r="DO52" s="90" t="e">
        <f t="shared" si="1084"/>
        <v>#N/A</v>
      </c>
      <c r="DP52" s="90" t="e">
        <f t="shared" si="1084"/>
        <v>#N/A</v>
      </c>
      <c r="DQ52" s="90" t="e">
        <f t="shared" si="1084"/>
        <v>#N/A</v>
      </c>
      <c r="DR52" s="90" t="e">
        <f t="shared" si="1084"/>
        <v>#N/A</v>
      </c>
      <c r="DS52" s="90" t="e">
        <f t="shared" si="1084"/>
        <v>#N/A</v>
      </c>
      <c r="DT52" s="90" t="e">
        <f t="shared" si="1084"/>
        <v>#N/A</v>
      </c>
      <c r="DU52" s="90" t="e">
        <f t="shared" si="1084"/>
        <v>#N/A</v>
      </c>
      <c r="DV52" s="90" t="e">
        <f t="shared" si="1084"/>
        <v>#N/A</v>
      </c>
      <c r="DW52" s="90" t="e">
        <f t="shared" si="1084"/>
        <v>#N/A</v>
      </c>
      <c r="DX52" s="90" t="e">
        <f t="shared" si="1084"/>
        <v>#N/A</v>
      </c>
      <c r="DY52" s="90" t="e">
        <f t="shared" si="1084"/>
        <v>#N/A</v>
      </c>
      <c r="DZ52" s="90" t="e">
        <f t="shared" si="1084"/>
        <v>#N/A</v>
      </c>
      <c r="EA52" s="91" t="e">
        <f t="shared" si="1018"/>
        <v>#N/A</v>
      </c>
      <c r="EB52" s="90" t="e">
        <f t="shared" ref="EB52:GM52" si="1085">SUM(EB47:EB51)</f>
        <v>#N/A</v>
      </c>
      <c r="EC52" s="90" t="e">
        <f t="shared" si="1085"/>
        <v>#N/A</v>
      </c>
      <c r="ED52" s="90" t="e">
        <f t="shared" si="1085"/>
        <v>#N/A</v>
      </c>
      <c r="EE52" s="90" t="e">
        <f t="shared" si="1085"/>
        <v>#N/A</v>
      </c>
      <c r="EF52" s="90" t="e">
        <f t="shared" si="1085"/>
        <v>#N/A</v>
      </c>
      <c r="EG52" s="90" t="e">
        <f t="shared" si="1085"/>
        <v>#N/A</v>
      </c>
      <c r="EH52" s="90" t="e">
        <f t="shared" si="1085"/>
        <v>#N/A</v>
      </c>
      <c r="EI52" s="90" t="e">
        <f t="shared" si="1085"/>
        <v>#N/A</v>
      </c>
      <c r="EJ52" s="90" t="e">
        <f t="shared" si="1085"/>
        <v>#N/A</v>
      </c>
      <c r="EK52" s="90" t="e">
        <f t="shared" si="1085"/>
        <v>#N/A</v>
      </c>
      <c r="EL52" s="90" t="e">
        <f t="shared" si="1085"/>
        <v>#N/A</v>
      </c>
      <c r="EM52" s="90" t="e">
        <f t="shared" si="1085"/>
        <v>#N/A</v>
      </c>
      <c r="EN52" s="91" t="e">
        <f t="shared" si="1019"/>
        <v>#N/A</v>
      </c>
      <c r="EO52" s="90" t="e">
        <f t="shared" si="1085"/>
        <v>#N/A</v>
      </c>
      <c r="EP52" s="90" t="e">
        <f t="shared" si="1085"/>
        <v>#N/A</v>
      </c>
      <c r="EQ52" s="90" t="e">
        <f t="shared" si="1085"/>
        <v>#N/A</v>
      </c>
      <c r="ER52" s="90" t="e">
        <f t="shared" si="1085"/>
        <v>#N/A</v>
      </c>
      <c r="ES52" s="90" t="e">
        <f t="shared" si="1085"/>
        <v>#N/A</v>
      </c>
      <c r="ET52" s="90" t="e">
        <f t="shared" si="1085"/>
        <v>#N/A</v>
      </c>
      <c r="EU52" s="90" t="e">
        <f t="shared" si="1085"/>
        <v>#N/A</v>
      </c>
      <c r="EV52" s="90" t="e">
        <f t="shared" si="1085"/>
        <v>#N/A</v>
      </c>
      <c r="EW52" s="90" t="e">
        <f t="shared" si="1085"/>
        <v>#N/A</v>
      </c>
      <c r="EX52" s="90" t="e">
        <f t="shared" si="1085"/>
        <v>#N/A</v>
      </c>
      <c r="EY52" s="90" t="e">
        <f t="shared" si="1085"/>
        <v>#N/A</v>
      </c>
      <c r="EZ52" s="90" t="e">
        <f t="shared" si="1085"/>
        <v>#N/A</v>
      </c>
      <c r="FA52" s="91" t="e">
        <f t="shared" si="1020"/>
        <v>#N/A</v>
      </c>
      <c r="FB52" s="90" t="e">
        <f t="shared" si="1085"/>
        <v>#N/A</v>
      </c>
      <c r="FC52" s="90" t="e">
        <f t="shared" si="1085"/>
        <v>#N/A</v>
      </c>
      <c r="FD52" s="90" t="e">
        <f t="shared" si="1085"/>
        <v>#N/A</v>
      </c>
      <c r="FE52" s="90" t="e">
        <f t="shared" si="1085"/>
        <v>#N/A</v>
      </c>
      <c r="FF52" s="90" t="e">
        <f t="shared" si="1085"/>
        <v>#N/A</v>
      </c>
      <c r="FG52" s="90" t="e">
        <f t="shared" si="1085"/>
        <v>#N/A</v>
      </c>
      <c r="FH52" s="90" t="e">
        <f t="shared" si="1085"/>
        <v>#N/A</v>
      </c>
      <c r="FI52" s="90" t="e">
        <f t="shared" si="1085"/>
        <v>#N/A</v>
      </c>
      <c r="FJ52" s="90" t="e">
        <f t="shared" si="1085"/>
        <v>#N/A</v>
      </c>
      <c r="FK52" s="90" t="e">
        <f t="shared" si="1085"/>
        <v>#N/A</v>
      </c>
      <c r="FL52" s="90" t="e">
        <f t="shared" si="1085"/>
        <v>#N/A</v>
      </c>
      <c r="FM52" s="90" t="e">
        <f t="shared" si="1085"/>
        <v>#N/A</v>
      </c>
      <c r="FN52" s="91" t="e">
        <f t="shared" si="1021"/>
        <v>#N/A</v>
      </c>
      <c r="FO52" s="90" t="e">
        <f t="shared" si="1085"/>
        <v>#N/A</v>
      </c>
      <c r="FP52" s="90" t="e">
        <f t="shared" si="1085"/>
        <v>#N/A</v>
      </c>
      <c r="FQ52" s="90" t="e">
        <f t="shared" si="1085"/>
        <v>#N/A</v>
      </c>
      <c r="FR52" s="90" t="e">
        <f t="shared" si="1085"/>
        <v>#N/A</v>
      </c>
      <c r="FS52" s="90" t="e">
        <f t="shared" si="1085"/>
        <v>#N/A</v>
      </c>
      <c r="FT52" s="90" t="e">
        <f t="shared" si="1085"/>
        <v>#N/A</v>
      </c>
      <c r="FU52" s="90" t="e">
        <f t="shared" si="1085"/>
        <v>#N/A</v>
      </c>
      <c r="FV52" s="90" t="e">
        <f t="shared" si="1085"/>
        <v>#N/A</v>
      </c>
      <c r="FW52" s="90" t="e">
        <f t="shared" si="1085"/>
        <v>#N/A</v>
      </c>
      <c r="FX52" s="90" t="e">
        <f t="shared" si="1085"/>
        <v>#N/A</v>
      </c>
      <c r="FY52" s="90" t="e">
        <f t="shared" si="1085"/>
        <v>#N/A</v>
      </c>
      <c r="FZ52" s="90" t="e">
        <f t="shared" si="1085"/>
        <v>#N/A</v>
      </c>
      <c r="GA52" s="91" t="e">
        <f t="shared" si="1022"/>
        <v>#N/A</v>
      </c>
      <c r="GB52" s="90" t="e">
        <f t="shared" si="1085"/>
        <v>#N/A</v>
      </c>
      <c r="GC52" s="90" t="e">
        <f t="shared" si="1085"/>
        <v>#N/A</v>
      </c>
      <c r="GD52" s="90" t="e">
        <f t="shared" si="1085"/>
        <v>#N/A</v>
      </c>
      <c r="GE52" s="90" t="e">
        <f t="shared" si="1085"/>
        <v>#N/A</v>
      </c>
      <c r="GF52" s="90" t="e">
        <f t="shared" si="1085"/>
        <v>#N/A</v>
      </c>
      <c r="GG52" s="90" t="e">
        <f t="shared" si="1085"/>
        <v>#N/A</v>
      </c>
      <c r="GH52" s="90" t="e">
        <f t="shared" si="1085"/>
        <v>#N/A</v>
      </c>
      <c r="GI52" s="90" t="e">
        <f t="shared" si="1085"/>
        <v>#N/A</v>
      </c>
      <c r="GJ52" s="90" t="e">
        <f t="shared" si="1085"/>
        <v>#N/A</v>
      </c>
      <c r="GK52" s="90" t="e">
        <f t="shared" si="1085"/>
        <v>#N/A</v>
      </c>
      <c r="GL52" s="90" t="e">
        <f t="shared" si="1085"/>
        <v>#N/A</v>
      </c>
      <c r="GM52" s="90" t="e">
        <f t="shared" si="1085"/>
        <v>#N/A</v>
      </c>
      <c r="GN52" s="91" t="e">
        <f t="shared" si="1023"/>
        <v>#N/A</v>
      </c>
      <c r="GO52" s="90" t="e">
        <f t="shared" ref="GO52:IZ52" si="1086">SUM(GO47:GO51)</f>
        <v>#N/A</v>
      </c>
      <c r="GP52" s="90" t="e">
        <f t="shared" si="1086"/>
        <v>#N/A</v>
      </c>
      <c r="GQ52" s="90" t="e">
        <f t="shared" si="1086"/>
        <v>#N/A</v>
      </c>
      <c r="GR52" s="90" t="e">
        <f t="shared" si="1086"/>
        <v>#N/A</v>
      </c>
      <c r="GS52" s="90" t="e">
        <f t="shared" si="1086"/>
        <v>#N/A</v>
      </c>
      <c r="GT52" s="90" t="e">
        <f t="shared" si="1086"/>
        <v>#N/A</v>
      </c>
      <c r="GU52" s="90" t="e">
        <f t="shared" si="1086"/>
        <v>#N/A</v>
      </c>
      <c r="GV52" s="90" t="e">
        <f t="shared" si="1086"/>
        <v>#N/A</v>
      </c>
      <c r="GW52" s="90" t="e">
        <f t="shared" si="1086"/>
        <v>#N/A</v>
      </c>
      <c r="GX52" s="90" t="e">
        <f t="shared" si="1086"/>
        <v>#N/A</v>
      </c>
      <c r="GY52" s="90" t="e">
        <f t="shared" si="1086"/>
        <v>#N/A</v>
      </c>
      <c r="GZ52" s="90" t="e">
        <f t="shared" si="1086"/>
        <v>#N/A</v>
      </c>
      <c r="HA52" s="91" t="e">
        <f t="shared" si="1024"/>
        <v>#N/A</v>
      </c>
      <c r="HB52" s="90" t="e">
        <f t="shared" si="1086"/>
        <v>#N/A</v>
      </c>
      <c r="HC52" s="90" t="e">
        <f t="shared" si="1086"/>
        <v>#N/A</v>
      </c>
      <c r="HD52" s="90" t="e">
        <f t="shared" si="1086"/>
        <v>#N/A</v>
      </c>
      <c r="HE52" s="90" t="e">
        <f t="shared" si="1086"/>
        <v>#N/A</v>
      </c>
      <c r="HF52" s="90" t="e">
        <f t="shared" si="1086"/>
        <v>#N/A</v>
      </c>
      <c r="HG52" s="90" t="e">
        <f t="shared" si="1086"/>
        <v>#N/A</v>
      </c>
      <c r="HH52" s="90" t="e">
        <f t="shared" si="1086"/>
        <v>#N/A</v>
      </c>
      <c r="HI52" s="90" t="e">
        <f t="shared" si="1086"/>
        <v>#N/A</v>
      </c>
      <c r="HJ52" s="90" t="e">
        <f t="shared" si="1086"/>
        <v>#N/A</v>
      </c>
      <c r="HK52" s="90" t="e">
        <f t="shared" si="1086"/>
        <v>#N/A</v>
      </c>
      <c r="HL52" s="90" t="e">
        <f t="shared" si="1086"/>
        <v>#N/A</v>
      </c>
      <c r="HM52" s="90" t="e">
        <f t="shared" si="1086"/>
        <v>#N/A</v>
      </c>
      <c r="HN52" s="91" t="e">
        <f t="shared" si="1025"/>
        <v>#N/A</v>
      </c>
      <c r="HO52" s="90" t="e">
        <f t="shared" si="1086"/>
        <v>#N/A</v>
      </c>
      <c r="HP52" s="90" t="e">
        <f t="shared" si="1086"/>
        <v>#N/A</v>
      </c>
      <c r="HQ52" s="90" t="e">
        <f t="shared" si="1086"/>
        <v>#N/A</v>
      </c>
      <c r="HR52" s="90" t="e">
        <f t="shared" si="1086"/>
        <v>#N/A</v>
      </c>
      <c r="HS52" s="90" t="e">
        <f t="shared" si="1086"/>
        <v>#N/A</v>
      </c>
      <c r="HT52" s="90" t="e">
        <f t="shared" si="1086"/>
        <v>#N/A</v>
      </c>
      <c r="HU52" s="90" t="e">
        <f t="shared" si="1086"/>
        <v>#N/A</v>
      </c>
      <c r="HV52" s="90" t="e">
        <f t="shared" si="1086"/>
        <v>#N/A</v>
      </c>
      <c r="HW52" s="90" t="e">
        <f t="shared" si="1086"/>
        <v>#N/A</v>
      </c>
      <c r="HX52" s="90" t="e">
        <f t="shared" si="1086"/>
        <v>#N/A</v>
      </c>
      <c r="HY52" s="90" t="e">
        <f t="shared" si="1086"/>
        <v>#N/A</v>
      </c>
      <c r="HZ52" s="90" t="e">
        <f t="shared" si="1086"/>
        <v>#N/A</v>
      </c>
      <c r="IA52" s="91" t="e">
        <f t="shared" si="1026"/>
        <v>#N/A</v>
      </c>
      <c r="IB52" s="90" t="e">
        <f t="shared" si="1086"/>
        <v>#N/A</v>
      </c>
      <c r="IC52" s="90" t="e">
        <f t="shared" si="1086"/>
        <v>#N/A</v>
      </c>
      <c r="ID52" s="90" t="e">
        <f t="shared" si="1086"/>
        <v>#N/A</v>
      </c>
      <c r="IE52" s="90" t="e">
        <f t="shared" si="1086"/>
        <v>#N/A</v>
      </c>
      <c r="IF52" s="90" t="e">
        <f t="shared" si="1086"/>
        <v>#N/A</v>
      </c>
      <c r="IG52" s="90" t="e">
        <f t="shared" si="1086"/>
        <v>#N/A</v>
      </c>
      <c r="IH52" s="90" t="e">
        <f t="shared" si="1086"/>
        <v>#N/A</v>
      </c>
      <c r="II52" s="90" t="e">
        <f t="shared" si="1086"/>
        <v>#N/A</v>
      </c>
      <c r="IJ52" s="90" t="e">
        <f t="shared" si="1086"/>
        <v>#N/A</v>
      </c>
      <c r="IK52" s="90" t="e">
        <f t="shared" si="1086"/>
        <v>#N/A</v>
      </c>
      <c r="IL52" s="90" t="e">
        <f t="shared" si="1086"/>
        <v>#N/A</v>
      </c>
      <c r="IM52" s="90" t="e">
        <f t="shared" si="1086"/>
        <v>#N/A</v>
      </c>
      <c r="IN52" s="91" t="e">
        <f t="shared" si="1027"/>
        <v>#N/A</v>
      </c>
      <c r="IO52" s="90" t="e">
        <f t="shared" si="1086"/>
        <v>#N/A</v>
      </c>
      <c r="IP52" s="90" t="e">
        <f t="shared" si="1086"/>
        <v>#N/A</v>
      </c>
      <c r="IQ52" s="90" t="e">
        <f t="shared" si="1086"/>
        <v>#N/A</v>
      </c>
      <c r="IR52" s="90" t="e">
        <f t="shared" si="1086"/>
        <v>#N/A</v>
      </c>
      <c r="IS52" s="90" t="e">
        <f t="shared" si="1086"/>
        <v>#N/A</v>
      </c>
      <c r="IT52" s="90" t="e">
        <f t="shared" si="1086"/>
        <v>#N/A</v>
      </c>
      <c r="IU52" s="90" t="e">
        <f t="shared" si="1086"/>
        <v>#N/A</v>
      </c>
      <c r="IV52" s="90" t="e">
        <f t="shared" si="1086"/>
        <v>#N/A</v>
      </c>
      <c r="IW52" s="90" t="e">
        <f t="shared" si="1086"/>
        <v>#N/A</v>
      </c>
      <c r="IX52" s="90" t="e">
        <f t="shared" si="1086"/>
        <v>#N/A</v>
      </c>
      <c r="IY52" s="90" t="e">
        <f t="shared" si="1086"/>
        <v>#N/A</v>
      </c>
      <c r="IZ52" s="90" t="e">
        <f t="shared" si="1086"/>
        <v>#N/A</v>
      </c>
      <c r="JA52" s="91" t="e">
        <f t="shared" si="1028"/>
        <v>#N/A</v>
      </c>
      <c r="JB52" s="90" t="e">
        <f t="shared" ref="JB52:LM52" si="1087">SUM(JB47:JB51)</f>
        <v>#N/A</v>
      </c>
      <c r="JC52" s="90" t="e">
        <f t="shared" si="1087"/>
        <v>#N/A</v>
      </c>
      <c r="JD52" s="90" t="e">
        <f t="shared" si="1087"/>
        <v>#N/A</v>
      </c>
      <c r="JE52" s="90" t="e">
        <f t="shared" si="1087"/>
        <v>#N/A</v>
      </c>
      <c r="JF52" s="90" t="e">
        <f t="shared" si="1087"/>
        <v>#N/A</v>
      </c>
      <c r="JG52" s="90" t="e">
        <f t="shared" si="1087"/>
        <v>#N/A</v>
      </c>
      <c r="JH52" s="90" t="e">
        <f t="shared" si="1087"/>
        <v>#N/A</v>
      </c>
      <c r="JI52" s="90" t="e">
        <f t="shared" si="1087"/>
        <v>#N/A</v>
      </c>
      <c r="JJ52" s="90" t="e">
        <f t="shared" si="1087"/>
        <v>#N/A</v>
      </c>
      <c r="JK52" s="90" t="e">
        <f t="shared" si="1087"/>
        <v>#N/A</v>
      </c>
      <c r="JL52" s="90" t="e">
        <f t="shared" si="1087"/>
        <v>#N/A</v>
      </c>
      <c r="JM52" s="90" t="e">
        <f t="shared" si="1087"/>
        <v>#N/A</v>
      </c>
      <c r="JN52" s="91" t="e">
        <f t="shared" si="1029"/>
        <v>#N/A</v>
      </c>
      <c r="JO52" s="90" t="e">
        <f t="shared" si="1087"/>
        <v>#N/A</v>
      </c>
      <c r="JP52" s="90" t="e">
        <f t="shared" si="1087"/>
        <v>#N/A</v>
      </c>
      <c r="JQ52" s="90" t="e">
        <f t="shared" si="1087"/>
        <v>#N/A</v>
      </c>
      <c r="JR52" s="90" t="e">
        <f t="shared" si="1087"/>
        <v>#N/A</v>
      </c>
      <c r="JS52" s="90" t="e">
        <f t="shared" si="1087"/>
        <v>#N/A</v>
      </c>
      <c r="JT52" s="90" t="e">
        <f t="shared" si="1087"/>
        <v>#N/A</v>
      </c>
      <c r="JU52" s="90" t="e">
        <f t="shared" si="1087"/>
        <v>#N/A</v>
      </c>
      <c r="JV52" s="90" t="e">
        <f t="shared" si="1087"/>
        <v>#N/A</v>
      </c>
      <c r="JW52" s="90" t="e">
        <f t="shared" si="1087"/>
        <v>#N/A</v>
      </c>
      <c r="JX52" s="90" t="e">
        <f t="shared" si="1087"/>
        <v>#N/A</v>
      </c>
      <c r="JY52" s="90" t="e">
        <f t="shared" si="1087"/>
        <v>#N/A</v>
      </c>
      <c r="JZ52" s="90" t="e">
        <f t="shared" si="1087"/>
        <v>#N/A</v>
      </c>
      <c r="KA52" s="91" t="e">
        <f t="shared" si="1030"/>
        <v>#N/A</v>
      </c>
      <c r="KB52" s="90" t="e">
        <f t="shared" si="1087"/>
        <v>#N/A</v>
      </c>
      <c r="KC52" s="90" t="e">
        <f t="shared" si="1087"/>
        <v>#N/A</v>
      </c>
      <c r="KD52" s="90" t="e">
        <f t="shared" si="1087"/>
        <v>#N/A</v>
      </c>
      <c r="KE52" s="90" t="e">
        <f t="shared" si="1087"/>
        <v>#N/A</v>
      </c>
      <c r="KF52" s="90" t="e">
        <f t="shared" si="1087"/>
        <v>#N/A</v>
      </c>
      <c r="KG52" s="90" t="e">
        <f t="shared" si="1087"/>
        <v>#N/A</v>
      </c>
      <c r="KH52" s="90" t="e">
        <f t="shared" si="1087"/>
        <v>#N/A</v>
      </c>
      <c r="KI52" s="90" t="e">
        <f t="shared" si="1087"/>
        <v>#N/A</v>
      </c>
      <c r="KJ52" s="90" t="e">
        <f t="shared" si="1087"/>
        <v>#N/A</v>
      </c>
      <c r="KK52" s="90" t="e">
        <f t="shared" si="1087"/>
        <v>#N/A</v>
      </c>
      <c r="KL52" s="90" t="e">
        <f t="shared" si="1087"/>
        <v>#N/A</v>
      </c>
      <c r="KM52" s="90" t="e">
        <f t="shared" si="1087"/>
        <v>#N/A</v>
      </c>
      <c r="KN52" s="91" t="e">
        <f t="shared" si="1031"/>
        <v>#N/A</v>
      </c>
      <c r="KO52" s="90" t="e">
        <f t="shared" si="1087"/>
        <v>#N/A</v>
      </c>
      <c r="KP52" s="90" t="e">
        <f t="shared" si="1087"/>
        <v>#N/A</v>
      </c>
      <c r="KQ52" s="90" t="e">
        <f t="shared" si="1087"/>
        <v>#N/A</v>
      </c>
      <c r="KR52" s="90" t="e">
        <f t="shared" si="1087"/>
        <v>#N/A</v>
      </c>
      <c r="KS52" s="90" t="e">
        <f t="shared" si="1087"/>
        <v>#N/A</v>
      </c>
      <c r="KT52" s="90" t="e">
        <f t="shared" si="1087"/>
        <v>#N/A</v>
      </c>
      <c r="KU52" s="90" t="e">
        <f t="shared" si="1087"/>
        <v>#N/A</v>
      </c>
      <c r="KV52" s="90" t="e">
        <f t="shared" si="1087"/>
        <v>#N/A</v>
      </c>
      <c r="KW52" s="90" t="e">
        <f t="shared" si="1087"/>
        <v>#N/A</v>
      </c>
      <c r="KX52" s="90" t="e">
        <f t="shared" si="1087"/>
        <v>#N/A</v>
      </c>
      <c r="KY52" s="90" t="e">
        <f t="shared" si="1087"/>
        <v>#N/A</v>
      </c>
      <c r="KZ52" s="90" t="e">
        <f t="shared" si="1087"/>
        <v>#N/A</v>
      </c>
      <c r="LA52" s="91" t="e">
        <f t="shared" si="1032"/>
        <v>#N/A</v>
      </c>
      <c r="LB52" s="90" t="e">
        <f t="shared" si="1087"/>
        <v>#N/A</v>
      </c>
      <c r="LC52" s="90" t="e">
        <f t="shared" si="1087"/>
        <v>#N/A</v>
      </c>
      <c r="LD52" s="90" t="e">
        <f t="shared" si="1087"/>
        <v>#N/A</v>
      </c>
      <c r="LE52" s="90" t="e">
        <f t="shared" si="1087"/>
        <v>#N/A</v>
      </c>
      <c r="LF52" s="90" t="e">
        <f t="shared" si="1087"/>
        <v>#N/A</v>
      </c>
      <c r="LG52" s="90" t="e">
        <f t="shared" si="1087"/>
        <v>#N/A</v>
      </c>
      <c r="LH52" s="90" t="e">
        <f t="shared" si="1087"/>
        <v>#N/A</v>
      </c>
      <c r="LI52" s="90" t="e">
        <f t="shared" si="1087"/>
        <v>#N/A</v>
      </c>
      <c r="LJ52" s="90" t="e">
        <f t="shared" si="1087"/>
        <v>#N/A</v>
      </c>
      <c r="LK52" s="90" t="e">
        <f t="shared" si="1087"/>
        <v>#N/A</v>
      </c>
      <c r="LL52" s="90" t="e">
        <f t="shared" si="1087"/>
        <v>#N/A</v>
      </c>
      <c r="LM52" s="90" t="e">
        <f t="shared" si="1087"/>
        <v>#N/A</v>
      </c>
      <c r="LN52" s="91" t="e">
        <f t="shared" si="1033"/>
        <v>#N/A</v>
      </c>
      <c r="LO52" s="90" t="e">
        <f t="shared" ref="LO52:NZ52" si="1088">SUM(LO47:LO51)</f>
        <v>#N/A</v>
      </c>
      <c r="LP52" s="90" t="e">
        <f t="shared" si="1088"/>
        <v>#N/A</v>
      </c>
      <c r="LQ52" s="90" t="e">
        <f t="shared" si="1088"/>
        <v>#N/A</v>
      </c>
      <c r="LR52" s="90" t="e">
        <f t="shared" si="1088"/>
        <v>#N/A</v>
      </c>
      <c r="LS52" s="90" t="e">
        <f t="shared" si="1088"/>
        <v>#N/A</v>
      </c>
      <c r="LT52" s="90" t="e">
        <f t="shared" si="1088"/>
        <v>#N/A</v>
      </c>
      <c r="LU52" s="90" t="e">
        <f t="shared" si="1088"/>
        <v>#N/A</v>
      </c>
      <c r="LV52" s="90" t="e">
        <f t="shared" si="1088"/>
        <v>#N/A</v>
      </c>
      <c r="LW52" s="90" t="e">
        <f t="shared" si="1088"/>
        <v>#N/A</v>
      </c>
      <c r="LX52" s="90" t="e">
        <f t="shared" si="1088"/>
        <v>#N/A</v>
      </c>
      <c r="LY52" s="90" t="e">
        <f t="shared" si="1088"/>
        <v>#N/A</v>
      </c>
      <c r="LZ52" s="90" t="e">
        <f t="shared" si="1088"/>
        <v>#N/A</v>
      </c>
      <c r="MA52" s="91" t="e">
        <f t="shared" si="1034"/>
        <v>#N/A</v>
      </c>
      <c r="MB52" s="90" t="e">
        <f t="shared" si="1088"/>
        <v>#N/A</v>
      </c>
      <c r="MC52" s="90" t="e">
        <f t="shared" si="1088"/>
        <v>#N/A</v>
      </c>
      <c r="MD52" s="90" t="e">
        <f t="shared" si="1088"/>
        <v>#N/A</v>
      </c>
      <c r="ME52" s="90" t="e">
        <f t="shared" si="1088"/>
        <v>#N/A</v>
      </c>
      <c r="MF52" s="90" t="e">
        <f t="shared" si="1088"/>
        <v>#N/A</v>
      </c>
      <c r="MG52" s="90" t="e">
        <f t="shared" si="1088"/>
        <v>#N/A</v>
      </c>
      <c r="MH52" s="90" t="e">
        <f t="shared" si="1088"/>
        <v>#N/A</v>
      </c>
      <c r="MI52" s="90" t="e">
        <f t="shared" si="1088"/>
        <v>#N/A</v>
      </c>
      <c r="MJ52" s="90" t="e">
        <f t="shared" si="1088"/>
        <v>#N/A</v>
      </c>
      <c r="MK52" s="90" t="e">
        <f t="shared" si="1088"/>
        <v>#N/A</v>
      </c>
      <c r="ML52" s="90" t="e">
        <f t="shared" si="1088"/>
        <v>#N/A</v>
      </c>
      <c r="MM52" s="90" t="e">
        <f t="shared" si="1088"/>
        <v>#N/A</v>
      </c>
      <c r="MN52" s="91" t="e">
        <f t="shared" si="1035"/>
        <v>#N/A</v>
      </c>
      <c r="MO52" s="90" t="e">
        <f t="shared" si="1088"/>
        <v>#N/A</v>
      </c>
      <c r="MP52" s="90" t="e">
        <f t="shared" si="1088"/>
        <v>#N/A</v>
      </c>
      <c r="MQ52" s="90" t="e">
        <f t="shared" si="1088"/>
        <v>#N/A</v>
      </c>
      <c r="MR52" s="90" t="e">
        <f t="shared" si="1088"/>
        <v>#N/A</v>
      </c>
      <c r="MS52" s="90" t="e">
        <f t="shared" si="1088"/>
        <v>#N/A</v>
      </c>
      <c r="MT52" s="90" t="e">
        <f t="shared" si="1088"/>
        <v>#N/A</v>
      </c>
      <c r="MU52" s="90" t="e">
        <f t="shared" si="1088"/>
        <v>#N/A</v>
      </c>
      <c r="MV52" s="90" t="e">
        <f t="shared" si="1088"/>
        <v>#N/A</v>
      </c>
      <c r="MW52" s="90" t="e">
        <f t="shared" si="1088"/>
        <v>#N/A</v>
      </c>
      <c r="MX52" s="90" t="e">
        <f t="shared" si="1088"/>
        <v>#N/A</v>
      </c>
      <c r="MY52" s="90" t="e">
        <f t="shared" si="1088"/>
        <v>#N/A</v>
      </c>
      <c r="MZ52" s="90" t="e">
        <f t="shared" si="1088"/>
        <v>#N/A</v>
      </c>
      <c r="NA52" s="91" t="e">
        <f t="shared" si="1036"/>
        <v>#N/A</v>
      </c>
      <c r="NB52" s="90" t="e">
        <f t="shared" si="1088"/>
        <v>#N/A</v>
      </c>
      <c r="NC52" s="90" t="e">
        <f t="shared" si="1088"/>
        <v>#N/A</v>
      </c>
      <c r="ND52" s="90" t="e">
        <f t="shared" si="1088"/>
        <v>#N/A</v>
      </c>
      <c r="NE52" s="90" t="e">
        <f t="shared" si="1088"/>
        <v>#N/A</v>
      </c>
      <c r="NF52" s="90" t="e">
        <f t="shared" si="1088"/>
        <v>#N/A</v>
      </c>
      <c r="NG52" s="90" t="e">
        <f t="shared" si="1088"/>
        <v>#N/A</v>
      </c>
      <c r="NH52" s="90" t="e">
        <f t="shared" si="1088"/>
        <v>#N/A</v>
      </c>
      <c r="NI52" s="90" t="e">
        <f t="shared" si="1088"/>
        <v>#N/A</v>
      </c>
      <c r="NJ52" s="90" t="e">
        <f t="shared" si="1088"/>
        <v>#N/A</v>
      </c>
      <c r="NK52" s="90" t="e">
        <f t="shared" si="1088"/>
        <v>#N/A</v>
      </c>
      <c r="NL52" s="90" t="e">
        <f t="shared" si="1088"/>
        <v>#N/A</v>
      </c>
      <c r="NM52" s="90" t="e">
        <f t="shared" si="1088"/>
        <v>#N/A</v>
      </c>
      <c r="NN52" s="91" t="e">
        <f t="shared" si="1037"/>
        <v>#N/A</v>
      </c>
      <c r="NO52" s="90" t="e">
        <f t="shared" si="1088"/>
        <v>#N/A</v>
      </c>
      <c r="NP52" s="90" t="e">
        <f t="shared" si="1088"/>
        <v>#N/A</v>
      </c>
      <c r="NQ52" s="90" t="e">
        <f t="shared" si="1088"/>
        <v>#N/A</v>
      </c>
      <c r="NR52" s="90" t="e">
        <f t="shared" si="1088"/>
        <v>#N/A</v>
      </c>
      <c r="NS52" s="90" t="e">
        <f t="shared" si="1088"/>
        <v>#N/A</v>
      </c>
      <c r="NT52" s="90" t="e">
        <f t="shared" si="1088"/>
        <v>#N/A</v>
      </c>
      <c r="NU52" s="90" t="e">
        <f t="shared" si="1088"/>
        <v>#N/A</v>
      </c>
      <c r="NV52" s="90" t="e">
        <f t="shared" si="1088"/>
        <v>#N/A</v>
      </c>
      <c r="NW52" s="90" t="e">
        <f t="shared" si="1088"/>
        <v>#N/A</v>
      </c>
      <c r="NX52" s="90" t="e">
        <f t="shared" si="1088"/>
        <v>#N/A</v>
      </c>
      <c r="NY52" s="90" t="e">
        <f t="shared" si="1088"/>
        <v>#N/A</v>
      </c>
      <c r="NZ52" s="90" t="e">
        <f t="shared" si="1088"/>
        <v>#N/A</v>
      </c>
      <c r="OA52" s="91" t="e">
        <f t="shared" si="1038"/>
        <v>#N/A</v>
      </c>
      <c r="OB52" s="90" t="e">
        <f t="shared" ref="OB52:OM52" si="1089">SUM(OB47:OB51)</f>
        <v>#N/A</v>
      </c>
      <c r="OC52" s="90" t="e">
        <f t="shared" si="1089"/>
        <v>#N/A</v>
      </c>
      <c r="OD52" s="90" t="e">
        <f t="shared" si="1089"/>
        <v>#N/A</v>
      </c>
      <c r="OE52" s="90" t="e">
        <f t="shared" si="1089"/>
        <v>#N/A</v>
      </c>
      <c r="OF52" s="90" t="e">
        <f t="shared" si="1089"/>
        <v>#N/A</v>
      </c>
      <c r="OG52" s="90" t="e">
        <f t="shared" si="1089"/>
        <v>#N/A</v>
      </c>
      <c r="OH52" s="90" t="e">
        <f t="shared" si="1089"/>
        <v>#N/A</v>
      </c>
      <c r="OI52" s="90" t="e">
        <f t="shared" si="1089"/>
        <v>#N/A</v>
      </c>
      <c r="OJ52" s="90" t="e">
        <f t="shared" si="1089"/>
        <v>#N/A</v>
      </c>
      <c r="OK52" s="90" t="e">
        <f t="shared" si="1089"/>
        <v>#N/A</v>
      </c>
      <c r="OL52" s="90" t="e">
        <f t="shared" si="1089"/>
        <v>#N/A</v>
      </c>
      <c r="OM52" s="90" t="e">
        <f t="shared" si="1089"/>
        <v>#N/A</v>
      </c>
      <c r="ON52" s="91" t="e">
        <f t="shared" si="1039"/>
        <v>#N/A</v>
      </c>
      <c r="OO52" s="90" t="e">
        <f t="shared" ref="OO52:OZ52" si="1090">SUM(OO47:OO51)</f>
        <v>#N/A</v>
      </c>
      <c r="OP52" s="90" t="e">
        <f t="shared" si="1090"/>
        <v>#N/A</v>
      </c>
      <c r="OQ52" s="90" t="e">
        <f t="shared" si="1090"/>
        <v>#N/A</v>
      </c>
      <c r="OR52" s="90" t="e">
        <f t="shared" si="1090"/>
        <v>#N/A</v>
      </c>
      <c r="OS52" s="90" t="e">
        <f t="shared" si="1090"/>
        <v>#N/A</v>
      </c>
      <c r="OT52" s="90" t="e">
        <f t="shared" si="1090"/>
        <v>#N/A</v>
      </c>
      <c r="OU52" s="90" t="e">
        <f t="shared" si="1090"/>
        <v>#N/A</v>
      </c>
      <c r="OV52" s="90" t="e">
        <f t="shared" si="1090"/>
        <v>#N/A</v>
      </c>
      <c r="OW52" s="90" t="e">
        <f t="shared" si="1090"/>
        <v>#N/A</v>
      </c>
      <c r="OX52" s="90" t="e">
        <f t="shared" si="1090"/>
        <v>#N/A</v>
      </c>
      <c r="OY52" s="90" t="e">
        <f t="shared" si="1090"/>
        <v>#N/A</v>
      </c>
      <c r="OZ52" s="90" t="e">
        <f t="shared" si="1090"/>
        <v>#N/A</v>
      </c>
      <c r="PA52" s="91" t="e">
        <f t="shared" si="1040"/>
        <v>#N/A</v>
      </c>
      <c r="PB52" s="90" t="e">
        <f t="shared" ref="PB52:PM52" si="1091">SUM(PB47:PB51)</f>
        <v>#N/A</v>
      </c>
      <c r="PC52" s="90" t="e">
        <f t="shared" si="1091"/>
        <v>#N/A</v>
      </c>
      <c r="PD52" s="90" t="e">
        <f t="shared" si="1091"/>
        <v>#N/A</v>
      </c>
      <c r="PE52" s="90" t="e">
        <f t="shared" si="1091"/>
        <v>#N/A</v>
      </c>
      <c r="PF52" s="90" t="e">
        <f t="shared" si="1091"/>
        <v>#N/A</v>
      </c>
      <c r="PG52" s="90" t="e">
        <f t="shared" si="1091"/>
        <v>#N/A</v>
      </c>
      <c r="PH52" s="90" t="e">
        <f t="shared" si="1091"/>
        <v>#N/A</v>
      </c>
      <c r="PI52" s="90" t="e">
        <f t="shared" si="1091"/>
        <v>#N/A</v>
      </c>
      <c r="PJ52" s="90" t="e">
        <f t="shared" si="1091"/>
        <v>#N/A</v>
      </c>
      <c r="PK52" s="90" t="e">
        <f t="shared" si="1091"/>
        <v>#N/A</v>
      </c>
      <c r="PL52" s="90" t="e">
        <f t="shared" si="1091"/>
        <v>#N/A</v>
      </c>
      <c r="PM52" s="90" t="e">
        <f t="shared" si="1091"/>
        <v>#N/A</v>
      </c>
      <c r="PN52" s="91" t="e">
        <f t="shared" si="1041"/>
        <v>#N/A</v>
      </c>
      <c r="PO52" s="90" t="e">
        <f t="shared" ref="PO52:PZ52" si="1092">SUM(PO47:PO51)</f>
        <v>#N/A</v>
      </c>
      <c r="PP52" s="90" t="e">
        <f t="shared" si="1092"/>
        <v>#N/A</v>
      </c>
      <c r="PQ52" s="90" t="e">
        <f t="shared" si="1092"/>
        <v>#N/A</v>
      </c>
      <c r="PR52" s="90" t="e">
        <f t="shared" si="1092"/>
        <v>#N/A</v>
      </c>
      <c r="PS52" s="90" t="e">
        <f t="shared" si="1092"/>
        <v>#N/A</v>
      </c>
      <c r="PT52" s="90" t="e">
        <f t="shared" si="1092"/>
        <v>#N/A</v>
      </c>
      <c r="PU52" s="90" t="e">
        <f t="shared" si="1092"/>
        <v>#N/A</v>
      </c>
      <c r="PV52" s="90" t="e">
        <f t="shared" si="1092"/>
        <v>#N/A</v>
      </c>
      <c r="PW52" s="90" t="e">
        <f t="shared" si="1092"/>
        <v>#N/A</v>
      </c>
      <c r="PX52" s="90" t="e">
        <f t="shared" si="1092"/>
        <v>#N/A</v>
      </c>
      <c r="PY52" s="90" t="e">
        <f t="shared" si="1092"/>
        <v>#N/A</v>
      </c>
      <c r="PZ52" s="90" t="e">
        <f t="shared" si="1092"/>
        <v>#N/A</v>
      </c>
      <c r="QA52" s="91" t="e">
        <f t="shared" si="1042"/>
        <v>#N/A</v>
      </c>
      <c r="QB52" s="90" t="e">
        <f t="shared" ref="QB52:QM52" si="1093">SUM(QB47:QB51)</f>
        <v>#N/A</v>
      </c>
      <c r="QC52" s="90" t="e">
        <f t="shared" si="1093"/>
        <v>#N/A</v>
      </c>
      <c r="QD52" s="90" t="e">
        <f t="shared" si="1093"/>
        <v>#N/A</v>
      </c>
      <c r="QE52" s="90" t="e">
        <f t="shared" si="1093"/>
        <v>#N/A</v>
      </c>
      <c r="QF52" s="90" t="e">
        <f t="shared" si="1093"/>
        <v>#N/A</v>
      </c>
      <c r="QG52" s="90" t="e">
        <f t="shared" si="1093"/>
        <v>#N/A</v>
      </c>
      <c r="QH52" s="90" t="e">
        <f t="shared" si="1093"/>
        <v>#N/A</v>
      </c>
      <c r="QI52" s="90" t="e">
        <f t="shared" si="1093"/>
        <v>#N/A</v>
      </c>
      <c r="QJ52" s="90" t="e">
        <f t="shared" si="1093"/>
        <v>#N/A</v>
      </c>
      <c r="QK52" s="90" t="e">
        <f t="shared" si="1093"/>
        <v>#N/A</v>
      </c>
      <c r="QL52" s="90" t="e">
        <f t="shared" si="1093"/>
        <v>#N/A</v>
      </c>
      <c r="QM52" s="90" t="e">
        <f t="shared" si="1093"/>
        <v>#N/A</v>
      </c>
      <c r="QN52" s="91" t="e">
        <f t="shared" si="1043"/>
        <v>#N/A</v>
      </c>
      <c r="QO52" s="90" t="e">
        <f t="shared" ref="QO52:QZ52" si="1094">SUM(QO47:QO51)</f>
        <v>#N/A</v>
      </c>
      <c r="QP52" s="90" t="e">
        <f t="shared" si="1094"/>
        <v>#N/A</v>
      </c>
      <c r="QQ52" s="90" t="e">
        <f t="shared" si="1094"/>
        <v>#N/A</v>
      </c>
      <c r="QR52" s="90" t="e">
        <f t="shared" si="1094"/>
        <v>#N/A</v>
      </c>
      <c r="QS52" s="90" t="e">
        <f t="shared" si="1094"/>
        <v>#N/A</v>
      </c>
      <c r="QT52" s="90" t="e">
        <f t="shared" si="1094"/>
        <v>#N/A</v>
      </c>
      <c r="QU52" s="90" t="e">
        <f t="shared" si="1094"/>
        <v>#N/A</v>
      </c>
      <c r="QV52" s="90" t="e">
        <f t="shared" si="1094"/>
        <v>#N/A</v>
      </c>
      <c r="QW52" s="90" t="e">
        <f t="shared" si="1094"/>
        <v>#N/A</v>
      </c>
      <c r="QX52" s="90" t="e">
        <f t="shared" si="1094"/>
        <v>#N/A</v>
      </c>
      <c r="QY52" s="90" t="e">
        <f t="shared" si="1094"/>
        <v>#N/A</v>
      </c>
      <c r="QZ52" s="90" t="e">
        <f t="shared" si="1094"/>
        <v>#N/A</v>
      </c>
      <c r="RA52" s="91" t="e">
        <f t="shared" si="1044"/>
        <v>#N/A</v>
      </c>
      <c r="RB52" s="90" t="e">
        <f t="shared" ref="RB52:RM52" si="1095">SUM(RB47:RB51)</f>
        <v>#N/A</v>
      </c>
      <c r="RC52" s="90" t="e">
        <f t="shared" si="1095"/>
        <v>#N/A</v>
      </c>
      <c r="RD52" s="90" t="e">
        <f t="shared" si="1095"/>
        <v>#N/A</v>
      </c>
      <c r="RE52" s="90" t="e">
        <f t="shared" si="1095"/>
        <v>#N/A</v>
      </c>
      <c r="RF52" s="90" t="e">
        <f t="shared" si="1095"/>
        <v>#N/A</v>
      </c>
      <c r="RG52" s="90" t="e">
        <f t="shared" si="1095"/>
        <v>#N/A</v>
      </c>
      <c r="RH52" s="90" t="e">
        <f t="shared" si="1095"/>
        <v>#N/A</v>
      </c>
      <c r="RI52" s="90" t="e">
        <f t="shared" si="1095"/>
        <v>#N/A</v>
      </c>
      <c r="RJ52" s="90" t="e">
        <f t="shared" si="1095"/>
        <v>#N/A</v>
      </c>
      <c r="RK52" s="90" t="e">
        <f t="shared" si="1095"/>
        <v>#N/A</v>
      </c>
      <c r="RL52" s="90" t="e">
        <f t="shared" si="1095"/>
        <v>#N/A</v>
      </c>
      <c r="RM52" s="90" t="e">
        <f t="shared" si="1095"/>
        <v>#N/A</v>
      </c>
      <c r="RN52" s="91" t="e">
        <f t="shared" si="1045"/>
        <v>#N/A</v>
      </c>
    </row>
    <row r="53" spans="1:482" hidden="1" outlineLevel="1" x14ac:dyDescent="0.3">
      <c r="A53" s="74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1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1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1"/>
      <c r="AO53" s="90"/>
      <c r="AP53" s="90"/>
      <c r="AQ53" s="90"/>
      <c r="AR53" s="90"/>
      <c r="AS53" s="90"/>
      <c r="AT53" s="90"/>
      <c r="AU53" s="90"/>
      <c r="AV53" s="90"/>
      <c r="AW53" s="90"/>
      <c r="AX53" s="90"/>
      <c r="AY53" s="90"/>
      <c r="AZ53" s="90"/>
      <c r="BA53" s="91"/>
      <c r="BB53" s="90"/>
      <c r="BC53" s="90"/>
      <c r="BD53" s="90"/>
      <c r="BE53" s="90"/>
      <c r="BF53" s="90"/>
      <c r="BG53" s="90"/>
      <c r="BH53" s="90"/>
      <c r="BI53" s="90"/>
      <c r="BJ53" s="90"/>
      <c r="BK53" s="90"/>
      <c r="BL53" s="90"/>
      <c r="BM53" s="90"/>
      <c r="BN53" s="91"/>
      <c r="BO53" s="90"/>
      <c r="BP53" s="90"/>
      <c r="BQ53" s="90"/>
      <c r="BR53" s="90"/>
      <c r="BS53" s="90"/>
      <c r="BT53" s="90"/>
      <c r="BU53" s="90"/>
      <c r="BV53" s="90"/>
      <c r="BW53" s="90"/>
      <c r="BX53" s="90"/>
      <c r="BY53" s="90"/>
      <c r="BZ53" s="90"/>
      <c r="CA53" s="91"/>
      <c r="CB53" s="90"/>
      <c r="CC53" s="90"/>
      <c r="CD53" s="90"/>
      <c r="CE53" s="90"/>
      <c r="CF53" s="90"/>
      <c r="CG53" s="90"/>
      <c r="CH53" s="90"/>
      <c r="CI53" s="90"/>
      <c r="CJ53" s="90"/>
      <c r="CK53" s="90"/>
      <c r="CL53" s="90"/>
      <c r="CM53" s="90"/>
      <c r="CN53" s="91"/>
      <c r="CO53" s="90"/>
      <c r="CP53" s="90"/>
      <c r="CQ53" s="90"/>
      <c r="CR53" s="90"/>
      <c r="CS53" s="90"/>
      <c r="CT53" s="90"/>
      <c r="CU53" s="90"/>
      <c r="CV53" s="90"/>
      <c r="CW53" s="90"/>
      <c r="CX53" s="90"/>
      <c r="CY53" s="90"/>
      <c r="CZ53" s="90"/>
      <c r="DA53" s="91"/>
      <c r="DB53" s="90"/>
      <c r="DC53" s="90"/>
      <c r="DD53" s="90"/>
      <c r="DE53" s="90"/>
      <c r="DF53" s="90"/>
      <c r="DG53" s="90"/>
      <c r="DH53" s="90"/>
      <c r="DI53" s="90"/>
      <c r="DJ53" s="90"/>
      <c r="DK53" s="90"/>
      <c r="DL53" s="90"/>
      <c r="DM53" s="90"/>
      <c r="DN53" s="91"/>
      <c r="DO53" s="90"/>
      <c r="DP53" s="90"/>
      <c r="DQ53" s="90"/>
      <c r="DR53" s="90"/>
      <c r="DS53" s="90"/>
      <c r="DT53" s="90"/>
      <c r="DU53" s="90"/>
      <c r="DV53" s="90"/>
      <c r="DW53" s="90"/>
      <c r="DX53" s="90"/>
      <c r="DY53" s="90"/>
      <c r="DZ53" s="90"/>
      <c r="EA53" s="91"/>
      <c r="EB53" s="90"/>
      <c r="EC53" s="90"/>
      <c r="ED53" s="90"/>
      <c r="EE53" s="90"/>
      <c r="EF53" s="90"/>
      <c r="EG53" s="90"/>
      <c r="EH53" s="90"/>
      <c r="EI53" s="90"/>
      <c r="EJ53" s="90"/>
      <c r="EK53" s="90"/>
      <c r="EL53" s="90"/>
      <c r="EM53" s="90"/>
      <c r="EN53" s="91"/>
      <c r="EO53" s="90"/>
      <c r="EP53" s="90"/>
      <c r="EQ53" s="90"/>
      <c r="ER53" s="90"/>
      <c r="ES53" s="90"/>
      <c r="ET53" s="90"/>
      <c r="EU53" s="90"/>
      <c r="EV53" s="90"/>
      <c r="EW53" s="90"/>
      <c r="EX53" s="90"/>
      <c r="EY53" s="90"/>
      <c r="EZ53" s="90"/>
      <c r="FA53" s="91"/>
      <c r="FB53" s="90"/>
      <c r="FC53" s="90"/>
      <c r="FD53" s="90"/>
      <c r="FE53" s="90"/>
      <c r="FF53" s="90"/>
      <c r="FG53" s="90"/>
      <c r="FH53" s="90"/>
      <c r="FI53" s="90"/>
      <c r="FJ53" s="90"/>
      <c r="FK53" s="90"/>
      <c r="FL53" s="90"/>
      <c r="FM53" s="90"/>
      <c r="FN53" s="91"/>
      <c r="FO53" s="90"/>
      <c r="FP53" s="90"/>
      <c r="FQ53" s="90"/>
      <c r="FR53" s="90"/>
      <c r="FS53" s="90"/>
      <c r="FT53" s="90"/>
      <c r="FU53" s="90"/>
      <c r="FV53" s="90"/>
      <c r="FW53" s="90"/>
      <c r="FX53" s="90"/>
      <c r="FY53" s="90"/>
      <c r="FZ53" s="90"/>
      <c r="GA53" s="91"/>
      <c r="GB53" s="90"/>
      <c r="GC53" s="90"/>
      <c r="GD53" s="90"/>
      <c r="GE53" s="90"/>
      <c r="GF53" s="90"/>
      <c r="GG53" s="90"/>
      <c r="GH53" s="90"/>
      <c r="GI53" s="90"/>
      <c r="GJ53" s="90"/>
      <c r="GK53" s="90"/>
      <c r="GL53" s="90"/>
      <c r="GM53" s="90"/>
      <c r="GN53" s="91"/>
      <c r="GO53" s="90"/>
      <c r="GP53" s="90"/>
      <c r="GQ53" s="90"/>
      <c r="GR53" s="90"/>
      <c r="GS53" s="90"/>
      <c r="GT53" s="90"/>
      <c r="GU53" s="90"/>
      <c r="GV53" s="90"/>
      <c r="GW53" s="90"/>
      <c r="GX53" s="90"/>
      <c r="GY53" s="90"/>
      <c r="GZ53" s="90"/>
      <c r="HA53" s="91"/>
      <c r="HB53" s="90"/>
      <c r="HC53" s="90"/>
      <c r="HD53" s="90"/>
      <c r="HE53" s="90"/>
      <c r="HF53" s="90"/>
      <c r="HG53" s="90"/>
      <c r="HH53" s="90"/>
      <c r="HI53" s="90"/>
      <c r="HJ53" s="90"/>
      <c r="HK53" s="90"/>
      <c r="HL53" s="90"/>
      <c r="HM53" s="90"/>
      <c r="HN53" s="91"/>
      <c r="HO53" s="90"/>
      <c r="HP53" s="90"/>
      <c r="HQ53" s="90"/>
      <c r="HR53" s="90"/>
      <c r="HS53" s="90"/>
      <c r="HT53" s="90"/>
      <c r="HU53" s="90"/>
      <c r="HV53" s="90"/>
      <c r="HW53" s="90"/>
      <c r="HX53" s="90"/>
      <c r="HY53" s="90"/>
      <c r="HZ53" s="90"/>
      <c r="IA53" s="91"/>
      <c r="IB53" s="90"/>
      <c r="IC53" s="90"/>
      <c r="ID53" s="90"/>
      <c r="IE53" s="90"/>
      <c r="IF53" s="90"/>
      <c r="IG53" s="90"/>
      <c r="IH53" s="90"/>
      <c r="II53" s="90"/>
      <c r="IJ53" s="90"/>
      <c r="IK53" s="90"/>
      <c r="IL53" s="90"/>
      <c r="IM53" s="90"/>
      <c r="IN53" s="91"/>
      <c r="IO53" s="90"/>
      <c r="IP53" s="90"/>
      <c r="IQ53" s="90"/>
      <c r="IR53" s="90"/>
      <c r="IS53" s="90"/>
      <c r="IT53" s="90"/>
      <c r="IU53" s="90"/>
      <c r="IV53" s="90"/>
      <c r="IW53" s="90"/>
      <c r="IX53" s="90"/>
      <c r="IY53" s="90"/>
      <c r="IZ53" s="90"/>
      <c r="JA53" s="91"/>
      <c r="JB53" s="90"/>
      <c r="JC53" s="90"/>
      <c r="JD53" s="90"/>
      <c r="JE53" s="90"/>
      <c r="JF53" s="90"/>
      <c r="JG53" s="90"/>
      <c r="JH53" s="90"/>
      <c r="JI53" s="90"/>
      <c r="JJ53" s="90"/>
      <c r="JK53" s="90"/>
      <c r="JL53" s="90"/>
      <c r="JM53" s="90"/>
      <c r="JN53" s="91"/>
      <c r="JO53" s="90"/>
      <c r="JP53" s="90"/>
      <c r="JQ53" s="90"/>
      <c r="JR53" s="90"/>
      <c r="JS53" s="90"/>
      <c r="JT53" s="90"/>
      <c r="JU53" s="90"/>
      <c r="JV53" s="90"/>
      <c r="JW53" s="90"/>
      <c r="JX53" s="90"/>
      <c r="JY53" s="90"/>
      <c r="JZ53" s="90"/>
      <c r="KA53" s="91"/>
      <c r="KB53" s="90"/>
      <c r="KC53" s="90"/>
      <c r="KD53" s="90"/>
      <c r="KE53" s="90"/>
      <c r="KF53" s="90"/>
      <c r="KG53" s="90"/>
      <c r="KH53" s="90"/>
      <c r="KI53" s="90"/>
      <c r="KJ53" s="90"/>
      <c r="KK53" s="90"/>
      <c r="KL53" s="90"/>
      <c r="KM53" s="90"/>
      <c r="KN53" s="91"/>
      <c r="KO53" s="90"/>
      <c r="KP53" s="90"/>
      <c r="KQ53" s="90"/>
      <c r="KR53" s="90"/>
      <c r="KS53" s="90"/>
      <c r="KT53" s="90"/>
      <c r="KU53" s="90"/>
      <c r="KV53" s="90"/>
      <c r="KW53" s="90"/>
      <c r="KX53" s="90"/>
      <c r="KY53" s="90"/>
      <c r="KZ53" s="90"/>
      <c r="LA53" s="91"/>
      <c r="LB53" s="90"/>
      <c r="LC53" s="90"/>
      <c r="LD53" s="90"/>
      <c r="LE53" s="90"/>
      <c r="LF53" s="90"/>
      <c r="LG53" s="90"/>
      <c r="LH53" s="90"/>
      <c r="LI53" s="90"/>
      <c r="LJ53" s="90"/>
      <c r="LK53" s="90"/>
      <c r="LL53" s="90"/>
      <c r="LM53" s="90"/>
      <c r="LN53" s="91"/>
      <c r="LO53" s="90"/>
      <c r="LP53" s="90"/>
      <c r="LQ53" s="90"/>
      <c r="LR53" s="90"/>
      <c r="LS53" s="90"/>
      <c r="LT53" s="90"/>
      <c r="LU53" s="90"/>
      <c r="LV53" s="90"/>
      <c r="LW53" s="90"/>
      <c r="LX53" s="90"/>
      <c r="LY53" s="90"/>
      <c r="LZ53" s="90"/>
      <c r="MA53" s="91"/>
      <c r="MB53" s="90"/>
      <c r="MC53" s="90"/>
      <c r="MD53" s="90"/>
      <c r="ME53" s="90"/>
      <c r="MF53" s="90"/>
      <c r="MG53" s="90"/>
      <c r="MH53" s="90"/>
      <c r="MI53" s="90"/>
      <c r="MJ53" s="90"/>
      <c r="MK53" s="90"/>
      <c r="ML53" s="90"/>
      <c r="MM53" s="90"/>
      <c r="MN53" s="91"/>
      <c r="MO53" s="90"/>
      <c r="MP53" s="90"/>
      <c r="MQ53" s="90"/>
      <c r="MR53" s="90"/>
      <c r="MS53" s="90"/>
      <c r="MT53" s="90"/>
      <c r="MU53" s="90"/>
      <c r="MV53" s="90"/>
      <c r="MW53" s="90"/>
      <c r="MX53" s="90"/>
      <c r="MY53" s="90"/>
      <c r="MZ53" s="90"/>
      <c r="NA53" s="91"/>
      <c r="NB53" s="90"/>
      <c r="NC53" s="90"/>
      <c r="ND53" s="90"/>
      <c r="NE53" s="90"/>
      <c r="NF53" s="90"/>
      <c r="NG53" s="90"/>
      <c r="NH53" s="90"/>
      <c r="NI53" s="90"/>
      <c r="NJ53" s="90"/>
      <c r="NK53" s="90"/>
      <c r="NL53" s="90"/>
      <c r="NM53" s="90"/>
      <c r="NN53" s="91"/>
      <c r="NO53" s="90"/>
      <c r="NP53" s="90"/>
      <c r="NQ53" s="90"/>
      <c r="NR53" s="90"/>
      <c r="NS53" s="90"/>
      <c r="NT53" s="90"/>
      <c r="NU53" s="90"/>
      <c r="NV53" s="90"/>
      <c r="NW53" s="90"/>
      <c r="NX53" s="90"/>
      <c r="NY53" s="90"/>
      <c r="NZ53" s="90"/>
      <c r="OA53" s="91"/>
      <c r="OB53" s="90"/>
      <c r="OC53" s="90"/>
      <c r="OD53" s="90"/>
      <c r="OE53" s="90"/>
      <c r="OF53" s="90"/>
      <c r="OG53" s="90"/>
      <c r="OH53" s="90"/>
      <c r="OI53" s="90"/>
      <c r="OJ53" s="90"/>
      <c r="OK53" s="90"/>
      <c r="OL53" s="90"/>
      <c r="OM53" s="90"/>
      <c r="ON53" s="91"/>
      <c r="OO53" s="90"/>
      <c r="OP53" s="90"/>
      <c r="OQ53" s="90"/>
      <c r="OR53" s="90"/>
      <c r="OS53" s="90"/>
      <c r="OT53" s="90"/>
      <c r="OU53" s="90"/>
      <c r="OV53" s="90"/>
      <c r="OW53" s="90"/>
      <c r="OX53" s="90"/>
      <c r="OY53" s="90"/>
      <c r="OZ53" s="90"/>
      <c r="PA53" s="91"/>
      <c r="PB53" s="90"/>
      <c r="PC53" s="90"/>
      <c r="PD53" s="90"/>
      <c r="PE53" s="90"/>
      <c r="PF53" s="90"/>
      <c r="PG53" s="90"/>
      <c r="PH53" s="90"/>
      <c r="PI53" s="90"/>
      <c r="PJ53" s="90"/>
      <c r="PK53" s="90"/>
      <c r="PL53" s="90"/>
      <c r="PM53" s="90"/>
      <c r="PN53" s="91"/>
      <c r="PO53" s="90"/>
      <c r="PP53" s="90"/>
      <c r="PQ53" s="90"/>
      <c r="PR53" s="90"/>
      <c r="PS53" s="90"/>
      <c r="PT53" s="90"/>
      <c r="PU53" s="90"/>
      <c r="PV53" s="90"/>
      <c r="PW53" s="90"/>
      <c r="PX53" s="90"/>
      <c r="PY53" s="90"/>
      <c r="PZ53" s="90"/>
      <c r="QA53" s="91"/>
      <c r="QB53" s="90"/>
      <c r="QC53" s="90"/>
      <c r="QD53" s="90"/>
      <c r="QE53" s="90"/>
      <c r="QF53" s="90"/>
      <c r="QG53" s="90"/>
      <c r="QH53" s="90"/>
      <c r="QI53" s="90"/>
      <c r="QJ53" s="90"/>
      <c r="QK53" s="90"/>
      <c r="QL53" s="90"/>
      <c r="QM53" s="90"/>
      <c r="QN53" s="91"/>
      <c r="QO53" s="90"/>
      <c r="QP53" s="90"/>
      <c r="QQ53" s="90"/>
      <c r="QR53" s="90"/>
      <c r="QS53" s="90"/>
      <c r="QT53" s="90"/>
      <c r="QU53" s="90"/>
      <c r="QV53" s="90"/>
      <c r="QW53" s="90"/>
      <c r="QX53" s="90"/>
      <c r="QY53" s="90"/>
      <c r="QZ53" s="90"/>
      <c r="RA53" s="91"/>
      <c r="RB53" s="90"/>
      <c r="RC53" s="90"/>
      <c r="RD53" s="90"/>
      <c r="RE53" s="90"/>
      <c r="RF53" s="90"/>
      <c r="RG53" s="90"/>
      <c r="RH53" s="90"/>
      <c r="RI53" s="90"/>
      <c r="RJ53" s="90"/>
      <c r="RK53" s="90"/>
      <c r="RL53" s="90"/>
      <c r="RM53" s="90"/>
      <c r="RN53" s="91"/>
    </row>
    <row r="54" spans="1:482" s="85" customFormat="1" collapsed="1" x14ac:dyDescent="0.3">
      <c r="A54" s="82" t="s">
        <v>267</v>
      </c>
      <c r="N54" s="94"/>
      <c r="AA54" s="94"/>
      <c r="AN54" s="94"/>
      <c r="BA54" s="94"/>
      <c r="BN54" s="94"/>
      <c r="CA54" s="94"/>
      <c r="CN54" s="94"/>
      <c r="DA54" s="94"/>
      <c r="DN54" s="94"/>
      <c r="EA54" s="94"/>
      <c r="EN54" s="94"/>
      <c r="FA54" s="94"/>
      <c r="FN54" s="94"/>
      <c r="GA54" s="94"/>
      <c r="GN54" s="94"/>
      <c r="HA54" s="94"/>
      <c r="HN54" s="94"/>
      <c r="IA54" s="94"/>
      <c r="IN54" s="94"/>
      <c r="JA54" s="94"/>
      <c r="JN54" s="94"/>
      <c r="KA54" s="94"/>
      <c r="KN54" s="94"/>
      <c r="LA54" s="94"/>
      <c r="LN54" s="94"/>
      <c r="MA54" s="94"/>
      <c r="MN54" s="94"/>
      <c r="NA54" s="94"/>
      <c r="NN54" s="94"/>
      <c r="OA54" s="94"/>
      <c r="ON54" s="94"/>
      <c r="PA54" s="94"/>
      <c r="PN54" s="94"/>
      <c r="QA54" s="94"/>
      <c r="QN54" s="94"/>
      <c r="RA54" s="94"/>
      <c r="RN54" s="94"/>
    </row>
    <row r="55" spans="1:482" s="77" customFormat="1" hidden="1" outlineLevel="1" x14ac:dyDescent="0.3">
      <c r="A55" s="89" t="s">
        <v>237</v>
      </c>
      <c r="B55" s="86" t="e">
        <f>Inputs!$B$11*(1+Inputs!$B$22/12)</f>
        <v>#N/A</v>
      </c>
      <c r="C55" s="86" t="e">
        <f>B55*(1+Inputs!$B$22/12)</f>
        <v>#N/A</v>
      </c>
      <c r="D55" s="86" t="e">
        <f>C55*(1+Inputs!$B$22/12)</f>
        <v>#N/A</v>
      </c>
      <c r="E55" s="86" t="e">
        <f>D55*(1+Inputs!$B$22/12)</f>
        <v>#N/A</v>
      </c>
      <c r="F55" s="86" t="e">
        <f>E55*(1+Inputs!$B$22/12)</f>
        <v>#N/A</v>
      </c>
      <c r="G55" s="86" t="e">
        <f>F55*(1+Inputs!$B$22/12)</f>
        <v>#N/A</v>
      </c>
      <c r="H55" s="86" t="e">
        <f>G55*(1+Inputs!$B$22/12)</f>
        <v>#N/A</v>
      </c>
      <c r="I55" s="86" t="e">
        <f>H55*(1+Inputs!$B$22/12)</f>
        <v>#N/A</v>
      </c>
      <c r="J55" s="86" t="e">
        <f>I55*(1+Inputs!$B$22/12)</f>
        <v>#N/A</v>
      </c>
      <c r="K55" s="86" t="e">
        <f>J55*(1+Inputs!$B$22/12)</f>
        <v>#N/A</v>
      </c>
      <c r="L55" s="86" t="e">
        <f>K55*(1+Inputs!$B$22/12)</f>
        <v>#N/A</v>
      </c>
      <c r="M55" s="86" t="e">
        <f>L55*(1+Inputs!$B$22/12)</f>
        <v>#N/A</v>
      </c>
      <c r="N55" s="87" t="e">
        <f>M55</f>
        <v>#N/A</v>
      </c>
      <c r="O55" s="86" t="e">
        <f>M55*(1+Inputs!$B$22/12)</f>
        <v>#N/A</v>
      </c>
      <c r="P55" s="86" t="e">
        <f>O55*(1+Inputs!$B$22/12)</f>
        <v>#N/A</v>
      </c>
      <c r="Q55" s="86" t="e">
        <f>P55*(1+Inputs!$B$22/12)</f>
        <v>#N/A</v>
      </c>
      <c r="R55" s="86" t="e">
        <f>Q55*(1+Inputs!$B$22/12)</f>
        <v>#N/A</v>
      </c>
      <c r="S55" s="86" t="e">
        <f>R55*(1+Inputs!$B$22/12)</f>
        <v>#N/A</v>
      </c>
      <c r="T55" s="86" t="e">
        <f>S55*(1+Inputs!$B$22/12)</f>
        <v>#N/A</v>
      </c>
      <c r="U55" s="86" t="e">
        <f>T55*(1+Inputs!$B$22/12)</f>
        <v>#N/A</v>
      </c>
      <c r="V55" s="86" t="e">
        <f>U55*(1+Inputs!$B$22/12)</f>
        <v>#N/A</v>
      </c>
      <c r="W55" s="86" t="e">
        <f>V55*(1+Inputs!$B$22/12)</f>
        <v>#N/A</v>
      </c>
      <c r="X55" s="86" t="e">
        <f>W55*(1+Inputs!$B$22/12)</f>
        <v>#N/A</v>
      </c>
      <c r="Y55" s="86" t="e">
        <f>X55*(1+Inputs!$B$22/12)</f>
        <v>#N/A</v>
      </c>
      <c r="Z55" s="86" t="e">
        <f>Y55*(1+Inputs!$B$22/12)</f>
        <v>#N/A</v>
      </c>
      <c r="AA55" s="87" t="e">
        <f>Z55</f>
        <v>#N/A</v>
      </c>
      <c r="AB55" s="86" t="e">
        <f>Z55*(1+Inputs!$B$22/12)</f>
        <v>#N/A</v>
      </c>
      <c r="AC55" s="86" t="e">
        <f>AB55*(1+Inputs!$B$22/12)</f>
        <v>#N/A</v>
      </c>
      <c r="AD55" s="86" t="e">
        <f>AC55*(1+Inputs!$B$22/12)</f>
        <v>#N/A</v>
      </c>
      <c r="AE55" s="86" t="e">
        <f>AD55*(1+Inputs!$B$22/12)</f>
        <v>#N/A</v>
      </c>
      <c r="AF55" s="86" t="e">
        <f>AE55*(1+Inputs!$B$22/12)</f>
        <v>#N/A</v>
      </c>
      <c r="AG55" s="86" t="e">
        <f>AF55*(1+Inputs!$B$22/12)</f>
        <v>#N/A</v>
      </c>
      <c r="AH55" s="86" t="e">
        <f>AG55*(1+Inputs!$B$22/12)</f>
        <v>#N/A</v>
      </c>
      <c r="AI55" s="86" t="e">
        <f>AH55*(1+Inputs!$B$22/12)</f>
        <v>#N/A</v>
      </c>
      <c r="AJ55" s="86" t="e">
        <f>AI55*(1+Inputs!$B$22/12)</f>
        <v>#N/A</v>
      </c>
      <c r="AK55" s="86" t="e">
        <f>AJ55*(1+Inputs!$B$22/12)</f>
        <v>#N/A</v>
      </c>
      <c r="AL55" s="86" t="e">
        <f>AK55*(1+Inputs!$B$22/12)</f>
        <v>#N/A</v>
      </c>
      <c r="AM55" s="86" t="e">
        <f>AL55*(1+Inputs!$B$22/12)</f>
        <v>#N/A</v>
      </c>
      <c r="AN55" s="87" t="e">
        <f>AM55</f>
        <v>#N/A</v>
      </c>
      <c r="AO55" s="86" t="e">
        <f>AM55*(1+Inputs!$B$22/12)</f>
        <v>#N/A</v>
      </c>
      <c r="AP55" s="86" t="e">
        <f>AO55*(1+Inputs!$B$22/12)</f>
        <v>#N/A</v>
      </c>
      <c r="AQ55" s="86" t="e">
        <f>AP55*(1+Inputs!$B$22/12)</f>
        <v>#N/A</v>
      </c>
      <c r="AR55" s="86" t="e">
        <f>AQ55*(1+Inputs!$B$22/12)</f>
        <v>#N/A</v>
      </c>
      <c r="AS55" s="86" t="e">
        <f>AR55*(1+Inputs!$B$22/12)</f>
        <v>#N/A</v>
      </c>
      <c r="AT55" s="86" t="e">
        <f>AS55*(1+Inputs!$B$22/12)</f>
        <v>#N/A</v>
      </c>
      <c r="AU55" s="86" t="e">
        <f>AT55*(1+Inputs!$B$22/12)</f>
        <v>#N/A</v>
      </c>
      <c r="AV55" s="86" t="e">
        <f>AU55*(1+Inputs!$B$22/12)</f>
        <v>#N/A</v>
      </c>
      <c r="AW55" s="86" t="e">
        <f>AV55*(1+Inputs!$B$22/12)</f>
        <v>#N/A</v>
      </c>
      <c r="AX55" s="86" t="e">
        <f>AW55*(1+Inputs!$B$22/12)</f>
        <v>#N/A</v>
      </c>
      <c r="AY55" s="86" t="e">
        <f>AX55*(1+Inputs!$B$22/12)</f>
        <v>#N/A</v>
      </c>
      <c r="AZ55" s="86" t="e">
        <f>AY55*(1+Inputs!$B$22/12)</f>
        <v>#N/A</v>
      </c>
      <c r="BA55" s="87" t="e">
        <f>AZ55</f>
        <v>#N/A</v>
      </c>
      <c r="BB55" s="86" t="e">
        <f>AZ55*(1+Inputs!$B$22/12)</f>
        <v>#N/A</v>
      </c>
      <c r="BC55" s="86" t="e">
        <f>BB55*(1+Inputs!$B$22/12)</f>
        <v>#N/A</v>
      </c>
      <c r="BD55" s="86" t="e">
        <f>BC55*(1+Inputs!$B$22/12)</f>
        <v>#N/A</v>
      </c>
      <c r="BE55" s="86" t="e">
        <f>BD55*(1+Inputs!$B$22/12)</f>
        <v>#N/A</v>
      </c>
      <c r="BF55" s="86" t="e">
        <f>BE55*(1+Inputs!$B$22/12)</f>
        <v>#N/A</v>
      </c>
      <c r="BG55" s="86" t="e">
        <f>BF55*(1+Inputs!$B$22/12)</f>
        <v>#N/A</v>
      </c>
      <c r="BH55" s="86" t="e">
        <f>BG55*(1+Inputs!$B$22/12)</f>
        <v>#N/A</v>
      </c>
      <c r="BI55" s="86" t="e">
        <f>BH55*(1+Inputs!$B$22/12)</f>
        <v>#N/A</v>
      </c>
      <c r="BJ55" s="86" t="e">
        <f>BI55*(1+Inputs!$B$22/12)</f>
        <v>#N/A</v>
      </c>
      <c r="BK55" s="86" t="e">
        <f>BJ55*(1+Inputs!$B$22/12)</f>
        <v>#N/A</v>
      </c>
      <c r="BL55" s="86" t="e">
        <f>BK55*(1+Inputs!$B$22/12)</f>
        <v>#N/A</v>
      </c>
      <c r="BM55" s="86" t="e">
        <f>BL55*(1+Inputs!$B$22/12)</f>
        <v>#N/A</v>
      </c>
      <c r="BN55" s="87" t="e">
        <f>BM55</f>
        <v>#N/A</v>
      </c>
      <c r="BO55" s="86" t="e">
        <f>BM55*(1+Inputs!$B$22/12)</f>
        <v>#N/A</v>
      </c>
      <c r="BP55" s="86" t="e">
        <f>BO55*(1+Inputs!$B$22/12)</f>
        <v>#N/A</v>
      </c>
      <c r="BQ55" s="86" t="e">
        <f>BP55*(1+Inputs!$B$22/12)</f>
        <v>#N/A</v>
      </c>
      <c r="BR55" s="86" t="e">
        <f>BQ55*(1+Inputs!$B$22/12)</f>
        <v>#N/A</v>
      </c>
      <c r="BS55" s="86" t="e">
        <f>BR55*(1+Inputs!$B$22/12)</f>
        <v>#N/A</v>
      </c>
      <c r="BT55" s="86" t="e">
        <f>BS55*(1+Inputs!$B$22/12)</f>
        <v>#N/A</v>
      </c>
      <c r="BU55" s="86" t="e">
        <f>BT55*(1+Inputs!$B$22/12)</f>
        <v>#N/A</v>
      </c>
      <c r="BV55" s="86" t="e">
        <f>BU55*(1+Inputs!$B$22/12)</f>
        <v>#N/A</v>
      </c>
      <c r="BW55" s="86" t="e">
        <f>BV55*(1+Inputs!$B$22/12)</f>
        <v>#N/A</v>
      </c>
      <c r="BX55" s="86" t="e">
        <f>BW55*(1+Inputs!$B$22/12)</f>
        <v>#N/A</v>
      </c>
      <c r="BY55" s="86" t="e">
        <f>BX55*(1+Inputs!$B$22/12)</f>
        <v>#N/A</v>
      </c>
      <c r="BZ55" s="86" t="e">
        <f>BY55*(1+Inputs!$B$22/12)</f>
        <v>#N/A</v>
      </c>
      <c r="CA55" s="87" t="e">
        <f>BZ55</f>
        <v>#N/A</v>
      </c>
      <c r="CB55" s="86" t="e">
        <f>BZ55*(1+Inputs!$B$22/12)</f>
        <v>#N/A</v>
      </c>
      <c r="CC55" s="86" t="e">
        <f>CB55*(1+Inputs!$B$22/12)</f>
        <v>#N/A</v>
      </c>
      <c r="CD55" s="86" t="e">
        <f>CC55*(1+Inputs!$B$22/12)</f>
        <v>#N/A</v>
      </c>
      <c r="CE55" s="86" t="e">
        <f>CD55*(1+Inputs!$B$22/12)</f>
        <v>#N/A</v>
      </c>
      <c r="CF55" s="86" t="e">
        <f>CE55*(1+Inputs!$B$22/12)</f>
        <v>#N/A</v>
      </c>
      <c r="CG55" s="86" t="e">
        <f>CF55*(1+Inputs!$B$22/12)</f>
        <v>#N/A</v>
      </c>
      <c r="CH55" s="86" t="e">
        <f>CG55*(1+Inputs!$B$22/12)</f>
        <v>#N/A</v>
      </c>
      <c r="CI55" s="86" t="e">
        <f>CH55*(1+Inputs!$B$22/12)</f>
        <v>#N/A</v>
      </c>
      <c r="CJ55" s="86" t="e">
        <f>CI55*(1+Inputs!$B$22/12)</f>
        <v>#N/A</v>
      </c>
      <c r="CK55" s="86" t="e">
        <f>CJ55*(1+Inputs!$B$22/12)</f>
        <v>#N/A</v>
      </c>
      <c r="CL55" s="86" t="e">
        <f>CK55*(1+Inputs!$B$22/12)</f>
        <v>#N/A</v>
      </c>
      <c r="CM55" s="86" t="e">
        <f>CL55*(1+Inputs!$B$22/12)</f>
        <v>#N/A</v>
      </c>
      <c r="CN55" s="87" t="e">
        <f>CM55</f>
        <v>#N/A</v>
      </c>
      <c r="CO55" s="86" t="e">
        <f>CM55*(1+Inputs!$B$22/12)</f>
        <v>#N/A</v>
      </c>
      <c r="CP55" s="86" t="e">
        <f>CO55*(1+Inputs!$B$22/12)</f>
        <v>#N/A</v>
      </c>
      <c r="CQ55" s="86" t="e">
        <f>CP55*(1+Inputs!$B$22/12)</f>
        <v>#N/A</v>
      </c>
      <c r="CR55" s="86" t="e">
        <f>CQ55*(1+Inputs!$B$22/12)</f>
        <v>#N/A</v>
      </c>
      <c r="CS55" s="86" t="e">
        <f>CR55*(1+Inputs!$B$22/12)</f>
        <v>#N/A</v>
      </c>
      <c r="CT55" s="86" t="e">
        <f>CS55*(1+Inputs!$B$22/12)</f>
        <v>#N/A</v>
      </c>
      <c r="CU55" s="86" t="e">
        <f>CT55*(1+Inputs!$B$22/12)</f>
        <v>#N/A</v>
      </c>
      <c r="CV55" s="86" t="e">
        <f>CU55*(1+Inputs!$B$22/12)</f>
        <v>#N/A</v>
      </c>
      <c r="CW55" s="86" t="e">
        <f>CV55*(1+Inputs!$B$22/12)</f>
        <v>#N/A</v>
      </c>
      <c r="CX55" s="86" t="e">
        <f>CW55*(1+Inputs!$B$22/12)</f>
        <v>#N/A</v>
      </c>
      <c r="CY55" s="86" t="e">
        <f>CX55*(1+Inputs!$B$22/12)</f>
        <v>#N/A</v>
      </c>
      <c r="CZ55" s="86" t="e">
        <f>CY55*(1+Inputs!$B$22/12)</f>
        <v>#N/A</v>
      </c>
      <c r="DA55" s="87" t="e">
        <f>CZ55</f>
        <v>#N/A</v>
      </c>
      <c r="DB55" s="86" t="e">
        <f>CZ55*(1+Inputs!$B$22/12)</f>
        <v>#N/A</v>
      </c>
      <c r="DC55" s="86" t="e">
        <f>DB55*(1+Inputs!$B$22/12)</f>
        <v>#N/A</v>
      </c>
      <c r="DD55" s="86" t="e">
        <f>DC55*(1+Inputs!$B$22/12)</f>
        <v>#N/A</v>
      </c>
      <c r="DE55" s="86" t="e">
        <f>DD55*(1+Inputs!$B$22/12)</f>
        <v>#N/A</v>
      </c>
      <c r="DF55" s="86" t="e">
        <f>DE55*(1+Inputs!$B$22/12)</f>
        <v>#N/A</v>
      </c>
      <c r="DG55" s="86" t="e">
        <f>DF55*(1+Inputs!$B$22/12)</f>
        <v>#N/A</v>
      </c>
      <c r="DH55" s="86" t="e">
        <f>DG55*(1+Inputs!$B$22/12)</f>
        <v>#N/A</v>
      </c>
      <c r="DI55" s="86" t="e">
        <f>DH55*(1+Inputs!$B$22/12)</f>
        <v>#N/A</v>
      </c>
      <c r="DJ55" s="86" t="e">
        <f>DI55*(1+Inputs!$B$22/12)</f>
        <v>#N/A</v>
      </c>
      <c r="DK55" s="86" t="e">
        <f>DJ55*(1+Inputs!$B$22/12)</f>
        <v>#N/A</v>
      </c>
      <c r="DL55" s="86" t="e">
        <f>DK55*(1+Inputs!$B$22/12)</f>
        <v>#N/A</v>
      </c>
      <c r="DM55" s="86" t="e">
        <f>DL55*(1+Inputs!$B$22/12)</f>
        <v>#N/A</v>
      </c>
      <c r="DN55" s="87" t="e">
        <f>DM55</f>
        <v>#N/A</v>
      </c>
      <c r="DO55" s="86" t="e">
        <f>DM55*(1+Inputs!$B$22/12)</f>
        <v>#N/A</v>
      </c>
      <c r="DP55" s="86" t="e">
        <f>DO55*(1+Inputs!$B$22/12)</f>
        <v>#N/A</v>
      </c>
      <c r="DQ55" s="86" t="e">
        <f>DP55*(1+Inputs!$B$22/12)</f>
        <v>#N/A</v>
      </c>
      <c r="DR55" s="86" t="e">
        <f>DQ55*(1+Inputs!$B$22/12)</f>
        <v>#N/A</v>
      </c>
      <c r="DS55" s="86" t="e">
        <f>DR55*(1+Inputs!$B$22/12)</f>
        <v>#N/A</v>
      </c>
      <c r="DT55" s="86" t="e">
        <f>DS55*(1+Inputs!$B$22/12)</f>
        <v>#N/A</v>
      </c>
      <c r="DU55" s="86" t="e">
        <f>DT55*(1+Inputs!$B$22/12)</f>
        <v>#N/A</v>
      </c>
      <c r="DV55" s="86" t="e">
        <f>DU55*(1+Inputs!$B$22/12)</f>
        <v>#N/A</v>
      </c>
      <c r="DW55" s="86" t="e">
        <f>DV55*(1+Inputs!$B$22/12)</f>
        <v>#N/A</v>
      </c>
      <c r="DX55" s="86" t="e">
        <f>DW55*(1+Inputs!$B$22/12)</f>
        <v>#N/A</v>
      </c>
      <c r="DY55" s="86" t="e">
        <f>DX55*(1+Inputs!$B$22/12)</f>
        <v>#N/A</v>
      </c>
      <c r="DZ55" s="86" t="e">
        <f>DY55*(1+Inputs!$B$22/12)</f>
        <v>#N/A</v>
      </c>
      <c r="EA55" s="87" t="e">
        <f>DZ55</f>
        <v>#N/A</v>
      </c>
      <c r="EB55" s="86" t="e">
        <f>DZ55*(1+Inputs!$B$22/12)</f>
        <v>#N/A</v>
      </c>
      <c r="EC55" s="86" t="e">
        <f>EB55*(1+Inputs!$B$22/12)</f>
        <v>#N/A</v>
      </c>
      <c r="ED55" s="86" t="e">
        <f>EC55*(1+Inputs!$B$22/12)</f>
        <v>#N/A</v>
      </c>
      <c r="EE55" s="86" t="e">
        <f>ED55*(1+Inputs!$B$22/12)</f>
        <v>#N/A</v>
      </c>
      <c r="EF55" s="86" t="e">
        <f>EE55*(1+Inputs!$B$22/12)</f>
        <v>#N/A</v>
      </c>
      <c r="EG55" s="86" t="e">
        <f>EF55*(1+Inputs!$B$22/12)</f>
        <v>#N/A</v>
      </c>
      <c r="EH55" s="86" t="e">
        <f>EG55*(1+Inputs!$B$22/12)</f>
        <v>#N/A</v>
      </c>
      <c r="EI55" s="86" t="e">
        <f>EH55*(1+Inputs!$B$22/12)</f>
        <v>#N/A</v>
      </c>
      <c r="EJ55" s="86" t="e">
        <f>EI55*(1+Inputs!$B$22/12)</f>
        <v>#N/A</v>
      </c>
      <c r="EK55" s="86" t="e">
        <f>EJ55*(1+Inputs!$B$22/12)</f>
        <v>#N/A</v>
      </c>
      <c r="EL55" s="86" t="e">
        <f>EK55*(1+Inputs!$B$22/12)</f>
        <v>#N/A</v>
      </c>
      <c r="EM55" s="86" t="e">
        <f>EL55*(1+Inputs!$B$22/12)</f>
        <v>#N/A</v>
      </c>
      <c r="EN55" s="87" t="e">
        <f>EM55</f>
        <v>#N/A</v>
      </c>
      <c r="EO55" s="86" t="e">
        <f>EM55*(1+Inputs!$B$22/12)</f>
        <v>#N/A</v>
      </c>
      <c r="EP55" s="86" t="e">
        <f>EO55*(1+Inputs!$B$22/12)</f>
        <v>#N/A</v>
      </c>
      <c r="EQ55" s="86" t="e">
        <f>EP55*(1+Inputs!$B$22/12)</f>
        <v>#N/A</v>
      </c>
      <c r="ER55" s="86" t="e">
        <f>EQ55*(1+Inputs!$B$22/12)</f>
        <v>#N/A</v>
      </c>
      <c r="ES55" s="86" t="e">
        <f>ER55*(1+Inputs!$B$22/12)</f>
        <v>#N/A</v>
      </c>
      <c r="ET55" s="86" t="e">
        <f>ES55*(1+Inputs!$B$22/12)</f>
        <v>#N/A</v>
      </c>
      <c r="EU55" s="86" t="e">
        <f>ET55*(1+Inputs!$B$22/12)</f>
        <v>#N/A</v>
      </c>
      <c r="EV55" s="86" t="e">
        <f>EU55*(1+Inputs!$B$22/12)</f>
        <v>#N/A</v>
      </c>
      <c r="EW55" s="86" t="e">
        <f>EV55*(1+Inputs!$B$22/12)</f>
        <v>#N/A</v>
      </c>
      <c r="EX55" s="86" t="e">
        <f>EW55*(1+Inputs!$B$22/12)</f>
        <v>#N/A</v>
      </c>
      <c r="EY55" s="86" t="e">
        <f>EX55*(1+Inputs!$B$22/12)</f>
        <v>#N/A</v>
      </c>
      <c r="EZ55" s="86" t="e">
        <f>EY55*(1+Inputs!$B$22/12)</f>
        <v>#N/A</v>
      </c>
      <c r="FA55" s="87" t="e">
        <f>EZ55</f>
        <v>#N/A</v>
      </c>
      <c r="FB55" s="86" t="e">
        <f>EZ55*(1+Inputs!$B$22/12)</f>
        <v>#N/A</v>
      </c>
      <c r="FC55" s="86" t="e">
        <f>FB55*(1+Inputs!$B$22/12)</f>
        <v>#N/A</v>
      </c>
      <c r="FD55" s="86" t="e">
        <f>FC55*(1+Inputs!$B$22/12)</f>
        <v>#N/A</v>
      </c>
      <c r="FE55" s="86" t="e">
        <f>FD55*(1+Inputs!$B$22/12)</f>
        <v>#N/A</v>
      </c>
      <c r="FF55" s="86" t="e">
        <f>FE55*(1+Inputs!$B$22/12)</f>
        <v>#N/A</v>
      </c>
      <c r="FG55" s="86" t="e">
        <f>FF55*(1+Inputs!$B$22/12)</f>
        <v>#N/A</v>
      </c>
      <c r="FH55" s="86" t="e">
        <f>FG55*(1+Inputs!$B$22/12)</f>
        <v>#N/A</v>
      </c>
      <c r="FI55" s="86" t="e">
        <f>FH55*(1+Inputs!$B$22/12)</f>
        <v>#N/A</v>
      </c>
      <c r="FJ55" s="86" t="e">
        <f>FI55*(1+Inputs!$B$22/12)</f>
        <v>#N/A</v>
      </c>
      <c r="FK55" s="86" t="e">
        <f>FJ55*(1+Inputs!$B$22/12)</f>
        <v>#N/A</v>
      </c>
      <c r="FL55" s="86" t="e">
        <f>FK55*(1+Inputs!$B$22/12)</f>
        <v>#N/A</v>
      </c>
      <c r="FM55" s="86" t="e">
        <f>FL55*(1+Inputs!$B$22/12)</f>
        <v>#N/A</v>
      </c>
      <c r="FN55" s="87" t="e">
        <f>FM55</f>
        <v>#N/A</v>
      </c>
      <c r="FO55" s="86" t="e">
        <f>FM55*(1+Inputs!$B$22/12)</f>
        <v>#N/A</v>
      </c>
      <c r="FP55" s="86" t="e">
        <f>FO55*(1+Inputs!$B$22/12)</f>
        <v>#N/A</v>
      </c>
      <c r="FQ55" s="86" t="e">
        <f>FP55*(1+Inputs!$B$22/12)</f>
        <v>#N/A</v>
      </c>
      <c r="FR55" s="86" t="e">
        <f>FQ55*(1+Inputs!$B$22/12)</f>
        <v>#N/A</v>
      </c>
      <c r="FS55" s="86" t="e">
        <f>FR55*(1+Inputs!$B$22/12)</f>
        <v>#N/A</v>
      </c>
      <c r="FT55" s="86" t="e">
        <f>FS55*(1+Inputs!$B$22/12)</f>
        <v>#N/A</v>
      </c>
      <c r="FU55" s="86" t="e">
        <f>FT55*(1+Inputs!$B$22/12)</f>
        <v>#N/A</v>
      </c>
      <c r="FV55" s="86" t="e">
        <f>FU55*(1+Inputs!$B$22/12)</f>
        <v>#N/A</v>
      </c>
      <c r="FW55" s="86" t="e">
        <f>FV55*(1+Inputs!$B$22/12)</f>
        <v>#N/A</v>
      </c>
      <c r="FX55" s="86" t="e">
        <f>FW55*(1+Inputs!$B$22/12)</f>
        <v>#N/A</v>
      </c>
      <c r="FY55" s="86" t="e">
        <f>FX55*(1+Inputs!$B$22/12)</f>
        <v>#N/A</v>
      </c>
      <c r="FZ55" s="86" t="e">
        <f>FY55*(1+Inputs!$B$22/12)</f>
        <v>#N/A</v>
      </c>
      <c r="GA55" s="87" t="e">
        <f>FZ55</f>
        <v>#N/A</v>
      </c>
      <c r="GB55" s="86" t="e">
        <f>FZ55*(1+Inputs!$B$22/12)</f>
        <v>#N/A</v>
      </c>
      <c r="GC55" s="86" t="e">
        <f>GB55*(1+Inputs!$B$22/12)</f>
        <v>#N/A</v>
      </c>
      <c r="GD55" s="86" t="e">
        <f>GC55*(1+Inputs!$B$22/12)</f>
        <v>#N/A</v>
      </c>
      <c r="GE55" s="86" t="e">
        <f>GD55*(1+Inputs!$B$22/12)</f>
        <v>#N/A</v>
      </c>
      <c r="GF55" s="86" t="e">
        <f>GE55*(1+Inputs!$B$22/12)</f>
        <v>#N/A</v>
      </c>
      <c r="GG55" s="86" t="e">
        <f>GF55*(1+Inputs!$B$22/12)</f>
        <v>#N/A</v>
      </c>
      <c r="GH55" s="86" t="e">
        <f>GG55*(1+Inputs!$B$22/12)</f>
        <v>#N/A</v>
      </c>
      <c r="GI55" s="86" t="e">
        <f>GH55*(1+Inputs!$B$22/12)</f>
        <v>#N/A</v>
      </c>
      <c r="GJ55" s="86" t="e">
        <f>GI55*(1+Inputs!$B$22/12)</f>
        <v>#N/A</v>
      </c>
      <c r="GK55" s="86" t="e">
        <f>GJ55*(1+Inputs!$B$22/12)</f>
        <v>#N/A</v>
      </c>
      <c r="GL55" s="86" t="e">
        <f>GK55*(1+Inputs!$B$22/12)</f>
        <v>#N/A</v>
      </c>
      <c r="GM55" s="86" t="e">
        <f>GL55*(1+Inputs!$B$22/12)</f>
        <v>#N/A</v>
      </c>
      <c r="GN55" s="87" t="e">
        <f>GM55</f>
        <v>#N/A</v>
      </c>
      <c r="GO55" s="86" t="e">
        <f>GM55*(1+Inputs!$B$22/12)</f>
        <v>#N/A</v>
      </c>
      <c r="GP55" s="86" t="e">
        <f>GO55*(1+Inputs!$B$22/12)</f>
        <v>#N/A</v>
      </c>
      <c r="GQ55" s="86" t="e">
        <f>GP55*(1+Inputs!$B$22/12)</f>
        <v>#N/A</v>
      </c>
      <c r="GR55" s="86" t="e">
        <f>GQ55*(1+Inputs!$B$22/12)</f>
        <v>#N/A</v>
      </c>
      <c r="GS55" s="86" t="e">
        <f>GR55*(1+Inputs!$B$22/12)</f>
        <v>#N/A</v>
      </c>
      <c r="GT55" s="86" t="e">
        <f>GS55*(1+Inputs!$B$22/12)</f>
        <v>#N/A</v>
      </c>
      <c r="GU55" s="86" t="e">
        <f>GT55*(1+Inputs!$B$22/12)</f>
        <v>#N/A</v>
      </c>
      <c r="GV55" s="86" t="e">
        <f>GU55*(1+Inputs!$B$22/12)</f>
        <v>#N/A</v>
      </c>
      <c r="GW55" s="86" t="e">
        <f>GV55*(1+Inputs!$B$22/12)</f>
        <v>#N/A</v>
      </c>
      <c r="GX55" s="86" t="e">
        <f>GW55*(1+Inputs!$B$22/12)</f>
        <v>#N/A</v>
      </c>
      <c r="GY55" s="86" t="e">
        <f>GX55*(1+Inputs!$B$22/12)</f>
        <v>#N/A</v>
      </c>
      <c r="GZ55" s="86" t="e">
        <f>GY55*(1+Inputs!$B$22/12)</f>
        <v>#N/A</v>
      </c>
      <c r="HA55" s="87" t="e">
        <f>GZ55</f>
        <v>#N/A</v>
      </c>
      <c r="HB55" s="86" t="e">
        <f>GZ55*(1+Inputs!$B$22/12)</f>
        <v>#N/A</v>
      </c>
      <c r="HC55" s="86" t="e">
        <f>HB55*(1+Inputs!$B$22/12)</f>
        <v>#N/A</v>
      </c>
      <c r="HD55" s="86" t="e">
        <f>HC55*(1+Inputs!$B$22/12)</f>
        <v>#N/A</v>
      </c>
      <c r="HE55" s="86" t="e">
        <f>HD55*(1+Inputs!$B$22/12)</f>
        <v>#N/A</v>
      </c>
      <c r="HF55" s="86" t="e">
        <f>HE55*(1+Inputs!$B$22/12)</f>
        <v>#N/A</v>
      </c>
      <c r="HG55" s="86" t="e">
        <f>HF55*(1+Inputs!$B$22/12)</f>
        <v>#N/A</v>
      </c>
      <c r="HH55" s="86" t="e">
        <f>HG55*(1+Inputs!$B$22/12)</f>
        <v>#N/A</v>
      </c>
      <c r="HI55" s="86" t="e">
        <f>HH55*(1+Inputs!$B$22/12)</f>
        <v>#N/A</v>
      </c>
      <c r="HJ55" s="86" t="e">
        <f>HI55*(1+Inputs!$B$22/12)</f>
        <v>#N/A</v>
      </c>
      <c r="HK55" s="86" t="e">
        <f>HJ55*(1+Inputs!$B$22/12)</f>
        <v>#N/A</v>
      </c>
      <c r="HL55" s="86" t="e">
        <f>HK55*(1+Inputs!$B$22/12)</f>
        <v>#N/A</v>
      </c>
      <c r="HM55" s="86" t="e">
        <f>HL55*(1+Inputs!$B$22/12)</f>
        <v>#N/A</v>
      </c>
      <c r="HN55" s="87" t="e">
        <f>HM55</f>
        <v>#N/A</v>
      </c>
      <c r="HO55" s="86" t="e">
        <f>HM55*(1+Inputs!$B$22/12)</f>
        <v>#N/A</v>
      </c>
      <c r="HP55" s="86" t="e">
        <f>HO55*(1+Inputs!$B$22/12)</f>
        <v>#N/A</v>
      </c>
      <c r="HQ55" s="86" t="e">
        <f>HP55*(1+Inputs!$B$22/12)</f>
        <v>#N/A</v>
      </c>
      <c r="HR55" s="86" t="e">
        <f>HQ55*(1+Inputs!$B$22/12)</f>
        <v>#N/A</v>
      </c>
      <c r="HS55" s="86" t="e">
        <f>HR55*(1+Inputs!$B$22/12)</f>
        <v>#N/A</v>
      </c>
      <c r="HT55" s="86" t="e">
        <f>HS55*(1+Inputs!$B$22/12)</f>
        <v>#N/A</v>
      </c>
      <c r="HU55" s="86" t="e">
        <f>HT55*(1+Inputs!$B$22/12)</f>
        <v>#N/A</v>
      </c>
      <c r="HV55" s="86" t="e">
        <f>HU55*(1+Inputs!$B$22/12)</f>
        <v>#N/A</v>
      </c>
      <c r="HW55" s="86" t="e">
        <f>HV55*(1+Inputs!$B$22/12)</f>
        <v>#N/A</v>
      </c>
      <c r="HX55" s="86" t="e">
        <f>HW55*(1+Inputs!$B$22/12)</f>
        <v>#N/A</v>
      </c>
      <c r="HY55" s="86" t="e">
        <f>HX55*(1+Inputs!$B$22/12)</f>
        <v>#N/A</v>
      </c>
      <c r="HZ55" s="86" t="e">
        <f>HY55*(1+Inputs!$B$22/12)</f>
        <v>#N/A</v>
      </c>
      <c r="IA55" s="87" t="e">
        <f>HZ55</f>
        <v>#N/A</v>
      </c>
      <c r="IB55" s="86" t="e">
        <f>HZ55*(1+Inputs!$B$22/12)</f>
        <v>#N/A</v>
      </c>
      <c r="IC55" s="86" t="e">
        <f>IB55*(1+Inputs!$B$22/12)</f>
        <v>#N/A</v>
      </c>
      <c r="ID55" s="86" t="e">
        <f>IC55*(1+Inputs!$B$22/12)</f>
        <v>#N/A</v>
      </c>
      <c r="IE55" s="86" t="e">
        <f>ID55*(1+Inputs!$B$22/12)</f>
        <v>#N/A</v>
      </c>
      <c r="IF55" s="86" t="e">
        <f>IE55*(1+Inputs!$B$22/12)</f>
        <v>#N/A</v>
      </c>
      <c r="IG55" s="86" t="e">
        <f>IF55*(1+Inputs!$B$22/12)</f>
        <v>#N/A</v>
      </c>
      <c r="IH55" s="86" t="e">
        <f>IG55*(1+Inputs!$B$22/12)</f>
        <v>#N/A</v>
      </c>
      <c r="II55" s="86" t="e">
        <f>IH55*(1+Inputs!$B$22/12)</f>
        <v>#N/A</v>
      </c>
      <c r="IJ55" s="86" t="e">
        <f>II55*(1+Inputs!$B$22/12)</f>
        <v>#N/A</v>
      </c>
      <c r="IK55" s="86" t="e">
        <f>IJ55*(1+Inputs!$B$22/12)</f>
        <v>#N/A</v>
      </c>
      <c r="IL55" s="86" t="e">
        <f>IK55*(1+Inputs!$B$22/12)</f>
        <v>#N/A</v>
      </c>
      <c r="IM55" s="86" t="e">
        <f>IL55*(1+Inputs!$B$22/12)</f>
        <v>#N/A</v>
      </c>
      <c r="IN55" s="87" t="e">
        <f>IM55</f>
        <v>#N/A</v>
      </c>
      <c r="IO55" s="86" t="e">
        <f>IM55*(1+Inputs!$B$22/12)</f>
        <v>#N/A</v>
      </c>
      <c r="IP55" s="86" t="e">
        <f>IO55*(1+Inputs!$B$22/12)</f>
        <v>#N/A</v>
      </c>
      <c r="IQ55" s="86" t="e">
        <f>IP55*(1+Inputs!$B$22/12)</f>
        <v>#N/A</v>
      </c>
      <c r="IR55" s="86" t="e">
        <f>IQ55*(1+Inputs!$B$22/12)</f>
        <v>#N/A</v>
      </c>
      <c r="IS55" s="86" t="e">
        <f>IR55*(1+Inputs!$B$22/12)</f>
        <v>#N/A</v>
      </c>
      <c r="IT55" s="86" t="e">
        <f>IS55*(1+Inputs!$B$22/12)</f>
        <v>#N/A</v>
      </c>
      <c r="IU55" s="86" t="e">
        <f>IT55*(1+Inputs!$B$22/12)</f>
        <v>#N/A</v>
      </c>
      <c r="IV55" s="86" t="e">
        <f>IU55*(1+Inputs!$B$22/12)</f>
        <v>#N/A</v>
      </c>
      <c r="IW55" s="86" t="e">
        <f>IV55*(1+Inputs!$B$22/12)</f>
        <v>#N/A</v>
      </c>
      <c r="IX55" s="86" t="e">
        <f>IW55*(1+Inputs!$B$22/12)</f>
        <v>#N/A</v>
      </c>
      <c r="IY55" s="86" t="e">
        <f>IX55*(1+Inputs!$B$22/12)</f>
        <v>#N/A</v>
      </c>
      <c r="IZ55" s="86" t="e">
        <f>IY55*(1+Inputs!$B$22/12)</f>
        <v>#N/A</v>
      </c>
      <c r="JA55" s="87" t="e">
        <f>IZ55</f>
        <v>#N/A</v>
      </c>
      <c r="JB55" s="86" t="e">
        <f>IZ55*(1+Inputs!$B$22/12)</f>
        <v>#N/A</v>
      </c>
      <c r="JC55" s="86" t="e">
        <f>JB55*(1+Inputs!$B$22/12)</f>
        <v>#N/A</v>
      </c>
      <c r="JD55" s="86" t="e">
        <f>JC55*(1+Inputs!$B$22/12)</f>
        <v>#N/A</v>
      </c>
      <c r="JE55" s="86" t="e">
        <f>JD55*(1+Inputs!$B$22/12)</f>
        <v>#N/A</v>
      </c>
      <c r="JF55" s="86" t="e">
        <f>JE55*(1+Inputs!$B$22/12)</f>
        <v>#N/A</v>
      </c>
      <c r="JG55" s="86" t="e">
        <f>JF55*(1+Inputs!$B$22/12)</f>
        <v>#N/A</v>
      </c>
      <c r="JH55" s="86" t="e">
        <f>JG55*(1+Inputs!$B$22/12)</f>
        <v>#N/A</v>
      </c>
      <c r="JI55" s="86" t="e">
        <f>JH55*(1+Inputs!$B$22/12)</f>
        <v>#N/A</v>
      </c>
      <c r="JJ55" s="86" t="e">
        <f>JI55*(1+Inputs!$B$22/12)</f>
        <v>#N/A</v>
      </c>
      <c r="JK55" s="86" t="e">
        <f>JJ55*(1+Inputs!$B$22/12)</f>
        <v>#N/A</v>
      </c>
      <c r="JL55" s="86" t="e">
        <f>JK55*(1+Inputs!$B$22/12)</f>
        <v>#N/A</v>
      </c>
      <c r="JM55" s="86" t="e">
        <f>JL55*(1+Inputs!$B$22/12)</f>
        <v>#N/A</v>
      </c>
      <c r="JN55" s="87" t="e">
        <f>JM55</f>
        <v>#N/A</v>
      </c>
      <c r="JO55" s="86" t="e">
        <f>JM55*(1+Inputs!$B$22/12)</f>
        <v>#N/A</v>
      </c>
      <c r="JP55" s="86" t="e">
        <f>JO55*(1+Inputs!$B$22/12)</f>
        <v>#N/A</v>
      </c>
      <c r="JQ55" s="86" t="e">
        <f>JP55*(1+Inputs!$B$22/12)</f>
        <v>#N/A</v>
      </c>
      <c r="JR55" s="86" t="e">
        <f>JQ55*(1+Inputs!$B$22/12)</f>
        <v>#N/A</v>
      </c>
      <c r="JS55" s="86" t="e">
        <f>JR55*(1+Inputs!$B$22/12)</f>
        <v>#N/A</v>
      </c>
      <c r="JT55" s="86" t="e">
        <f>JS55*(1+Inputs!$B$22/12)</f>
        <v>#N/A</v>
      </c>
      <c r="JU55" s="86" t="e">
        <f>JT55*(1+Inputs!$B$22/12)</f>
        <v>#N/A</v>
      </c>
      <c r="JV55" s="86" t="e">
        <f>JU55*(1+Inputs!$B$22/12)</f>
        <v>#N/A</v>
      </c>
      <c r="JW55" s="86" t="e">
        <f>JV55*(1+Inputs!$B$22/12)</f>
        <v>#N/A</v>
      </c>
      <c r="JX55" s="86" t="e">
        <f>JW55*(1+Inputs!$B$22/12)</f>
        <v>#N/A</v>
      </c>
      <c r="JY55" s="86" t="e">
        <f>JX55*(1+Inputs!$B$22/12)</f>
        <v>#N/A</v>
      </c>
      <c r="JZ55" s="86" t="e">
        <f>JY55*(1+Inputs!$B$22/12)</f>
        <v>#N/A</v>
      </c>
      <c r="KA55" s="87" t="e">
        <f>JZ55</f>
        <v>#N/A</v>
      </c>
      <c r="KB55" s="86" t="e">
        <f>JZ55*(1+Inputs!$B$22/12)</f>
        <v>#N/A</v>
      </c>
      <c r="KC55" s="86" t="e">
        <f>KB55*(1+Inputs!$B$22/12)</f>
        <v>#N/A</v>
      </c>
      <c r="KD55" s="86" t="e">
        <f>KC55*(1+Inputs!$B$22/12)</f>
        <v>#N/A</v>
      </c>
      <c r="KE55" s="86" t="e">
        <f>KD55*(1+Inputs!$B$22/12)</f>
        <v>#N/A</v>
      </c>
      <c r="KF55" s="86" t="e">
        <f>KE55*(1+Inputs!$B$22/12)</f>
        <v>#N/A</v>
      </c>
      <c r="KG55" s="86" t="e">
        <f>KF55*(1+Inputs!$B$22/12)</f>
        <v>#N/A</v>
      </c>
      <c r="KH55" s="86" t="e">
        <f>KG55*(1+Inputs!$B$22/12)</f>
        <v>#N/A</v>
      </c>
      <c r="KI55" s="86" t="e">
        <f>KH55*(1+Inputs!$B$22/12)</f>
        <v>#N/A</v>
      </c>
      <c r="KJ55" s="86" t="e">
        <f>KI55*(1+Inputs!$B$22/12)</f>
        <v>#N/A</v>
      </c>
      <c r="KK55" s="86" t="e">
        <f>KJ55*(1+Inputs!$B$22/12)</f>
        <v>#N/A</v>
      </c>
      <c r="KL55" s="86" t="e">
        <f>KK55*(1+Inputs!$B$22/12)</f>
        <v>#N/A</v>
      </c>
      <c r="KM55" s="86" t="e">
        <f>KL55*(1+Inputs!$B$22/12)</f>
        <v>#N/A</v>
      </c>
      <c r="KN55" s="87" t="e">
        <f>KM55</f>
        <v>#N/A</v>
      </c>
      <c r="KO55" s="86" t="e">
        <f>KM55*(1+Inputs!$B$22/12)</f>
        <v>#N/A</v>
      </c>
      <c r="KP55" s="86" t="e">
        <f>KO55*(1+Inputs!$B$22/12)</f>
        <v>#N/A</v>
      </c>
      <c r="KQ55" s="86" t="e">
        <f>KP55*(1+Inputs!$B$22/12)</f>
        <v>#N/A</v>
      </c>
      <c r="KR55" s="86" t="e">
        <f>KQ55*(1+Inputs!$B$22/12)</f>
        <v>#N/A</v>
      </c>
      <c r="KS55" s="86" t="e">
        <f>KR55*(1+Inputs!$B$22/12)</f>
        <v>#N/A</v>
      </c>
      <c r="KT55" s="86" t="e">
        <f>KS55*(1+Inputs!$B$22/12)</f>
        <v>#N/A</v>
      </c>
      <c r="KU55" s="86" t="e">
        <f>KT55*(1+Inputs!$B$22/12)</f>
        <v>#N/A</v>
      </c>
      <c r="KV55" s="86" t="e">
        <f>KU55*(1+Inputs!$B$22/12)</f>
        <v>#N/A</v>
      </c>
      <c r="KW55" s="86" t="e">
        <f>KV55*(1+Inputs!$B$22/12)</f>
        <v>#N/A</v>
      </c>
      <c r="KX55" s="86" t="e">
        <f>KW55*(1+Inputs!$B$22/12)</f>
        <v>#N/A</v>
      </c>
      <c r="KY55" s="86" t="e">
        <f>KX55*(1+Inputs!$B$22/12)</f>
        <v>#N/A</v>
      </c>
      <c r="KZ55" s="86" t="e">
        <f>KY55*(1+Inputs!$B$22/12)</f>
        <v>#N/A</v>
      </c>
      <c r="LA55" s="87" t="e">
        <f>KZ55</f>
        <v>#N/A</v>
      </c>
      <c r="LB55" s="86" t="e">
        <f>KZ55*(1+Inputs!$B$22/12)</f>
        <v>#N/A</v>
      </c>
      <c r="LC55" s="86" t="e">
        <f>LB55*(1+Inputs!$B$22/12)</f>
        <v>#N/A</v>
      </c>
      <c r="LD55" s="86" t="e">
        <f>LC55*(1+Inputs!$B$22/12)</f>
        <v>#N/A</v>
      </c>
      <c r="LE55" s="86" t="e">
        <f>LD55*(1+Inputs!$B$22/12)</f>
        <v>#N/A</v>
      </c>
      <c r="LF55" s="86" t="e">
        <f>LE55*(1+Inputs!$B$22/12)</f>
        <v>#N/A</v>
      </c>
      <c r="LG55" s="86" t="e">
        <f>LF55*(1+Inputs!$B$22/12)</f>
        <v>#N/A</v>
      </c>
      <c r="LH55" s="86" t="e">
        <f>LG55*(1+Inputs!$B$22/12)</f>
        <v>#N/A</v>
      </c>
      <c r="LI55" s="86" t="e">
        <f>LH55*(1+Inputs!$B$22/12)</f>
        <v>#N/A</v>
      </c>
      <c r="LJ55" s="86" t="e">
        <f>LI55*(1+Inputs!$B$22/12)</f>
        <v>#N/A</v>
      </c>
      <c r="LK55" s="86" t="e">
        <f>LJ55*(1+Inputs!$B$22/12)</f>
        <v>#N/A</v>
      </c>
      <c r="LL55" s="86" t="e">
        <f>LK55*(1+Inputs!$B$22/12)</f>
        <v>#N/A</v>
      </c>
      <c r="LM55" s="86" t="e">
        <f>LL55*(1+Inputs!$B$22/12)</f>
        <v>#N/A</v>
      </c>
      <c r="LN55" s="87" t="e">
        <f>LM55</f>
        <v>#N/A</v>
      </c>
      <c r="LO55" s="86" t="e">
        <f>LM55*(1+Inputs!$B$22/12)</f>
        <v>#N/A</v>
      </c>
      <c r="LP55" s="86" t="e">
        <f>LO55*(1+Inputs!$B$22/12)</f>
        <v>#N/A</v>
      </c>
      <c r="LQ55" s="86" t="e">
        <f>LP55*(1+Inputs!$B$22/12)</f>
        <v>#N/A</v>
      </c>
      <c r="LR55" s="86" t="e">
        <f>LQ55*(1+Inputs!$B$22/12)</f>
        <v>#N/A</v>
      </c>
      <c r="LS55" s="86" t="e">
        <f>LR55*(1+Inputs!$B$22/12)</f>
        <v>#N/A</v>
      </c>
      <c r="LT55" s="86" t="e">
        <f>LS55*(1+Inputs!$B$22/12)</f>
        <v>#N/A</v>
      </c>
      <c r="LU55" s="86" t="e">
        <f>LT55*(1+Inputs!$B$22/12)</f>
        <v>#N/A</v>
      </c>
      <c r="LV55" s="86" t="e">
        <f>LU55*(1+Inputs!$B$22/12)</f>
        <v>#N/A</v>
      </c>
      <c r="LW55" s="86" t="e">
        <f>LV55*(1+Inputs!$B$22/12)</f>
        <v>#N/A</v>
      </c>
      <c r="LX55" s="86" t="e">
        <f>LW55*(1+Inputs!$B$22/12)</f>
        <v>#N/A</v>
      </c>
      <c r="LY55" s="86" t="e">
        <f>LX55*(1+Inputs!$B$22/12)</f>
        <v>#N/A</v>
      </c>
      <c r="LZ55" s="86" t="e">
        <f>LY55*(1+Inputs!$B$22/12)</f>
        <v>#N/A</v>
      </c>
      <c r="MA55" s="87" t="e">
        <f>LZ55</f>
        <v>#N/A</v>
      </c>
      <c r="MB55" s="86" t="e">
        <f>LZ55*(1+Inputs!$B$22/12)</f>
        <v>#N/A</v>
      </c>
      <c r="MC55" s="86" t="e">
        <f>MB55*(1+Inputs!$B$22/12)</f>
        <v>#N/A</v>
      </c>
      <c r="MD55" s="86" t="e">
        <f>MC55*(1+Inputs!$B$22/12)</f>
        <v>#N/A</v>
      </c>
      <c r="ME55" s="86" t="e">
        <f>MD55*(1+Inputs!$B$22/12)</f>
        <v>#N/A</v>
      </c>
      <c r="MF55" s="86" t="e">
        <f>ME55*(1+Inputs!$B$22/12)</f>
        <v>#N/A</v>
      </c>
      <c r="MG55" s="86" t="e">
        <f>MF55*(1+Inputs!$B$22/12)</f>
        <v>#N/A</v>
      </c>
      <c r="MH55" s="86" t="e">
        <f>MG55*(1+Inputs!$B$22/12)</f>
        <v>#N/A</v>
      </c>
      <c r="MI55" s="86" t="e">
        <f>MH55*(1+Inputs!$B$22/12)</f>
        <v>#N/A</v>
      </c>
      <c r="MJ55" s="86" t="e">
        <f>MI55*(1+Inputs!$B$22/12)</f>
        <v>#N/A</v>
      </c>
      <c r="MK55" s="86" t="e">
        <f>MJ55*(1+Inputs!$B$22/12)</f>
        <v>#N/A</v>
      </c>
      <c r="ML55" s="86" t="e">
        <f>MK55*(1+Inputs!$B$22/12)</f>
        <v>#N/A</v>
      </c>
      <c r="MM55" s="86" t="e">
        <f>ML55*(1+Inputs!$B$22/12)</f>
        <v>#N/A</v>
      </c>
      <c r="MN55" s="87" t="e">
        <f>MM55</f>
        <v>#N/A</v>
      </c>
      <c r="MO55" s="86" t="e">
        <f>MM55*(1+Inputs!$B$22/12)</f>
        <v>#N/A</v>
      </c>
      <c r="MP55" s="86" t="e">
        <f>MO55*(1+Inputs!$B$22/12)</f>
        <v>#N/A</v>
      </c>
      <c r="MQ55" s="86" t="e">
        <f>MP55*(1+Inputs!$B$22/12)</f>
        <v>#N/A</v>
      </c>
      <c r="MR55" s="86" t="e">
        <f>MQ55*(1+Inputs!$B$22/12)</f>
        <v>#N/A</v>
      </c>
      <c r="MS55" s="86" t="e">
        <f>MR55*(1+Inputs!$B$22/12)</f>
        <v>#N/A</v>
      </c>
      <c r="MT55" s="86" t="e">
        <f>MS55*(1+Inputs!$B$22/12)</f>
        <v>#N/A</v>
      </c>
      <c r="MU55" s="86" t="e">
        <f>MT55*(1+Inputs!$B$22/12)</f>
        <v>#N/A</v>
      </c>
      <c r="MV55" s="86" t="e">
        <f>MU55*(1+Inputs!$B$22/12)</f>
        <v>#N/A</v>
      </c>
      <c r="MW55" s="86" t="e">
        <f>MV55*(1+Inputs!$B$22/12)</f>
        <v>#N/A</v>
      </c>
      <c r="MX55" s="86" t="e">
        <f>MW55*(1+Inputs!$B$22/12)</f>
        <v>#N/A</v>
      </c>
      <c r="MY55" s="86" t="e">
        <f>MX55*(1+Inputs!$B$22/12)</f>
        <v>#N/A</v>
      </c>
      <c r="MZ55" s="86" t="e">
        <f>MY55*(1+Inputs!$B$22/12)</f>
        <v>#N/A</v>
      </c>
      <c r="NA55" s="87" t="e">
        <f>MZ55</f>
        <v>#N/A</v>
      </c>
      <c r="NB55" s="86" t="e">
        <f>MZ55*(1+Inputs!$B$22/12)</f>
        <v>#N/A</v>
      </c>
      <c r="NC55" s="86" t="e">
        <f>NB55*(1+Inputs!$B$22/12)</f>
        <v>#N/A</v>
      </c>
      <c r="ND55" s="86" t="e">
        <f>NC55*(1+Inputs!$B$22/12)</f>
        <v>#N/A</v>
      </c>
      <c r="NE55" s="86" t="e">
        <f>ND55*(1+Inputs!$B$22/12)</f>
        <v>#N/A</v>
      </c>
      <c r="NF55" s="86" t="e">
        <f>NE55*(1+Inputs!$B$22/12)</f>
        <v>#N/A</v>
      </c>
      <c r="NG55" s="86" t="e">
        <f>NF55*(1+Inputs!$B$22/12)</f>
        <v>#N/A</v>
      </c>
      <c r="NH55" s="86" t="e">
        <f>NG55*(1+Inputs!$B$22/12)</f>
        <v>#N/A</v>
      </c>
      <c r="NI55" s="86" t="e">
        <f>NH55*(1+Inputs!$B$22/12)</f>
        <v>#N/A</v>
      </c>
      <c r="NJ55" s="86" t="e">
        <f>NI55*(1+Inputs!$B$22/12)</f>
        <v>#N/A</v>
      </c>
      <c r="NK55" s="86" t="e">
        <f>NJ55*(1+Inputs!$B$22/12)</f>
        <v>#N/A</v>
      </c>
      <c r="NL55" s="86" t="e">
        <f>NK55*(1+Inputs!$B$22/12)</f>
        <v>#N/A</v>
      </c>
      <c r="NM55" s="86" t="e">
        <f>NL55*(1+Inputs!$B$22/12)</f>
        <v>#N/A</v>
      </c>
      <c r="NN55" s="87" t="e">
        <f>NM55</f>
        <v>#N/A</v>
      </c>
      <c r="NO55" s="86" t="e">
        <f>NM55*(1+Inputs!$B$22/12)</f>
        <v>#N/A</v>
      </c>
      <c r="NP55" s="86" t="e">
        <f>NO55*(1+Inputs!$B$22/12)</f>
        <v>#N/A</v>
      </c>
      <c r="NQ55" s="86" t="e">
        <f>NP55*(1+Inputs!$B$22/12)</f>
        <v>#N/A</v>
      </c>
      <c r="NR55" s="86" t="e">
        <f>NQ55*(1+Inputs!$B$22/12)</f>
        <v>#N/A</v>
      </c>
      <c r="NS55" s="86" t="e">
        <f>NR55*(1+Inputs!$B$22/12)</f>
        <v>#N/A</v>
      </c>
      <c r="NT55" s="86" t="e">
        <f>NS55*(1+Inputs!$B$22/12)</f>
        <v>#N/A</v>
      </c>
      <c r="NU55" s="86" t="e">
        <f>NT55*(1+Inputs!$B$22/12)</f>
        <v>#N/A</v>
      </c>
      <c r="NV55" s="86" t="e">
        <f>NU55*(1+Inputs!$B$22/12)</f>
        <v>#N/A</v>
      </c>
      <c r="NW55" s="86" t="e">
        <f>NV55*(1+Inputs!$B$22/12)</f>
        <v>#N/A</v>
      </c>
      <c r="NX55" s="86" t="e">
        <f>NW55*(1+Inputs!$B$22/12)</f>
        <v>#N/A</v>
      </c>
      <c r="NY55" s="86" t="e">
        <f>NX55*(1+Inputs!$B$22/12)</f>
        <v>#N/A</v>
      </c>
      <c r="NZ55" s="86" t="e">
        <f>NY55*(1+Inputs!$B$22/12)</f>
        <v>#N/A</v>
      </c>
      <c r="OA55" s="87" t="e">
        <f>NZ55</f>
        <v>#N/A</v>
      </c>
      <c r="OB55" s="86" t="e">
        <f>NZ55*(1+Inputs!$B$22/12)</f>
        <v>#N/A</v>
      </c>
      <c r="OC55" s="86" t="e">
        <f>OB55*(1+Inputs!$B$22/12)</f>
        <v>#N/A</v>
      </c>
      <c r="OD55" s="86" t="e">
        <f>OC55*(1+Inputs!$B$22/12)</f>
        <v>#N/A</v>
      </c>
      <c r="OE55" s="86" t="e">
        <f>OD55*(1+Inputs!$B$22/12)</f>
        <v>#N/A</v>
      </c>
      <c r="OF55" s="86" t="e">
        <f>OE55*(1+Inputs!$B$22/12)</f>
        <v>#N/A</v>
      </c>
      <c r="OG55" s="86" t="e">
        <f>OF55*(1+Inputs!$B$22/12)</f>
        <v>#N/A</v>
      </c>
      <c r="OH55" s="86" t="e">
        <f>OG55*(1+Inputs!$B$22/12)</f>
        <v>#N/A</v>
      </c>
      <c r="OI55" s="86" t="e">
        <f>OH55*(1+Inputs!$B$22/12)</f>
        <v>#N/A</v>
      </c>
      <c r="OJ55" s="86" t="e">
        <f>OI55*(1+Inputs!$B$22/12)</f>
        <v>#N/A</v>
      </c>
      <c r="OK55" s="86" t="e">
        <f>OJ55*(1+Inputs!$B$22/12)</f>
        <v>#N/A</v>
      </c>
      <c r="OL55" s="86" t="e">
        <f>OK55*(1+Inputs!$B$22/12)</f>
        <v>#N/A</v>
      </c>
      <c r="OM55" s="86" t="e">
        <f>OL55*(1+Inputs!$B$22/12)</f>
        <v>#N/A</v>
      </c>
      <c r="ON55" s="87" t="e">
        <f>OM55</f>
        <v>#N/A</v>
      </c>
      <c r="OO55" s="86" t="e">
        <f>OM55*(1+Inputs!$B$22/12)</f>
        <v>#N/A</v>
      </c>
      <c r="OP55" s="86" t="e">
        <f>OO55*(1+Inputs!$B$22/12)</f>
        <v>#N/A</v>
      </c>
      <c r="OQ55" s="86" t="e">
        <f>OP55*(1+Inputs!$B$22/12)</f>
        <v>#N/A</v>
      </c>
      <c r="OR55" s="86" t="e">
        <f>OQ55*(1+Inputs!$B$22/12)</f>
        <v>#N/A</v>
      </c>
      <c r="OS55" s="86" t="e">
        <f>OR55*(1+Inputs!$B$22/12)</f>
        <v>#N/A</v>
      </c>
      <c r="OT55" s="86" t="e">
        <f>OS55*(1+Inputs!$B$22/12)</f>
        <v>#N/A</v>
      </c>
      <c r="OU55" s="86" t="e">
        <f>OT55*(1+Inputs!$B$22/12)</f>
        <v>#N/A</v>
      </c>
      <c r="OV55" s="86" t="e">
        <f>OU55*(1+Inputs!$B$22/12)</f>
        <v>#N/A</v>
      </c>
      <c r="OW55" s="86" t="e">
        <f>OV55*(1+Inputs!$B$22/12)</f>
        <v>#N/A</v>
      </c>
      <c r="OX55" s="86" t="e">
        <f>OW55*(1+Inputs!$B$22/12)</f>
        <v>#N/A</v>
      </c>
      <c r="OY55" s="86" t="e">
        <f>OX55*(1+Inputs!$B$22/12)</f>
        <v>#N/A</v>
      </c>
      <c r="OZ55" s="86" t="e">
        <f>OY55*(1+Inputs!$B$22/12)</f>
        <v>#N/A</v>
      </c>
      <c r="PA55" s="87" t="e">
        <f>OZ55</f>
        <v>#N/A</v>
      </c>
      <c r="PB55" s="86" t="e">
        <f>OZ55*(1+Inputs!$B$22/12)</f>
        <v>#N/A</v>
      </c>
      <c r="PC55" s="86" t="e">
        <f>PB55*(1+Inputs!$B$22/12)</f>
        <v>#N/A</v>
      </c>
      <c r="PD55" s="86" t="e">
        <f>PC55*(1+Inputs!$B$22/12)</f>
        <v>#N/A</v>
      </c>
      <c r="PE55" s="86" t="e">
        <f>PD55*(1+Inputs!$B$22/12)</f>
        <v>#N/A</v>
      </c>
      <c r="PF55" s="86" t="e">
        <f>PE55*(1+Inputs!$B$22/12)</f>
        <v>#N/A</v>
      </c>
      <c r="PG55" s="86" t="e">
        <f>PF55*(1+Inputs!$B$22/12)</f>
        <v>#N/A</v>
      </c>
      <c r="PH55" s="86" t="e">
        <f>PG55*(1+Inputs!$B$22/12)</f>
        <v>#N/A</v>
      </c>
      <c r="PI55" s="86" t="e">
        <f>PH55*(1+Inputs!$B$22/12)</f>
        <v>#N/A</v>
      </c>
      <c r="PJ55" s="86" t="e">
        <f>PI55*(1+Inputs!$B$22/12)</f>
        <v>#N/A</v>
      </c>
      <c r="PK55" s="86" t="e">
        <f>PJ55*(1+Inputs!$B$22/12)</f>
        <v>#N/A</v>
      </c>
      <c r="PL55" s="86" t="e">
        <f>PK55*(1+Inputs!$B$22/12)</f>
        <v>#N/A</v>
      </c>
      <c r="PM55" s="86" t="e">
        <f>PL55*(1+Inputs!$B$22/12)</f>
        <v>#N/A</v>
      </c>
      <c r="PN55" s="87" t="e">
        <f>PM55</f>
        <v>#N/A</v>
      </c>
      <c r="PO55" s="86" t="e">
        <f>PM55*(1+Inputs!$B$22/12)</f>
        <v>#N/A</v>
      </c>
      <c r="PP55" s="86" t="e">
        <f>PO55*(1+Inputs!$B$22/12)</f>
        <v>#N/A</v>
      </c>
      <c r="PQ55" s="86" t="e">
        <f>PP55*(1+Inputs!$B$22/12)</f>
        <v>#N/A</v>
      </c>
      <c r="PR55" s="86" t="e">
        <f>PQ55*(1+Inputs!$B$22/12)</f>
        <v>#N/A</v>
      </c>
      <c r="PS55" s="86" t="e">
        <f>PR55*(1+Inputs!$B$22/12)</f>
        <v>#N/A</v>
      </c>
      <c r="PT55" s="86" t="e">
        <f>PS55*(1+Inputs!$B$22/12)</f>
        <v>#N/A</v>
      </c>
      <c r="PU55" s="86" t="e">
        <f>PT55*(1+Inputs!$B$22/12)</f>
        <v>#N/A</v>
      </c>
      <c r="PV55" s="86" t="e">
        <f>PU55*(1+Inputs!$B$22/12)</f>
        <v>#N/A</v>
      </c>
      <c r="PW55" s="86" t="e">
        <f>PV55*(1+Inputs!$B$22/12)</f>
        <v>#N/A</v>
      </c>
      <c r="PX55" s="86" t="e">
        <f>PW55*(1+Inputs!$B$22/12)</f>
        <v>#N/A</v>
      </c>
      <c r="PY55" s="86" t="e">
        <f>PX55*(1+Inputs!$B$22/12)</f>
        <v>#N/A</v>
      </c>
      <c r="PZ55" s="86" t="e">
        <f>PY55*(1+Inputs!$B$22/12)</f>
        <v>#N/A</v>
      </c>
      <c r="QA55" s="87" t="e">
        <f>PZ55</f>
        <v>#N/A</v>
      </c>
      <c r="QB55" s="86" t="e">
        <f>PZ55*(1+Inputs!$B$22/12)</f>
        <v>#N/A</v>
      </c>
      <c r="QC55" s="86" t="e">
        <f>QB55*(1+Inputs!$B$22/12)</f>
        <v>#N/A</v>
      </c>
      <c r="QD55" s="86" t="e">
        <f>QC55*(1+Inputs!$B$22/12)</f>
        <v>#N/A</v>
      </c>
      <c r="QE55" s="86" t="e">
        <f>QD55*(1+Inputs!$B$22/12)</f>
        <v>#N/A</v>
      </c>
      <c r="QF55" s="86" t="e">
        <f>QE55*(1+Inputs!$B$22/12)</f>
        <v>#N/A</v>
      </c>
      <c r="QG55" s="86" t="e">
        <f>QF55*(1+Inputs!$B$22/12)</f>
        <v>#N/A</v>
      </c>
      <c r="QH55" s="86" t="e">
        <f>QG55*(1+Inputs!$B$22/12)</f>
        <v>#N/A</v>
      </c>
      <c r="QI55" s="86" t="e">
        <f>QH55*(1+Inputs!$B$22/12)</f>
        <v>#N/A</v>
      </c>
      <c r="QJ55" s="86" t="e">
        <f>QI55*(1+Inputs!$B$22/12)</f>
        <v>#N/A</v>
      </c>
      <c r="QK55" s="86" t="e">
        <f>QJ55*(1+Inputs!$B$22/12)</f>
        <v>#N/A</v>
      </c>
      <c r="QL55" s="86" t="e">
        <f>QK55*(1+Inputs!$B$22/12)</f>
        <v>#N/A</v>
      </c>
      <c r="QM55" s="86" t="e">
        <f>QL55*(1+Inputs!$B$22/12)</f>
        <v>#N/A</v>
      </c>
      <c r="QN55" s="87" t="e">
        <f>QM55</f>
        <v>#N/A</v>
      </c>
      <c r="QO55" s="86" t="e">
        <f>QM55*(1+Inputs!$B$22/12)</f>
        <v>#N/A</v>
      </c>
      <c r="QP55" s="86" t="e">
        <f>QO55*(1+Inputs!$B$22/12)</f>
        <v>#N/A</v>
      </c>
      <c r="QQ55" s="86" t="e">
        <f>QP55*(1+Inputs!$B$22/12)</f>
        <v>#N/A</v>
      </c>
      <c r="QR55" s="86" t="e">
        <f>QQ55*(1+Inputs!$B$22/12)</f>
        <v>#N/A</v>
      </c>
      <c r="QS55" s="86" t="e">
        <f>QR55*(1+Inputs!$B$22/12)</f>
        <v>#N/A</v>
      </c>
      <c r="QT55" s="86" t="e">
        <f>QS55*(1+Inputs!$B$22/12)</f>
        <v>#N/A</v>
      </c>
      <c r="QU55" s="86" t="e">
        <f>QT55*(1+Inputs!$B$22/12)</f>
        <v>#N/A</v>
      </c>
      <c r="QV55" s="86" t="e">
        <f>QU55*(1+Inputs!$B$22/12)</f>
        <v>#N/A</v>
      </c>
      <c r="QW55" s="86" t="e">
        <f>QV55*(1+Inputs!$B$22/12)</f>
        <v>#N/A</v>
      </c>
      <c r="QX55" s="86" t="e">
        <f>QW55*(1+Inputs!$B$22/12)</f>
        <v>#N/A</v>
      </c>
      <c r="QY55" s="86" t="e">
        <f>QX55*(1+Inputs!$B$22/12)</f>
        <v>#N/A</v>
      </c>
      <c r="QZ55" s="86" t="e">
        <f>QY55*(1+Inputs!$B$22/12)</f>
        <v>#N/A</v>
      </c>
      <c r="RA55" s="87" t="e">
        <f>QZ55</f>
        <v>#N/A</v>
      </c>
      <c r="RB55" s="86" t="e">
        <f>QZ55*(1+Inputs!$B$22/12)</f>
        <v>#N/A</v>
      </c>
      <c r="RC55" s="86" t="e">
        <f>RB55*(1+Inputs!$B$22/12)</f>
        <v>#N/A</v>
      </c>
      <c r="RD55" s="86" t="e">
        <f>RC55*(1+Inputs!$B$22/12)</f>
        <v>#N/A</v>
      </c>
      <c r="RE55" s="86" t="e">
        <f>RD55*(1+Inputs!$B$22/12)</f>
        <v>#N/A</v>
      </c>
      <c r="RF55" s="86" t="e">
        <f>RE55*(1+Inputs!$B$22/12)</f>
        <v>#N/A</v>
      </c>
      <c r="RG55" s="86" t="e">
        <f>RF55*(1+Inputs!$B$22/12)</f>
        <v>#N/A</v>
      </c>
      <c r="RH55" s="86" t="e">
        <f>RG55*(1+Inputs!$B$22/12)</f>
        <v>#N/A</v>
      </c>
      <c r="RI55" s="86" t="e">
        <f>RH55*(1+Inputs!$B$22/12)</f>
        <v>#N/A</v>
      </c>
      <c r="RJ55" s="86" t="e">
        <f>RI55*(1+Inputs!$B$22/12)</f>
        <v>#N/A</v>
      </c>
      <c r="RK55" s="86" t="e">
        <f>RJ55*(1+Inputs!$B$22/12)</f>
        <v>#N/A</v>
      </c>
      <c r="RL55" s="86" t="e">
        <f>RK55*(1+Inputs!$B$22/12)</f>
        <v>#N/A</v>
      </c>
      <c r="RM55" s="86" t="e">
        <f>RL55*(1+Inputs!$B$22/12)</f>
        <v>#N/A</v>
      </c>
      <c r="RN55" s="87" t="e">
        <f>RM55</f>
        <v>#N/A</v>
      </c>
    </row>
    <row r="56" spans="1:482" s="77" customFormat="1" hidden="1" outlineLevel="1" x14ac:dyDescent="0.3">
      <c r="A56" s="89" t="s">
        <v>233</v>
      </c>
      <c r="B56" s="86" t="e">
        <f>B52</f>
        <v>#N/A</v>
      </c>
      <c r="C56" s="86" t="e">
        <f t="shared" ref="C56:M56" si="1096">B56+C52</f>
        <v>#N/A</v>
      </c>
      <c r="D56" s="86" t="e">
        <f t="shared" si="1096"/>
        <v>#N/A</v>
      </c>
      <c r="E56" s="86" t="e">
        <f t="shared" si="1096"/>
        <v>#N/A</v>
      </c>
      <c r="F56" s="86" t="e">
        <f t="shared" si="1096"/>
        <v>#N/A</v>
      </c>
      <c r="G56" s="86" t="e">
        <f t="shared" si="1096"/>
        <v>#N/A</v>
      </c>
      <c r="H56" s="86" t="e">
        <f t="shared" si="1096"/>
        <v>#N/A</v>
      </c>
      <c r="I56" s="86" t="e">
        <f t="shared" si="1096"/>
        <v>#N/A</v>
      </c>
      <c r="J56" s="86" t="e">
        <f t="shared" si="1096"/>
        <v>#N/A</v>
      </c>
      <c r="K56" s="86" t="e">
        <f t="shared" si="1096"/>
        <v>#N/A</v>
      </c>
      <c r="L56" s="86" t="e">
        <f t="shared" si="1096"/>
        <v>#N/A</v>
      </c>
      <c r="M56" s="86" t="e">
        <f t="shared" si="1096"/>
        <v>#N/A</v>
      </c>
      <c r="N56" s="87" t="e">
        <f>M56</f>
        <v>#N/A</v>
      </c>
      <c r="O56" s="86" t="e">
        <f t="shared" ref="O56:Z56" si="1097">N56+O52</f>
        <v>#N/A</v>
      </c>
      <c r="P56" s="86" t="e">
        <f t="shared" si="1097"/>
        <v>#N/A</v>
      </c>
      <c r="Q56" s="86" t="e">
        <f t="shared" si="1097"/>
        <v>#N/A</v>
      </c>
      <c r="R56" s="86" t="e">
        <f t="shared" si="1097"/>
        <v>#N/A</v>
      </c>
      <c r="S56" s="86" t="e">
        <f t="shared" si="1097"/>
        <v>#N/A</v>
      </c>
      <c r="T56" s="86" t="e">
        <f t="shared" si="1097"/>
        <v>#N/A</v>
      </c>
      <c r="U56" s="86" t="e">
        <f t="shared" si="1097"/>
        <v>#N/A</v>
      </c>
      <c r="V56" s="86" t="e">
        <f t="shared" si="1097"/>
        <v>#N/A</v>
      </c>
      <c r="W56" s="86" t="e">
        <f t="shared" si="1097"/>
        <v>#N/A</v>
      </c>
      <c r="X56" s="86" t="e">
        <f t="shared" si="1097"/>
        <v>#N/A</v>
      </c>
      <c r="Y56" s="86" t="e">
        <f t="shared" si="1097"/>
        <v>#N/A</v>
      </c>
      <c r="Z56" s="86" t="e">
        <f t="shared" si="1097"/>
        <v>#N/A</v>
      </c>
      <c r="AA56" s="87" t="e">
        <f>Z56</f>
        <v>#N/A</v>
      </c>
      <c r="AB56" s="86" t="e">
        <f t="shared" ref="AB56:AM56" si="1098">AA56+AB52</f>
        <v>#N/A</v>
      </c>
      <c r="AC56" s="86" t="e">
        <f t="shared" si="1098"/>
        <v>#N/A</v>
      </c>
      <c r="AD56" s="86" t="e">
        <f t="shared" si="1098"/>
        <v>#N/A</v>
      </c>
      <c r="AE56" s="86" t="e">
        <f t="shared" si="1098"/>
        <v>#N/A</v>
      </c>
      <c r="AF56" s="86" t="e">
        <f t="shared" si="1098"/>
        <v>#N/A</v>
      </c>
      <c r="AG56" s="86" t="e">
        <f t="shared" si="1098"/>
        <v>#N/A</v>
      </c>
      <c r="AH56" s="86" t="e">
        <f t="shared" si="1098"/>
        <v>#N/A</v>
      </c>
      <c r="AI56" s="86" t="e">
        <f t="shared" si="1098"/>
        <v>#N/A</v>
      </c>
      <c r="AJ56" s="86" t="e">
        <f t="shared" si="1098"/>
        <v>#N/A</v>
      </c>
      <c r="AK56" s="86" t="e">
        <f t="shared" si="1098"/>
        <v>#N/A</v>
      </c>
      <c r="AL56" s="86" t="e">
        <f t="shared" si="1098"/>
        <v>#N/A</v>
      </c>
      <c r="AM56" s="86" t="e">
        <f t="shared" si="1098"/>
        <v>#N/A</v>
      </c>
      <c r="AN56" s="87" t="e">
        <f>AM56</f>
        <v>#N/A</v>
      </c>
      <c r="AO56" s="86" t="e">
        <f t="shared" ref="AO56:AZ56" si="1099">AN56+AO52</f>
        <v>#N/A</v>
      </c>
      <c r="AP56" s="86" t="e">
        <f t="shared" si="1099"/>
        <v>#N/A</v>
      </c>
      <c r="AQ56" s="86" t="e">
        <f t="shared" si="1099"/>
        <v>#N/A</v>
      </c>
      <c r="AR56" s="86" t="e">
        <f t="shared" si="1099"/>
        <v>#N/A</v>
      </c>
      <c r="AS56" s="86" t="e">
        <f t="shared" si="1099"/>
        <v>#N/A</v>
      </c>
      <c r="AT56" s="86" t="e">
        <f t="shared" si="1099"/>
        <v>#N/A</v>
      </c>
      <c r="AU56" s="86" t="e">
        <f t="shared" si="1099"/>
        <v>#N/A</v>
      </c>
      <c r="AV56" s="86" t="e">
        <f t="shared" si="1099"/>
        <v>#N/A</v>
      </c>
      <c r="AW56" s="86" t="e">
        <f t="shared" si="1099"/>
        <v>#N/A</v>
      </c>
      <c r="AX56" s="86" t="e">
        <f t="shared" si="1099"/>
        <v>#N/A</v>
      </c>
      <c r="AY56" s="86" t="e">
        <f t="shared" si="1099"/>
        <v>#N/A</v>
      </c>
      <c r="AZ56" s="86" t="e">
        <f t="shared" si="1099"/>
        <v>#N/A</v>
      </c>
      <c r="BA56" s="87" t="e">
        <f>AZ56</f>
        <v>#N/A</v>
      </c>
      <c r="BB56" s="86" t="e">
        <f t="shared" ref="BB56:BM56" si="1100">BA56+BB52</f>
        <v>#N/A</v>
      </c>
      <c r="BC56" s="86" t="e">
        <f t="shared" si="1100"/>
        <v>#N/A</v>
      </c>
      <c r="BD56" s="86" t="e">
        <f t="shared" si="1100"/>
        <v>#N/A</v>
      </c>
      <c r="BE56" s="86" t="e">
        <f t="shared" si="1100"/>
        <v>#N/A</v>
      </c>
      <c r="BF56" s="86" t="e">
        <f t="shared" si="1100"/>
        <v>#N/A</v>
      </c>
      <c r="BG56" s="86" t="e">
        <f t="shared" si="1100"/>
        <v>#N/A</v>
      </c>
      <c r="BH56" s="86" t="e">
        <f t="shared" si="1100"/>
        <v>#N/A</v>
      </c>
      <c r="BI56" s="86" t="e">
        <f t="shared" si="1100"/>
        <v>#N/A</v>
      </c>
      <c r="BJ56" s="86" t="e">
        <f t="shared" si="1100"/>
        <v>#N/A</v>
      </c>
      <c r="BK56" s="86" t="e">
        <f t="shared" si="1100"/>
        <v>#N/A</v>
      </c>
      <c r="BL56" s="86" t="e">
        <f t="shared" si="1100"/>
        <v>#N/A</v>
      </c>
      <c r="BM56" s="86" t="e">
        <f t="shared" si="1100"/>
        <v>#N/A</v>
      </c>
      <c r="BN56" s="87" t="e">
        <f>BM56</f>
        <v>#N/A</v>
      </c>
      <c r="BO56" s="86" t="e">
        <f t="shared" ref="BO56:BZ56" si="1101">BN56+BO52</f>
        <v>#N/A</v>
      </c>
      <c r="BP56" s="86" t="e">
        <f t="shared" si="1101"/>
        <v>#N/A</v>
      </c>
      <c r="BQ56" s="86" t="e">
        <f t="shared" si="1101"/>
        <v>#N/A</v>
      </c>
      <c r="BR56" s="86" t="e">
        <f t="shared" si="1101"/>
        <v>#N/A</v>
      </c>
      <c r="BS56" s="86" t="e">
        <f t="shared" si="1101"/>
        <v>#N/A</v>
      </c>
      <c r="BT56" s="86" t="e">
        <f t="shared" si="1101"/>
        <v>#N/A</v>
      </c>
      <c r="BU56" s="86" t="e">
        <f t="shared" si="1101"/>
        <v>#N/A</v>
      </c>
      <c r="BV56" s="86" t="e">
        <f t="shared" si="1101"/>
        <v>#N/A</v>
      </c>
      <c r="BW56" s="86" t="e">
        <f t="shared" si="1101"/>
        <v>#N/A</v>
      </c>
      <c r="BX56" s="86" t="e">
        <f t="shared" si="1101"/>
        <v>#N/A</v>
      </c>
      <c r="BY56" s="86" t="e">
        <f t="shared" si="1101"/>
        <v>#N/A</v>
      </c>
      <c r="BZ56" s="86" t="e">
        <f t="shared" si="1101"/>
        <v>#N/A</v>
      </c>
      <c r="CA56" s="87" t="e">
        <f>BZ56</f>
        <v>#N/A</v>
      </c>
      <c r="CB56" s="86" t="e">
        <f t="shared" ref="CB56:CM56" si="1102">CA56+CB52</f>
        <v>#N/A</v>
      </c>
      <c r="CC56" s="86" t="e">
        <f t="shared" si="1102"/>
        <v>#N/A</v>
      </c>
      <c r="CD56" s="86" t="e">
        <f t="shared" si="1102"/>
        <v>#N/A</v>
      </c>
      <c r="CE56" s="86" t="e">
        <f t="shared" si="1102"/>
        <v>#N/A</v>
      </c>
      <c r="CF56" s="86" t="e">
        <f t="shared" si="1102"/>
        <v>#N/A</v>
      </c>
      <c r="CG56" s="86" t="e">
        <f t="shared" si="1102"/>
        <v>#N/A</v>
      </c>
      <c r="CH56" s="86" t="e">
        <f t="shared" si="1102"/>
        <v>#N/A</v>
      </c>
      <c r="CI56" s="86" t="e">
        <f t="shared" si="1102"/>
        <v>#N/A</v>
      </c>
      <c r="CJ56" s="86" t="e">
        <f t="shared" si="1102"/>
        <v>#N/A</v>
      </c>
      <c r="CK56" s="86" t="e">
        <f t="shared" si="1102"/>
        <v>#N/A</v>
      </c>
      <c r="CL56" s="86" t="e">
        <f t="shared" si="1102"/>
        <v>#N/A</v>
      </c>
      <c r="CM56" s="86" t="e">
        <f t="shared" si="1102"/>
        <v>#N/A</v>
      </c>
      <c r="CN56" s="87" t="e">
        <f>CM56</f>
        <v>#N/A</v>
      </c>
      <c r="CO56" s="86" t="e">
        <f t="shared" ref="CO56:CZ56" si="1103">CN56+CO52</f>
        <v>#N/A</v>
      </c>
      <c r="CP56" s="86" t="e">
        <f t="shared" si="1103"/>
        <v>#N/A</v>
      </c>
      <c r="CQ56" s="86" t="e">
        <f t="shared" si="1103"/>
        <v>#N/A</v>
      </c>
      <c r="CR56" s="86" t="e">
        <f t="shared" si="1103"/>
        <v>#N/A</v>
      </c>
      <c r="CS56" s="86" t="e">
        <f t="shared" si="1103"/>
        <v>#N/A</v>
      </c>
      <c r="CT56" s="86" t="e">
        <f t="shared" si="1103"/>
        <v>#N/A</v>
      </c>
      <c r="CU56" s="86" t="e">
        <f t="shared" si="1103"/>
        <v>#N/A</v>
      </c>
      <c r="CV56" s="86" t="e">
        <f t="shared" si="1103"/>
        <v>#N/A</v>
      </c>
      <c r="CW56" s="86" t="e">
        <f t="shared" si="1103"/>
        <v>#N/A</v>
      </c>
      <c r="CX56" s="86" t="e">
        <f t="shared" si="1103"/>
        <v>#N/A</v>
      </c>
      <c r="CY56" s="86" t="e">
        <f t="shared" si="1103"/>
        <v>#N/A</v>
      </c>
      <c r="CZ56" s="86" t="e">
        <f t="shared" si="1103"/>
        <v>#N/A</v>
      </c>
      <c r="DA56" s="87" t="e">
        <f>CZ56</f>
        <v>#N/A</v>
      </c>
      <c r="DB56" s="86" t="e">
        <f t="shared" ref="DB56:DM56" si="1104">DA56+DB52</f>
        <v>#N/A</v>
      </c>
      <c r="DC56" s="86" t="e">
        <f t="shared" si="1104"/>
        <v>#N/A</v>
      </c>
      <c r="DD56" s="86" t="e">
        <f t="shared" si="1104"/>
        <v>#N/A</v>
      </c>
      <c r="DE56" s="86" t="e">
        <f t="shared" si="1104"/>
        <v>#N/A</v>
      </c>
      <c r="DF56" s="86" t="e">
        <f t="shared" si="1104"/>
        <v>#N/A</v>
      </c>
      <c r="DG56" s="86" t="e">
        <f t="shared" si="1104"/>
        <v>#N/A</v>
      </c>
      <c r="DH56" s="86" t="e">
        <f t="shared" si="1104"/>
        <v>#N/A</v>
      </c>
      <c r="DI56" s="86" t="e">
        <f t="shared" si="1104"/>
        <v>#N/A</v>
      </c>
      <c r="DJ56" s="86" t="e">
        <f t="shared" si="1104"/>
        <v>#N/A</v>
      </c>
      <c r="DK56" s="86" t="e">
        <f t="shared" si="1104"/>
        <v>#N/A</v>
      </c>
      <c r="DL56" s="86" t="e">
        <f t="shared" si="1104"/>
        <v>#N/A</v>
      </c>
      <c r="DM56" s="86" t="e">
        <f t="shared" si="1104"/>
        <v>#N/A</v>
      </c>
      <c r="DN56" s="87" t="e">
        <f>DM56</f>
        <v>#N/A</v>
      </c>
      <c r="DO56" s="86" t="e">
        <f t="shared" ref="DO56:DZ56" si="1105">DN56+DO52</f>
        <v>#N/A</v>
      </c>
      <c r="DP56" s="86" t="e">
        <f t="shared" si="1105"/>
        <v>#N/A</v>
      </c>
      <c r="DQ56" s="86" t="e">
        <f t="shared" si="1105"/>
        <v>#N/A</v>
      </c>
      <c r="DR56" s="86" t="e">
        <f t="shared" si="1105"/>
        <v>#N/A</v>
      </c>
      <c r="DS56" s="86" t="e">
        <f t="shared" si="1105"/>
        <v>#N/A</v>
      </c>
      <c r="DT56" s="86" t="e">
        <f t="shared" si="1105"/>
        <v>#N/A</v>
      </c>
      <c r="DU56" s="86" t="e">
        <f t="shared" si="1105"/>
        <v>#N/A</v>
      </c>
      <c r="DV56" s="86" t="e">
        <f t="shared" si="1105"/>
        <v>#N/A</v>
      </c>
      <c r="DW56" s="86" t="e">
        <f t="shared" si="1105"/>
        <v>#N/A</v>
      </c>
      <c r="DX56" s="86" t="e">
        <f t="shared" si="1105"/>
        <v>#N/A</v>
      </c>
      <c r="DY56" s="86" t="e">
        <f t="shared" si="1105"/>
        <v>#N/A</v>
      </c>
      <c r="DZ56" s="86" t="e">
        <f t="shared" si="1105"/>
        <v>#N/A</v>
      </c>
      <c r="EA56" s="87" t="e">
        <f>DZ56</f>
        <v>#N/A</v>
      </c>
      <c r="EB56" s="86" t="e">
        <f t="shared" ref="EB56:EM56" si="1106">EA56+EB52</f>
        <v>#N/A</v>
      </c>
      <c r="EC56" s="86" t="e">
        <f t="shared" si="1106"/>
        <v>#N/A</v>
      </c>
      <c r="ED56" s="86" t="e">
        <f t="shared" si="1106"/>
        <v>#N/A</v>
      </c>
      <c r="EE56" s="86" t="e">
        <f t="shared" si="1106"/>
        <v>#N/A</v>
      </c>
      <c r="EF56" s="86" t="e">
        <f t="shared" si="1106"/>
        <v>#N/A</v>
      </c>
      <c r="EG56" s="86" t="e">
        <f t="shared" si="1106"/>
        <v>#N/A</v>
      </c>
      <c r="EH56" s="86" t="e">
        <f t="shared" si="1106"/>
        <v>#N/A</v>
      </c>
      <c r="EI56" s="86" t="e">
        <f t="shared" si="1106"/>
        <v>#N/A</v>
      </c>
      <c r="EJ56" s="86" t="e">
        <f t="shared" si="1106"/>
        <v>#N/A</v>
      </c>
      <c r="EK56" s="86" t="e">
        <f t="shared" si="1106"/>
        <v>#N/A</v>
      </c>
      <c r="EL56" s="86" t="e">
        <f t="shared" si="1106"/>
        <v>#N/A</v>
      </c>
      <c r="EM56" s="86" t="e">
        <f t="shared" si="1106"/>
        <v>#N/A</v>
      </c>
      <c r="EN56" s="87" t="e">
        <f>EM56</f>
        <v>#N/A</v>
      </c>
      <c r="EO56" s="86" t="e">
        <f t="shared" ref="EO56:EZ56" si="1107">EN56+EO52</f>
        <v>#N/A</v>
      </c>
      <c r="EP56" s="86" t="e">
        <f t="shared" si="1107"/>
        <v>#N/A</v>
      </c>
      <c r="EQ56" s="86" t="e">
        <f t="shared" si="1107"/>
        <v>#N/A</v>
      </c>
      <c r="ER56" s="86" t="e">
        <f t="shared" si="1107"/>
        <v>#N/A</v>
      </c>
      <c r="ES56" s="86" t="e">
        <f t="shared" si="1107"/>
        <v>#N/A</v>
      </c>
      <c r="ET56" s="86" t="e">
        <f t="shared" si="1107"/>
        <v>#N/A</v>
      </c>
      <c r="EU56" s="86" t="e">
        <f t="shared" si="1107"/>
        <v>#N/A</v>
      </c>
      <c r="EV56" s="86" t="e">
        <f t="shared" si="1107"/>
        <v>#N/A</v>
      </c>
      <c r="EW56" s="86" t="e">
        <f t="shared" si="1107"/>
        <v>#N/A</v>
      </c>
      <c r="EX56" s="86" t="e">
        <f t="shared" si="1107"/>
        <v>#N/A</v>
      </c>
      <c r="EY56" s="86" t="e">
        <f t="shared" si="1107"/>
        <v>#N/A</v>
      </c>
      <c r="EZ56" s="86" t="e">
        <f t="shared" si="1107"/>
        <v>#N/A</v>
      </c>
      <c r="FA56" s="87" t="e">
        <f>EZ56</f>
        <v>#N/A</v>
      </c>
      <c r="FB56" s="86" t="e">
        <f t="shared" ref="FB56:FM56" si="1108">FA56+FB52</f>
        <v>#N/A</v>
      </c>
      <c r="FC56" s="86" t="e">
        <f t="shared" si="1108"/>
        <v>#N/A</v>
      </c>
      <c r="FD56" s="86" t="e">
        <f t="shared" si="1108"/>
        <v>#N/A</v>
      </c>
      <c r="FE56" s="86" t="e">
        <f t="shared" si="1108"/>
        <v>#N/A</v>
      </c>
      <c r="FF56" s="86" t="e">
        <f t="shared" si="1108"/>
        <v>#N/A</v>
      </c>
      <c r="FG56" s="86" t="e">
        <f t="shared" si="1108"/>
        <v>#N/A</v>
      </c>
      <c r="FH56" s="86" t="e">
        <f t="shared" si="1108"/>
        <v>#N/A</v>
      </c>
      <c r="FI56" s="86" t="e">
        <f t="shared" si="1108"/>
        <v>#N/A</v>
      </c>
      <c r="FJ56" s="86" t="e">
        <f t="shared" si="1108"/>
        <v>#N/A</v>
      </c>
      <c r="FK56" s="86" t="e">
        <f t="shared" si="1108"/>
        <v>#N/A</v>
      </c>
      <c r="FL56" s="86" t="e">
        <f t="shared" si="1108"/>
        <v>#N/A</v>
      </c>
      <c r="FM56" s="86" t="e">
        <f t="shared" si="1108"/>
        <v>#N/A</v>
      </c>
      <c r="FN56" s="87" t="e">
        <f>FM56</f>
        <v>#N/A</v>
      </c>
      <c r="FO56" s="86" t="e">
        <f t="shared" ref="FO56:FZ56" si="1109">FN56+FO52</f>
        <v>#N/A</v>
      </c>
      <c r="FP56" s="86" t="e">
        <f t="shared" si="1109"/>
        <v>#N/A</v>
      </c>
      <c r="FQ56" s="86" t="e">
        <f t="shared" si="1109"/>
        <v>#N/A</v>
      </c>
      <c r="FR56" s="86" t="e">
        <f t="shared" si="1109"/>
        <v>#N/A</v>
      </c>
      <c r="FS56" s="86" t="e">
        <f t="shared" si="1109"/>
        <v>#N/A</v>
      </c>
      <c r="FT56" s="86" t="e">
        <f t="shared" si="1109"/>
        <v>#N/A</v>
      </c>
      <c r="FU56" s="86" t="e">
        <f t="shared" si="1109"/>
        <v>#N/A</v>
      </c>
      <c r="FV56" s="86" t="e">
        <f t="shared" si="1109"/>
        <v>#N/A</v>
      </c>
      <c r="FW56" s="86" t="e">
        <f t="shared" si="1109"/>
        <v>#N/A</v>
      </c>
      <c r="FX56" s="86" t="e">
        <f t="shared" si="1109"/>
        <v>#N/A</v>
      </c>
      <c r="FY56" s="86" t="e">
        <f t="shared" si="1109"/>
        <v>#N/A</v>
      </c>
      <c r="FZ56" s="86" t="e">
        <f t="shared" si="1109"/>
        <v>#N/A</v>
      </c>
      <c r="GA56" s="87" t="e">
        <f>FZ56</f>
        <v>#N/A</v>
      </c>
      <c r="GB56" s="86" t="e">
        <f t="shared" ref="GB56:GM56" si="1110">GA56+GB52</f>
        <v>#N/A</v>
      </c>
      <c r="GC56" s="86" t="e">
        <f t="shared" si="1110"/>
        <v>#N/A</v>
      </c>
      <c r="GD56" s="86" t="e">
        <f t="shared" si="1110"/>
        <v>#N/A</v>
      </c>
      <c r="GE56" s="86" t="e">
        <f t="shared" si="1110"/>
        <v>#N/A</v>
      </c>
      <c r="GF56" s="86" t="e">
        <f t="shared" si="1110"/>
        <v>#N/A</v>
      </c>
      <c r="GG56" s="86" t="e">
        <f t="shared" si="1110"/>
        <v>#N/A</v>
      </c>
      <c r="GH56" s="86" t="e">
        <f t="shared" si="1110"/>
        <v>#N/A</v>
      </c>
      <c r="GI56" s="86" t="e">
        <f t="shared" si="1110"/>
        <v>#N/A</v>
      </c>
      <c r="GJ56" s="86" t="e">
        <f t="shared" si="1110"/>
        <v>#N/A</v>
      </c>
      <c r="GK56" s="86" t="e">
        <f t="shared" si="1110"/>
        <v>#N/A</v>
      </c>
      <c r="GL56" s="86" t="e">
        <f t="shared" si="1110"/>
        <v>#N/A</v>
      </c>
      <c r="GM56" s="86" t="e">
        <f t="shared" si="1110"/>
        <v>#N/A</v>
      </c>
      <c r="GN56" s="87" t="e">
        <f>GM56</f>
        <v>#N/A</v>
      </c>
      <c r="GO56" s="86" t="e">
        <f t="shared" ref="GO56:GZ56" si="1111">GN56+GO52</f>
        <v>#N/A</v>
      </c>
      <c r="GP56" s="86" t="e">
        <f t="shared" si="1111"/>
        <v>#N/A</v>
      </c>
      <c r="GQ56" s="86" t="e">
        <f t="shared" si="1111"/>
        <v>#N/A</v>
      </c>
      <c r="GR56" s="86" t="e">
        <f t="shared" si="1111"/>
        <v>#N/A</v>
      </c>
      <c r="GS56" s="86" t="e">
        <f t="shared" si="1111"/>
        <v>#N/A</v>
      </c>
      <c r="GT56" s="86" t="e">
        <f t="shared" si="1111"/>
        <v>#N/A</v>
      </c>
      <c r="GU56" s="86" t="e">
        <f t="shared" si="1111"/>
        <v>#N/A</v>
      </c>
      <c r="GV56" s="86" t="e">
        <f t="shared" si="1111"/>
        <v>#N/A</v>
      </c>
      <c r="GW56" s="86" t="e">
        <f t="shared" si="1111"/>
        <v>#N/A</v>
      </c>
      <c r="GX56" s="86" t="e">
        <f t="shared" si="1111"/>
        <v>#N/A</v>
      </c>
      <c r="GY56" s="86" t="e">
        <f t="shared" si="1111"/>
        <v>#N/A</v>
      </c>
      <c r="GZ56" s="86" t="e">
        <f t="shared" si="1111"/>
        <v>#N/A</v>
      </c>
      <c r="HA56" s="87" t="e">
        <f>GZ56</f>
        <v>#N/A</v>
      </c>
      <c r="HB56" s="86" t="e">
        <f t="shared" ref="HB56:HM56" si="1112">HA56+HB52</f>
        <v>#N/A</v>
      </c>
      <c r="HC56" s="86" t="e">
        <f t="shared" si="1112"/>
        <v>#N/A</v>
      </c>
      <c r="HD56" s="86" t="e">
        <f t="shared" si="1112"/>
        <v>#N/A</v>
      </c>
      <c r="HE56" s="86" t="e">
        <f t="shared" si="1112"/>
        <v>#N/A</v>
      </c>
      <c r="HF56" s="86" t="e">
        <f t="shared" si="1112"/>
        <v>#N/A</v>
      </c>
      <c r="HG56" s="86" t="e">
        <f t="shared" si="1112"/>
        <v>#N/A</v>
      </c>
      <c r="HH56" s="86" t="e">
        <f t="shared" si="1112"/>
        <v>#N/A</v>
      </c>
      <c r="HI56" s="86" t="e">
        <f t="shared" si="1112"/>
        <v>#N/A</v>
      </c>
      <c r="HJ56" s="86" t="e">
        <f t="shared" si="1112"/>
        <v>#N/A</v>
      </c>
      <c r="HK56" s="86" t="e">
        <f t="shared" si="1112"/>
        <v>#N/A</v>
      </c>
      <c r="HL56" s="86" t="e">
        <f t="shared" si="1112"/>
        <v>#N/A</v>
      </c>
      <c r="HM56" s="86" t="e">
        <f t="shared" si="1112"/>
        <v>#N/A</v>
      </c>
      <c r="HN56" s="87" t="e">
        <f>HM56</f>
        <v>#N/A</v>
      </c>
      <c r="HO56" s="86" t="e">
        <f t="shared" ref="HO56:HZ56" si="1113">HN56+HO52</f>
        <v>#N/A</v>
      </c>
      <c r="HP56" s="86" t="e">
        <f t="shared" si="1113"/>
        <v>#N/A</v>
      </c>
      <c r="HQ56" s="86" t="e">
        <f t="shared" si="1113"/>
        <v>#N/A</v>
      </c>
      <c r="HR56" s="86" t="e">
        <f t="shared" si="1113"/>
        <v>#N/A</v>
      </c>
      <c r="HS56" s="86" t="e">
        <f t="shared" si="1113"/>
        <v>#N/A</v>
      </c>
      <c r="HT56" s="86" t="e">
        <f t="shared" si="1113"/>
        <v>#N/A</v>
      </c>
      <c r="HU56" s="86" t="e">
        <f t="shared" si="1113"/>
        <v>#N/A</v>
      </c>
      <c r="HV56" s="86" t="e">
        <f t="shared" si="1113"/>
        <v>#N/A</v>
      </c>
      <c r="HW56" s="86" t="e">
        <f t="shared" si="1113"/>
        <v>#N/A</v>
      </c>
      <c r="HX56" s="86" t="e">
        <f t="shared" si="1113"/>
        <v>#N/A</v>
      </c>
      <c r="HY56" s="86" t="e">
        <f t="shared" si="1113"/>
        <v>#N/A</v>
      </c>
      <c r="HZ56" s="86" t="e">
        <f t="shared" si="1113"/>
        <v>#N/A</v>
      </c>
      <c r="IA56" s="87" t="e">
        <f>HZ56</f>
        <v>#N/A</v>
      </c>
      <c r="IB56" s="86" t="e">
        <f t="shared" ref="IB56:IM56" si="1114">IA56+IB52</f>
        <v>#N/A</v>
      </c>
      <c r="IC56" s="86" t="e">
        <f t="shared" si="1114"/>
        <v>#N/A</v>
      </c>
      <c r="ID56" s="86" t="e">
        <f t="shared" si="1114"/>
        <v>#N/A</v>
      </c>
      <c r="IE56" s="86" t="e">
        <f t="shared" si="1114"/>
        <v>#N/A</v>
      </c>
      <c r="IF56" s="86" t="e">
        <f t="shared" si="1114"/>
        <v>#N/A</v>
      </c>
      <c r="IG56" s="86" t="e">
        <f t="shared" si="1114"/>
        <v>#N/A</v>
      </c>
      <c r="IH56" s="86" t="e">
        <f t="shared" si="1114"/>
        <v>#N/A</v>
      </c>
      <c r="II56" s="86" t="e">
        <f t="shared" si="1114"/>
        <v>#N/A</v>
      </c>
      <c r="IJ56" s="86" t="e">
        <f t="shared" si="1114"/>
        <v>#N/A</v>
      </c>
      <c r="IK56" s="86" t="e">
        <f t="shared" si="1114"/>
        <v>#N/A</v>
      </c>
      <c r="IL56" s="86" t="e">
        <f t="shared" si="1114"/>
        <v>#N/A</v>
      </c>
      <c r="IM56" s="86" t="e">
        <f t="shared" si="1114"/>
        <v>#N/A</v>
      </c>
      <c r="IN56" s="87" t="e">
        <f>IM56</f>
        <v>#N/A</v>
      </c>
      <c r="IO56" s="86" t="e">
        <f t="shared" ref="IO56:IZ56" si="1115">IN56+IO52</f>
        <v>#N/A</v>
      </c>
      <c r="IP56" s="86" t="e">
        <f t="shared" si="1115"/>
        <v>#N/A</v>
      </c>
      <c r="IQ56" s="86" t="e">
        <f t="shared" si="1115"/>
        <v>#N/A</v>
      </c>
      <c r="IR56" s="86" t="e">
        <f t="shared" si="1115"/>
        <v>#N/A</v>
      </c>
      <c r="IS56" s="86" t="e">
        <f t="shared" si="1115"/>
        <v>#N/A</v>
      </c>
      <c r="IT56" s="86" t="e">
        <f t="shared" si="1115"/>
        <v>#N/A</v>
      </c>
      <c r="IU56" s="86" t="e">
        <f t="shared" si="1115"/>
        <v>#N/A</v>
      </c>
      <c r="IV56" s="86" t="e">
        <f t="shared" si="1115"/>
        <v>#N/A</v>
      </c>
      <c r="IW56" s="86" t="e">
        <f t="shared" si="1115"/>
        <v>#N/A</v>
      </c>
      <c r="IX56" s="86" t="e">
        <f t="shared" si="1115"/>
        <v>#N/A</v>
      </c>
      <c r="IY56" s="86" t="e">
        <f t="shared" si="1115"/>
        <v>#N/A</v>
      </c>
      <c r="IZ56" s="86" t="e">
        <f t="shared" si="1115"/>
        <v>#N/A</v>
      </c>
      <c r="JA56" s="87" t="e">
        <f>IZ56</f>
        <v>#N/A</v>
      </c>
      <c r="JB56" s="86" t="e">
        <f t="shared" ref="JB56:JM56" si="1116">JA56+JB52</f>
        <v>#N/A</v>
      </c>
      <c r="JC56" s="86" t="e">
        <f t="shared" si="1116"/>
        <v>#N/A</v>
      </c>
      <c r="JD56" s="86" t="e">
        <f t="shared" si="1116"/>
        <v>#N/A</v>
      </c>
      <c r="JE56" s="86" t="e">
        <f t="shared" si="1116"/>
        <v>#N/A</v>
      </c>
      <c r="JF56" s="86" t="e">
        <f t="shared" si="1116"/>
        <v>#N/A</v>
      </c>
      <c r="JG56" s="86" t="e">
        <f t="shared" si="1116"/>
        <v>#N/A</v>
      </c>
      <c r="JH56" s="86" t="e">
        <f t="shared" si="1116"/>
        <v>#N/A</v>
      </c>
      <c r="JI56" s="86" t="e">
        <f t="shared" si="1116"/>
        <v>#N/A</v>
      </c>
      <c r="JJ56" s="86" t="e">
        <f t="shared" si="1116"/>
        <v>#N/A</v>
      </c>
      <c r="JK56" s="86" t="e">
        <f t="shared" si="1116"/>
        <v>#N/A</v>
      </c>
      <c r="JL56" s="86" t="e">
        <f t="shared" si="1116"/>
        <v>#N/A</v>
      </c>
      <c r="JM56" s="86" t="e">
        <f t="shared" si="1116"/>
        <v>#N/A</v>
      </c>
      <c r="JN56" s="87" t="e">
        <f>JM56</f>
        <v>#N/A</v>
      </c>
      <c r="JO56" s="86" t="e">
        <f t="shared" ref="JO56:JZ56" si="1117">JN56+JO52</f>
        <v>#N/A</v>
      </c>
      <c r="JP56" s="86" t="e">
        <f t="shared" si="1117"/>
        <v>#N/A</v>
      </c>
      <c r="JQ56" s="86" t="e">
        <f t="shared" si="1117"/>
        <v>#N/A</v>
      </c>
      <c r="JR56" s="86" t="e">
        <f t="shared" si="1117"/>
        <v>#N/A</v>
      </c>
      <c r="JS56" s="86" t="e">
        <f t="shared" si="1117"/>
        <v>#N/A</v>
      </c>
      <c r="JT56" s="86" t="e">
        <f t="shared" si="1117"/>
        <v>#N/A</v>
      </c>
      <c r="JU56" s="86" t="e">
        <f t="shared" si="1117"/>
        <v>#N/A</v>
      </c>
      <c r="JV56" s="86" t="e">
        <f t="shared" si="1117"/>
        <v>#N/A</v>
      </c>
      <c r="JW56" s="86" t="e">
        <f t="shared" si="1117"/>
        <v>#N/A</v>
      </c>
      <c r="JX56" s="86" t="e">
        <f t="shared" si="1117"/>
        <v>#N/A</v>
      </c>
      <c r="JY56" s="86" t="e">
        <f t="shared" si="1117"/>
        <v>#N/A</v>
      </c>
      <c r="JZ56" s="86" t="e">
        <f t="shared" si="1117"/>
        <v>#N/A</v>
      </c>
      <c r="KA56" s="87" t="e">
        <f>JZ56</f>
        <v>#N/A</v>
      </c>
      <c r="KB56" s="86" t="e">
        <f t="shared" ref="KB56:KM56" si="1118">KA56+KB52</f>
        <v>#N/A</v>
      </c>
      <c r="KC56" s="86" t="e">
        <f t="shared" si="1118"/>
        <v>#N/A</v>
      </c>
      <c r="KD56" s="86" t="e">
        <f t="shared" si="1118"/>
        <v>#N/A</v>
      </c>
      <c r="KE56" s="86" t="e">
        <f t="shared" si="1118"/>
        <v>#N/A</v>
      </c>
      <c r="KF56" s="86" t="e">
        <f t="shared" si="1118"/>
        <v>#N/A</v>
      </c>
      <c r="KG56" s="86" t="e">
        <f t="shared" si="1118"/>
        <v>#N/A</v>
      </c>
      <c r="KH56" s="86" t="e">
        <f t="shared" si="1118"/>
        <v>#N/A</v>
      </c>
      <c r="KI56" s="86" t="e">
        <f t="shared" si="1118"/>
        <v>#N/A</v>
      </c>
      <c r="KJ56" s="86" t="e">
        <f t="shared" si="1118"/>
        <v>#N/A</v>
      </c>
      <c r="KK56" s="86" t="e">
        <f t="shared" si="1118"/>
        <v>#N/A</v>
      </c>
      <c r="KL56" s="86" t="e">
        <f t="shared" si="1118"/>
        <v>#N/A</v>
      </c>
      <c r="KM56" s="86" t="e">
        <f t="shared" si="1118"/>
        <v>#N/A</v>
      </c>
      <c r="KN56" s="87" t="e">
        <f>KM56</f>
        <v>#N/A</v>
      </c>
      <c r="KO56" s="86" t="e">
        <f t="shared" ref="KO56:KZ56" si="1119">KN56+KO52</f>
        <v>#N/A</v>
      </c>
      <c r="KP56" s="86" t="e">
        <f t="shared" si="1119"/>
        <v>#N/A</v>
      </c>
      <c r="KQ56" s="86" t="e">
        <f t="shared" si="1119"/>
        <v>#N/A</v>
      </c>
      <c r="KR56" s="86" t="e">
        <f t="shared" si="1119"/>
        <v>#N/A</v>
      </c>
      <c r="KS56" s="86" t="e">
        <f t="shared" si="1119"/>
        <v>#N/A</v>
      </c>
      <c r="KT56" s="86" t="e">
        <f t="shared" si="1119"/>
        <v>#N/A</v>
      </c>
      <c r="KU56" s="86" t="e">
        <f t="shared" si="1119"/>
        <v>#N/A</v>
      </c>
      <c r="KV56" s="86" t="e">
        <f t="shared" si="1119"/>
        <v>#N/A</v>
      </c>
      <c r="KW56" s="86" t="e">
        <f t="shared" si="1119"/>
        <v>#N/A</v>
      </c>
      <c r="KX56" s="86" t="e">
        <f t="shared" si="1119"/>
        <v>#N/A</v>
      </c>
      <c r="KY56" s="86" t="e">
        <f t="shared" si="1119"/>
        <v>#N/A</v>
      </c>
      <c r="KZ56" s="86" t="e">
        <f t="shared" si="1119"/>
        <v>#N/A</v>
      </c>
      <c r="LA56" s="87" t="e">
        <f>KZ56</f>
        <v>#N/A</v>
      </c>
      <c r="LB56" s="86" t="e">
        <f t="shared" ref="LB56:LM56" si="1120">LA56+LB52</f>
        <v>#N/A</v>
      </c>
      <c r="LC56" s="86" t="e">
        <f t="shared" si="1120"/>
        <v>#N/A</v>
      </c>
      <c r="LD56" s="86" t="e">
        <f t="shared" si="1120"/>
        <v>#N/A</v>
      </c>
      <c r="LE56" s="86" t="e">
        <f t="shared" si="1120"/>
        <v>#N/A</v>
      </c>
      <c r="LF56" s="86" t="e">
        <f t="shared" si="1120"/>
        <v>#N/A</v>
      </c>
      <c r="LG56" s="86" t="e">
        <f t="shared" si="1120"/>
        <v>#N/A</v>
      </c>
      <c r="LH56" s="86" t="e">
        <f t="shared" si="1120"/>
        <v>#N/A</v>
      </c>
      <c r="LI56" s="86" t="e">
        <f t="shared" si="1120"/>
        <v>#N/A</v>
      </c>
      <c r="LJ56" s="86" t="e">
        <f t="shared" si="1120"/>
        <v>#N/A</v>
      </c>
      <c r="LK56" s="86" t="e">
        <f t="shared" si="1120"/>
        <v>#N/A</v>
      </c>
      <c r="LL56" s="86" t="e">
        <f t="shared" si="1120"/>
        <v>#N/A</v>
      </c>
      <c r="LM56" s="86" t="e">
        <f t="shared" si="1120"/>
        <v>#N/A</v>
      </c>
      <c r="LN56" s="87" t="e">
        <f>LM56</f>
        <v>#N/A</v>
      </c>
      <c r="LO56" s="86" t="e">
        <f t="shared" ref="LO56:LZ56" si="1121">LN56+LO52</f>
        <v>#N/A</v>
      </c>
      <c r="LP56" s="86" t="e">
        <f t="shared" si="1121"/>
        <v>#N/A</v>
      </c>
      <c r="LQ56" s="86" t="e">
        <f t="shared" si="1121"/>
        <v>#N/A</v>
      </c>
      <c r="LR56" s="86" t="e">
        <f t="shared" si="1121"/>
        <v>#N/A</v>
      </c>
      <c r="LS56" s="86" t="e">
        <f t="shared" si="1121"/>
        <v>#N/A</v>
      </c>
      <c r="LT56" s="86" t="e">
        <f t="shared" si="1121"/>
        <v>#N/A</v>
      </c>
      <c r="LU56" s="86" t="e">
        <f t="shared" si="1121"/>
        <v>#N/A</v>
      </c>
      <c r="LV56" s="86" t="e">
        <f t="shared" si="1121"/>
        <v>#N/A</v>
      </c>
      <c r="LW56" s="86" t="e">
        <f t="shared" si="1121"/>
        <v>#N/A</v>
      </c>
      <c r="LX56" s="86" t="e">
        <f t="shared" si="1121"/>
        <v>#N/A</v>
      </c>
      <c r="LY56" s="86" t="e">
        <f t="shared" si="1121"/>
        <v>#N/A</v>
      </c>
      <c r="LZ56" s="86" t="e">
        <f t="shared" si="1121"/>
        <v>#N/A</v>
      </c>
      <c r="MA56" s="87" t="e">
        <f>LZ56</f>
        <v>#N/A</v>
      </c>
      <c r="MB56" s="86" t="e">
        <f t="shared" ref="MB56:MM56" si="1122">MA56+MB52</f>
        <v>#N/A</v>
      </c>
      <c r="MC56" s="86" t="e">
        <f t="shared" si="1122"/>
        <v>#N/A</v>
      </c>
      <c r="MD56" s="86" t="e">
        <f t="shared" si="1122"/>
        <v>#N/A</v>
      </c>
      <c r="ME56" s="86" t="e">
        <f t="shared" si="1122"/>
        <v>#N/A</v>
      </c>
      <c r="MF56" s="86" t="e">
        <f t="shared" si="1122"/>
        <v>#N/A</v>
      </c>
      <c r="MG56" s="86" t="e">
        <f t="shared" si="1122"/>
        <v>#N/A</v>
      </c>
      <c r="MH56" s="86" t="e">
        <f t="shared" si="1122"/>
        <v>#N/A</v>
      </c>
      <c r="MI56" s="86" t="e">
        <f t="shared" si="1122"/>
        <v>#N/A</v>
      </c>
      <c r="MJ56" s="86" t="e">
        <f t="shared" si="1122"/>
        <v>#N/A</v>
      </c>
      <c r="MK56" s="86" t="e">
        <f t="shared" si="1122"/>
        <v>#N/A</v>
      </c>
      <c r="ML56" s="86" t="e">
        <f t="shared" si="1122"/>
        <v>#N/A</v>
      </c>
      <c r="MM56" s="86" t="e">
        <f t="shared" si="1122"/>
        <v>#N/A</v>
      </c>
      <c r="MN56" s="87" t="e">
        <f>MM56</f>
        <v>#N/A</v>
      </c>
      <c r="MO56" s="86" t="e">
        <f t="shared" ref="MO56:MZ56" si="1123">MN56+MO52</f>
        <v>#N/A</v>
      </c>
      <c r="MP56" s="86" t="e">
        <f t="shared" si="1123"/>
        <v>#N/A</v>
      </c>
      <c r="MQ56" s="86" t="e">
        <f t="shared" si="1123"/>
        <v>#N/A</v>
      </c>
      <c r="MR56" s="86" t="e">
        <f t="shared" si="1123"/>
        <v>#N/A</v>
      </c>
      <c r="MS56" s="86" t="e">
        <f t="shared" si="1123"/>
        <v>#N/A</v>
      </c>
      <c r="MT56" s="86" t="e">
        <f t="shared" si="1123"/>
        <v>#N/A</v>
      </c>
      <c r="MU56" s="86" t="e">
        <f t="shared" si="1123"/>
        <v>#N/A</v>
      </c>
      <c r="MV56" s="86" t="e">
        <f t="shared" si="1123"/>
        <v>#N/A</v>
      </c>
      <c r="MW56" s="86" t="e">
        <f t="shared" si="1123"/>
        <v>#N/A</v>
      </c>
      <c r="MX56" s="86" t="e">
        <f t="shared" si="1123"/>
        <v>#N/A</v>
      </c>
      <c r="MY56" s="86" t="e">
        <f t="shared" si="1123"/>
        <v>#N/A</v>
      </c>
      <c r="MZ56" s="86" t="e">
        <f t="shared" si="1123"/>
        <v>#N/A</v>
      </c>
      <c r="NA56" s="87" t="e">
        <f>MZ56</f>
        <v>#N/A</v>
      </c>
      <c r="NB56" s="86" t="e">
        <f t="shared" ref="NB56:NM56" si="1124">NA56+NB52</f>
        <v>#N/A</v>
      </c>
      <c r="NC56" s="86" t="e">
        <f t="shared" si="1124"/>
        <v>#N/A</v>
      </c>
      <c r="ND56" s="86" t="e">
        <f t="shared" si="1124"/>
        <v>#N/A</v>
      </c>
      <c r="NE56" s="86" t="e">
        <f t="shared" si="1124"/>
        <v>#N/A</v>
      </c>
      <c r="NF56" s="86" t="e">
        <f t="shared" si="1124"/>
        <v>#N/A</v>
      </c>
      <c r="NG56" s="86" t="e">
        <f t="shared" si="1124"/>
        <v>#N/A</v>
      </c>
      <c r="NH56" s="86" t="e">
        <f t="shared" si="1124"/>
        <v>#N/A</v>
      </c>
      <c r="NI56" s="86" t="e">
        <f t="shared" si="1124"/>
        <v>#N/A</v>
      </c>
      <c r="NJ56" s="86" t="e">
        <f t="shared" si="1124"/>
        <v>#N/A</v>
      </c>
      <c r="NK56" s="86" t="e">
        <f t="shared" si="1124"/>
        <v>#N/A</v>
      </c>
      <c r="NL56" s="86" t="e">
        <f t="shared" si="1124"/>
        <v>#N/A</v>
      </c>
      <c r="NM56" s="86" t="e">
        <f t="shared" si="1124"/>
        <v>#N/A</v>
      </c>
      <c r="NN56" s="87" t="e">
        <f>NM56</f>
        <v>#N/A</v>
      </c>
      <c r="NO56" s="86" t="e">
        <f t="shared" ref="NO56:NZ56" si="1125">NN56+NO52</f>
        <v>#N/A</v>
      </c>
      <c r="NP56" s="86" t="e">
        <f t="shared" si="1125"/>
        <v>#N/A</v>
      </c>
      <c r="NQ56" s="86" t="e">
        <f t="shared" si="1125"/>
        <v>#N/A</v>
      </c>
      <c r="NR56" s="86" t="e">
        <f t="shared" si="1125"/>
        <v>#N/A</v>
      </c>
      <c r="NS56" s="86" t="e">
        <f t="shared" si="1125"/>
        <v>#N/A</v>
      </c>
      <c r="NT56" s="86" t="e">
        <f t="shared" si="1125"/>
        <v>#N/A</v>
      </c>
      <c r="NU56" s="86" t="e">
        <f t="shared" si="1125"/>
        <v>#N/A</v>
      </c>
      <c r="NV56" s="86" t="e">
        <f t="shared" si="1125"/>
        <v>#N/A</v>
      </c>
      <c r="NW56" s="86" t="e">
        <f t="shared" si="1125"/>
        <v>#N/A</v>
      </c>
      <c r="NX56" s="86" t="e">
        <f t="shared" si="1125"/>
        <v>#N/A</v>
      </c>
      <c r="NY56" s="86" t="e">
        <f t="shared" si="1125"/>
        <v>#N/A</v>
      </c>
      <c r="NZ56" s="86" t="e">
        <f t="shared" si="1125"/>
        <v>#N/A</v>
      </c>
      <c r="OA56" s="87" t="e">
        <f>NZ56</f>
        <v>#N/A</v>
      </c>
      <c r="OB56" s="86" t="e">
        <f t="shared" ref="OB56:OM56" si="1126">OA56+OB52</f>
        <v>#N/A</v>
      </c>
      <c r="OC56" s="86" t="e">
        <f t="shared" si="1126"/>
        <v>#N/A</v>
      </c>
      <c r="OD56" s="86" t="e">
        <f t="shared" si="1126"/>
        <v>#N/A</v>
      </c>
      <c r="OE56" s="86" t="e">
        <f t="shared" si="1126"/>
        <v>#N/A</v>
      </c>
      <c r="OF56" s="86" t="e">
        <f t="shared" si="1126"/>
        <v>#N/A</v>
      </c>
      <c r="OG56" s="86" t="e">
        <f t="shared" si="1126"/>
        <v>#N/A</v>
      </c>
      <c r="OH56" s="86" t="e">
        <f t="shared" si="1126"/>
        <v>#N/A</v>
      </c>
      <c r="OI56" s="86" t="e">
        <f t="shared" si="1126"/>
        <v>#N/A</v>
      </c>
      <c r="OJ56" s="86" t="e">
        <f t="shared" si="1126"/>
        <v>#N/A</v>
      </c>
      <c r="OK56" s="86" t="e">
        <f t="shared" si="1126"/>
        <v>#N/A</v>
      </c>
      <c r="OL56" s="86" t="e">
        <f t="shared" si="1126"/>
        <v>#N/A</v>
      </c>
      <c r="OM56" s="86" t="e">
        <f t="shared" si="1126"/>
        <v>#N/A</v>
      </c>
      <c r="ON56" s="87" t="e">
        <f>OM56</f>
        <v>#N/A</v>
      </c>
      <c r="OO56" s="86" t="e">
        <f t="shared" ref="OO56:OZ56" si="1127">ON56+OO52</f>
        <v>#N/A</v>
      </c>
      <c r="OP56" s="86" t="e">
        <f t="shared" si="1127"/>
        <v>#N/A</v>
      </c>
      <c r="OQ56" s="86" t="e">
        <f t="shared" si="1127"/>
        <v>#N/A</v>
      </c>
      <c r="OR56" s="86" t="e">
        <f t="shared" si="1127"/>
        <v>#N/A</v>
      </c>
      <c r="OS56" s="86" t="e">
        <f t="shared" si="1127"/>
        <v>#N/A</v>
      </c>
      <c r="OT56" s="86" t="e">
        <f t="shared" si="1127"/>
        <v>#N/A</v>
      </c>
      <c r="OU56" s="86" t="e">
        <f t="shared" si="1127"/>
        <v>#N/A</v>
      </c>
      <c r="OV56" s="86" t="e">
        <f t="shared" si="1127"/>
        <v>#N/A</v>
      </c>
      <c r="OW56" s="86" t="e">
        <f t="shared" si="1127"/>
        <v>#N/A</v>
      </c>
      <c r="OX56" s="86" t="e">
        <f t="shared" si="1127"/>
        <v>#N/A</v>
      </c>
      <c r="OY56" s="86" t="e">
        <f t="shared" si="1127"/>
        <v>#N/A</v>
      </c>
      <c r="OZ56" s="86" t="e">
        <f t="shared" si="1127"/>
        <v>#N/A</v>
      </c>
      <c r="PA56" s="87" t="e">
        <f>OZ56</f>
        <v>#N/A</v>
      </c>
      <c r="PB56" s="86" t="e">
        <f t="shared" ref="PB56:PM56" si="1128">PA56+PB52</f>
        <v>#N/A</v>
      </c>
      <c r="PC56" s="86" t="e">
        <f t="shared" si="1128"/>
        <v>#N/A</v>
      </c>
      <c r="PD56" s="86" t="e">
        <f t="shared" si="1128"/>
        <v>#N/A</v>
      </c>
      <c r="PE56" s="86" t="e">
        <f t="shared" si="1128"/>
        <v>#N/A</v>
      </c>
      <c r="PF56" s="86" t="e">
        <f t="shared" si="1128"/>
        <v>#N/A</v>
      </c>
      <c r="PG56" s="86" t="e">
        <f t="shared" si="1128"/>
        <v>#N/A</v>
      </c>
      <c r="PH56" s="86" t="e">
        <f t="shared" si="1128"/>
        <v>#N/A</v>
      </c>
      <c r="PI56" s="86" t="e">
        <f t="shared" si="1128"/>
        <v>#N/A</v>
      </c>
      <c r="PJ56" s="86" t="e">
        <f t="shared" si="1128"/>
        <v>#N/A</v>
      </c>
      <c r="PK56" s="86" t="e">
        <f t="shared" si="1128"/>
        <v>#N/A</v>
      </c>
      <c r="PL56" s="86" t="e">
        <f t="shared" si="1128"/>
        <v>#N/A</v>
      </c>
      <c r="PM56" s="86" t="e">
        <f t="shared" si="1128"/>
        <v>#N/A</v>
      </c>
      <c r="PN56" s="87" t="e">
        <f>PM56</f>
        <v>#N/A</v>
      </c>
      <c r="PO56" s="86" t="e">
        <f t="shared" ref="PO56:PZ56" si="1129">PN56+PO52</f>
        <v>#N/A</v>
      </c>
      <c r="PP56" s="86" t="e">
        <f t="shared" si="1129"/>
        <v>#N/A</v>
      </c>
      <c r="PQ56" s="86" t="e">
        <f t="shared" si="1129"/>
        <v>#N/A</v>
      </c>
      <c r="PR56" s="86" t="e">
        <f t="shared" si="1129"/>
        <v>#N/A</v>
      </c>
      <c r="PS56" s="86" t="e">
        <f t="shared" si="1129"/>
        <v>#N/A</v>
      </c>
      <c r="PT56" s="86" t="e">
        <f t="shared" si="1129"/>
        <v>#N/A</v>
      </c>
      <c r="PU56" s="86" t="e">
        <f t="shared" si="1129"/>
        <v>#N/A</v>
      </c>
      <c r="PV56" s="86" t="e">
        <f t="shared" si="1129"/>
        <v>#N/A</v>
      </c>
      <c r="PW56" s="86" t="e">
        <f t="shared" si="1129"/>
        <v>#N/A</v>
      </c>
      <c r="PX56" s="86" t="e">
        <f t="shared" si="1129"/>
        <v>#N/A</v>
      </c>
      <c r="PY56" s="86" t="e">
        <f t="shared" si="1129"/>
        <v>#N/A</v>
      </c>
      <c r="PZ56" s="86" t="e">
        <f t="shared" si="1129"/>
        <v>#N/A</v>
      </c>
      <c r="QA56" s="87" t="e">
        <f>PZ56</f>
        <v>#N/A</v>
      </c>
      <c r="QB56" s="86" t="e">
        <f t="shared" ref="QB56:QM56" si="1130">QA56+QB52</f>
        <v>#N/A</v>
      </c>
      <c r="QC56" s="86" t="e">
        <f t="shared" si="1130"/>
        <v>#N/A</v>
      </c>
      <c r="QD56" s="86" t="e">
        <f t="shared" si="1130"/>
        <v>#N/A</v>
      </c>
      <c r="QE56" s="86" t="e">
        <f t="shared" si="1130"/>
        <v>#N/A</v>
      </c>
      <c r="QF56" s="86" t="e">
        <f t="shared" si="1130"/>
        <v>#N/A</v>
      </c>
      <c r="QG56" s="86" t="e">
        <f t="shared" si="1130"/>
        <v>#N/A</v>
      </c>
      <c r="QH56" s="86" t="e">
        <f t="shared" si="1130"/>
        <v>#N/A</v>
      </c>
      <c r="QI56" s="86" t="e">
        <f t="shared" si="1130"/>
        <v>#N/A</v>
      </c>
      <c r="QJ56" s="86" t="e">
        <f t="shared" si="1130"/>
        <v>#N/A</v>
      </c>
      <c r="QK56" s="86" t="e">
        <f t="shared" si="1130"/>
        <v>#N/A</v>
      </c>
      <c r="QL56" s="86" t="e">
        <f t="shared" si="1130"/>
        <v>#N/A</v>
      </c>
      <c r="QM56" s="86" t="e">
        <f t="shared" si="1130"/>
        <v>#N/A</v>
      </c>
      <c r="QN56" s="87" t="e">
        <f>QM56</f>
        <v>#N/A</v>
      </c>
      <c r="QO56" s="86" t="e">
        <f t="shared" ref="QO56:QZ56" si="1131">QN56+QO52</f>
        <v>#N/A</v>
      </c>
      <c r="QP56" s="86" t="e">
        <f t="shared" si="1131"/>
        <v>#N/A</v>
      </c>
      <c r="QQ56" s="86" t="e">
        <f t="shared" si="1131"/>
        <v>#N/A</v>
      </c>
      <c r="QR56" s="86" t="e">
        <f t="shared" si="1131"/>
        <v>#N/A</v>
      </c>
      <c r="QS56" s="86" t="e">
        <f t="shared" si="1131"/>
        <v>#N/A</v>
      </c>
      <c r="QT56" s="86" t="e">
        <f t="shared" si="1131"/>
        <v>#N/A</v>
      </c>
      <c r="QU56" s="86" t="e">
        <f t="shared" si="1131"/>
        <v>#N/A</v>
      </c>
      <c r="QV56" s="86" t="e">
        <f t="shared" si="1131"/>
        <v>#N/A</v>
      </c>
      <c r="QW56" s="86" t="e">
        <f t="shared" si="1131"/>
        <v>#N/A</v>
      </c>
      <c r="QX56" s="86" t="e">
        <f t="shared" si="1131"/>
        <v>#N/A</v>
      </c>
      <c r="QY56" s="86" t="e">
        <f t="shared" si="1131"/>
        <v>#N/A</v>
      </c>
      <c r="QZ56" s="86" t="e">
        <f t="shared" si="1131"/>
        <v>#N/A</v>
      </c>
      <c r="RA56" s="87" t="e">
        <f>QZ56</f>
        <v>#N/A</v>
      </c>
      <c r="RB56" s="86" t="e">
        <f t="shared" ref="RB56:RM56" si="1132">RA56+RB52</f>
        <v>#N/A</v>
      </c>
      <c r="RC56" s="86" t="e">
        <f t="shared" si="1132"/>
        <v>#N/A</v>
      </c>
      <c r="RD56" s="86" t="e">
        <f t="shared" si="1132"/>
        <v>#N/A</v>
      </c>
      <c r="RE56" s="86" t="e">
        <f t="shared" si="1132"/>
        <v>#N/A</v>
      </c>
      <c r="RF56" s="86" t="e">
        <f t="shared" si="1132"/>
        <v>#N/A</v>
      </c>
      <c r="RG56" s="86" t="e">
        <f t="shared" si="1132"/>
        <v>#N/A</v>
      </c>
      <c r="RH56" s="86" t="e">
        <f t="shared" si="1132"/>
        <v>#N/A</v>
      </c>
      <c r="RI56" s="86" t="e">
        <f t="shared" si="1132"/>
        <v>#N/A</v>
      </c>
      <c r="RJ56" s="86" t="e">
        <f t="shared" si="1132"/>
        <v>#N/A</v>
      </c>
      <c r="RK56" s="86" t="e">
        <f t="shared" si="1132"/>
        <v>#N/A</v>
      </c>
      <c r="RL56" s="86" t="e">
        <f t="shared" si="1132"/>
        <v>#N/A</v>
      </c>
      <c r="RM56" s="86" t="e">
        <f t="shared" si="1132"/>
        <v>#N/A</v>
      </c>
      <c r="RN56" s="87" t="e">
        <f>RM56</f>
        <v>#N/A</v>
      </c>
    </row>
    <row r="57" spans="1:482" s="77" customFormat="1" hidden="1" outlineLevel="1" x14ac:dyDescent="0.3">
      <c r="A57" s="74" t="s">
        <v>268</v>
      </c>
      <c r="B57" s="90" t="e">
        <f>SUM(B55:B56)</f>
        <v>#N/A</v>
      </c>
      <c r="C57" s="90" t="e">
        <f t="shared" ref="C57:BN57" si="1133">SUM(C55:C56)</f>
        <v>#N/A</v>
      </c>
      <c r="D57" s="90" t="e">
        <f t="shared" si="1133"/>
        <v>#N/A</v>
      </c>
      <c r="E57" s="90" t="e">
        <f t="shared" si="1133"/>
        <v>#N/A</v>
      </c>
      <c r="F57" s="90" t="e">
        <f t="shared" si="1133"/>
        <v>#N/A</v>
      </c>
      <c r="G57" s="90" t="e">
        <f t="shared" si="1133"/>
        <v>#N/A</v>
      </c>
      <c r="H57" s="90" t="e">
        <f t="shared" si="1133"/>
        <v>#N/A</v>
      </c>
      <c r="I57" s="90" t="e">
        <f t="shared" si="1133"/>
        <v>#N/A</v>
      </c>
      <c r="J57" s="90" t="e">
        <f t="shared" si="1133"/>
        <v>#N/A</v>
      </c>
      <c r="K57" s="90" t="e">
        <f t="shared" si="1133"/>
        <v>#N/A</v>
      </c>
      <c r="L57" s="90" t="e">
        <f t="shared" si="1133"/>
        <v>#N/A</v>
      </c>
      <c r="M57" s="90" t="e">
        <f t="shared" si="1133"/>
        <v>#N/A</v>
      </c>
      <c r="N57" s="91" t="e">
        <f t="shared" si="1133"/>
        <v>#N/A</v>
      </c>
      <c r="O57" s="90" t="e">
        <f t="shared" si="1133"/>
        <v>#N/A</v>
      </c>
      <c r="P57" s="90" t="e">
        <f t="shared" si="1133"/>
        <v>#N/A</v>
      </c>
      <c r="Q57" s="90" t="e">
        <f t="shared" si="1133"/>
        <v>#N/A</v>
      </c>
      <c r="R57" s="90" t="e">
        <f t="shared" si="1133"/>
        <v>#N/A</v>
      </c>
      <c r="S57" s="90" t="e">
        <f t="shared" si="1133"/>
        <v>#N/A</v>
      </c>
      <c r="T57" s="90" t="e">
        <f t="shared" si="1133"/>
        <v>#N/A</v>
      </c>
      <c r="U57" s="90" t="e">
        <f t="shared" si="1133"/>
        <v>#N/A</v>
      </c>
      <c r="V57" s="90" t="e">
        <f t="shared" si="1133"/>
        <v>#N/A</v>
      </c>
      <c r="W57" s="90" t="e">
        <f t="shared" si="1133"/>
        <v>#N/A</v>
      </c>
      <c r="X57" s="90" t="e">
        <f t="shared" si="1133"/>
        <v>#N/A</v>
      </c>
      <c r="Y57" s="90" t="e">
        <f t="shared" si="1133"/>
        <v>#N/A</v>
      </c>
      <c r="Z57" s="90" t="e">
        <f t="shared" si="1133"/>
        <v>#N/A</v>
      </c>
      <c r="AA57" s="91" t="e">
        <f t="shared" si="1133"/>
        <v>#N/A</v>
      </c>
      <c r="AB57" s="90" t="e">
        <f t="shared" si="1133"/>
        <v>#N/A</v>
      </c>
      <c r="AC57" s="90" t="e">
        <f t="shared" si="1133"/>
        <v>#N/A</v>
      </c>
      <c r="AD57" s="90" t="e">
        <f t="shared" si="1133"/>
        <v>#N/A</v>
      </c>
      <c r="AE57" s="90" t="e">
        <f t="shared" si="1133"/>
        <v>#N/A</v>
      </c>
      <c r="AF57" s="90" t="e">
        <f t="shared" si="1133"/>
        <v>#N/A</v>
      </c>
      <c r="AG57" s="90" t="e">
        <f t="shared" si="1133"/>
        <v>#N/A</v>
      </c>
      <c r="AH57" s="90" t="e">
        <f t="shared" si="1133"/>
        <v>#N/A</v>
      </c>
      <c r="AI57" s="90" t="e">
        <f t="shared" si="1133"/>
        <v>#N/A</v>
      </c>
      <c r="AJ57" s="90" t="e">
        <f t="shared" si="1133"/>
        <v>#N/A</v>
      </c>
      <c r="AK57" s="90" t="e">
        <f t="shared" si="1133"/>
        <v>#N/A</v>
      </c>
      <c r="AL57" s="90" t="e">
        <f t="shared" si="1133"/>
        <v>#N/A</v>
      </c>
      <c r="AM57" s="90" t="e">
        <f t="shared" si="1133"/>
        <v>#N/A</v>
      </c>
      <c r="AN57" s="91" t="e">
        <f t="shared" si="1133"/>
        <v>#N/A</v>
      </c>
      <c r="AO57" s="90" t="e">
        <f t="shared" si="1133"/>
        <v>#N/A</v>
      </c>
      <c r="AP57" s="90" t="e">
        <f t="shared" si="1133"/>
        <v>#N/A</v>
      </c>
      <c r="AQ57" s="90" t="e">
        <f t="shared" si="1133"/>
        <v>#N/A</v>
      </c>
      <c r="AR57" s="90" t="e">
        <f t="shared" si="1133"/>
        <v>#N/A</v>
      </c>
      <c r="AS57" s="90" t="e">
        <f t="shared" si="1133"/>
        <v>#N/A</v>
      </c>
      <c r="AT57" s="90" t="e">
        <f t="shared" si="1133"/>
        <v>#N/A</v>
      </c>
      <c r="AU57" s="90" t="e">
        <f t="shared" si="1133"/>
        <v>#N/A</v>
      </c>
      <c r="AV57" s="90" t="e">
        <f t="shared" si="1133"/>
        <v>#N/A</v>
      </c>
      <c r="AW57" s="90" t="e">
        <f t="shared" si="1133"/>
        <v>#N/A</v>
      </c>
      <c r="AX57" s="90" t="e">
        <f t="shared" si="1133"/>
        <v>#N/A</v>
      </c>
      <c r="AY57" s="90" t="e">
        <f t="shared" si="1133"/>
        <v>#N/A</v>
      </c>
      <c r="AZ57" s="90" t="e">
        <f t="shared" si="1133"/>
        <v>#N/A</v>
      </c>
      <c r="BA57" s="91" t="e">
        <f t="shared" si="1133"/>
        <v>#N/A</v>
      </c>
      <c r="BB57" s="90" t="e">
        <f t="shared" si="1133"/>
        <v>#N/A</v>
      </c>
      <c r="BC57" s="90" t="e">
        <f t="shared" si="1133"/>
        <v>#N/A</v>
      </c>
      <c r="BD57" s="90" t="e">
        <f t="shared" si="1133"/>
        <v>#N/A</v>
      </c>
      <c r="BE57" s="90" t="e">
        <f t="shared" si="1133"/>
        <v>#N/A</v>
      </c>
      <c r="BF57" s="90" t="e">
        <f t="shared" si="1133"/>
        <v>#N/A</v>
      </c>
      <c r="BG57" s="90" t="e">
        <f t="shared" si="1133"/>
        <v>#N/A</v>
      </c>
      <c r="BH57" s="90" t="e">
        <f t="shared" si="1133"/>
        <v>#N/A</v>
      </c>
      <c r="BI57" s="90" t="e">
        <f t="shared" si="1133"/>
        <v>#N/A</v>
      </c>
      <c r="BJ57" s="90" t="e">
        <f t="shared" si="1133"/>
        <v>#N/A</v>
      </c>
      <c r="BK57" s="90" t="e">
        <f t="shared" si="1133"/>
        <v>#N/A</v>
      </c>
      <c r="BL57" s="90" t="e">
        <f t="shared" si="1133"/>
        <v>#N/A</v>
      </c>
      <c r="BM57" s="90" t="e">
        <f t="shared" si="1133"/>
        <v>#N/A</v>
      </c>
      <c r="BN57" s="91" t="e">
        <f t="shared" si="1133"/>
        <v>#N/A</v>
      </c>
      <c r="BO57" s="90" t="e">
        <f t="shared" ref="BO57:DZ57" si="1134">SUM(BO55:BO56)</f>
        <v>#N/A</v>
      </c>
      <c r="BP57" s="90" t="e">
        <f t="shared" si="1134"/>
        <v>#N/A</v>
      </c>
      <c r="BQ57" s="90" t="e">
        <f t="shared" si="1134"/>
        <v>#N/A</v>
      </c>
      <c r="BR57" s="90" t="e">
        <f t="shared" si="1134"/>
        <v>#N/A</v>
      </c>
      <c r="BS57" s="90" t="e">
        <f t="shared" si="1134"/>
        <v>#N/A</v>
      </c>
      <c r="BT57" s="90" t="e">
        <f t="shared" si="1134"/>
        <v>#N/A</v>
      </c>
      <c r="BU57" s="90" t="e">
        <f t="shared" si="1134"/>
        <v>#N/A</v>
      </c>
      <c r="BV57" s="90" t="e">
        <f t="shared" si="1134"/>
        <v>#N/A</v>
      </c>
      <c r="BW57" s="90" t="e">
        <f t="shared" si="1134"/>
        <v>#N/A</v>
      </c>
      <c r="BX57" s="90" t="e">
        <f t="shared" si="1134"/>
        <v>#N/A</v>
      </c>
      <c r="BY57" s="90" t="e">
        <f t="shared" si="1134"/>
        <v>#N/A</v>
      </c>
      <c r="BZ57" s="90" t="e">
        <f t="shared" si="1134"/>
        <v>#N/A</v>
      </c>
      <c r="CA57" s="91" t="e">
        <f t="shared" si="1134"/>
        <v>#N/A</v>
      </c>
      <c r="CB57" s="90" t="e">
        <f t="shared" si="1134"/>
        <v>#N/A</v>
      </c>
      <c r="CC57" s="90" t="e">
        <f t="shared" si="1134"/>
        <v>#N/A</v>
      </c>
      <c r="CD57" s="90" t="e">
        <f t="shared" si="1134"/>
        <v>#N/A</v>
      </c>
      <c r="CE57" s="90" t="e">
        <f t="shared" si="1134"/>
        <v>#N/A</v>
      </c>
      <c r="CF57" s="90" t="e">
        <f t="shared" si="1134"/>
        <v>#N/A</v>
      </c>
      <c r="CG57" s="90" t="e">
        <f t="shared" si="1134"/>
        <v>#N/A</v>
      </c>
      <c r="CH57" s="90" t="e">
        <f t="shared" si="1134"/>
        <v>#N/A</v>
      </c>
      <c r="CI57" s="90" t="e">
        <f t="shared" si="1134"/>
        <v>#N/A</v>
      </c>
      <c r="CJ57" s="90" t="e">
        <f t="shared" si="1134"/>
        <v>#N/A</v>
      </c>
      <c r="CK57" s="90" t="e">
        <f t="shared" si="1134"/>
        <v>#N/A</v>
      </c>
      <c r="CL57" s="90" t="e">
        <f t="shared" si="1134"/>
        <v>#N/A</v>
      </c>
      <c r="CM57" s="90" t="e">
        <f t="shared" si="1134"/>
        <v>#N/A</v>
      </c>
      <c r="CN57" s="91" t="e">
        <f t="shared" si="1134"/>
        <v>#N/A</v>
      </c>
      <c r="CO57" s="90" t="e">
        <f t="shared" si="1134"/>
        <v>#N/A</v>
      </c>
      <c r="CP57" s="90" t="e">
        <f t="shared" si="1134"/>
        <v>#N/A</v>
      </c>
      <c r="CQ57" s="90" t="e">
        <f t="shared" si="1134"/>
        <v>#N/A</v>
      </c>
      <c r="CR57" s="90" t="e">
        <f t="shared" si="1134"/>
        <v>#N/A</v>
      </c>
      <c r="CS57" s="90" t="e">
        <f t="shared" si="1134"/>
        <v>#N/A</v>
      </c>
      <c r="CT57" s="90" t="e">
        <f t="shared" si="1134"/>
        <v>#N/A</v>
      </c>
      <c r="CU57" s="90" t="e">
        <f t="shared" si="1134"/>
        <v>#N/A</v>
      </c>
      <c r="CV57" s="90" t="e">
        <f t="shared" si="1134"/>
        <v>#N/A</v>
      </c>
      <c r="CW57" s="90" t="e">
        <f t="shared" si="1134"/>
        <v>#N/A</v>
      </c>
      <c r="CX57" s="90" t="e">
        <f t="shared" si="1134"/>
        <v>#N/A</v>
      </c>
      <c r="CY57" s="90" t="e">
        <f t="shared" si="1134"/>
        <v>#N/A</v>
      </c>
      <c r="CZ57" s="90" t="e">
        <f t="shared" si="1134"/>
        <v>#N/A</v>
      </c>
      <c r="DA57" s="91" t="e">
        <f t="shared" si="1134"/>
        <v>#N/A</v>
      </c>
      <c r="DB57" s="90" t="e">
        <f t="shared" si="1134"/>
        <v>#N/A</v>
      </c>
      <c r="DC57" s="90" t="e">
        <f t="shared" si="1134"/>
        <v>#N/A</v>
      </c>
      <c r="DD57" s="90" t="e">
        <f t="shared" si="1134"/>
        <v>#N/A</v>
      </c>
      <c r="DE57" s="90" t="e">
        <f t="shared" si="1134"/>
        <v>#N/A</v>
      </c>
      <c r="DF57" s="90" t="e">
        <f t="shared" si="1134"/>
        <v>#N/A</v>
      </c>
      <c r="DG57" s="90" t="e">
        <f t="shared" si="1134"/>
        <v>#N/A</v>
      </c>
      <c r="DH57" s="90" t="e">
        <f t="shared" si="1134"/>
        <v>#N/A</v>
      </c>
      <c r="DI57" s="90" t="e">
        <f t="shared" si="1134"/>
        <v>#N/A</v>
      </c>
      <c r="DJ57" s="90" t="e">
        <f t="shared" si="1134"/>
        <v>#N/A</v>
      </c>
      <c r="DK57" s="90" t="e">
        <f t="shared" si="1134"/>
        <v>#N/A</v>
      </c>
      <c r="DL57" s="90" t="e">
        <f t="shared" si="1134"/>
        <v>#N/A</v>
      </c>
      <c r="DM57" s="90" t="e">
        <f t="shared" si="1134"/>
        <v>#N/A</v>
      </c>
      <c r="DN57" s="91" t="e">
        <f t="shared" si="1134"/>
        <v>#N/A</v>
      </c>
      <c r="DO57" s="90" t="e">
        <f t="shared" si="1134"/>
        <v>#N/A</v>
      </c>
      <c r="DP57" s="90" t="e">
        <f t="shared" si="1134"/>
        <v>#N/A</v>
      </c>
      <c r="DQ57" s="90" t="e">
        <f t="shared" si="1134"/>
        <v>#N/A</v>
      </c>
      <c r="DR57" s="90" t="e">
        <f t="shared" si="1134"/>
        <v>#N/A</v>
      </c>
      <c r="DS57" s="90" t="e">
        <f t="shared" si="1134"/>
        <v>#N/A</v>
      </c>
      <c r="DT57" s="90" t="e">
        <f t="shared" si="1134"/>
        <v>#N/A</v>
      </c>
      <c r="DU57" s="90" t="e">
        <f t="shared" si="1134"/>
        <v>#N/A</v>
      </c>
      <c r="DV57" s="90" t="e">
        <f t="shared" si="1134"/>
        <v>#N/A</v>
      </c>
      <c r="DW57" s="90" t="e">
        <f t="shared" si="1134"/>
        <v>#N/A</v>
      </c>
      <c r="DX57" s="90" t="e">
        <f t="shared" si="1134"/>
        <v>#N/A</v>
      </c>
      <c r="DY57" s="90" t="e">
        <f t="shared" si="1134"/>
        <v>#N/A</v>
      </c>
      <c r="DZ57" s="90" t="e">
        <f t="shared" si="1134"/>
        <v>#N/A</v>
      </c>
      <c r="EA57" s="91" t="e">
        <f t="shared" ref="EA57:GL57" si="1135">SUM(EA55:EA56)</f>
        <v>#N/A</v>
      </c>
      <c r="EB57" s="90" t="e">
        <f t="shared" si="1135"/>
        <v>#N/A</v>
      </c>
      <c r="EC57" s="90" t="e">
        <f t="shared" si="1135"/>
        <v>#N/A</v>
      </c>
      <c r="ED57" s="90" t="e">
        <f t="shared" si="1135"/>
        <v>#N/A</v>
      </c>
      <c r="EE57" s="90" t="e">
        <f t="shared" si="1135"/>
        <v>#N/A</v>
      </c>
      <c r="EF57" s="90" t="e">
        <f t="shared" si="1135"/>
        <v>#N/A</v>
      </c>
      <c r="EG57" s="90" t="e">
        <f t="shared" si="1135"/>
        <v>#N/A</v>
      </c>
      <c r="EH57" s="90" t="e">
        <f t="shared" si="1135"/>
        <v>#N/A</v>
      </c>
      <c r="EI57" s="90" t="e">
        <f t="shared" si="1135"/>
        <v>#N/A</v>
      </c>
      <c r="EJ57" s="90" t="e">
        <f t="shared" si="1135"/>
        <v>#N/A</v>
      </c>
      <c r="EK57" s="90" t="e">
        <f t="shared" si="1135"/>
        <v>#N/A</v>
      </c>
      <c r="EL57" s="90" t="e">
        <f t="shared" si="1135"/>
        <v>#N/A</v>
      </c>
      <c r="EM57" s="90" t="e">
        <f t="shared" si="1135"/>
        <v>#N/A</v>
      </c>
      <c r="EN57" s="91" t="e">
        <f t="shared" si="1135"/>
        <v>#N/A</v>
      </c>
      <c r="EO57" s="90" t="e">
        <f t="shared" si="1135"/>
        <v>#N/A</v>
      </c>
      <c r="EP57" s="90" t="e">
        <f t="shared" si="1135"/>
        <v>#N/A</v>
      </c>
      <c r="EQ57" s="90" t="e">
        <f t="shared" si="1135"/>
        <v>#N/A</v>
      </c>
      <c r="ER57" s="90" t="e">
        <f t="shared" si="1135"/>
        <v>#N/A</v>
      </c>
      <c r="ES57" s="90" t="e">
        <f t="shared" si="1135"/>
        <v>#N/A</v>
      </c>
      <c r="ET57" s="90" t="e">
        <f t="shared" si="1135"/>
        <v>#N/A</v>
      </c>
      <c r="EU57" s="90" t="e">
        <f t="shared" si="1135"/>
        <v>#N/A</v>
      </c>
      <c r="EV57" s="90" t="e">
        <f t="shared" si="1135"/>
        <v>#N/A</v>
      </c>
      <c r="EW57" s="90" t="e">
        <f t="shared" si="1135"/>
        <v>#N/A</v>
      </c>
      <c r="EX57" s="90" t="e">
        <f t="shared" si="1135"/>
        <v>#N/A</v>
      </c>
      <c r="EY57" s="90" t="e">
        <f t="shared" si="1135"/>
        <v>#N/A</v>
      </c>
      <c r="EZ57" s="90" t="e">
        <f t="shared" si="1135"/>
        <v>#N/A</v>
      </c>
      <c r="FA57" s="91" t="e">
        <f t="shared" si="1135"/>
        <v>#N/A</v>
      </c>
      <c r="FB57" s="90" t="e">
        <f t="shared" si="1135"/>
        <v>#N/A</v>
      </c>
      <c r="FC57" s="90" t="e">
        <f t="shared" si="1135"/>
        <v>#N/A</v>
      </c>
      <c r="FD57" s="90" t="e">
        <f t="shared" si="1135"/>
        <v>#N/A</v>
      </c>
      <c r="FE57" s="90" t="e">
        <f t="shared" si="1135"/>
        <v>#N/A</v>
      </c>
      <c r="FF57" s="90" t="e">
        <f t="shared" si="1135"/>
        <v>#N/A</v>
      </c>
      <c r="FG57" s="90" t="e">
        <f t="shared" si="1135"/>
        <v>#N/A</v>
      </c>
      <c r="FH57" s="90" t="e">
        <f t="shared" si="1135"/>
        <v>#N/A</v>
      </c>
      <c r="FI57" s="90" t="e">
        <f t="shared" si="1135"/>
        <v>#N/A</v>
      </c>
      <c r="FJ57" s="90" t="e">
        <f t="shared" si="1135"/>
        <v>#N/A</v>
      </c>
      <c r="FK57" s="90" t="e">
        <f t="shared" si="1135"/>
        <v>#N/A</v>
      </c>
      <c r="FL57" s="90" t="e">
        <f t="shared" si="1135"/>
        <v>#N/A</v>
      </c>
      <c r="FM57" s="90" t="e">
        <f t="shared" si="1135"/>
        <v>#N/A</v>
      </c>
      <c r="FN57" s="91" t="e">
        <f t="shared" si="1135"/>
        <v>#N/A</v>
      </c>
      <c r="FO57" s="90" t="e">
        <f t="shared" si="1135"/>
        <v>#N/A</v>
      </c>
      <c r="FP57" s="90" t="e">
        <f t="shared" si="1135"/>
        <v>#N/A</v>
      </c>
      <c r="FQ57" s="90" t="e">
        <f t="shared" si="1135"/>
        <v>#N/A</v>
      </c>
      <c r="FR57" s="90" t="e">
        <f t="shared" si="1135"/>
        <v>#N/A</v>
      </c>
      <c r="FS57" s="90" t="e">
        <f t="shared" si="1135"/>
        <v>#N/A</v>
      </c>
      <c r="FT57" s="90" t="e">
        <f t="shared" si="1135"/>
        <v>#N/A</v>
      </c>
      <c r="FU57" s="90" t="e">
        <f t="shared" si="1135"/>
        <v>#N/A</v>
      </c>
      <c r="FV57" s="90" t="e">
        <f t="shared" si="1135"/>
        <v>#N/A</v>
      </c>
      <c r="FW57" s="90" t="e">
        <f t="shared" si="1135"/>
        <v>#N/A</v>
      </c>
      <c r="FX57" s="90" t="e">
        <f t="shared" si="1135"/>
        <v>#N/A</v>
      </c>
      <c r="FY57" s="90" t="e">
        <f t="shared" si="1135"/>
        <v>#N/A</v>
      </c>
      <c r="FZ57" s="90" t="e">
        <f t="shared" si="1135"/>
        <v>#N/A</v>
      </c>
      <c r="GA57" s="91" t="e">
        <f t="shared" si="1135"/>
        <v>#N/A</v>
      </c>
      <c r="GB57" s="90" t="e">
        <f t="shared" si="1135"/>
        <v>#N/A</v>
      </c>
      <c r="GC57" s="90" t="e">
        <f t="shared" si="1135"/>
        <v>#N/A</v>
      </c>
      <c r="GD57" s="90" t="e">
        <f t="shared" si="1135"/>
        <v>#N/A</v>
      </c>
      <c r="GE57" s="90" t="e">
        <f t="shared" si="1135"/>
        <v>#N/A</v>
      </c>
      <c r="GF57" s="90" t="e">
        <f t="shared" si="1135"/>
        <v>#N/A</v>
      </c>
      <c r="GG57" s="90" t="e">
        <f t="shared" si="1135"/>
        <v>#N/A</v>
      </c>
      <c r="GH57" s="90" t="e">
        <f t="shared" si="1135"/>
        <v>#N/A</v>
      </c>
      <c r="GI57" s="90" t="e">
        <f t="shared" si="1135"/>
        <v>#N/A</v>
      </c>
      <c r="GJ57" s="90" t="e">
        <f t="shared" si="1135"/>
        <v>#N/A</v>
      </c>
      <c r="GK57" s="90" t="e">
        <f t="shared" si="1135"/>
        <v>#N/A</v>
      </c>
      <c r="GL57" s="90" t="e">
        <f t="shared" si="1135"/>
        <v>#N/A</v>
      </c>
      <c r="GM57" s="90" t="e">
        <f t="shared" ref="GM57:IX57" si="1136">SUM(GM55:GM56)</f>
        <v>#N/A</v>
      </c>
      <c r="GN57" s="91" t="e">
        <f t="shared" si="1136"/>
        <v>#N/A</v>
      </c>
      <c r="GO57" s="90" t="e">
        <f t="shared" si="1136"/>
        <v>#N/A</v>
      </c>
      <c r="GP57" s="90" t="e">
        <f t="shared" si="1136"/>
        <v>#N/A</v>
      </c>
      <c r="GQ57" s="90" t="e">
        <f t="shared" si="1136"/>
        <v>#N/A</v>
      </c>
      <c r="GR57" s="90" t="e">
        <f t="shared" si="1136"/>
        <v>#N/A</v>
      </c>
      <c r="GS57" s="90" t="e">
        <f t="shared" si="1136"/>
        <v>#N/A</v>
      </c>
      <c r="GT57" s="90" t="e">
        <f t="shared" si="1136"/>
        <v>#N/A</v>
      </c>
      <c r="GU57" s="90" t="e">
        <f t="shared" si="1136"/>
        <v>#N/A</v>
      </c>
      <c r="GV57" s="90" t="e">
        <f t="shared" si="1136"/>
        <v>#N/A</v>
      </c>
      <c r="GW57" s="90" t="e">
        <f t="shared" si="1136"/>
        <v>#N/A</v>
      </c>
      <c r="GX57" s="90" t="e">
        <f t="shared" si="1136"/>
        <v>#N/A</v>
      </c>
      <c r="GY57" s="90" t="e">
        <f t="shared" si="1136"/>
        <v>#N/A</v>
      </c>
      <c r="GZ57" s="90" t="e">
        <f t="shared" si="1136"/>
        <v>#N/A</v>
      </c>
      <c r="HA57" s="91" t="e">
        <f t="shared" si="1136"/>
        <v>#N/A</v>
      </c>
      <c r="HB57" s="90" t="e">
        <f t="shared" si="1136"/>
        <v>#N/A</v>
      </c>
      <c r="HC57" s="90" t="e">
        <f t="shared" si="1136"/>
        <v>#N/A</v>
      </c>
      <c r="HD57" s="90" t="e">
        <f t="shared" si="1136"/>
        <v>#N/A</v>
      </c>
      <c r="HE57" s="90" t="e">
        <f t="shared" si="1136"/>
        <v>#N/A</v>
      </c>
      <c r="HF57" s="90" t="e">
        <f t="shared" si="1136"/>
        <v>#N/A</v>
      </c>
      <c r="HG57" s="90" t="e">
        <f t="shared" si="1136"/>
        <v>#N/A</v>
      </c>
      <c r="HH57" s="90" t="e">
        <f t="shared" si="1136"/>
        <v>#N/A</v>
      </c>
      <c r="HI57" s="90" t="e">
        <f t="shared" si="1136"/>
        <v>#N/A</v>
      </c>
      <c r="HJ57" s="90" t="e">
        <f t="shared" si="1136"/>
        <v>#N/A</v>
      </c>
      <c r="HK57" s="90" t="e">
        <f t="shared" si="1136"/>
        <v>#N/A</v>
      </c>
      <c r="HL57" s="90" t="e">
        <f t="shared" si="1136"/>
        <v>#N/A</v>
      </c>
      <c r="HM57" s="90" t="e">
        <f t="shared" si="1136"/>
        <v>#N/A</v>
      </c>
      <c r="HN57" s="91" t="e">
        <f t="shared" si="1136"/>
        <v>#N/A</v>
      </c>
      <c r="HO57" s="90" t="e">
        <f t="shared" si="1136"/>
        <v>#N/A</v>
      </c>
      <c r="HP57" s="90" t="e">
        <f t="shared" si="1136"/>
        <v>#N/A</v>
      </c>
      <c r="HQ57" s="90" t="e">
        <f t="shared" si="1136"/>
        <v>#N/A</v>
      </c>
      <c r="HR57" s="90" t="e">
        <f t="shared" si="1136"/>
        <v>#N/A</v>
      </c>
      <c r="HS57" s="90" t="e">
        <f t="shared" si="1136"/>
        <v>#N/A</v>
      </c>
      <c r="HT57" s="90" t="e">
        <f t="shared" si="1136"/>
        <v>#N/A</v>
      </c>
      <c r="HU57" s="90" t="e">
        <f t="shared" si="1136"/>
        <v>#N/A</v>
      </c>
      <c r="HV57" s="90" t="e">
        <f t="shared" si="1136"/>
        <v>#N/A</v>
      </c>
      <c r="HW57" s="90" t="e">
        <f t="shared" si="1136"/>
        <v>#N/A</v>
      </c>
      <c r="HX57" s="90" t="e">
        <f t="shared" si="1136"/>
        <v>#N/A</v>
      </c>
      <c r="HY57" s="90" t="e">
        <f t="shared" si="1136"/>
        <v>#N/A</v>
      </c>
      <c r="HZ57" s="90" t="e">
        <f t="shared" si="1136"/>
        <v>#N/A</v>
      </c>
      <c r="IA57" s="91" t="e">
        <f t="shared" si="1136"/>
        <v>#N/A</v>
      </c>
      <c r="IB57" s="90" t="e">
        <f t="shared" si="1136"/>
        <v>#N/A</v>
      </c>
      <c r="IC57" s="90" t="e">
        <f t="shared" si="1136"/>
        <v>#N/A</v>
      </c>
      <c r="ID57" s="90" t="e">
        <f t="shared" si="1136"/>
        <v>#N/A</v>
      </c>
      <c r="IE57" s="90" t="e">
        <f t="shared" si="1136"/>
        <v>#N/A</v>
      </c>
      <c r="IF57" s="90" t="e">
        <f t="shared" si="1136"/>
        <v>#N/A</v>
      </c>
      <c r="IG57" s="90" t="e">
        <f t="shared" si="1136"/>
        <v>#N/A</v>
      </c>
      <c r="IH57" s="90" t="e">
        <f t="shared" si="1136"/>
        <v>#N/A</v>
      </c>
      <c r="II57" s="90" t="e">
        <f t="shared" si="1136"/>
        <v>#N/A</v>
      </c>
      <c r="IJ57" s="90" t="e">
        <f t="shared" si="1136"/>
        <v>#N/A</v>
      </c>
      <c r="IK57" s="90" t="e">
        <f t="shared" si="1136"/>
        <v>#N/A</v>
      </c>
      <c r="IL57" s="90" t="e">
        <f t="shared" si="1136"/>
        <v>#N/A</v>
      </c>
      <c r="IM57" s="90" t="e">
        <f t="shared" si="1136"/>
        <v>#N/A</v>
      </c>
      <c r="IN57" s="91" t="e">
        <f t="shared" si="1136"/>
        <v>#N/A</v>
      </c>
      <c r="IO57" s="90" t="e">
        <f t="shared" si="1136"/>
        <v>#N/A</v>
      </c>
      <c r="IP57" s="90" t="e">
        <f t="shared" si="1136"/>
        <v>#N/A</v>
      </c>
      <c r="IQ57" s="90" t="e">
        <f t="shared" si="1136"/>
        <v>#N/A</v>
      </c>
      <c r="IR57" s="90" t="e">
        <f t="shared" si="1136"/>
        <v>#N/A</v>
      </c>
      <c r="IS57" s="90" t="e">
        <f t="shared" si="1136"/>
        <v>#N/A</v>
      </c>
      <c r="IT57" s="90" t="e">
        <f t="shared" si="1136"/>
        <v>#N/A</v>
      </c>
      <c r="IU57" s="90" t="e">
        <f t="shared" si="1136"/>
        <v>#N/A</v>
      </c>
      <c r="IV57" s="90" t="e">
        <f t="shared" si="1136"/>
        <v>#N/A</v>
      </c>
      <c r="IW57" s="90" t="e">
        <f t="shared" si="1136"/>
        <v>#N/A</v>
      </c>
      <c r="IX57" s="90" t="e">
        <f t="shared" si="1136"/>
        <v>#N/A</v>
      </c>
      <c r="IY57" s="90" t="e">
        <f t="shared" ref="IY57:LJ57" si="1137">SUM(IY55:IY56)</f>
        <v>#N/A</v>
      </c>
      <c r="IZ57" s="90" t="e">
        <f t="shared" si="1137"/>
        <v>#N/A</v>
      </c>
      <c r="JA57" s="91" t="e">
        <f t="shared" si="1137"/>
        <v>#N/A</v>
      </c>
      <c r="JB57" s="90" t="e">
        <f t="shared" si="1137"/>
        <v>#N/A</v>
      </c>
      <c r="JC57" s="90" t="e">
        <f t="shared" si="1137"/>
        <v>#N/A</v>
      </c>
      <c r="JD57" s="90" t="e">
        <f t="shared" si="1137"/>
        <v>#N/A</v>
      </c>
      <c r="JE57" s="90" t="e">
        <f t="shared" si="1137"/>
        <v>#N/A</v>
      </c>
      <c r="JF57" s="90" t="e">
        <f t="shared" si="1137"/>
        <v>#N/A</v>
      </c>
      <c r="JG57" s="90" t="e">
        <f t="shared" si="1137"/>
        <v>#N/A</v>
      </c>
      <c r="JH57" s="90" t="e">
        <f t="shared" si="1137"/>
        <v>#N/A</v>
      </c>
      <c r="JI57" s="90" t="e">
        <f t="shared" si="1137"/>
        <v>#N/A</v>
      </c>
      <c r="JJ57" s="90" t="e">
        <f t="shared" si="1137"/>
        <v>#N/A</v>
      </c>
      <c r="JK57" s="90" t="e">
        <f t="shared" si="1137"/>
        <v>#N/A</v>
      </c>
      <c r="JL57" s="90" t="e">
        <f t="shared" si="1137"/>
        <v>#N/A</v>
      </c>
      <c r="JM57" s="90" t="e">
        <f t="shared" si="1137"/>
        <v>#N/A</v>
      </c>
      <c r="JN57" s="91" t="e">
        <f t="shared" si="1137"/>
        <v>#N/A</v>
      </c>
      <c r="JO57" s="90" t="e">
        <f t="shared" si="1137"/>
        <v>#N/A</v>
      </c>
      <c r="JP57" s="90" t="e">
        <f t="shared" si="1137"/>
        <v>#N/A</v>
      </c>
      <c r="JQ57" s="90" t="e">
        <f t="shared" si="1137"/>
        <v>#N/A</v>
      </c>
      <c r="JR57" s="90" t="e">
        <f t="shared" si="1137"/>
        <v>#N/A</v>
      </c>
      <c r="JS57" s="90" t="e">
        <f t="shared" si="1137"/>
        <v>#N/A</v>
      </c>
      <c r="JT57" s="90" t="e">
        <f t="shared" si="1137"/>
        <v>#N/A</v>
      </c>
      <c r="JU57" s="90" t="e">
        <f t="shared" si="1137"/>
        <v>#N/A</v>
      </c>
      <c r="JV57" s="90" t="e">
        <f t="shared" si="1137"/>
        <v>#N/A</v>
      </c>
      <c r="JW57" s="90" t="e">
        <f t="shared" si="1137"/>
        <v>#N/A</v>
      </c>
      <c r="JX57" s="90" t="e">
        <f t="shared" si="1137"/>
        <v>#N/A</v>
      </c>
      <c r="JY57" s="90" t="e">
        <f t="shared" si="1137"/>
        <v>#N/A</v>
      </c>
      <c r="JZ57" s="90" t="e">
        <f t="shared" si="1137"/>
        <v>#N/A</v>
      </c>
      <c r="KA57" s="91" t="e">
        <f t="shared" si="1137"/>
        <v>#N/A</v>
      </c>
      <c r="KB57" s="90" t="e">
        <f t="shared" si="1137"/>
        <v>#N/A</v>
      </c>
      <c r="KC57" s="90" t="e">
        <f t="shared" si="1137"/>
        <v>#N/A</v>
      </c>
      <c r="KD57" s="90" t="e">
        <f t="shared" si="1137"/>
        <v>#N/A</v>
      </c>
      <c r="KE57" s="90" t="e">
        <f t="shared" si="1137"/>
        <v>#N/A</v>
      </c>
      <c r="KF57" s="90" t="e">
        <f t="shared" si="1137"/>
        <v>#N/A</v>
      </c>
      <c r="KG57" s="90" t="e">
        <f t="shared" si="1137"/>
        <v>#N/A</v>
      </c>
      <c r="KH57" s="90" t="e">
        <f t="shared" si="1137"/>
        <v>#N/A</v>
      </c>
      <c r="KI57" s="90" t="e">
        <f t="shared" si="1137"/>
        <v>#N/A</v>
      </c>
      <c r="KJ57" s="90" t="e">
        <f t="shared" si="1137"/>
        <v>#N/A</v>
      </c>
      <c r="KK57" s="90" t="e">
        <f t="shared" si="1137"/>
        <v>#N/A</v>
      </c>
      <c r="KL57" s="90" t="e">
        <f t="shared" si="1137"/>
        <v>#N/A</v>
      </c>
      <c r="KM57" s="90" t="e">
        <f t="shared" si="1137"/>
        <v>#N/A</v>
      </c>
      <c r="KN57" s="91" t="e">
        <f t="shared" si="1137"/>
        <v>#N/A</v>
      </c>
      <c r="KO57" s="90" t="e">
        <f t="shared" si="1137"/>
        <v>#N/A</v>
      </c>
      <c r="KP57" s="90" t="e">
        <f t="shared" si="1137"/>
        <v>#N/A</v>
      </c>
      <c r="KQ57" s="90" t="e">
        <f t="shared" si="1137"/>
        <v>#N/A</v>
      </c>
      <c r="KR57" s="90" t="e">
        <f t="shared" si="1137"/>
        <v>#N/A</v>
      </c>
      <c r="KS57" s="90" t="e">
        <f t="shared" si="1137"/>
        <v>#N/A</v>
      </c>
      <c r="KT57" s="90" t="e">
        <f t="shared" si="1137"/>
        <v>#N/A</v>
      </c>
      <c r="KU57" s="90" t="e">
        <f t="shared" si="1137"/>
        <v>#N/A</v>
      </c>
      <c r="KV57" s="90" t="e">
        <f t="shared" si="1137"/>
        <v>#N/A</v>
      </c>
      <c r="KW57" s="90" t="e">
        <f t="shared" si="1137"/>
        <v>#N/A</v>
      </c>
      <c r="KX57" s="90" t="e">
        <f t="shared" si="1137"/>
        <v>#N/A</v>
      </c>
      <c r="KY57" s="90" t="e">
        <f t="shared" si="1137"/>
        <v>#N/A</v>
      </c>
      <c r="KZ57" s="90" t="e">
        <f t="shared" si="1137"/>
        <v>#N/A</v>
      </c>
      <c r="LA57" s="91" t="e">
        <f t="shared" si="1137"/>
        <v>#N/A</v>
      </c>
      <c r="LB57" s="90" t="e">
        <f t="shared" si="1137"/>
        <v>#N/A</v>
      </c>
      <c r="LC57" s="90" t="e">
        <f t="shared" si="1137"/>
        <v>#N/A</v>
      </c>
      <c r="LD57" s="90" t="e">
        <f t="shared" si="1137"/>
        <v>#N/A</v>
      </c>
      <c r="LE57" s="90" t="e">
        <f t="shared" si="1137"/>
        <v>#N/A</v>
      </c>
      <c r="LF57" s="90" t="e">
        <f t="shared" si="1137"/>
        <v>#N/A</v>
      </c>
      <c r="LG57" s="90" t="e">
        <f t="shared" si="1137"/>
        <v>#N/A</v>
      </c>
      <c r="LH57" s="90" t="e">
        <f t="shared" si="1137"/>
        <v>#N/A</v>
      </c>
      <c r="LI57" s="90" t="e">
        <f t="shared" si="1137"/>
        <v>#N/A</v>
      </c>
      <c r="LJ57" s="90" t="e">
        <f t="shared" si="1137"/>
        <v>#N/A</v>
      </c>
      <c r="LK57" s="90" t="e">
        <f t="shared" ref="LK57:NV57" si="1138">SUM(LK55:LK56)</f>
        <v>#N/A</v>
      </c>
      <c r="LL57" s="90" t="e">
        <f t="shared" si="1138"/>
        <v>#N/A</v>
      </c>
      <c r="LM57" s="90" t="e">
        <f t="shared" si="1138"/>
        <v>#N/A</v>
      </c>
      <c r="LN57" s="91" t="e">
        <f t="shared" si="1138"/>
        <v>#N/A</v>
      </c>
      <c r="LO57" s="90" t="e">
        <f t="shared" si="1138"/>
        <v>#N/A</v>
      </c>
      <c r="LP57" s="90" t="e">
        <f t="shared" si="1138"/>
        <v>#N/A</v>
      </c>
      <c r="LQ57" s="90" t="e">
        <f t="shared" si="1138"/>
        <v>#N/A</v>
      </c>
      <c r="LR57" s="90" t="e">
        <f t="shared" si="1138"/>
        <v>#N/A</v>
      </c>
      <c r="LS57" s="90" t="e">
        <f t="shared" si="1138"/>
        <v>#N/A</v>
      </c>
      <c r="LT57" s="90" t="e">
        <f t="shared" si="1138"/>
        <v>#N/A</v>
      </c>
      <c r="LU57" s="90" t="e">
        <f t="shared" si="1138"/>
        <v>#N/A</v>
      </c>
      <c r="LV57" s="90" t="e">
        <f t="shared" si="1138"/>
        <v>#N/A</v>
      </c>
      <c r="LW57" s="90" t="e">
        <f t="shared" si="1138"/>
        <v>#N/A</v>
      </c>
      <c r="LX57" s="90" t="e">
        <f t="shared" si="1138"/>
        <v>#N/A</v>
      </c>
      <c r="LY57" s="90" t="e">
        <f t="shared" si="1138"/>
        <v>#N/A</v>
      </c>
      <c r="LZ57" s="90" t="e">
        <f t="shared" si="1138"/>
        <v>#N/A</v>
      </c>
      <c r="MA57" s="91" t="e">
        <f t="shared" si="1138"/>
        <v>#N/A</v>
      </c>
      <c r="MB57" s="90" t="e">
        <f t="shared" si="1138"/>
        <v>#N/A</v>
      </c>
      <c r="MC57" s="90" t="e">
        <f t="shared" si="1138"/>
        <v>#N/A</v>
      </c>
      <c r="MD57" s="90" t="e">
        <f t="shared" si="1138"/>
        <v>#N/A</v>
      </c>
      <c r="ME57" s="90" t="e">
        <f t="shared" si="1138"/>
        <v>#N/A</v>
      </c>
      <c r="MF57" s="90" t="e">
        <f t="shared" si="1138"/>
        <v>#N/A</v>
      </c>
      <c r="MG57" s="90" t="e">
        <f t="shared" si="1138"/>
        <v>#N/A</v>
      </c>
      <c r="MH57" s="90" t="e">
        <f t="shared" si="1138"/>
        <v>#N/A</v>
      </c>
      <c r="MI57" s="90" t="e">
        <f t="shared" si="1138"/>
        <v>#N/A</v>
      </c>
      <c r="MJ57" s="90" t="e">
        <f t="shared" si="1138"/>
        <v>#N/A</v>
      </c>
      <c r="MK57" s="90" t="e">
        <f t="shared" si="1138"/>
        <v>#N/A</v>
      </c>
      <c r="ML57" s="90" t="e">
        <f t="shared" si="1138"/>
        <v>#N/A</v>
      </c>
      <c r="MM57" s="90" t="e">
        <f t="shared" si="1138"/>
        <v>#N/A</v>
      </c>
      <c r="MN57" s="91" t="e">
        <f t="shared" si="1138"/>
        <v>#N/A</v>
      </c>
      <c r="MO57" s="90" t="e">
        <f t="shared" si="1138"/>
        <v>#N/A</v>
      </c>
      <c r="MP57" s="90" t="e">
        <f t="shared" si="1138"/>
        <v>#N/A</v>
      </c>
      <c r="MQ57" s="90" t="e">
        <f t="shared" si="1138"/>
        <v>#N/A</v>
      </c>
      <c r="MR57" s="90" t="e">
        <f t="shared" si="1138"/>
        <v>#N/A</v>
      </c>
      <c r="MS57" s="90" t="e">
        <f t="shared" si="1138"/>
        <v>#N/A</v>
      </c>
      <c r="MT57" s="90" t="e">
        <f t="shared" si="1138"/>
        <v>#N/A</v>
      </c>
      <c r="MU57" s="90" t="e">
        <f t="shared" si="1138"/>
        <v>#N/A</v>
      </c>
      <c r="MV57" s="90" t="e">
        <f t="shared" si="1138"/>
        <v>#N/A</v>
      </c>
      <c r="MW57" s="90" t="e">
        <f t="shared" si="1138"/>
        <v>#N/A</v>
      </c>
      <c r="MX57" s="90" t="e">
        <f t="shared" si="1138"/>
        <v>#N/A</v>
      </c>
      <c r="MY57" s="90" t="e">
        <f t="shared" si="1138"/>
        <v>#N/A</v>
      </c>
      <c r="MZ57" s="90" t="e">
        <f t="shared" si="1138"/>
        <v>#N/A</v>
      </c>
      <c r="NA57" s="91" t="e">
        <f t="shared" si="1138"/>
        <v>#N/A</v>
      </c>
      <c r="NB57" s="90" t="e">
        <f t="shared" si="1138"/>
        <v>#N/A</v>
      </c>
      <c r="NC57" s="90" t="e">
        <f t="shared" si="1138"/>
        <v>#N/A</v>
      </c>
      <c r="ND57" s="90" t="e">
        <f t="shared" si="1138"/>
        <v>#N/A</v>
      </c>
      <c r="NE57" s="90" t="e">
        <f t="shared" si="1138"/>
        <v>#N/A</v>
      </c>
      <c r="NF57" s="90" t="e">
        <f t="shared" si="1138"/>
        <v>#N/A</v>
      </c>
      <c r="NG57" s="90" t="e">
        <f t="shared" si="1138"/>
        <v>#N/A</v>
      </c>
      <c r="NH57" s="90" t="e">
        <f t="shared" si="1138"/>
        <v>#N/A</v>
      </c>
      <c r="NI57" s="90" t="e">
        <f t="shared" si="1138"/>
        <v>#N/A</v>
      </c>
      <c r="NJ57" s="90" t="e">
        <f t="shared" si="1138"/>
        <v>#N/A</v>
      </c>
      <c r="NK57" s="90" t="e">
        <f t="shared" si="1138"/>
        <v>#N/A</v>
      </c>
      <c r="NL57" s="90" t="e">
        <f t="shared" si="1138"/>
        <v>#N/A</v>
      </c>
      <c r="NM57" s="90" t="e">
        <f t="shared" si="1138"/>
        <v>#N/A</v>
      </c>
      <c r="NN57" s="91" t="e">
        <f t="shared" si="1138"/>
        <v>#N/A</v>
      </c>
      <c r="NO57" s="90" t="e">
        <f t="shared" si="1138"/>
        <v>#N/A</v>
      </c>
      <c r="NP57" s="90" t="e">
        <f t="shared" si="1138"/>
        <v>#N/A</v>
      </c>
      <c r="NQ57" s="90" t="e">
        <f t="shared" si="1138"/>
        <v>#N/A</v>
      </c>
      <c r="NR57" s="90" t="e">
        <f t="shared" si="1138"/>
        <v>#N/A</v>
      </c>
      <c r="NS57" s="90" t="e">
        <f t="shared" si="1138"/>
        <v>#N/A</v>
      </c>
      <c r="NT57" s="90" t="e">
        <f t="shared" si="1138"/>
        <v>#N/A</v>
      </c>
      <c r="NU57" s="90" t="e">
        <f t="shared" si="1138"/>
        <v>#N/A</v>
      </c>
      <c r="NV57" s="90" t="e">
        <f t="shared" si="1138"/>
        <v>#N/A</v>
      </c>
      <c r="NW57" s="90" t="e">
        <f t="shared" ref="NW57:QH57" si="1139">SUM(NW55:NW56)</f>
        <v>#N/A</v>
      </c>
      <c r="NX57" s="90" t="e">
        <f t="shared" si="1139"/>
        <v>#N/A</v>
      </c>
      <c r="NY57" s="90" t="e">
        <f t="shared" si="1139"/>
        <v>#N/A</v>
      </c>
      <c r="NZ57" s="90" t="e">
        <f t="shared" si="1139"/>
        <v>#N/A</v>
      </c>
      <c r="OA57" s="91" t="e">
        <f t="shared" si="1139"/>
        <v>#N/A</v>
      </c>
      <c r="OB57" s="90" t="e">
        <f t="shared" si="1139"/>
        <v>#N/A</v>
      </c>
      <c r="OC57" s="90" t="e">
        <f t="shared" si="1139"/>
        <v>#N/A</v>
      </c>
      <c r="OD57" s="90" t="e">
        <f t="shared" si="1139"/>
        <v>#N/A</v>
      </c>
      <c r="OE57" s="90" t="e">
        <f t="shared" si="1139"/>
        <v>#N/A</v>
      </c>
      <c r="OF57" s="90" t="e">
        <f t="shared" si="1139"/>
        <v>#N/A</v>
      </c>
      <c r="OG57" s="90" t="e">
        <f t="shared" si="1139"/>
        <v>#N/A</v>
      </c>
      <c r="OH57" s="90" t="e">
        <f t="shared" si="1139"/>
        <v>#N/A</v>
      </c>
      <c r="OI57" s="90" t="e">
        <f t="shared" si="1139"/>
        <v>#N/A</v>
      </c>
      <c r="OJ57" s="90" t="e">
        <f t="shared" si="1139"/>
        <v>#N/A</v>
      </c>
      <c r="OK57" s="90" t="e">
        <f t="shared" si="1139"/>
        <v>#N/A</v>
      </c>
      <c r="OL57" s="90" t="e">
        <f t="shared" si="1139"/>
        <v>#N/A</v>
      </c>
      <c r="OM57" s="90" t="e">
        <f t="shared" si="1139"/>
        <v>#N/A</v>
      </c>
      <c r="ON57" s="91" t="e">
        <f t="shared" si="1139"/>
        <v>#N/A</v>
      </c>
      <c r="OO57" s="90" t="e">
        <f t="shared" si="1139"/>
        <v>#N/A</v>
      </c>
      <c r="OP57" s="90" t="e">
        <f t="shared" si="1139"/>
        <v>#N/A</v>
      </c>
      <c r="OQ57" s="90" t="e">
        <f t="shared" si="1139"/>
        <v>#N/A</v>
      </c>
      <c r="OR57" s="90" t="e">
        <f t="shared" si="1139"/>
        <v>#N/A</v>
      </c>
      <c r="OS57" s="90" t="e">
        <f t="shared" si="1139"/>
        <v>#N/A</v>
      </c>
      <c r="OT57" s="90" t="e">
        <f t="shared" si="1139"/>
        <v>#N/A</v>
      </c>
      <c r="OU57" s="90" t="e">
        <f t="shared" si="1139"/>
        <v>#N/A</v>
      </c>
      <c r="OV57" s="90" t="e">
        <f t="shared" si="1139"/>
        <v>#N/A</v>
      </c>
      <c r="OW57" s="90" t="e">
        <f t="shared" si="1139"/>
        <v>#N/A</v>
      </c>
      <c r="OX57" s="90" t="e">
        <f t="shared" si="1139"/>
        <v>#N/A</v>
      </c>
      <c r="OY57" s="90" t="e">
        <f t="shared" si="1139"/>
        <v>#N/A</v>
      </c>
      <c r="OZ57" s="90" t="e">
        <f t="shared" si="1139"/>
        <v>#N/A</v>
      </c>
      <c r="PA57" s="91" t="e">
        <f t="shared" si="1139"/>
        <v>#N/A</v>
      </c>
      <c r="PB57" s="90" t="e">
        <f t="shared" si="1139"/>
        <v>#N/A</v>
      </c>
      <c r="PC57" s="90" t="e">
        <f t="shared" si="1139"/>
        <v>#N/A</v>
      </c>
      <c r="PD57" s="90" t="e">
        <f t="shared" si="1139"/>
        <v>#N/A</v>
      </c>
      <c r="PE57" s="90" t="e">
        <f t="shared" si="1139"/>
        <v>#N/A</v>
      </c>
      <c r="PF57" s="90" t="e">
        <f t="shared" si="1139"/>
        <v>#N/A</v>
      </c>
      <c r="PG57" s="90" t="e">
        <f t="shared" si="1139"/>
        <v>#N/A</v>
      </c>
      <c r="PH57" s="90" t="e">
        <f t="shared" si="1139"/>
        <v>#N/A</v>
      </c>
      <c r="PI57" s="90" t="e">
        <f t="shared" si="1139"/>
        <v>#N/A</v>
      </c>
      <c r="PJ57" s="90" t="e">
        <f t="shared" si="1139"/>
        <v>#N/A</v>
      </c>
      <c r="PK57" s="90" t="e">
        <f t="shared" si="1139"/>
        <v>#N/A</v>
      </c>
      <c r="PL57" s="90" t="e">
        <f t="shared" si="1139"/>
        <v>#N/A</v>
      </c>
      <c r="PM57" s="90" t="e">
        <f t="shared" si="1139"/>
        <v>#N/A</v>
      </c>
      <c r="PN57" s="91" t="e">
        <f t="shared" si="1139"/>
        <v>#N/A</v>
      </c>
      <c r="PO57" s="90" t="e">
        <f t="shared" si="1139"/>
        <v>#N/A</v>
      </c>
      <c r="PP57" s="90" t="e">
        <f t="shared" si="1139"/>
        <v>#N/A</v>
      </c>
      <c r="PQ57" s="90" t="e">
        <f t="shared" si="1139"/>
        <v>#N/A</v>
      </c>
      <c r="PR57" s="90" t="e">
        <f t="shared" si="1139"/>
        <v>#N/A</v>
      </c>
      <c r="PS57" s="90" t="e">
        <f t="shared" si="1139"/>
        <v>#N/A</v>
      </c>
      <c r="PT57" s="90" t="e">
        <f t="shared" si="1139"/>
        <v>#N/A</v>
      </c>
      <c r="PU57" s="90" t="e">
        <f t="shared" si="1139"/>
        <v>#N/A</v>
      </c>
      <c r="PV57" s="90" t="e">
        <f t="shared" si="1139"/>
        <v>#N/A</v>
      </c>
      <c r="PW57" s="90" t="e">
        <f t="shared" si="1139"/>
        <v>#N/A</v>
      </c>
      <c r="PX57" s="90" t="e">
        <f t="shared" si="1139"/>
        <v>#N/A</v>
      </c>
      <c r="PY57" s="90" t="e">
        <f t="shared" si="1139"/>
        <v>#N/A</v>
      </c>
      <c r="PZ57" s="90" t="e">
        <f t="shared" si="1139"/>
        <v>#N/A</v>
      </c>
      <c r="QA57" s="91" t="e">
        <f t="shared" si="1139"/>
        <v>#N/A</v>
      </c>
      <c r="QB57" s="90" t="e">
        <f t="shared" si="1139"/>
        <v>#N/A</v>
      </c>
      <c r="QC57" s="90" t="e">
        <f t="shared" si="1139"/>
        <v>#N/A</v>
      </c>
      <c r="QD57" s="90" t="e">
        <f t="shared" si="1139"/>
        <v>#N/A</v>
      </c>
      <c r="QE57" s="90" t="e">
        <f t="shared" si="1139"/>
        <v>#N/A</v>
      </c>
      <c r="QF57" s="90" t="e">
        <f t="shared" si="1139"/>
        <v>#N/A</v>
      </c>
      <c r="QG57" s="90" t="e">
        <f t="shared" si="1139"/>
        <v>#N/A</v>
      </c>
      <c r="QH57" s="90" t="e">
        <f t="shared" si="1139"/>
        <v>#N/A</v>
      </c>
      <c r="QI57" s="90" t="e">
        <f t="shared" ref="QI57:RN57" si="1140">SUM(QI55:QI56)</f>
        <v>#N/A</v>
      </c>
      <c r="QJ57" s="90" t="e">
        <f t="shared" si="1140"/>
        <v>#N/A</v>
      </c>
      <c r="QK57" s="90" t="e">
        <f t="shared" si="1140"/>
        <v>#N/A</v>
      </c>
      <c r="QL57" s="90" t="e">
        <f t="shared" si="1140"/>
        <v>#N/A</v>
      </c>
      <c r="QM57" s="90" t="e">
        <f t="shared" si="1140"/>
        <v>#N/A</v>
      </c>
      <c r="QN57" s="91" t="e">
        <f t="shared" si="1140"/>
        <v>#N/A</v>
      </c>
      <c r="QO57" s="90" t="e">
        <f t="shared" si="1140"/>
        <v>#N/A</v>
      </c>
      <c r="QP57" s="90" t="e">
        <f t="shared" si="1140"/>
        <v>#N/A</v>
      </c>
      <c r="QQ57" s="90" t="e">
        <f t="shared" si="1140"/>
        <v>#N/A</v>
      </c>
      <c r="QR57" s="90" t="e">
        <f t="shared" si="1140"/>
        <v>#N/A</v>
      </c>
      <c r="QS57" s="90" t="e">
        <f t="shared" si="1140"/>
        <v>#N/A</v>
      </c>
      <c r="QT57" s="90" t="e">
        <f t="shared" si="1140"/>
        <v>#N/A</v>
      </c>
      <c r="QU57" s="90" t="e">
        <f t="shared" si="1140"/>
        <v>#N/A</v>
      </c>
      <c r="QV57" s="90" t="e">
        <f t="shared" si="1140"/>
        <v>#N/A</v>
      </c>
      <c r="QW57" s="90" t="e">
        <f t="shared" si="1140"/>
        <v>#N/A</v>
      </c>
      <c r="QX57" s="90" t="e">
        <f t="shared" si="1140"/>
        <v>#N/A</v>
      </c>
      <c r="QY57" s="90" t="e">
        <f t="shared" si="1140"/>
        <v>#N/A</v>
      </c>
      <c r="QZ57" s="90" t="e">
        <f t="shared" si="1140"/>
        <v>#N/A</v>
      </c>
      <c r="RA57" s="91" t="e">
        <f t="shared" si="1140"/>
        <v>#N/A</v>
      </c>
      <c r="RB57" s="90" t="e">
        <f t="shared" si="1140"/>
        <v>#N/A</v>
      </c>
      <c r="RC57" s="90" t="e">
        <f t="shared" si="1140"/>
        <v>#N/A</v>
      </c>
      <c r="RD57" s="90" t="e">
        <f t="shared" si="1140"/>
        <v>#N/A</v>
      </c>
      <c r="RE57" s="90" t="e">
        <f t="shared" si="1140"/>
        <v>#N/A</v>
      </c>
      <c r="RF57" s="90" t="e">
        <f t="shared" si="1140"/>
        <v>#N/A</v>
      </c>
      <c r="RG57" s="90" t="e">
        <f t="shared" si="1140"/>
        <v>#N/A</v>
      </c>
      <c r="RH57" s="90" t="e">
        <f t="shared" si="1140"/>
        <v>#N/A</v>
      </c>
      <c r="RI57" s="90" t="e">
        <f t="shared" si="1140"/>
        <v>#N/A</v>
      </c>
      <c r="RJ57" s="90" t="e">
        <f t="shared" si="1140"/>
        <v>#N/A</v>
      </c>
      <c r="RK57" s="90" t="e">
        <f t="shared" si="1140"/>
        <v>#N/A</v>
      </c>
      <c r="RL57" s="90" t="e">
        <f t="shared" si="1140"/>
        <v>#N/A</v>
      </c>
      <c r="RM57" s="90" t="e">
        <f t="shared" si="1140"/>
        <v>#N/A</v>
      </c>
      <c r="RN57" s="91" t="e">
        <f t="shared" si="1140"/>
        <v>#N/A</v>
      </c>
    </row>
    <row r="58" spans="1:482" s="77" customFormat="1" hidden="1" outlineLevel="1" x14ac:dyDescent="0.3">
      <c r="A58" s="89" t="s">
        <v>269</v>
      </c>
      <c r="B58" s="86" t="e">
        <f>VLOOKUP(B$1,Amort!$B:$K,2,0)</f>
        <v>#N/A</v>
      </c>
      <c r="C58" s="86" t="e">
        <f>VLOOKUP(C$1,Amort!$B:$K,2,0)</f>
        <v>#N/A</v>
      </c>
      <c r="D58" s="86" t="e">
        <f>VLOOKUP(D$1,Amort!$B:$K,2,0)</f>
        <v>#N/A</v>
      </c>
      <c r="E58" s="86" t="e">
        <f>VLOOKUP(E$1,Amort!$B:$K,2,0)</f>
        <v>#N/A</v>
      </c>
      <c r="F58" s="86" t="e">
        <f>VLOOKUP(F$1,Amort!$B:$K,2,0)</f>
        <v>#N/A</v>
      </c>
      <c r="G58" s="86" t="e">
        <f>VLOOKUP(G$1,Amort!$B:$K,2,0)</f>
        <v>#N/A</v>
      </c>
      <c r="H58" s="86" t="e">
        <f>VLOOKUP(H$1,Amort!$B:$K,2,0)</f>
        <v>#N/A</v>
      </c>
      <c r="I58" s="86" t="e">
        <f>VLOOKUP(I$1,Amort!$B:$K,2,0)</f>
        <v>#N/A</v>
      </c>
      <c r="J58" s="86" t="e">
        <f>VLOOKUP(J$1,Amort!$B:$K,2,0)</f>
        <v>#N/A</v>
      </c>
      <c r="K58" s="86" t="e">
        <f>VLOOKUP(K$1,Amort!$B:$K,2,0)</f>
        <v>#N/A</v>
      </c>
      <c r="L58" s="86" t="e">
        <f>VLOOKUP(L$1,Amort!$B:$K,2,0)</f>
        <v>#N/A</v>
      </c>
      <c r="M58" s="86" t="e">
        <f>VLOOKUP(M$1,Amort!$B:$K,2,0)</f>
        <v>#N/A</v>
      </c>
      <c r="N58" s="87" t="e">
        <f>M58</f>
        <v>#N/A</v>
      </c>
      <c r="O58" s="86" t="e">
        <f>VLOOKUP(O$1,Amort!$B:$K,2,0)</f>
        <v>#N/A</v>
      </c>
      <c r="P58" s="86" t="e">
        <f>VLOOKUP(P$1,Amort!$B:$K,2,0)</f>
        <v>#N/A</v>
      </c>
      <c r="Q58" s="86" t="e">
        <f>VLOOKUP(Q$1,Amort!$B:$K,2,0)</f>
        <v>#N/A</v>
      </c>
      <c r="R58" s="86" t="e">
        <f>VLOOKUP(R$1,Amort!$B:$K,2,0)</f>
        <v>#N/A</v>
      </c>
      <c r="S58" s="86" t="e">
        <f>VLOOKUP(S$1,Amort!$B:$K,2,0)</f>
        <v>#N/A</v>
      </c>
      <c r="T58" s="86" t="e">
        <f>VLOOKUP(T$1,Amort!$B:$K,2,0)</f>
        <v>#N/A</v>
      </c>
      <c r="U58" s="86" t="e">
        <f>VLOOKUP(U$1,Amort!$B:$K,2,0)</f>
        <v>#N/A</v>
      </c>
      <c r="V58" s="86" t="e">
        <f>VLOOKUP(V$1,Amort!$B:$K,2,0)</f>
        <v>#N/A</v>
      </c>
      <c r="W58" s="86" t="e">
        <f>VLOOKUP(W$1,Amort!$B:$K,2,0)</f>
        <v>#N/A</v>
      </c>
      <c r="X58" s="86" t="e">
        <f>VLOOKUP(X$1,Amort!$B:$K,2,0)</f>
        <v>#N/A</v>
      </c>
      <c r="Y58" s="86" t="e">
        <f>VLOOKUP(Y$1,Amort!$B:$K,2,0)</f>
        <v>#N/A</v>
      </c>
      <c r="Z58" s="86" t="e">
        <f>VLOOKUP(Z$1,Amort!$B:$K,2,0)</f>
        <v>#N/A</v>
      </c>
      <c r="AA58" s="87" t="e">
        <f>Z58</f>
        <v>#N/A</v>
      </c>
      <c r="AB58" s="86" t="e">
        <f>VLOOKUP(AB$1,Amort!$B:$K,2,0)</f>
        <v>#N/A</v>
      </c>
      <c r="AC58" s="86" t="e">
        <f>VLOOKUP(AC$1,Amort!$B:$K,2,0)</f>
        <v>#N/A</v>
      </c>
      <c r="AD58" s="86" t="e">
        <f>VLOOKUP(AD$1,Amort!$B:$K,2,0)</f>
        <v>#N/A</v>
      </c>
      <c r="AE58" s="86" t="e">
        <f>VLOOKUP(AE$1,Amort!$B:$K,2,0)</f>
        <v>#N/A</v>
      </c>
      <c r="AF58" s="86" t="e">
        <f>VLOOKUP(AF$1,Amort!$B:$K,2,0)</f>
        <v>#N/A</v>
      </c>
      <c r="AG58" s="86" t="e">
        <f>VLOOKUP(AG$1,Amort!$B:$K,2,0)</f>
        <v>#N/A</v>
      </c>
      <c r="AH58" s="86" t="e">
        <f>VLOOKUP(AH$1,Amort!$B:$K,2,0)</f>
        <v>#N/A</v>
      </c>
      <c r="AI58" s="86" t="e">
        <f>VLOOKUP(AI$1,Amort!$B:$K,2,0)</f>
        <v>#N/A</v>
      </c>
      <c r="AJ58" s="86" t="e">
        <f>VLOOKUP(AJ$1,Amort!$B:$K,2,0)</f>
        <v>#N/A</v>
      </c>
      <c r="AK58" s="86" t="e">
        <f>VLOOKUP(AK$1,Amort!$B:$K,2,0)</f>
        <v>#N/A</v>
      </c>
      <c r="AL58" s="86" t="e">
        <f>VLOOKUP(AL$1,Amort!$B:$K,2,0)</f>
        <v>#N/A</v>
      </c>
      <c r="AM58" s="86" t="e">
        <f>VLOOKUP(AM$1,Amort!$B:$K,2,0)</f>
        <v>#N/A</v>
      </c>
      <c r="AN58" s="87" t="e">
        <f>AM58</f>
        <v>#N/A</v>
      </c>
      <c r="AO58" s="86" t="e">
        <f>VLOOKUP(AO$1,Amort!$B:$K,2,0)</f>
        <v>#N/A</v>
      </c>
      <c r="AP58" s="86" t="e">
        <f>VLOOKUP(AP$1,Amort!$B:$K,2,0)</f>
        <v>#N/A</v>
      </c>
      <c r="AQ58" s="86" t="e">
        <f>VLOOKUP(AQ$1,Amort!$B:$K,2,0)</f>
        <v>#N/A</v>
      </c>
      <c r="AR58" s="86" t="e">
        <f>VLOOKUP(AR$1,Amort!$B:$K,2,0)</f>
        <v>#N/A</v>
      </c>
      <c r="AS58" s="86" t="e">
        <f>VLOOKUP(AS$1,Amort!$B:$K,2,0)</f>
        <v>#N/A</v>
      </c>
      <c r="AT58" s="86" t="e">
        <f>VLOOKUP(AT$1,Amort!$B:$K,2,0)</f>
        <v>#N/A</v>
      </c>
      <c r="AU58" s="86" t="e">
        <f>VLOOKUP(AU$1,Amort!$B:$K,2,0)</f>
        <v>#N/A</v>
      </c>
      <c r="AV58" s="86" t="e">
        <f>VLOOKUP(AV$1,Amort!$B:$K,2,0)</f>
        <v>#N/A</v>
      </c>
      <c r="AW58" s="86" t="e">
        <f>VLOOKUP(AW$1,Amort!$B:$K,2,0)</f>
        <v>#N/A</v>
      </c>
      <c r="AX58" s="86" t="e">
        <f>VLOOKUP(AX$1,Amort!$B:$K,2,0)</f>
        <v>#N/A</v>
      </c>
      <c r="AY58" s="86" t="e">
        <f>VLOOKUP(AY$1,Amort!$B:$K,2,0)</f>
        <v>#N/A</v>
      </c>
      <c r="AZ58" s="86" t="e">
        <f>VLOOKUP(AZ$1,Amort!$B:$K,2,0)</f>
        <v>#N/A</v>
      </c>
      <c r="BA58" s="87" t="e">
        <f>AZ58</f>
        <v>#N/A</v>
      </c>
      <c r="BB58" s="86" t="e">
        <f>VLOOKUP(BB$1,Amort!$B:$K,2,0)</f>
        <v>#N/A</v>
      </c>
      <c r="BC58" s="86" t="e">
        <f>VLOOKUP(BC$1,Amort!$B:$K,2,0)</f>
        <v>#N/A</v>
      </c>
      <c r="BD58" s="86" t="e">
        <f>VLOOKUP(BD$1,Amort!$B:$K,2,0)</f>
        <v>#N/A</v>
      </c>
      <c r="BE58" s="86" t="e">
        <f>VLOOKUP(BE$1,Amort!$B:$K,2,0)</f>
        <v>#N/A</v>
      </c>
      <c r="BF58" s="86" t="e">
        <f>VLOOKUP(BF$1,Amort!$B:$K,2,0)</f>
        <v>#N/A</v>
      </c>
      <c r="BG58" s="86" t="e">
        <f>VLOOKUP(BG$1,Amort!$B:$K,2,0)</f>
        <v>#N/A</v>
      </c>
      <c r="BH58" s="86" t="e">
        <f>VLOOKUP(BH$1,Amort!$B:$K,2,0)</f>
        <v>#N/A</v>
      </c>
      <c r="BI58" s="86" t="e">
        <f>VLOOKUP(BI$1,Amort!$B:$K,2,0)</f>
        <v>#N/A</v>
      </c>
      <c r="BJ58" s="86" t="e">
        <f>VLOOKUP(BJ$1,Amort!$B:$K,2,0)</f>
        <v>#N/A</v>
      </c>
      <c r="BK58" s="86" t="e">
        <f>VLOOKUP(BK$1,Amort!$B:$K,2,0)</f>
        <v>#N/A</v>
      </c>
      <c r="BL58" s="86" t="e">
        <f>VLOOKUP(BL$1,Amort!$B:$K,2,0)</f>
        <v>#N/A</v>
      </c>
      <c r="BM58" s="86" t="e">
        <f>VLOOKUP(BM$1,Amort!$B:$K,2,0)</f>
        <v>#N/A</v>
      </c>
      <c r="BN58" s="87" t="e">
        <f>BM58</f>
        <v>#N/A</v>
      </c>
      <c r="BO58" s="86" t="e">
        <f>VLOOKUP(BO$1,Amort!$B:$K,2,0)</f>
        <v>#N/A</v>
      </c>
      <c r="BP58" s="86" t="e">
        <f>VLOOKUP(BP$1,Amort!$B:$K,2,0)</f>
        <v>#N/A</v>
      </c>
      <c r="BQ58" s="86" t="e">
        <f>VLOOKUP(BQ$1,Amort!$B:$K,2,0)</f>
        <v>#N/A</v>
      </c>
      <c r="BR58" s="86" t="e">
        <f>VLOOKUP(BR$1,Amort!$B:$K,2,0)</f>
        <v>#N/A</v>
      </c>
      <c r="BS58" s="86" t="e">
        <f>VLOOKUP(BS$1,Amort!$B:$K,2,0)</f>
        <v>#N/A</v>
      </c>
      <c r="BT58" s="86" t="e">
        <f>VLOOKUP(BT$1,Amort!$B:$K,2,0)</f>
        <v>#N/A</v>
      </c>
      <c r="BU58" s="86" t="e">
        <f>VLOOKUP(BU$1,Amort!$B:$K,2,0)</f>
        <v>#N/A</v>
      </c>
      <c r="BV58" s="86" t="e">
        <f>VLOOKUP(BV$1,Amort!$B:$K,2,0)</f>
        <v>#N/A</v>
      </c>
      <c r="BW58" s="86" t="e">
        <f>VLOOKUP(BW$1,Amort!$B:$K,2,0)</f>
        <v>#N/A</v>
      </c>
      <c r="BX58" s="86" t="e">
        <f>VLOOKUP(BX$1,Amort!$B:$K,2,0)</f>
        <v>#N/A</v>
      </c>
      <c r="BY58" s="86" t="e">
        <f>VLOOKUP(BY$1,Amort!$B:$K,2,0)</f>
        <v>#N/A</v>
      </c>
      <c r="BZ58" s="86" t="e">
        <f>VLOOKUP(BZ$1,Amort!$B:$K,2,0)</f>
        <v>#N/A</v>
      </c>
      <c r="CA58" s="87" t="e">
        <f>BZ58</f>
        <v>#N/A</v>
      </c>
      <c r="CB58" s="86" t="e">
        <f>VLOOKUP(CB$1,Amort!$B:$K,2,0)</f>
        <v>#N/A</v>
      </c>
      <c r="CC58" s="86" t="e">
        <f>VLOOKUP(CC$1,Amort!$B:$K,2,0)</f>
        <v>#N/A</v>
      </c>
      <c r="CD58" s="86" t="e">
        <f>VLOOKUP(CD$1,Amort!$B:$K,2,0)</f>
        <v>#N/A</v>
      </c>
      <c r="CE58" s="86" t="e">
        <f>VLOOKUP(CE$1,Amort!$B:$K,2,0)</f>
        <v>#N/A</v>
      </c>
      <c r="CF58" s="86" t="e">
        <f>VLOOKUP(CF$1,Amort!$B:$K,2,0)</f>
        <v>#N/A</v>
      </c>
      <c r="CG58" s="86" t="e">
        <f>VLOOKUP(CG$1,Amort!$B:$K,2,0)</f>
        <v>#N/A</v>
      </c>
      <c r="CH58" s="86" t="e">
        <f>VLOOKUP(CH$1,Amort!$B:$K,2,0)</f>
        <v>#N/A</v>
      </c>
      <c r="CI58" s="86" t="e">
        <f>VLOOKUP(CI$1,Amort!$B:$K,2,0)</f>
        <v>#N/A</v>
      </c>
      <c r="CJ58" s="86" t="e">
        <f>VLOOKUP(CJ$1,Amort!$B:$K,2,0)</f>
        <v>#N/A</v>
      </c>
      <c r="CK58" s="86" t="e">
        <f>VLOOKUP(CK$1,Amort!$B:$K,2,0)</f>
        <v>#N/A</v>
      </c>
      <c r="CL58" s="86" t="e">
        <f>VLOOKUP(CL$1,Amort!$B:$K,2,0)</f>
        <v>#N/A</v>
      </c>
      <c r="CM58" s="86" t="e">
        <f>VLOOKUP(CM$1,Amort!$B:$K,2,0)</f>
        <v>#N/A</v>
      </c>
      <c r="CN58" s="87" t="e">
        <f>CM58</f>
        <v>#N/A</v>
      </c>
      <c r="CO58" s="86" t="e">
        <f>VLOOKUP(CO$1,Amort!$B:$K,2,0)</f>
        <v>#N/A</v>
      </c>
      <c r="CP58" s="86" t="e">
        <f>VLOOKUP(CP$1,Amort!$B:$K,2,0)</f>
        <v>#N/A</v>
      </c>
      <c r="CQ58" s="86" t="e">
        <f>VLOOKUP(CQ$1,Amort!$B:$K,2,0)</f>
        <v>#N/A</v>
      </c>
      <c r="CR58" s="86" t="e">
        <f>VLOOKUP(CR$1,Amort!$B:$K,2,0)</f>
        <v>#N/A</v>
      </c>
      <c r="CS58" s="86" t="e">
        <f>VLOOKUP(CS$1,Amort!$B:$K,2,0)</f>
        <v>#N/A</v>
      </c>
      <c r="CT58" s="86" t="e">
        <f>VLOOKUP(CT$1,Amort!$B:$K,2,0)</f>
        <v>#N/A</v>
      </c>
      <c r="CU58" s="86" t="e">
        <f>VLOOKUP(CU$1,Amort!$B:$K,2,0)</f>
        <v>#N/A</v>
      </c>
      <c r="CV58" s="86" t="e">
        <f>VLOOKUP(CV$1,Amort!$B:$K,2,0)</f>
        <v>#N/A</v>
      </c>
      <c r="CW58" s="86" t="e">
        <f>VLOOKUP(CW$1,Amort!$B:$K,2,0)</f>
        <v>#N/A</v>
      </c>
      <c r="CX58" s="86" t="e">
        <f>VLOOKUP(CX$1,Amort!$B:$K,2,0)</f>
        <v>#N/A</v>
      </c>
      <c r="CY58" s="86" t="e">
        <f>VLOOKUP(CY$1,Amort!$B:$K,2,0)</f>
        <v>#N/A</v>
      </c>
      <c r="CZ58" s="86" t="e">
        <f>VLOOKUP(CZ$1,Amort!$B:$K,2,0)</f>
        <v>#N/A</v>
      </c>
      <c r="DA58" s="87" t="e">
        <f>CZ58</f>
        <v>#N/A</v>
      </c>
      <c r="DB58" s="86" t="e">
        <f>VLOOKUP(DB$1,Amort!$B:$K,2,0)</f>
        <v>#N/A</v>
      </c>
      <c r="DC58" s="86" t="e">
        <f>VLOOKUP(DC$1,Amort!$B:$K,2,0)</f>
        <v>#N/A</v>
      </c>
      <c r="DD58" s="86" t="e">
        <f>VLOOKUP(DD$1,Amort!$B:$K,2,0)</f>
        <v>#N/A</v>
      </c>
      <c r="DE58" s="86" t="e">
        <f>VLOOKUP(DE$1,Amort!$B:$K,2,0)</f>
        <v>#N/A</v>
      </c>
      <c r="DF58" s="86" t="e">
        <f>VLOOKUP(DF$1,Amort!$B:$K,2,0)</f>
        <v>#N/A</v>
      </c>
      <c r="DG58" s="86" t="e">
        <f>VLOOKUP(DG$1,Amort!$B:$K,2,0)</f>
        <v>#N/A</v>
      </c>
      <c r="DH58" s="86" t="e">
        <f>VLOOKUP(DH$1,Amort!$B:$K,2,0)</f>
        <v>#N/A</v>
      </c>
      <c r="DI58" s="86" t="e">
        <f>VLOOKUP(DI$1,Amort!$B:$K,2,0)</f>
        <v>#N/A</v>
      </c>
      <c r="DJ58" s="86" t="e">
        <f>VLOOKUP(DJ$1,Amort!$B:$K,2,0)</f>
        <v>#N/A</v>
      </c>
      <c r="DK58" s="86" t="e">
        <f>VLOOKUP(DK$1,Amort!$B:$K,2,0)</f>
        <v>#N/A</v>
      </c>
      <c r="DL58" s="86" t="e">
        <f>VLOOKUP(DL$1,Amort!$B:$K,2,0)</f>
        <v>#N/A</v>
      </c>
      <c r="DM58" s="86" t="e">
        <f>VLOOKUP(DM$1,Amort!$B:$K,2,0)</f>
        <v>#N/A</v>
      </c>
      <c r="DN58" s="87" t="e">
        <f>DM58</f>
        <v>#N/A</v>
      </c>
      <c r="DO58" s="86" t="e">
        <f>VLOOKUP(DO$1,Amort!$B:$K,2,0)</f>
        <v>#N/A</v>
      </c>
      <c r="DP58" s="86" t="e">
        <f>VLOOKUP(DP$1,Amort!$B:$K,2,0)</f>
        <v>#N/A</v>
      </c>
      <c r="DQ58" s="86" t="e">
        <f>VLOOKUP(DQ$1,Amort!$B:$K,2,0)</f>
        <v>#N/A</v>
      </c>
      <c r="DR58" s="86" t="e">
        <f>VLOOKUP(DR$1,Amort!$B:$K,2,0)</f>
        <v>#N/A</v>
      </c>
      <c r="DS58" s="86" t="e">
        <f>VLOOKUP(DS$1,Amort!$B:$K,2,0)</f>
        <v>#N/A</v>
      </c>
      <c r="DT58" s="86" t="e">
        <f>VLOOKUP(DT$1,Amort!$B:$K,2,0)</f>
        <v>#N/A</v>
      </c>
      <c r="DU58" s="86" t="e">
        <f>VLOOKUP(DU$1,Amort!$B:$K,2,0)</f>
        <v>#N/A</v>
      </c>
      <c r="DV58" s="86" t="e">
        <f>VLOOKUP(DV$1,Amort!$B:$K,2,0)</f>
        <v>#N/A</v>
      </c>
      <c r="DW58" s="86" t="e">
        <f>VLOOKUP(DW$1,Amort!$B:$K,2,0)</f>
        <v>#N/A</v>
      </c>
      <c r="DX58" s="86" t="e">
        <f>VLOOKUP(DX$1,Amort!$B:$K,2,0)</f>
        <v>#N/A</v>
      </c>
      <c r="DY58" s="86" t="e">
        <f>VLOOKUP(DY$1,Amort!$B:$K,2,0)</f>
        <v>#N/A</v>
      </c>
      <c r="DZ58" s="86" t="e">
        <f>VLOOKUP(DZ$1,Amort!$B:$K,2,0)</f>
        <v>#N/A</v>
      </c>
      <c r="EA58" s="87" t="e">
        <f>DZ58</f>
        <v>#N/A</v>
      </c>
      <c r="EB58" s="86" t="e">
        <f>VLOOKUP(EB$1,Amort!$B:$K,2,0)</f>
        <v>#N/A</v>
      </c>
      <c r="EC58" s="86" t="e">
        <f>VLOOKUP(EC$1,Amort!$B:$K,2,0)</f>
        <v>#N/A</v>
      </c>
      <c r="ED58" s="86" t="e">
        <f>VLOOKUP(ED$1,Amort!$B:$K,2,0)</f>
        <v>#N/A</v>
      </c>
      <c r="EE58" s="86" t="e">
        <f>VLOOKUP(EE$1,Amort!$B:$K,2,0)</f>
        <v>#N/A</v>
      </c>
      <c r="EF58" s="86" t="e">
        <f>VLOOKUP(EF$1,Amort!$B:$K,2,0)</f>
        <v>#N/A</v>
      </c>
      <c r="EG58" s="86" t="e">
        <f>VLOOKUP(EG$1,Amort!$B:$K,2,0)</f>
        <v>#N/A</v>
      </c>
      <c r="EH58" s="86" t="e">
        <f>VLOOKUP(EH$1,Amort!$B:$K,2,0)</f>
        <v>#N/A</v>
      </c>
      <c r="EI58" s="86" t="e">
        <f>VLOOKUP(EI$1,Amort!$B:$K,2,0)</f>
        <v>#N/A</v>
      </c>
      <c r="EJ58" s="86" t="e">
        <f>VLOOKUP(EJ$1,Amort!$B:$K,2,0)</f>
        <v>#N/A</v>
      </c>
      <c r="EK58" s="86" t="e">
        <f>VLOOKUP(EK$1,Amort!$B:$K,2,0)</f>
        <v>#N/A</v>
      </c>
      <c r="EL58" s="86" t="e">
        <f>VLOOKUP(EL$1,Amort!$B:$K,2,0)</f>
        <v>#N/A</v>
      </c>
      <c r="EM58" s="86" t="e">
        <f>VLOOKUP(EM$1,Amort!$B:$K,2,0)</f>
        <v>#N/A</v>
      </c>
      <c r="EN58" s="87" t="e">
        <f>EM58</f>
        <v>#N/A</v>
      </c>
      <c r="EO58" s="86" t="e">
        <f>VLOOKUP(EO$1,Amort!$B:$K,2,0)</f>
        <v>#N/A</v>
      </c>
      <c r="EP58" s="86" t="e">
        <f>VLOOKUP(EP$1,Amort!$B:$K,2,0)</f>
        <v>#N/A</v>
      </c>
      <c r="EQ58" s="86" t="e">
        <f>VLOOKUP(EQ$1,Amort!$B:$K,2,0)</f>
        <v>#N/A</v>
      </c>
      <c r="ER58" s="86" t="e">
        <f>VLOOKUP(ER$1,Amort!$B:$K,2,0)</f>
        <v>#N/A</v>
      </c>
      <c r="ES58" s="86" t="e">
        <f>VLOOKUP(ES$1,Amort!$B:$K,2,0)</f>
        <v>#N/A</v>
      </c>
      <c r="ET58" s="86" t="e">
        <f>VLOOKUP(ET$1,Amort!$B:$K,2,0)</f>
        <v>#N/A</v>
      </c>
      <c r="EU58" s="86" t="e">
        <f>VLOOKUP(EU$1,Amort!$B:$K,2,0)</f>
        <v>#N/A</v>
      </c>
      <c r="EV58" s="86" t="e">
        <f>VLOOKUP(EV$1,Amort!$B:$K,2,0)</f>
        <v>#N/A</v>
      </c>
      <c r="EW58" s="86" t="e">
        <f>VLOOKUP(EW$1,Amort!$B:$K,2,0)</f>
        <v>#N/A</v>
      </c>
      <c r="EX58" s="86" t="e">
        <f>VLOOKUP(EX$1,Amort!$B:$K,2,0)</f>
        <v>#N/A</v>
      </c>
      <c r="EY58" s="86" t="e">
        <f>VLOOKUP(EY$1,Amort!$B:$K,2,0)</f>
        <v>#N/A</v>
      </c>
      <c r="EZ58" s="86" t="e">
        <f>VLOOKUP(EZ$1,Amort!$B:$K,2,0)</f>
        <v>#N/A</v>
      </c>
      <c r="FA58" s="87" t="e">
        <f>EZ58</f>
        <v>#N/A</v>
      </c>
      <c r="FB58" s="86" t="e">
        <f>VLOOKUP(FB$1,Amort!$B:$K,2,0)</f>
        <v>#N/A</v>
      </c>
      <c r="FC58" s="86" t="e">
        <f>VLOOKUP(FC$1,Amort!$B:$K,2,0)</f>
        <v>#N/A</v>
      </c>
      <c r="FD58" s="86" t="e">
        <f>VLOOKUP(FD$1,Amort!$B:$K,2,0)</f>
        <v>#N/A</v>
      </c>
      <c r="FE58" s="86" t="e">
        <f>VLOOKUP(FE$1,Amort!$B:$K,2,0)</f>
        <v>#N/A</v>
      </c>
      <c r="FF58" s="86" t="e">
        <f>VLOOKUP(FF$1,Amort!$B:$K,2,0)</f>
        <v>#N/A</v>
      </c>
      <c r="FG58" s="86" t="e">
        <f>VLOOKUP(FG$1,Amort!$B:$K,2,0)</f>
        <v>#N/A</v>
      </c>
      <c r="FH58" s="86" t="e">
        <f>VLOOKUP(FH$1,Amort!$B:$K,2,0)</f>
        <v>#N/A</v>
      </c>
      <c r="FI58" s="86" t="e">
        <f>VLOOKUP(FI$1,Amort!$B:$K,2,0)</f>
        <v>#N/A</v>
      </c>
      <c r="FJ58" s="86" t="e">
        <f>VLOOKUP(FJ$1,Amort!$B:$K,2,0)</f>
        <v>#N/A</v>
      </c>
      <c r="FK58" s="86" t="e">
        <f>VLOOKUP(FK$1,Amort!$B:$K,2,0)</f>
        <v>#N/A</v>
      </c>
      <c r="FL58" s="86" t="e">
        <f>VLOOKUP(FL$1,Amort!$B:$K,2,0)</f>
        <v>#N/A</v>
      </c>
      <c r="FM58" s="86" t="e">
        <f>VLOOKUP(FM$1,Amort!$B:$K,2,0)</f>
        <v>#N/A</v>
      </c>
      <c r="FN58" s="87" t="e">
        <f>FM58</f>
        <v>#N/A</v>
      </c>
      <c r="FO58" s="86" t="e">
        <f>VLOOKUP(FO$1,Amort!$B:$K,2,0)</f>
        <v>#N/A</v>
      </c>
      <c r="FP58" s="86" t="e">
        <f>VLOOKUP(FP$1,Amort!$B:$K,2,0)</f>
        <v>#N/A</v>
      </c>
      <c r="FQ58" s="86" t="e">
        <f>VLOOKUP(FQ$1,Amort!$B:$K,2,0)</f>
        <v>#N/A</v>
      </c>
      <c r="FR58" s="86" t="e">
        <f>VLOOKUP(FR$1,Amort!$B:$K,2,0)</f>
        <v>#N/A</v>
      </c>
      <c r="FS58" s="86" t="e">
        <f>VLOOKUP(FS$1,Amort!$B:$K,2,0)</f>
        <v>#N/A</v>
      </c>
      <c r="FT58" s="86" t="e">
        <f>VLOOKUP(FT$1,Amort!$B:$K,2,0)</f>
        <v>#N/A</v>
      </c>
      <c r="FU58" s="86" t="e">
        <f>VLOOKUP(FU$1,Amort!$B:$K,2,0)</f>
        <v>#N/A</v>
      </c>
      <c r="FV58" s="86" t="e">
        <f>VLOOKUP(FV$1,Amort!$B:$K,2,0)</f>
        <v>#N/A</v>
      </c>
      <c r="FW58" s="86" t="e">
        <f>VLOOKUP(FW$1,Amort!$B:$K,2,0)</f>
        <v>#N/A</v>
      </c>
      <c r="FX58" s="86" t="e">
        <f>VLOOKUP(FX$1,Amort!$B:$K,2,0)</f>
        <v>#N/A</v>
      </c>
      <c r="FY58" s="86" t="e">
        <f>VLOOKUP(FY$1,Amort!$B:$K,2,0)</f>
        <v>#N/A</v>
      </c>
      <c r="FZ58" s="86" t="e">
        <f>VLOOKUP(FZ$1,Amort!$B:$K,2,0)</f>
        <v>#N/A</v>
      </c>
      <c r="GA58" s="87" t="e">
        <f>FZ58</f>
        <v>#N/A</v>
      </c>
      <c r="GB58" s="86" t="e">
        <f>VLOOKUP(GB$1,Amort!$B:$K,2,0)</f>
        <v>#N/A</v>
      </c>
      <c r="GC58" s="86" t="e">
        <f>VLOOKUP(GC$1,Amort!$B:$K,2,0)</f>
        <v>#N/A</v>
      </c>
      <c r="GD58" s="86" t="e">
        <f>VLOOKUP(GD$1,Amort!$B:$K,2,0)</f>
        <v>#N/A</v>
      </c>
      <c r="GE58" s="86" t="e">
        <f>VLOOKUP(GE$1,Amort!$B:$K,2,0)</f>
        <v>#N/A</v>
      </c>
      <c r="GF58" s="86" t="e">
        <f>VLOOKUP(GF$1,Amort!$B:$K,2,0)</f>
        <v>#N/A</v>
      </c>
      <c r="GG58" s="86" t="e">
        <f>VLOOKUP(GG$1,Amort!$B:$K,2,0)</f>
        <v>#N/A</v>
      </c>
      <c r="GH58" s="86" t="e">
        <f>VLOOKUP(GH$1,Amort!$B:$K,2,0)</f>
        <v>#N/A</v>
      </c>
      <c r="GI58" s="86" t="e">
        <f>VLOOKUP(GI$1,Amort!$B:$K,2,0)</f>
        <v>#N/A</v>
      </c>
      <c r="GJ58" s="86" t="e">
        <f>VLOOKUP(GJ$1,Amort!$B:$K,2,0)</f>
        <v>#N/A</v>
      </c>
      <c r="GK58" s="86" t="e">
        <f>VLOOKUP(GK$1,Amort!$B:$K,2,0)</f>
        <v>#N/A</v>
      </c>
      <c r="GL58" s="86" t="e">
        <f>VLOOKUP(GL$1,Amort!$B:$K,2,0)</f>
        <v>#N/A</v>
      </c>
      <c r="GM58" s="86" t="e">
        <f>VLOOKUP(GM$1,Amort!$B:$K,2,0)</f>
        <v>#N/A</v>
      </c>
      <c r="GN58" s="87" t="e">
        <f>GM58</f>
        <v>#N/A</v>
      </c>
      <c r="GO58" s="86" t="e">
        <f>VLOOKUP(GO$1,Amort!$B:$K,2,0)</f>
        <v>#N/A</v>
      </c>
      <c r="GP58" s="86" t="e">
        <f>VLOOKUP(GP$1,Amort!$B:$K,2,0)</f>
        <v>#N/A</v>
      </c>
      <c r="GQ58" s="86" t="e">
        <f>VLOOKUP(GQ$1,Amort!$B:$K,2,0)</f>
        <v>#N/A</v>
      </c>
      <c r="GR58" s="86" t="e">
        <f>VLOOKUP(GR$1,Amort!$B:$K,2,0)</f>
        <v>#N/A</v>
      </c>
      <c r="GS58" s="86" t="e">
        <f>VLOOKUP(GS$1,Amort!$B:$K,2,0)</f>
        <v>#N/A</v>
      </c>
      <c r="GT58" s="86" t="e">
        <f>VLOOKUP(GT$1,Amort!$B:$K,2,0)</f>
        <v>#N/A</v>
      </c>
      <c r="GU58" s="86" t="e">
        <f>VLOOKUP(GU$1,Amort!$B:$K,2,0)</f>
        <v>#N/A</v>
      </c>
      <c r="GV58" s="86" t="e">
        <f>VLOOKUP(GV$1,Amort!$B:$K,2,0)</f>
        <v>#N/A</v>
      </c>
      <c r="GW58" s="86" t="e">
        <f>VLOOKUP(GW$1,Amort!$B:$K,2,0)</f>
        <v>#N/A</v>
      </c>
      <c r="GX58" s="86" t="e">
        <f>VLOOKUP(GX$1,Amort!$B:$K,2,0)</f>
        <v>#N/A</v>
      </c>
      <c r="GY58" s="86" t="e">
        <f>VLOOKUP(GY$1,Amort!$B:$K,2,0)</f>
        <v>#N/A</v>
      </c>
      <c r="GZ58" s="86" t="e">
        <f>VLOOKUP(GZ$1,Amort!$B:$K,2,0)</f>
        <v>#N/A</v>
      </c>
      <c r="HA58" s="87" t="e">
        <f>GZ58</f>
        <v>#N/A</v>
      </c>
      <c r="HB58" s="86" t="e">
        <f>VLOOKUP(HB$1,Amort!$B:$K,2,0)</f>
        <v>#N/A</v>
      </c>
      <c r="HC58" s="86" t="e">
        <f>VLOOKUP(HC$1,Amort!$B:$K,2,0)</f>
        <v>#N/A</v>
      </c>
      <c r="HD58" s="86" t="e">
        <f>VLOOKUP(HD$1,Amort!$B:$K,2,0)</f>
        <v>#N/A</v>
      </c>
      <c r="HE58" s="86" t="e">
        <f>VLOOKUP(HE$1,Amort!$B:$K,2,0)</f>
        <v>#N/A</v>
      </c>
      <c r="HF58" s="86" t="e">
        <f>VLOOKUP(HF$1,Amort!$B:$K,2,0)</f>
        <v>#N/A</v>
      </c>
      <c r="HG58" s="86" t="e">
        <f>VLOOKUP(HG$1,Amort!$B:$K,2,0)</f>
        <v>#N/A</v>
      </c>
      <c r="HH58" s="86" t="e">
        <f>VLOOKUP(HH$1,Amort!$B:$K,2,0)</f>
        <v>#N/A</v>
      </c>
      <c r="HI58" s="86" t="e">
        <f>VLOOKUP(HI$1,Amort!$B:$K,2,0)</f>
        <v>#N/A</v>
      </c>
      <c r="HJ58" s="86" t="e">
        <f>VLOOKUP(HJ$1,Amort!$B:$K,2,0)</f>
        <v>#N/A</v>
      </c>
      <c r="HK58" s="86" t="e">
        <f>VLOOKUP(HK$1,Amort!$B:$K,2,0)</f>
        <v>#N/A</v>
      </c>
      <c r="HL58" s="86" t="e">
        <f>VLOOKUP(HL$1,Amort!$B:$K,2,0)</f>
        <v>#N/A</v>
      </c>
      <c r="HM58" s="86" t="e">
        <f>VLOOKUP(HM$1,Amort!$B:$K,2,0)</f>
        <v>#N/A</v>
      </c>
      <c r="HN58" s="87" t="e">
        <f>HM58</f>
        <v>#N/A</v>
      </c>
      <c r="HO58" s="86" t="e">
        <f>VLOOKUP(HO$1,Amort!$B:$K,2,0)</f>
        <v>#N/A</v>
      </c>
      <c r="HP58" s="86" t="e">
        <f>VLOOKUP(HP$1,Amort!$B:$K,2,0)</f>
        <v>#N/A</v>
      </c>
      <c r="HQ58" s="86" t="e">
        <f>VLOOKUP(HQ$1,Amort!$B:$K,2,0)</f>
        <v>#N/A</v>
      </c>
      <c r="HR58" s="86" t="e">
        <f>VLOOKUP(HR$1,Amort!$B:$K,2,0)</f>
        <v>#N/A</v>
      </c>
      <c r="HS58" s="86" t="e">
        <f>VLOOKUP(HS$1,Amort!$B:$K,2,0)</f>
        <v>#N/A</v>
      </c>
      <c r="HT58" s="86" t="e">
        <f>VLOOKUP(HT$1,Amort!$B:$K,2,0)</f>
        <v>#N/A</v>
      </c>
      <c r="HU58" s="86" t="e">
        <f>VLOOKUP(HU$1,Amort!$B:$K,2,0)</f>
        <v>#N/A</v>
      </c>
      <c r="HV58" s="86" t="e">
        <f>VLOOKUP(HV$1,Amort!$B:$K,2,0)</f>
        <v>#N/A</v>
      </c>
      <c r="HW58" s="86" t="e">
        <f>VLOOKUP(HW$1,Amort!$B:$K,2,0)</f>
        <v>#N/A</v>
      </c>
      <c r="HX58" s="86" t="e">
        <f>VLOOKUP(HX$1,Amort!$B:$K,2,0)</f>
        <v>#N/A</v>
      </c>
      <c r="HY58" s="86" t="e">
        <f>VLOOKUP(HY$1,Amort!$B:$K,2,0)</f>
        <v>#N/A</v>
      </c>
      <c r="HZ58" s="86" t="e">
        <f>VLOOKUP(HZ$1,Amort!$B:$K,2,0)</f>
        <v>#N/A</v>
      </c>
      <c r="IA58" s="87" t="e">
        <f>HZ58</f>
        <v>#N/A</v>
      </c>
      <c r="IB58" s="86" t="e">
        <f>VLOOKUP(IB$1,Amort!$B:$K,2,0)</f>
        <v>#N/A</v>
      </c>
      <c r="IC58" s="86" t="e">
        <f>VLOOKUP(IC$1,Amort!$B:$K,2,0)</f>
        <v>#N/A</v>
      </c>
      <c r="ID58" s="86" t="e">
        <f>VLOOKUP(ID$1,Amort!$B:$K,2,0)</f>
        <v>#N/A</v>
      </c>
      <c r="IE58" s="86" t="e">
        <f>VLOOKUP(IE$1,Amort!$B:$K,2,0)</f>
        <v>#N/A</v>
      </c>
      <c r="IF58" s="86" t="e">
        <f>VLOOKUP(IF$1,Amort!$B:$K,2,0)</f>
        <v>#N/A</v>
      </c>
      <c r="IG58" s="86" t="e">
        <f>VLOOKUP(IG$1,Amort!$B:$K,2,0)</f>
        <v>#N/A</v>
      </c>
      <c r="IH58" s="86" t="e">
        <f>VLOOKUP(IH$1,Amort!$B:$K,2,0)</f>
        <v>#N/A</v>
      </c>
      <c r="II58" s="86" t="e">
        <f>VLOOKUP(II$1,Amort!$B:$K,2,0)</f>
        <v>#N/A</v>
      </c>
      <c r="IJ58" s="86" t="e">
        <f>VLOOKUP(IJ$1,Amort!$B:$K,2,0)</f>
        <v>#N/A</v>
      </c>
      <c r="IK58" s="86" t="e">
        <f>VLOOKUP(IK$1,Amort!$B:$K,2,0)</f>
        <v>#N/A</v>
      </c>
      <c r="IL58" s="86" t="e">
        <f>VLOOKUP(IL$1,Amort!$B:$K,2,0)</f>
        <v>#N/A</v>
      </c>
      <c r="IM58" s="86" t="e">
        <f>VLOOKUP(IM$1,Amort!$B:$K,2,0)</f>
        <v>#N/A</v>
      </c>
      <c r="IN58" s="87" t="e">
        <f>IM58</f>
        <v>#N/A</v>
      </c>
      <c r="IO58" s="86" t="e">
        <f>VLOOKUP(IO$1,Amort!$B:$K,2,0)</f>
        <v>#N/A</v>
      </c>
      <c r="IP58" s="86" t="e">
        <f>VLOOKUP(IP$1,Amort!$B:$K,2,0)</f>
        <v>#N/A</v>
      </c>
      <c r="IQ58" s="86" t="e">
        <f>VLOOKUP(IQ$1,Amort!$B:$K,2,0)</f>
        <v>#N/A</v>
      </c>
      <c r="IR58" s="86" t="e">
        <f>VLOOKUP(IR$1,Amort!$B:$K,2,0)</f>
        <v>#N/A</v>
      </c>
      <c r="IS58" s="86" t="e">
        <f>VLOOKUP(IS$1,Amort!$B:$K,2,0)</f>
        <v>#N/A</v>
      </c>
      <c r="IT58" s="86" t="e">
        <f>VLOOKUP(IT$1,Amort!$B:$K,2,0)</f>
        <v>#N/A</v>
      </c>
      <c r="IU58" s="86" t="e">
        <f>VLOOKUP(IU$1,Amort!$B:$K,2,0)</f>
        <v>#N/A</v>
      </c>
      <c r="IV58" s="86" t="e">
        <f>VLOOKUP(IV$1,Amort!$B:$K,2,0)</f>
        <v>#N/A</v>
      </c>
      <c r="IW58" s="86" t="e">
        <f>VLOOKUP(IW$1,Amort!$B:$K,2,0)</f>
        <v>#N/A</v>
      </c>
      <c r="IX58" s="86" t="e">
        <f>VLOOKUP(IX$1,Amort!$B:$K,2,0)</f>
        <v>#N/A</v>
      </c>
      <c r="IY58" s="86" t="e">
        <f>VLOOKUP(IY$1,Amort!$B:$K,2,0)</f>
        <v>#N/A</v>
      </c>
      <c r="IZ58" s="86" t="e">
        <f>VLOOKUP(IZ$1,Amort!$B:$K,2,0)</f>
        <v>#N/A</v>
      </c>
      <c r="JA58" s="87" t="e">
        <f>IZ58</f>
        <v>#N/A</v>
      </c>
      <c r="JB58" s="86" t="e">
        <f>VLOOKUP(JB$1,Amort!$B:$K,2,0)</f>
        <v>#N/A</v>
      </c>
      <c r="JC58" s="86" t="e">
        <f>VLOOKUP(JC$1,Amort!$B:$K,2,0)</f>
        <v>#N/A</v>
      </c>
      <c r="JD58" s="86" t="e">
        <f>VLOOKUP(JD$1,Amort!$B:$K,2,0)</f>
        <v>#N/A</v>
      </c>
      <c r="JE58" s="86" t="e">
        <f>VLOOKUP(JE$1,Amort!$B:$K,2,0)</f>
        <v>#N/A</v>
      </c>
      <c r="JF58" s="86" t="e">
        <f>VLOOKUP(JF$1,Amort!$B:$K,2,0)</f>
        <v>#N/A</v>
      </c>
      <c r="JG58" s="86" t="e">
        <f>VLOOKUP(JG$1,Amort!$B:$K,2,0)</f>
        <v>#N/A</v>
      </c>
      <c r="JH58" s="86" t="e">
        <f>VLOOKUP(JH$1,Amort!$B:$K,2,0)</f>
        <v>#N/A</v>
      </c>
      <c r="JI58" s="86" t="e">
        <f>VLOOKUP(JI$1,Amort!$B:$K,2,0)</f>
        <v>#N/A</v>
      </c>
      <c r="JJ58" s="86" t="e">
        <f>VLOOKUP(JJ$1,Amort!$B:$K,2,0)</f>
        <v>#N/A</v>
      </c>
      <c r="JK58" s="86" t="e">
        <f>VLOOKUP(JK$1,Amort!$B:$K,2,0)</f>
        <v>#N/A</v>
      </c>
      <c r="JL58" s="86" t="e">
        <f>VLOOKUP(JL$1,Amort!$B:$K,2,0)</f>
        <v>#N/A</v>
      </c>
      <c r="JM58" s="86" t="e">
        <f>VLOOKUP(JM$1,Amort!$B:$K,2,0)</f>
        <v>#N/A</v>
      </c>
      <c r="JN58" s="87" t="e">
        <f>JM58</f>
        <v>#N/A</v>
      </c>
      <c r="JO58" s="86" t="e">
        <f>VLOOKUP(JO$1,Amort!$B:$K,2,0)</f>
        <v>#N/A</v>
      </c>
      <c r="JP58" s="86" t="e">
        <f>VLOOKUP(JP$1,Amort!$B:$K,2,0)</f>
        <v>#N/A</v>
      </c>
      <c r="JQ58" s="86" t="e">
        <f>VLOOKUP(JQ$1,Amort!$B:$K,2,0)</f>
        <v>#N/A</v>
      </c>
      <c r="JR58" s="86" t="e">
        <f>VLOOKUP(JR$1,Amort!$B:$K,2,0)</f>
        <v>#N/A</v>
      </c>
      <c r="JS58" s="86" t="e">
        <f>VLOOKUP(JS$1,Amort!$B:$K,2,0)</f>
        <v>#N/A</v>
      </c>
      <c r="JT58" s="86" t="e">
        <f>VLOOKUP(JT$1,Amort!$B:$K,2,0)</f>
        <v>#N/A</v>
      </c>
      <c r="JU58" s="86" t="e">
        <f>VLOOKUP(JU$1,Amort!$B:$K,2,0)</f>
        <v>#N/A</v>
      </c>
      <c r="JV58" s="86" t="e">
        <f>VLOOKUP(JV$1,Amort!$B:$K,2,0)</f>
        <v>#N/A</v>
      </c>
      <c r="JW58" s="86" t="e">
        <f>VLOOKUP(JW$1,Amort!$B:$K,2,0)</f>
        <v>#N/A</v>
      </c>
      <c r="JX58" s="86" t="e">
        <f>VLOOKUP(JX$1,Amort!$B:$K,2,0)</f>
        <v>#N/A</v>
      </c>
      <c r="JY58" s="86" t="e">
        <f>VLOOKUP(JY$1,Amort!$B:$K,2,0)</f>
        <v>#N/A</v>
      </c>
      <c r="JZ58" s="86" t="e">
        <f>VLOOKUP(JZ$1,Amort!$B:$K,2,0)</f>
        <v>#N/A</v>
      </c>
      <c r="KA58" s="87" t="e">
        <f>JZ58</f>
        <v>#N/A</v>
      </c>
      <c r="KB58" s="86" t="e">
        <f>VLOOKUP(KB$1,Amort!$B:$K,2,0)</f>
        <v>#N/A</v>
      </c>
      <c r="KC58" s="86" t="e">
        <f>VLOOKUP(KC$1,Amort!$B:$K,2,0)</f>
        <v>#N/A</v>
      </c>
      <c r="KD58" s="86" t="e">
        <f>VLOOKUP(KD$1,Amort!$B:$K,2,0)</f>
        <v>#N/A</v>
      </c>
      <c r="KE58" s="86" t="e">
        <f>VLOOKUP(KE$1,Amort!$B:$K,2,0)</f>
        <v>#N/A</v>
      </c>
      <c r="KF58" s="86" t="e">
        <f>VLOOKUP(KF$1,Amort!$B:$K,2,0)</f>
        <v>#N/A</v>
      </c>
      <c r="KG58" s="86" t="e">
        <f>VLOOKUP(KG$1,Amort!$B:$K,2,0)</f>
        <v>#N/A</v>
      </c>
      <c r="KH58" s="86" t="e">
        <f>VLOOKUP(KH$1,Amort!$B:$K,2,0)</f>
        <v>#N/A</v>
      </c>
      <c r="KI58" s="86" t="e">
        <f>VLOOKUP(KI$1,Amort!$B:$K,2,0)</f>
        <v>#N/A</v>
      </c>
      <c r="KJ58" s="86" t="e">
        <f>VLOOKUP(KJ$1,Amort!$B:$K,2,0)</f>
        <v>#N/A</v>
      </c>
      <c r="KK58" s="86" t="e">
        <f>VLOOKUP(KK$1,Amort!$B:$K,2,0)</f>
        <v>#N/A</v>
      </c>
      <c r="KL58" s="86" t="e">
        <f>VLOOKUP(KL$1,Amort!$B:$K,2,0)</f>
        <v>#N/A</v>
      </c>
      <c r="KM58" s="86" t="e">
        <f>VLOOKUP(KM$1,Amort!$B:$K,2,0)</f>
        <v>#N/A</v>
      </c>
      <c r="KN58" s="87" t="e">
        <f>KM58</f>
        <v>#N/A</v>
      </c>
      <c r="KO58" s="86" t="e">
        <f>VLOOKUP(KO$1,Amort!$B:$K,2,0)</f>
        <v>#N/A</v>
      </c>
      <c r="KP58" s="86" t="e">
        <f>VLOOKUP(KP$1,Amort!$B:$K,2,0)</f>
        <v>#N/A</v>
      </c>
      <c r="KQ58" s="86" t="e">
        <f>VLOOKUP(KQ$1,Amort!$B:$K,2,0)</f>
        <v>#N/A</v>
      </c>
      <c r="KR58" s="86" t="e">
        <f>VLOOKUP(KR$1,Amort!$B:$K,2,0)</f>
        <v>#N/A</v>
      </c>
      <c r="KS58" s="86" t="e">
        <f>VLOOKUP(KS$1,Amort!$B:$K,2,0)</f>
        <v>#N/A</v>
      </c>
      <c r="KT58" s="86" t="e">
        <f>VLOOKUP(KT$1,Amort!$B:$K,2,0)</f>
        <v>#N/A</v>
      </c>
      <c r="KU58" s="86" t="e">
        <f>VLOOKUP(KU$1,Amort!$B:$K,2,0)</f>
        <v>#N/A</v>
      </c>
      <c r="KV58" s="86" t="e">
        <f>VLOOKUP(KV$1,Amort!$B:$K,2,0)</f>
        <v>#N/A</v>
      </c>
      <c r="KW58" s="86" t="e">
        <f>VLOOKUP(KW$1,Amort!$B:$K,2,0)</f>
        <v>#N/A</v>
      </c>
      <c r="KX58" s="86" t="e">
        <f>VLOOKUP(KX$1,Amort!$B:$K,2,0)</f>
        <v>#N/A</v>
      </c>
      <c r="KY58" s="86" t="e">
        <f>VLOOKUP(KY$1,Amort!$B:$K,2,0)</f>
        <v>#N/A</v>
      </c>
      <c r="KZ58" s="86" t="e">
        <f>VLOOKUP(KZ$1,Amort!$B:$K,2,0)</f>
        <v>#N/A</v>
      </c>
      <c r="LA58" s="87" t="e">
        <f>KZ58</f>
        <v>#N/A</v>
      </c>
      <c r="LB58" s="86" t="e">
        <f>VLOOKUP(LB$1,Amort!$B:$K,2,0)</f>
        <v>#N/A</v>
      </c>
      <c r="LC58" s="86" t="e">
        <f>VLOOKUP(LC$1,Amort!$B:$K,2,0)</f>
        <v>#N/A</v>
      </c>
      <c r="LD58" s="86" t="e">
        <f>VLOOKUP(LD$1,Amort!$B:$K,2,0)</f>
        <v>#N/A</v>
      </c>
      <c r="LE58" s="86" t="e">
        <f>VLOOKUP(LE$1,Amort!$B:$K,2,0)</f>
        <v>#N/A</v>
      </c>
      <c r="LF58" s="86" t="e">
        <f>VLOOKUP(LF$1,Amort!$B:$K,2,0)</f>
        <v>#N/A</v>
      </c>
      <c r="LG58" s="86" t="e">
        <f>VLOOKUP(LG$1,Amort!$B:$K,2,0)</f>
        <v>#N/A</v>
      </c>
      <c r="LH58" s="86" t="e">
        <f>VLOOKUP(LH$1,Amort!$B:$K,2,0)</f>
        <v>#N/A</v>
      </c>
      <c r="LI58" s="86" t="e">
        <f>VLOOKUP(LI$1,Amort!$B:$K,2,0)</f>
        <v>#N/A</v>
      </c>
      <c r="LJ58" s="86" t="e">
        <f>VLOOKUP(LJ$1,Amort!$B:$K,2,0)</f>
        <v>#N/A</v>
      </c>
      <c r="LK58" s="86" t="e">
        <f>VLOOKUP(LK$1,Amort!$B:$K,2,0)</f>
        <v>#N/A</v>
      </c>
      <c r="LL58" s="86" t="e">
        <f>VLOOKUP(LL$1,Amort!$B:$K,2,0)</f>
        <v>#N/A</v>
      </c>
      <c r="LM58" s="86" t="e">
        <f>VLOOKUP(LM$1,Amort!$B:$K,2,0)</f>
        <v>#N/A</v>
      </c>
      <c r="LN58" s="87" t="e">
        <f>LM58</f>
        <v>#N/A</v>
      </c>
      <c r="LO58" s="86" t="e">
        <f>VLOOKUP(LO$1,Amort!$B:$K,2,0)</f>
        <v>#N/A</v>
      </c>
      <c r="LP58" s="86" t="e">
        <f>VLOOKUP(LP$1,Amort!$B:$K,2,0)</f>
        <v>#N/A</v>
      </c>
      <c r="LQ58" s="86" t="e">
        <f>VLOOKUP(LQ$1,Amort!$B:$K,2,0)</f>
        <v>#N/A</v>
      </c>
      <c r="LR58" s="86" t="e">
        <f>VLOOKUP(LR$1,Amort!$B:$K,2,0)</f>
        <v>#N/A</v>
      </c>
      <c r="LS58" s="86" t="e">
        <f>VLOOKUP(LS$1,Amort!$B:$K,2,0)</f>
        <v>#N/A</v>
      </c>
      <c r="LT58" s="86" t="e">
        <f>VLOOKUP(LT$1,Amort!$B:$K,2,0)</f>
        <v>#N/A</v>
      </c>
      <c r="LU58" s="86" t="e">
        <f>VLOOKUP(LU$1,Amort!$B:$K,2,0)</f>
        <v>#N/A</v>
      </c>
      <c r="LV58" s="86" t="e">
        <f>VLOOKUP(LV$1,Amort!$B:$K,2,0)</f>
        <v>#N/A</v>
      </c>
      <c r="LW58" s="86" t="e">
        <f>VLOOKUP(LW$1,Amort!$B:$K,2,0)</f>
        <v>#N/A</v>
      </c>
      <c r="LX58" s="86" t="e">
        <f>VLOOKUP(LX$1,Amort!$B:$K,2,0)</f>
        <v>#N/A</v>
      </c>
      <c r="LY58" s="86" t="e">
        <f>VLOOKUP(LY$1,Amort!$B:$K,2,0)</f>
        <v>#N/A</v>
      </c>
      <c r="LZ58" s="86" t="e">
        <f>VLOOKUP(LZ$1,Amort!$B:$K,2,0)</f>
        <v>#N/A</v>
      </c>
      <c r="MA58" s="87" t="e">
        <f>LZ58</f>
        <v>#N/A</v>
      </c>
      <c r="MB58" s="86" t="e">
        <f>VLOOKUP(MB$1,Amort!$B:$K,2,0)</f>
        <v>#N/A</v>
      </c>
      <c r="MC58" s="86" t="e">
        <f>VLOOKUP(MC$1,Amort!$B:$K,2,0)</f>
        <v>#N/A</v>
      </c>
      <c r="MD58" s="86" t="e">
        <f>VLOOKUP(MD$1,Amort!$B:$K,2,0)</f>
        <v>#N/A</v>
      </c>
      <c r="ME58" s="86" t="e">
        <f>VLOOKUP(ME$1,Amort!$B:$K,2,0)</f>
        <v>#N/A</v>
      </c>
      <c r="MF58" s="86" t="e">
        <f>VLOOKUP(MF$1,Amort!$B:$K,2,0)</f>
        <v>#N/A</v>
      </c>
      <c r="MG58" s="86" t="e">
        <f>VLOOKUP(MG$1,Amort!$B:$K,2,0)</f>
        <v>#N/A</v>
      </c>
      <c r="MH58" s="86" t="e">
        <f>VLOOKUP(MH$1,Amort!$B:$K,2,0)</f>
        <v>#N/A</v>
      </c>
      <c r="MI58" s="86" t="e">
        <f>VLOOKUP(MI$1,Amort!$B:$K,2,0)</f>
        <v>#N/A</v>
      </c>
      <c r="MJ58" s="86" t="e">
        <f>VLOOKUP(MJ$1,Amort!$B:$K,2,0)</f>
        <v>#N/A</v>
      </c>
      <c r="MK58" s="86" t="e">
        <f>VLOOKUP(MK$1,Amort!$B:$K,2,0)</f>
        <v>#N/A</v>
      </c>
      <c r="ML58" s="86" t="e">
        <f>VLOOKUP(ML$1,Amort!$B:$K,2,0)</f>
        <v>#N/A</v>
      </c>
      <c r="MM58" s="86" t="e">
        <f>VLOOKUP(MM$1,Amort!$B:$K,2,0)</f>
        <v>#N/A</v>
      </c>
      <c r="MN58" s="87" t="e">
        <f>MM58</f>
        <v>#N/A</v>
      </c>
      <c r="MO58" s="86" t="e">
        <f>VLOOKUP(MO$1,Amort!$B:$K,2,0)</f>
        <v>#N/A</v>
      </c>
      <c r="MP58" s="86" t="e">
        <f>VLOOKUP(MP$1,Amort!$B:$K,2,0)</f>
        <v>#N/A</v>
      </c>
      <c r="MQ58" s="86" t="e">
        <f>VLOOKUP(MQ$1,Amort!$B:$K,2,0)</f>
        <v>#N/A</v>
      </c>
      <c r="MR58" s="86" t="e">
        <f>VLOOKUP(MR$1,Amort!$B:$K,2,0)</f>
        <v>#N/A</v>
      </c>
      <c r="MS58" s="86" t="e">
        <f>VLOOKUP(MS$1,Amort!$B:$K,2,0)</f>
        <v>#N/A</v>
      </c>
      <c r="MT58" s="86" t="e">
        <f>VLOOKUP(MT$1,Amort!$B:$K,2,0)</f>
        <v>#N/A</v>
      </c>
      <c r="MU58" s="86" t="e">
        <f>VLOOKUP(MU$1,Amort!$B:$K,2,0)</f>
        <v>#N/A</v>
      </c>
      <c r="MV58" s="86" t="e">
        <f>VLOOKUP(MV$1,Amort!$B:$K,2,0)</f>
        <v>#N/A</v>
      </c>
      <c r="MW58" s="86" t="e">
        <f>VLOOKUP(MW$1,Amort!$B:$K,2,0)</f>
        <v>#N/A</v>
      </c>
      <c r="MX58" s="86" t="e">
        <f>VLOOKUP(MX$1,Amort!$B:$K,2,0)</f>
        <v>#N/A</v>
      </c>
      <c r="MY58" s="86" t="e">
        <f>VLOOKUP(MY$1,Amort!$B:$K,2,0)</f>
        <v>#N/A</v>
      </c>
      <c r="MZ58" s="86" t="e">
        <f>VLOOKUP(MZ$1,Amort!$B:$K,2,0)</f>
        <v>#N/A</v>
      </c>
      <c r="NA58" s="87" t="e">
        <f>MZ58</f>
        <v>#N/A</v>
      </c>
      <c r="NB58" s="86" t="e">
        <f>VLOOKUP(NB$1,Amort!$B:$K,2,0)</f>
        <v>#N/A</v>
      </c>
      <c r="NC58" s="86" t="e">
        <f>VLOOKUP(NC$1,Amort!$B:$K,2,0)</f>
        <v>#N/A</v>
      </c>
      <c r="ND58" s="86" t="e">
        <f>VLOOKUP(ND$1,Amort!$B:$K,2,0)</f>
        <v>#N/A</v>
      </c>
      <c r="NE58" s="86" t="e">
        <f>VLOOKUP(NE$1,Amort!$B:$K,2,0)</f>
        <v>#N/A</v>
      </c>
      <c r="NF58" s="86" t="e">
        <f>VLOOKUP(NF$1,Amort!$B:$K,2,0)</f>
        <v>#N/A</v>
      </c>
      <c r="NG58" s="86" t="e">
        <f>VLOOKUP(NG$1,Amort!$B:$K,2,0)</f>
        <v>#N/A</v>
      </c>
      <c r="NH58" s="86" t="e">
        <f>VLOOKUP(NH$1,Amort!$B:$K,2,0)</f>
        <v>#N/A</v>
      </c>
      <c r="NI58" s="86" t="e">
        <f>VLOOKUP(NI$1,Amort!$B:$K,2,0)</f>
        <v>#N/A</v>
      </c>
      <c r="NJ58" s="86" t="e">
        <f>VLOOKUP(NJ$1,Amort!$B:$K,2,0)</f>
        <v>#N/A</v>
      </c>
      <c r="NK58" s="86" t="e">
        <f>VLOOKUP(NK$1,Amort!$B:$K,2,0)</f>
        <v>#N/A</v>
      </c>
      <c r="NL58" s="86" t="e">
        <f>VLOOKUP(NL$1,Amort!$B:$K,2,0)</f>
        <v>#N/A</v>
      </c>
      <c r="NM58" s="86" t="e">
        <f>VLOOKUP(NM$1,Amort!$B:$K,2,0)</f>
        <v>#N/A</v>
      </c>
      <c r="NN58" s="87" t="e">
        <f>NM58</f>
        <v>#N/A</v>
      </c>
      <c r="NO58" s="86" t="e">
        <f>VLOOKUP(NO$1,Amort!$B:$K,2,0)</f>
        <v>#N/A</v>
      </c>
      <c r="NP58" s="86" t="e">
        <f>VLOOKUP(NP$1,Amort!$B:$K,2,0)</f>
        <v>#N/A</v>
      </c>
      <c r="NQ58" s="86" t="e">
        <f>VLOOKUP(NQ$1,Amort!$B:$K,2,0)</f>
        <v>#N/A</v>
      </c>
      <c r="NR58" s="86" t="e">
        <f>VLOOKUP(NR$1,Amort!$B:$K,2,0)</f>
        <v>#N/A</v>
      </c>
      <c r="NS58" s="86" t="e">
        <f>VLOOKUP(NS$1,Amort!$B:$K,2,0)</f>
        <v>#N/A</v>
      </c>
      <c r="NT58" s="86" t="e">
        <f>VLOOKUP(NT$1,Amort!$B:$K,2,0)</f>
        <v>#N/A</v>
      </c>
      <c r="NU58" s="86" t="e">
        <f>VLOOKUP(NU$1,Amort!$B:$K,2,0)</f>
        <v>#N/A</v>
      </c>
      <c r="NV58" s="86" t="e">
        <f>VLOOKUP(NV$1,Amort!$B:$K,2,0)</f>
        <v>#N/A</v>
      </c>
      <c r="NW58" s="86" t="e">
        <f>VLOOKUP(NW$1,Amort!$B:$K,2,0)</f>
        <v>#N/A</v>
      </c>
      <c r="NX58" s="86" t="e">
        <f>VLOOKUP(NX$1,Amort!$B:$K,2,0)</f>
        <v>#N/A</v>
      </c>
      <c r="NY58" s="86" t="e">
        <f>VLOOKUP(NY$1,Amort!$B:$K,2,0)</f>
        <v>#N/A</v>
      </c>
      <c r="NZ58" s="86" t="e">
        <f>VLOOKUP(NZ$1,Amort!$B:$K,2,0)</f>
        <v>#N/A</v>
      </c>
      <c r="OA58" s="87" t="e">
        <f>NZ58</f>
        <v>#N/A</v>
      </c>
      <c r="OB58" s="86" t="e">
        <f>VLOOKUP(OB$1,Amort!$B:$K,2,0)</f>
        <v>#N/A</v>
      </c>
      <c r="OC58" s="86" t="e">
        <f>VLOOKUP(OC$1,Amort!$B:$K,2,0)</f>
        <v>#N/A</v>
      </c>
      <c r="OD58" s="86" t="e">
        <f>VLOOKUP(OD$1,Amort!$B:$K,2,0)</f>
        <v>#N/A</v>
      </c>
      <c r="OE58" s="86" t="e">
        <f>VLOOKUP(OE$1,Amort!$B:$K,2,0)</f>
        <v>#N/A</v>
      </c>
      <c r="OF58" s="86" t="e">
        <f>VLOOKUP(OF$1,Amort!$B:$K,2,0)</f>
        <v>#N/A</v>
      </c>
      <c r="OG58" s="86" t="e">
        <f>VLOOKUP(OG$1,Amort!$B:$K,2,0)</f>
        <v>#N/A</v>
      </c>
      <c r="OH58" s="86" t="e">
        <f>VLOOKUP(OH$1,Amort!$B:$K,2,0)</f>
        <v>#N/A</v>
      </c>
      <c r="OI58" s="86" t="e">
        <f>VLOOKUP(OI$1,Amort!$B:$K,2,0)</f>
        <v>#N/A</v>
      </c>
      <c r="OJ58" s="86" t="e">
        <f>VLOOKUP(OJ$1,Amort!$B:$K,2,0)</f>
        <v>#N/A</v>
      </c>
      <c r="OK58" s="86" t="e">
        <f>VLOOKUP(OK$1,Amort!$B:$K,2,0)</f>
        <v>#N/A</v>
      </c>
      <c r="OL58" s="86" t="e">
        <f>VLOOKUP(OL$1,Amort!$B:$K,2,0)</f>
        <v>#N/A</v>
      </c>
      <c r="OM58" s="86" t="e">
        <f>VLOOKUP(OM$1,Amort!$B:$K,2,0)</f>
        <v>#N/A</v>
      </c>
      <c r="ON58" s="87" t="e">
        <f>OM58</f>
        <v>#N/A</v>
      </c>
      <c r="OO58" s="86" t="e">
        <f>VLOOKUP(OO$1,Amort!$B:$K,2,0)</f>
        <v>#N/A</v>
      </c>
      <c r="OP58" s="86" t="e">
        <f>VLOOKUP(OP$1,Amort!$B:$K,2,0)</f>
        <v>#N/A</v>
      </c>
      <c r="OQ58" s="86" t="e">
        <f>VLOOKUP(OQ$1,Amort!$B:$K,2,0)</f>
        <v>#N/A</v>
      </c>
      <c r="OR58" s="86" t="e">
        <f>VLOOKUP(OR$1,Amort!$B:$K,2,0)</f>
        <v>#N/A</v>
      </c>
      <c r="OS58" s="86" t="e">
        <f>VLOOKUP(OS$1,Amort!$B:$K,2,0)</f>
        <v>#N/A</v>
      </c>
      <c r="OT58" s="86" t="e">
        <f>VLOOKUP(OT$1,Amort!$B:$K,2,0)</f>
        <v>#N/A</v>
      </c>
      <c r="OU58" s="86" t="e">
        <f>VLOOKUP(OU$1,Amort!$B:$K,2,0)</f>
        <v>#N/A</v>
      </c>
      <c r="OV58" s="86" t="e">
        <f>VLOOKUP(OV$1,Amort!$B:$K,2,0)</f>
        <v>#N/A</v>
      </c>
      <c r="OW58" s="86" t="e">
        <f>VLOOKUP(OW$1,Amort!$B:$K,2,0)</f>
        <v>#N/A</v>
      </c>
      <c r="OX58" s="86" t="e">
        <f>VLOOKUP(OX$1,Amort!$B:$K,2,0)</f>
        <v>#N/A</v>
      </c>
      <c r="OY58" s="86" t="e">
        <f>VLOOKUP(OY$1,Amort!$B:$K,2,0)</f>
        <v>#N/A</v>
      </c>
      <c r="OZ58" s="86" t="e">
        <f>VLOOKUP(OZ$1,Amort!$B:$K,2,0)</f>
        <v>#N/A</v>
      </c>
      <c r="PA58" s="87" t="e">
        <f>OZ58</f>
        <v>#N/A</v>
      </c>
      <c r="PB58" s="86" t="e">
        <f>VLOOKUP(PB$1,Amort!$B:$K,2,0)</f>
        <v>#N/A</v>
      </c>
      <c r="PC58" s="86" t="e">
        <f>VLOOKUP(PC$1,Amort!$B:$K,2,0)</f>
        <v>#N/A</v>
      </c>
      <c r="PD58" s="86" t="e">
        <f>VLOOKUP(PD$1,Amort!$B:$K,2,0)</f>
        <v>#N/A</v>
      </c>
      <c r="PE58" s="86" t="e">
        <f>VLOOKUP(PE$1,Amort!$B:$K,2,0)</f>
        <v>#N/A</v>
      </c>
      <c r="PF58" s="86" t="e">
        <f>VLOOKUP(PF$1,Amort!$B:$K,2,0)</f>
        <v>#N/A</v>
      </c>
      <c r="PG58" s="86" t="e">
        <f>VLOOKUP(PG$1,Amort!$B:$K,2,0)</f>
        <v>#N/A</v>
      </c>
      <c r="PH58" s="86" t="e">
        <f>VLOOKUP(PH$1,Amort!$B:$K,2,0)</f>
        <v>#N/A</v>
      </c>
      <c r="PI58" s="86" t="e">
        <f>VLOOKUP(PI$1,Amort!$B:$K,2,0)</f>
        <v>#N/A</v>
      </c>
      <c r="PJ58" s="86" t="e">
        <f>VLOOKUP(PJ$1,Amort!$B:$K,2,0)</f>
        <v>#N/A</v>
      </c>
      <c r="PK58" s="86" t="e">
        <f>VLOOKUP(PK$1,Amort!$B:$K,2,0)</f>
        <v>#N/A</v>
      </c>
      <c r="PL58" s="86" t="e">
        <f>VLOOKUP(PL$1,Amort!$B:$K,2,0)</f>
        <v>#N/A</v>
      </c>
      <c r="PM58" s="86" t="e">
        <f>VLOOKUP(PM$1,Amort!$B:$K,2,0)</f>
        <v>#N/A</v>
      </c>
      <c r="PN58" s="87" t="e">
        <f>PM58</f>
        <v>#N/A</v>
      </c>
      <c r="PO58" s="86" t="e">
        <f>VLOOKUP(PO$1,Amort!$B:$K,2,0)</f>
        <v>#N/A</v>
      </c>
      <c r="PP58" s="86" t="e">
        <f>VLOOKUP(PP$1,Amort!$B:$K,2,0)</f>
        <v>#N/A</v>
      </c>
      <c r="PQ58" s="86" t="e">
        <f>VLOOKUP(PQ$1,Amort!$B:$K,2,0)</f>
        <v>#N/A</v>
      </c>
      <c r="PR58" s="86" t="e">
        <f>VLOOKUP(PR$1,Amort!$B:$K,2,0)</f>
        <v>#N/A</v>
      </c>
      <c r="PS58" s="86" t="e">
        <f>VLOOKUP(PS$1,Amort!$B:$K,2,0)</f>
        <v>#N/A</v>
      </c>
      <c r="PT58" s="86" t="e">
        <f>VLOOKUP(PT$1,Amort!$B:$K,2,0)</f>
        <v>#N/A</v>
      </c>
      <c r="PU58" s="86" t="e">
        <f>VLOOKUP(PU$1,Amort!$B:$K,2,0)</f>
        <v>#N/A</v>
      </c>
      <c r="PV58" s="86" t="e">
        <f>VLOOKUP(PV$1,Amort!$B:$K,2,0)</f>
        <v>#N/A</v>
      </c>
      <c r="PW58" s="86" t="e">
        <f>VLOOKUP(PW$1,Amort!$B:$K,2,0)</f>
        <v>#N/A</v>
      </c>
      <c r="PX58" s="86" t="e">
        <f>VLOOKUP(PX$1,Amort!$B:$K,2,0)</f>
        <v>#N/A</v>
      </c>
      <c r="PY58" s="86" t="e">
        <f>VLOOKUP(PY$1,Amort!$B:$K,2,0)</f>
        <v>#N/A</v>
      </c>
      <c r="PZ58" s="86" t="e">
        <f>VLOOKUP(PZ$1,Amort!$B:$K,2,0)</f>
        <v>#N/A</v>
      </c>
      <c r="QA58" s="87" t="e">
        <f>PZ58</f>
        <v>#N/A</v>
      </c>
      <c r="QB58" s="86" t="e">
        <f>VLOOKUP(QB$1,Amort!$B:$K,2,0)</f>
        <v>#N/A</v>
      </c>
      <c r="QC58" s="86" t="e">
        <f>VLOOKUP(QC$1,Amort!$B:$K,2,0)</f>
        <v>#N/A</v>
      </c>
      <c r="QD58" s="86" t="e">
        <f>VLOOKUP(QD$1,Amort!$B:$K,2,0)</f>
        <v>#N/A</v>
      </c>
      <c r="QE58" s="86" t="e">
        <f>VLOOKUP(QE$1,Amort!$B:$K,2,0)</f>
        <v>#N/A</v>
      </c>
      <c r="QF58" s="86" t="e">
        <f>VLOOKUP(QF$1,Amort!$B:$K,2,0)</f>
        <v>#N/A</v>
      </c>
      <c r="QG58" s="86" t="e">
        <f>VLOOKUP(QG$1,Amort!$B:$K,2,0)</f>
        <v>#N/A</v>
      </c>
      <c r="QH58" s="86" t="e">
        <f>VLOOKUP(QH$1,Amort!$B:$K,2,0)</f>
        <v>#N/A</v>
      </c>
      <c r="QI58" s="86" t="e">
        <f>VLOOKUP(QI$1,Amort!$B:$K,2,0)</f>
        <v>#N/A</v>
      </c>
      <c r="QJ58" s="86" t="e">
        <f>VLOOKUP(QJ$1,Amort!$B:$K,2,0)</f>
        <v>#N/A</v>
      </c>
      <c r="QK58" s="86" t="e">
        <f>VLOOKUP(QK$1,Amort!$B:$K,2,0)</f>
        <v>#N/A</v>
      </c>
      <c r="QL58" s="86" t="e">
        <f>VLOOKUP(QL$1,Amort!$B:$K,2,0)</f>
        <v>#N/A</v>
      </c>
      <c r="QM58" s="86" t="e">
        <f>VLOOKUP(QM$1,Amort!$B:$K,2,0)</f>
        <v>#N/A</v>
      </c>
      <c r="QN58" s="87" t="e">
        <f>QM58</f>
        <v>#N/A</v>
      </c>
      <c r="QO58" s="86" t="e">
        <f>VLOOKUP(QO$1,Amort!$B:$K,2,0)</f>
        <v>#N/A</v>
      </c>
      <c r="QP58" s="86" t="e">
        <f>VLOOKUP(QP$1,Amort!$B:$K,2,0)</f>
        <v>#N/A</v>
      </c>
      <c r="QQ58" s="86" t="e">
        <f>VLOOKUP(QQ$1,Amort!$B:$K,2,0)</f>
        <v>#N/A</v>
      </c>
      <c r="QR58" s="86" t="e">
        <f>VLOOKUP(QR$1,Amort!$B:$K,2,0)</f>
        <v>#N/A</v>
      </c>
      <c r="QS58" s="86" t="e">
        <f>VLOOKUP(QS$1,Amort!$B:$K,2,0)</f>
        <v>#N/A</v>
      </c>
      <c r="QT58" s="86" t="e">
        <f>VLOOKUP(QT$1,Amort!$B:$K,2,0)</f>
        <v>#N/A</v>
      </c>
      <c r="QU58" s="86" t="e">
        <f>VLOOKUP(QU$1,Amort!$B:$K,2,0)</f>
        <v>#N/A</v>
      </c>
      <c r="QV58" s="86" t="e">
        <f>VLOOKUP(QV$1,Amort!$B:$K,2,0)</f>
        <v>#N/A</v>
      </c>
      <c r="QW58" s="86" t="e">
        <f>VLOOKUP(QW$1,Amort!$B:$K,2,0)</f>
        <v>#N/A</v>
      </c>
      <c r="QX58" s="86" t="e">
        <f>VLOOKUP(QX$1,Amort!$B:$K,2,0)</f>
        <v>#N/A</v>
      </c>
      <c r="QY58" s="86" t="e">
        <f>VLOOKUP(QY$1,Amort!$B:$K,2,0)</f>
        <v>#N/A</v>
      </c>
      <c r="QZ58" s="86" t="e">
        <f>VLOOKUP(QZ$1,Amort!$B:$K,2,0)</f>
        <v>#N/A</v>
      </c>
      <c r="RA58" s="87" t="e">
        <f>QZ58</f>
        <v>#N/A</v>
      </c>
      <c r="RB58" s="86" t="e">
        <f>VLOOKUP(RB$1,Amort!$B:$K,2,0)</f>
        <v>#N/A</v>
      </c>
      <c r="RC58" s="86" t="e">
        <f>VLOOKUP(RC$1,Amort!$B:$K,2,0)</f>
        <v>#N/A</v>
      </c>
      <c r="RD58" s="86" t="e">
        <f>VLOOKUP(RD$1,Amort!$B:$K,2,0)</f>
        <v>#N/A</v>
      </c>
      <c r="RE58" s="86" t="e">
        <f>VLOOKUP(RE$1,Amort!$B:$K,2,0)</f>
        <v>#N/A</v>
      </c>
      <c r="RF58" s="86" t="e">
        <f>VLOOKUP(RF$1,Amort!$B:$K,2,0)</f>
        <v>#N/A</v>
      </c>
      <c r="RG58" s="86" t="e">
        <f>VLOOKUP(RG$1,Amort!$B:$K,2,0)</f>
        <v>#N/A</v>
      </c>
      <c r="RH58" s="86" t="e">
        <f>VLOOKUP(RH$1,Amort!$B:$K,2,0)</f>
        <v>#N/A</v>
      </c>
      <c r="RI58" s="86" t="e">
        <f>VLOOKUP(RI$1,Amort!$B:$K,2,0)</f>
        <v>#N/A</v>
      </c>
      <c r="RJ58" s="86" t="e">
        <f>VLOOKUP(RJ$1,Amort!$B:$K,2,0)</f>
        <v>#N/A</v>
      </c>
      <c r="RK58" s="86" t="e">
        <f>VLOOKUP(RK$1,Amort!$B:$K,2,0)</f>
        <v>#N/A</v>
      </c>
      <c r="RL58" s="86" t="e">
        <f>VLOOKUP(RL$1,Amort!$B:$K,2,0)</f>
        <v>#N/A</v>
      </c>
      <c r="RM58" s="86" t="e">
        <f>VLOOKUP(RM$1,Amort!$B:$K,2,0)</f>
        <v>#N/A</v>
      </c>
      <c r="RN58" s="87" t="e">
        <f>RM58</f>
        <v>#N/A</v>
      </c>
    </row>
    <row r="59" spans="1:482" s="77" customFormat="1" hidden="1" outlineLevel="1" x14ac:dyDescent="0.3">
      <c r="A59" s="89" t="s">
        <v>270</v>
      </c>
      <c r="B59" s="86">
        <f>VLOOKUP(B$1,Amort!$B:$K,7,0)</f>
        <v>0</v>
      </c>
      <c r="C59" s="86">
        <f>VLOOKUP(C$1,Amort!$B:$K,7,0)</f>
        <v>0</v>
      </c>
      <c r="D59" s="86">
        <f>VLOOKUP(D$1,Amort!$B:$K,7,0)</f>
        <v>0</v>
      </c>
      <c r="E59" s="86">
        <f>VLOOKUP(E$1,Amort!$B:$K,7,0)</f>
        <v>0</v>
      </c>
      <c r="F59" s="86">
        <f>VLOOKUP(F$1,Amort!$B:$K,7,0)</f>
        <v>0</v>
      </c>
      <c r="G59" s="86">
        <f>VLOOKUP(G$1,Amort!$B:$K,7,0)</f>
        <v>0</v>
      </c>
      <c r="H59" s="86">
        <f>VLOOKUP(H$1,Amort!$B:$K,7,0)</f>
        <v>0</v>
      </c>
      <c r="I59" s="86">
        <f>VLOOKUP(I$1,Amort!$B:$K,7,0)</f>
        <v>0</v>
      </c>
      <c r="J59" s="86">
        <f>VLOOKUP(J$1,Amort!$B:$K,7,0)</f>
        <v>0</v>
      </c>
      <c r="K59" s="86">
        <f>VLOOKUP(K$1,Amort!$B:$K,7,0)</f>
        <v>0</v>
      </c>
      <c r="L59" s="86">
        <f>VLOOKUP(L$1,Amort!$B:$K,7,0)</f>
        <v>0</v>
      </c>
      <c r="M59" s="86">
        <f>VLOOKUP(M$1,Amort!$B:$K,7,0)</f>
        <v>0</v>
      </c>
      <c r="N59" s="87">
        <f>M59</f>
        <v>0</v>
      </c>
      <c r="O59" s="86">
        <f>VLOOKUP(O$1,Amort!$B:$K,7,0)</f>
        <v>0</v>
      </c>
      <c r="P59" s="86">
        <f>VLOOKUP(P$1,Amort!$B:$K,7,0)</f>
        <v>0</v>
      </c>
      <c r="Q59" s="86">
        <f>VLOOKUP(Q$1,Amort!$B:$K,7,0)</f>
        <v>0</v>
      </c>
      <c r="R59" s="86">
        <f>VLOOKUP(R$1,Amort!$B:$K,7,0)</f>
        <v>0</v>
      </c>
      <c r="S59" s="86">
        <f>VLOOKUP(S$1,Amort!$B:$K,7,0)</f>
        <v>0</v>
      </c>
      <c r="T59" s="86">
        <f>VLOOKUP(T$1,Amort!$B:$K,7,0)</f>
        <v>0</v>
      </c>
      <c r="U59" s="86">
        <f>VLOOKUP(U$1,Amort!$B:$K,7,0)</f>
        <v>0</v>
      </c>
      <c r="V59" s="86">
        <f>VLOOKUP(V$1,Amort!$B:$K,7,0)</f>
        <v>0</v>
      </c>
      <c r="W59" s="86">
        <f>VLOOKUP(W$1,Amort!$B:$K,7,0)</f>
        <v>0</v>
      </c>
      <c r="X59" s="86">
        <f>VLOOKUP(X$1,Amort!$B:$K,7,0)</f>
        <v>0</v>
      </c>
      <c r="Y59" s="86">
        <f>VLOOKUP(Y$1,Amort!$B:$K,7,0)</f>
        <v>0</v>
      </c>
      <c r="Z59" s="86">
        <f>VLOOKUP(Z$1,Amort!$B:$K,7,0)</f>
        <v>0</v>
      </c>
      <c r="AA59" s="87">
        <f>Z59</f>
        <v>0</v>
      </c>
      <c r="AB59" s="86">
        <f>VLOOKUP(AB$1,Amort!$B:$K,7,0)</f>
        <v>0</v>
      </c>
      <c r="AC59" s="86">
        <f>VLOOKUP(AC$1,Amort!$B:$K,7,0)</f>
        <v>0</v>
      </c>
      <c r="AD59" s="86">
        <f>VLOOKUP(AD$1,Amort!$B:$K,7,0)</f>
        <v>0</v>
      </c>
      <c r="AE59" s="86">
        <f>VLOOKUP(AE$1,Amort!$B:$K,7,0)</f>
        <v>0</v>
      </c>
      <c r="AF59" s="86">
        <f>VLOOKUP(AF$1,Amort!$B:$K,7,0)</f>
        <v>0</v>
      </c>
      <c r="AG59" s="86">
        <f>VLOOKUP(AG$1,Amort!$B:$K,7,0)</f>
        <v>0</v>
      </c>
      <c r="AH59" s="86">
        <f>VLOOKUP(AH$1,Amort!$B:$K,7,0)</f>
        <v>0</v>
      </c>
      <c r="AI59" s="86">
        <f>VLOOKUP(AI$1,Amort!$B:$K,7,0)</f>
        <v>0</v>
      </c>
      <c r="AJ59" s="86">
        <f>VLOOKUP(AJ$1,Amort!$B:$K,7,0)</f>
        <v>0</v>
      </c>
      <c r="AK59" s="86">
        <f>VLOOKUP(AK$1,Amort!$B:$K,7,0)</f>
        <v>0</v>
      </c>
      <c r="AL59" s="86">
        <f>VLOOKUP(AL$1,Amort!$B:$K,7,0)</f>
        <v>0</v>
      </c>
      <c r="AM59" s="86">
        <f>VLOOKUP(AM$1,Amort!$B:$K,7,0)</f>
        <v>0</v>
      </c>
      <c r="AN59" s="87">
        <f>AM59</f>
        <v>0</v>
      </c>
      <c r="AO59" s="86">
        <f>VLOOKUP(AO$1,Amort!$B:$K,7,0)</f>
        <v>0</v>
      </c>
      <c r="AP59" s="86">
        <f>VLOOKUP(AP$1,Amort!$B:$K,7,0)</f>
        <v>0</v>
      </c>
      <c r="AQ59" s="86">
        <f>VLOOKUP(AQ$1,Amort!$B:$K,7,0)</f>
        <v>0</v>
      </c>
      <c r="AR59" s="86">
        <f>VLOOKUP(AR$1,Amort!$B:$K,7,0)</f>
        <v>0</v>
      </c>
      <c r="AS59" s="86">
        <f>VLOOKUP(AS$1,Amort!$B:$K,7,0)</f>
        <v>0</v>
      </c>
      <c r="AT59" s="86">
        <f>VLOOKUP(AT$1,Amort!$B:$K,7,0)</f>
        <v>0</v>
      </c>
      <c r="AU59" s="86">
        <f>VLOOKUP(AU$1,Amort!$B:$K,7,0)</f>
        <v>0</v>
      </c>
      <c r="AV59" s="86">
        <f>VLOOKUP(AV$1,Amort!$B:$K,7,0)</f>
        <v>0</v>
      </c>
      <c r="AW59" s="86">
        <f>VLOOKUP(AW$1,Amort!$B:$K,7,0)</f>
        <v>0</v>
      </c>
      <c r="AX59" s="86">
        <f>VLOOKUP(AX$1,Amort!$B:$K,7,0)</f>
        <v>0</v>
      </c>
      <c r="AY59" s="86">
        <f>VLOOKUP(AY$1,Amort!$B:$K,7,0)</f>
        <v>0</v>
      </c>
      <c r="AZ59" s="86">
        <f>VLOOKUP(AZ$1,Amort!$B:$K,7,0)</f>
        <v>0</v>
      </c>
      <c r="BA59" s="87">
        <f>AZ59</f>
        <v>0</v>
      </c>
      <c r="BB59" s="86">
        <f>VLOOKUP(BB$1,Amort!$B:$K,7,0)</f>
        <v>0</v>
      </c>
      <c r="BC59" s="86">
        <f>VLOOKUP(BC$1,Amort!$B:$K,7,0)</f>
        <v>0</v>
      </c>
      <c r="BD59" s="86">
        <f>VLOOKUP(BD$1,Amort!$B:$K,7,0)</f>
        <v>0</v>
      </c>
      <c r="BE59" s="86">
        <f>VLOOKUP(BE$1,Amort!$B:$K,7,0)</f>
        <v>0</v>
      </c>
      <c r="BF59" s="86">
        <f>VLOOKUP(BF$1,Amort!$B:$K,7,0)</f>
        <v>0</v>
      </c>
      <c r="BG59" s="86">
        <f>VLOOKUP(BG$1,Amort!$B:$K,7,0)</f>
        <v>0</v>
      </c>
      <c r="BH59" s="86">
        <f>VLOOKUP(BH$1,Amort!$B:$K,7,0)</f>
        <v>0</v>
      </c>
      <c r="BI59" s="86">
        <f>VLOOKUP(BI$1,Amort!$B:$K,7,0)</f>
        <v>0</v>
      </c>
      <c r="BJ59" s="86">
        <f>VLOOKUP(BJ$1,Amort!$B:$K,7,0)</f>
        <v>0</v>
      </c>
      <c r="BK59" s="86">
        <f>VLOOKUP(BK$1,Amort!$B:$K,7,0)</f>
        <v>0</v>
      </c>
      <c r="BL59" s="86">
        <f>VLOOKUP(BL$1,Amort!$B:$K,7,0)</f>
        <v>0</v>
      </c>
      <c r="BM59" s="86">
        <f>VLOOKUP(BM$1,Amort!$B:$K,7,0)</f>
        <v>0</v>
      </c>
      <c r="BN59" s="87">
        <f>BM59</f>
        <v>0</v>
      </c>
      <c r="BO59" s="86">
        <f>VLOOKUP(BO$1,Amort!$B:$K,7,0)</f>
        <v>0</v>
      </c>
      <c r="BP59" s="86">
        <f>VLOOKUP(BP$1,Amort!$B:$K,7,0)</f>
        <v>0</v>
      </c>
      <c r="BQ59" s="86">
        <f>VLOOKUP(BQ$1,Amort!$B:$K,7,0)</f>
        <v>0</v>
      </c>
      <c r="BR59" s="86">
        <f>VLOOKUP(BR$1,Amort!$B:$K,7,0)</f>
        <v>0</v>
      </c>
      <c r="BS59" s="86">
        <f>VLOOKUP(BS$1,Amort!$B:$K,7,0)</f>
        <v>0</v>
      </c>
      <c r="BT59" s="86">
        <f>VLOOKUP(BT$1,Amort!$B:$K,7,0)</f>
        <v>0</v>
      </c>
      <c r="BU59" s="86">
        <f>VLOOKUP(BU$1,Amort!$B:$K,7,0)</f>
        <v>0</v>
      </c>
      <c r="BV59" s="86">
        <f>VLOOKUP(BV$1,Amort!$B:$K,7,0)</f>
        <v>0</v>
      </c>
      <c r="BW59" s="86">
        <f>VLOOKUP(BW$1,Amort!$B:$K,7,0)</f>
        <v>0</v>
      </c>
      <c r="BX59" s="86">
        <f>VLOOKUP(BX$1,Amort!$B:$K,7,0)</f>
        <v>0</v>
      </c>
      <c r="BY59" s="86">
        <f>VLOOKUP(BY$1,Amort!$B:$K,7,0)</f>
        <v>0</v>
      </c>
      <c r="BZ59" s="86">
        <f>VLOOKUP(BZ$1,Amort!$B:$K,7,0)</f>
        <v>0</v>
      </c>
      <c r="CA59" s="87">
        <f>BZ59</f>
        <v>0</v>
      </c>
      <c r="CB59" s="86">
        <f>VLOOKUP(CB$1,Amort!$B:$K,7,0)</f>
        <v>0</v>
      </c>
      <c r="CC59" s="86">
        <f>VLOOKUP(CC$1,Amort!$B:$K,7,0)</f>
        <v>0</v>
      </c>
      <c r="CD59" s="86">
        <f>VLOOKUP(CD$1,Amort!$B:$K,7,0)</f>
        <v>0</v>
      </c>
      <c r="CE59" s="86">
        <f>VLOOKUP(CE$1,Amort!$B:$K,7,0)</f>
        <v>0</v>
      </c>
      <c r="CF59" s="86">
        <f>VLOOKUP(CF$1,Amort!$B:$K,7,0)</f>
        <v>0</v>
      </c>
      <c r="CG59" s="86">
        <f>VLOOKUP(CG$1,Amort!$B:$K,7,0)</f>
        <v>0</v>
      </c>
      <c r="CH59" s="86">
        <f>VLOOKUP(CH$1,Amort!$B:$K,7,0)</f>
        <v>0</v>
      </c>
      <c r="CI59" s="86">
        <f>VLOOKUP(CI$1,Amort!$B:$K,7,0)</f>
        <v>0</v>
      </c>
      <c r="CJ59" s="86">
        <f>VLOOKUP(CJ$1,Amort!$B:$K,7,0)</f>
        <v>0</v>
      </c>
      <c r="CK59" s="86">
        <f>VLOOKUP(CK$1,Amort!$B:$K,7,0)</f>
        <v>0</v>
      </c>
      <c r="CL59" s="86">
        <f>VLOOKUP(CL$1,Amort!$B:$K,7,0)</f>
        <v>0</v>
      </c>
      <c r="CM59" s="86">
        <f>VLOOKUP(CM$1,Amort!$B:$K,7,0)</f>
        <v>0</v>
      </c>
      <c r="CN59" s="87">
        <f>CM59</f>
        <v>0</v>
      </c>
      <c r="CO59" s="86">
        <f>VLOOKUP(CO$1,Amort!$B:$K,7,0)</f>
        <v>0</v>
      </c>
      <c r="CP59" s="86">
        <f>VLOOKUP(CP$1,Amort!$B:$K,7,0)</f>
        <v>0</v>
      </c>
      <c r="CQ59" s="86">
        <f>VLOOKUP(CQ$1,Amort!$B:$K,7,0)</f>
        <v>0</v>
      </c>
      <c r="CR59" s="86">
        <f>VLOOKUP(CR$1,Amort!$B:$K,7,0)</f>
        <v>0</v>
      </c>
      <c r="CS59" s="86">
        <f>VLOOKUP(CS$1,Amort!$B:$K,7,0)</f>
        <v>0</v>
      </c>
      <c r="CT59" s="86">
        <f>VLOOKUP(CT$1,Amort!$B:$K,7,0)</f>
        <v>0</v>
      </c>
      <c r="CU59" s="86">
        <f>VLOOKUP(CU$1,Amort!$B:$K,7,0)</f>
        <v>0</v>
      </c>
      <c r="CV59" s="86">
        <f>VLOOKUP(CV$1,Amort!$B:$K,7,0)</f>
        <v>0</v>
      </c>
      <c r="CW59" s="86">
        <f>VLOOKUP(CW$1,Amort!$B:$K,7,0)</f>
        <v>0</v>
      </c>
      <c r="CX59" s="86">
        <f>VLOOKUP(CX$1,Amort!$B:$K,7,0)</f>
        <v>0</v>
      </c>
      <c r="CY59" s="86">
        <f>VLOOKUP(CY$1,Amort!$B:$K,7,0)</f>
        <v>0</v>
      </c>
      <c r="CZ59" s="86">
        <f>VLOOKUP(CZ$1,Amort!$B:$K,7,0)</f>
        <v>0</v>
      </c>
      <c r="DA59" s="87">
        <f>CZ59</f>
        <v>0</v>
      </c>
      <c r="DB59" s="86">
        <f>VLOOKUP(DB$1,Amort!$B:$K,7,0)</f>
        <v>0</v>
      </c>
      <c r="DC59" s="86">
        <f>VLOOKUP(DC$1,Amort!$B:$K,7,0)</f>
        <v>0</v>
      </c>
      <c r="DD59" s="86">
        <f>VLOOKUP(DD$1,Amort!$B:$K,7,0)</f>
        <v>0</v>
      </c>
      <c r="DE59" s="86">
        <f>VLOOKUP(DE$1,Amort!$B:$K,7,0)</f>
        <v>0</v>
      </c>
      <c r="DF59" s="86">
        <f>VLOOKUP(DF$1,Amort!$B:$K,7,0)</f>
        <v>0</v>
      </c>
      <c r="DG59" s="86">
        <f>VLOOKUP(DG$1,Amort!$B:$K,7,0)</f>
        <v>0</v>
      </c>
      <c r="DH59" s="86">
        <f>VLOOKUP(DH$1,Amort!$B:$K,7,0)</f>
        <v>0</v>
      </c>
      <c r="DI59" s="86">
        <f>VLOOKUP(DI$1,Amort!$B:$K,7,0)</f>
        <v>0</v>
      </c>
      <c r="DJ59" s="86">
        <f>VLOOKUP(DJ$1,Amort!$B:$K,7,0)</f>
        <v>0</v>
      </c>
      <c r="DK59" s="86">
        <f>VLOOKUP(DK$1,Amort!$B:$K,7,0)</f>
        <v>0</v>
      </c>
      <c r="DL59" s="86">
        <f>VLOOKUP(DL$1,Amort!$B:$K,7,0)</f>
        <v>0</v>
      </c>
      <c r="DM59" s="86">
        <f>VLOOKUP(DM$1,Amort!$B:$K,7,0)</f>
        <v>0</v>
      </c>
      <c r="DN59" s="87">
        <f>DM59</f>
        <v>0</v>
      </c>
      <c r="DO59" s="86">
        <f>VLOOKUP(DO$1,Amort!$B:$K,7,0)</f>
        <v>0</v>
      </c>
      <c r="DP59" s="86">
        <f>VLOOKUP(DP$1,Amort!$B:$K,7,0)</f>
        <v>0</v>
      </c>
      <c r="DQ59" s="86">
        <f>VLOOKUP(DQ$1,Amort!$B:$K,7,0)</f>
        <v>0</v>
      </c>
      <c r="DR59" s="86">
        <f>VLOOKUP(DR$1,Amort!$B:$K,7,0)</f>
        <v>0</v>
      </c>
      <c r="DS59" s="86">
        <f>VLOOKUP(DS$1,Amort!$B:$K,7,0)</f>
        <v>0</v>
      </c>
      <c r="DT59" s="86">
        <f>VLOOKUP(DT$1,Amort!$B:$K,7,0)</f>
        <v>0</v>
      </c>
      <c r="DU59" s="86">
        <f>VLOOKUP(DU$1,Amort!$B:$K,7,0)</f>
        <v>0</v>
      </c>
      <c r="DV59" s="86">
        <f>VLOOKUP(DV$1,Amort!$B:$K,7,0)</f>
        <v>0</v>
      </c>
      <c r="DW59" s="86">
        <f>VLOOKUP(DW$1,Amort!$B:$K,7,0)</f>
        <v>0</v>
      </c>
      <c r="DX59" s="86">
        <f>VLOOKUP(DX$1,Amort!$B:$K,7,0)</f>
        <v>0</v>
      </c>
      <c r="DY59" s="86">
        <f>VLOOKUP(DY$1,Amort!$B:$K,7,0)</f>
        <v>0</v>
      </c>
      <c r="DZ59" s="86">
        <f>VLOOKUP(DZ$1,Amort!$B:$K,7,0)</f>
        <v>0</v>
      </c>
      <c r="EA59" s="87">
        <f>DZ59</f>
        <v>0</v>
      </c>
      <c r="EB59" s="86">
        <f>VLOOKUP(EB$1,Amort!$B:$K,7,0)</f>
        <v>0</v>
      </c>
      <c r="EC59" s="86">
        <f>VLOOKUP(EC$1,Amort!$B:$K,7,0)</f>
        <v>0</v>
      </c>
      <c r="ED59" s="86">
        <f>VLOOKUP(ED$1,Amort!$B:$K,7,0)</f>
        <v>0</v>
      </c>
      <c r="EE59" s="86">
        <f>VLOOKUP(EE$1,Amort!$B:$K,7,0)</f>
        <v>0</v>
      </c>
      <c r="EF59" s="86">
        <f>VLOOKUP(EF$1,Amort!$B:$K,7,0)</f>
        <v>0</v>
      </c>
      <c r="EG59" s="86">
        <f>VLOOKUP(EG$1,Amort!$B:$K,7,0)</f>
        <v>0</v>
      </c>
      <c r="EH59" s="86">
        <f>VLOOKUP(EH$1,Amort!$B:$K,7,0)</f>
        <v>0</v>
      </c>
      <c r="EI59" s="86">
        <f>VLOOKUP(EI$1,Amort!$B:$K,7,0)</f>
        <v>0</v>
      </c>
      <c r="EJ59" s="86">
        <f>VLOOKUP(EJ$1,Amort!$B:$K,7,0)</f>
        <v>0</v>
      </c>
      <c r="EK59" s="86">
        <f>VLOOKUP(EK$1,Amort!$B:$K,7,0)</f>
        <v>0</v>
      </c>
      <c r="EL59" s="86">
        <f>VLOOKUP(EL$1,Amort!$B:$K,7,0)</f>
        <v>0</v>
      </c>
      <c r="EM59" s="86">
        <f>VLOOKUP(EM$1,Amort!$B:$K,7,0)</f>
        <v>0</v>
      </c>
      <c r="EN59" s="87">
        <f>EM59</f>
        <v>0</v>
      </c>
      <c r="EO59" s="86">
        <f>VLOOKUP(EO$1,Amort!$B:$K,7,0)</f>
        <v>0</v>
      </c>
      <c r="EP59" s="86">
        <f>VLOOKUP(EP$1,Amort!$B:$K,7,0)</f>
        <v>0</v>
      </c>
      <c r="EQ59" s="86">
        <f>VLOOKUP(EQ$1,Amort!$B:$K,7,0)</f>
        <v>0</v>
      </c>
      <c r="ER59" s="86">
        <f>VLOOKUP(ER$1,Amort!$B:$K,7,0)</f>
        <v>0</v>
      </c>
      <c r="ES59" s="86">
        <f>VLOOKUP(ES$1,Amort!$B:$K,7,0)</f>
        <v>0</v>
      </c>
      <c r="ET59" s="86">
        <f>VLOOKUP(ET$1,Amort!$B:$K,7,0)</f>
        <v>0</v>
      </c>
      <c r="EU59" s="86">
        <f>VLOOKUP(EU$1,Amort!$B:$K,7,0)</f>
        <v>0</v>
      </c>
      <c r="EV59" s="86">
        <f>VLOOKUP(EV$1,Amort!$B:$K,7,0)</f>
        <v>0</v>
      </c>
      <c r="EW59" s="86">
        <f>VLOOKUP(EW$1,Amort!$B:$K,7,0)</f>
        <v>0</v>
      </c>
      <c r="EX59" s="86">
        <f>VLOOKUP(EX$1,Amort!$B:$K,7,0)</f>
        <v>0</v>
      </c>
      <c r="EY59" s="86">
        <f>VLOOKUP(EY$1,Amort!$B:$K,7,0)</f>
        <v>0</v>
      </c>
      <c r="EZ59" s="86">
        <f>VLOOKUP(EZ$1,Amort!$B:$K,7,0)</f>
        <v>0</v>
      </c>
      <c r="FA59" s="87">
        <f>EZ59</f>
        <v>0</v>
      </c>
      <c r="FB59" s="86">
        <f>VLOOKUP(FB$1,Amort!$B:$K,7,0)</f>
        <v>0</v>
      </c>
      <c r="FC59" s="86">
        <f>VLOOKUP(FC$1,Amort!$B:$K,7,0)</f>
        <v>0</v>
      </c>
      <c r="FD59" s="86">
        <f>VLOOKUP(FD$1,Amort!$B:$K,7,0)</f>
        <v>0</v>
      </c>
      <c r="FE59" s="86">
        <f>VLOOKUP(FE$1,Amort!$B:$K,7,0)</f>
        <v>0</v>
      </c>
      <c r="FF59" s="86">
        <f>VLOOKUP(FF$1,Amort!$B:$K,7,0)</f>
        <v>0</v>
      </c>
      <c r="FG59" s="86">
        <f>VLOOKUP(FG$1,Amort!$B:$K,7,0)</f>
        <v>0</v>
      </c>
      <c r="FH59" s="86">
        <f>VLOOKUP(FH$1,Amort!$B:$K,7,0)</f>
        <v>0</v>
      </c>
      <c r="FI59" s="86">
        <f>VLOOKUP(FI$1,Amort!$B:$K,7,0)</f>
        <v>0</v>
      </c>
      <c r="FJ59" s="86">
        <f>VLOOKUP(FJ$1,Amort!$B:$K,7,0)</f>
        <v>0</v>
      </c>
      <c r="FK59" s="86">
        <f>VLOOKUP(FK$1,Amort!$B:$K,7,0)</f>
        <v>0</v>
      </c>
      <c r="FL59" s="86">
        <f>VLOOKUP(FL$1,Amort!$B:$K,7,0)</f>
        <v>0</v>
      </c>
      <c r="FM59" s="86">
        <f>VLOOKUP(FM$1,Amort!$B:$K,7,0)</f>
        <v>0</v>
      </c>
      <c r="FN59" s="87">
        <f>FM59</f>
        <v>0</v>
      </c>
      <c r="FO59" s="86">
        <f>VLOOKUP(FO$1,Amort!$B:$K,7,0)</f>
        <v>0</v>
      </c>
      <c r="FP59" s="86">
        <f>VLOOKUP(FP$1,Amort!$B:$K,7,0)</f>
        <v>0</v>
      </c>
      <c r="FQ59" s="86">
        <f>VLOOKUP(FQ$1,Amort!$B:$K,7,0)</f>
        <v>0</v>
      </c>
      <c r="FR59" s="86">
        <f>VLOOKUP(FR$1,Amort!$B:$K,7,0)</f>
        <v>0</v>
      </c>
      <c r="FS59" s="86">
        <f>VLOOKUP(FS$1,Amort!$B:$K,7,0)</f>
        <v>0</v>
      </c>
      <c r="FT59" s="86">
        <f>VLOOKUP(FT$1,Amort!$B:$K,7,0)</f>
        <v>0</v>
      </c>
      <c r="FU59" s="86">
        <f>VLOOKUP(FU$1,Amort!$B:$K,7,0)</f>
        <v>0</v>
      </c>
      <c r="FV59" s="86">
        <f>VLOOKUP(FV$1,Amort!$B:$K,7,0)</f>
        <v>0</v>
      </c>
      <c r="FW59" s="86">
        <f>VLOOKUP(FW$1,Amort!$B:$K,7,0)</f>
        <v>0</v>
      </c>
      <c r="FX59" s="86">
        <f>VLOOKUP(FX$1,Amort!$B:$K,7,0)</f>
        <v>0</v>
      </c>
      <c r="FY59" s="86">
        <f>VLOOKUP(FY$1,Amort!$B:$K,7,0)</f>
        <v>0</v>
      </c>
      <c r="FZ59" s="86">
        <f>VLOOKUP(FZ$1,Amort!$B:$K,7,0)</f>
        <v>0</v>
      </c>
      <c r="GA59" s="87">
        <f>FZ59</f>
        <v>0</v>
      </c>
      <c r="GB59" s="86">
        <f>VLOOKUP(GB$1,Amort!$B:$K,7,0)</f>
        <v>0</v>
      </c>
      <c r="GC59" s="86">
        <f>VLOOKUP(GC$1,Amort!$B:$K,7,0)</f>
        <v>0</v>
      </c>
      <c r="GD59" s="86">
        <f>VLOOKUP(GD$1,Amort!$B:$K,7,0)</f>
        <v>0</v>
      </c>
      <c r="GE59" s="86">
        <f>VLOOKUP(GE$1,Amort!$B:$K,7,0)</f>
        <v>0</v>
      </c>
      <c r="GF59" s="86">
        <f>VLOOKUP(GF$1,Amort!$B:$K,7,0)</f>
        <v>0</v>
      </c>
      <c r="GG59" s="86">
        <f>VLOOKUP(GG$1,Amort!$B:$K,7,0)</f>
        <v>0</v>
      </c>
      <c r="GH59" s="86">
        <f>VLOOKUP(GH$1,Amort!$B:$K,7,0)</f>
        <v>0</v>
      </c>
      <c r="GI59" s="86">
        <f>VLOOKUP(GI$1,Amort!$B:$K,7,0)</f>
        <v>0</v>
      </c>
      <c r="GJ59" s="86">
        <f>VLOOKUP(GJ$1,Amort!$B:$K,7,0)</f>
        <v>0</v>
      </c>
      <c r="GK59" s="86">
        <f>VLOOKUP(GK$1,Amort!$B:$K,7,0)</f>
        <v>0</v>
      </c>
      <c r="GL59" s="86">
        <f>VLOOKUP(GL$1,Amort!$B:$K,7,0)</f>
        <v>0</v>
      </c>
      <c r="GM59" s="86">
        <f>VLOOKUP(GM$1,Amort!$B:$K,7,0)</f>
        <v>0</v>
      </c>
      <c r="GN59" s="87">
        <f>GM59</f>
        <v>0</v>
      </c>
      <c r="GO59" s="86">
        <f>VLOOKUP(GO$1,Amort!$B:$K,7,0)</f>
        <v>0</v>
      </c>
      <c r="GP59" s="86">
        <f>VLOOKUP(GP$1,Amort!$B:$K,7,0)</f>
        <v>0</v>
      </c>
      <c r="GQ59" s="86">
        <f>VLOOKUP(GQ$1,Amort!$B:$K,7,0)</f>
        <v>0</v>
      </c>
      <c r="GR59" s="86">
        <f>VLOOKUP(GR$1,Amort!$B:$K,7,0)</f>
        <v>0</v>
      </c>
      <c r="GS59" s="86">
        <f>VLOOKUP(GS$1,Amort!$B:$K,7,0)</f>
        <v>0</v>
      </c>
      <c r="GT59" s="86">
        <f>VLOOKUP(GT$1,Amort!$B:$K,7,0)</f>
        <v>0</v>
      </c>
      <c r="GU59" s="86">
        <f>VLOOKUP(GU$1,Amort!$B:$K,7,0)</f>
        <v>0</v>
      </c>
      <c r="GV59" s="86">
        <f>VLOOKUP(GV$1,Amort!$B:$K,7,0)</f>
        <v>0</v>
      </c>
      <c r="GW59" s="86">
        <f>VLOOKUP(GW$1,Amort!$B:$K,7,0)</f>
        <v>0</v>
      </c>
      <c r="GX59" s="86">
        <f>VLOOKUP(GX$1,Amort!$B:$K,7,0)</f>
        <v>0</v>
      </c>
      <c r="GY59" s="86">
        <f>VLOOKUP(GY$1,Amort!$B:$K,7,0)</f>
        <v>0</v>
      </c>
      <c r="GZ59" s="86">
        <f>VLOOKUP(GZ$1,Amort!$B:$K,7,0)</f>
        <v>0</v>
      </c>
      <c r="HA59" s="87">
        <f>GZ59</f>
        <v>0</v>
      </c>
      <c r="HB59" s="86">
        <f>VLOOKUP(HB$1,Amort!$B:$K,7,0)</f>
        <v>0</v>
      </c>
      <c r="HC59" s="86">
        <f>VLOOKUP(HC$1,Amort!$B:$K,7,0)</f>
        <v>0</v>
      </c>
      <c r="HD59" s="86">
        <f>VLOOKUP(HD$1,Amort!$B:$K,7,0)</f>
        <v>0</v>
      </c>
      <c r="HE59" s="86">
        <f>VLOOKUP(HE$1,Amort!$B:$K,7,0)</f>
        <v>0</v>
      </c>
      <c r="HF59" s="86">
        <f>VLOOKUP(HF$1,Amort!$B:$K,7,0)</f>
        <v>0</v>
      </c>
      <c r="HG59" s="86">
        <f>VLOOKUP(HG$1,Amort!$B:$K,7,0)</f>
        <v>0</v>
      </c>
      <c r="HH59" s="86">
        <f>VLOOKUP(HH$1,Amort!$B:$K,7,0)</f>
        <v>0</v>
      </c>
      <c r="HI59" s="86">
        <f>VLOOKUP(HI$1,Amort!$B:$K,7,0)</f>
        <v>0</v>
      </c>
      <c r="HJ59" s="86">
        <f>VLOOKUP(HJ$1,Amort!$B:$K,7,0)</f>
        <v>0</v>
      </c>
      <c r="HK59" s="86">
        <f>VLOOKUP(HK$1,Amort!$B:$K,7,0)</f>
        <v>0</v>
      </c>
      <c r="HL59" s="86">
        <f>VLOOKUP(HL$1,Amort!$B:$K,7,0)</f>
        <v>0</v>
      </c>
      <c r="HM59" s="86">
        <f>VLOOKUP(HM$1,Amort!$B:$K,7,0)</f>
        <v>0</v>
      </c>
      <c r="HN59" s="87">
        <f>HM59</f>
        <v>0</v>
      </c>
      <c r="HO59" s="86">
        <f>VLOOKUP(HO$1,Amort!$B:$K,7,0)</f>
        <v>0</v>
      </c>
      <c r="HP59" s="86">
        <f>VLOOKUP(HP$1,Amort!$B:$K,7,0)</f>
        <v>0</v>
      </c>
      <c r="HQ59" s="86">
        <f>VLOOKUP(HQ$1,Amort!$B:$K,7,0)</f>
        <v>0</v>
      </c>
      <c r="HR59" s="86">
        <f>VLOOKUP(HR$1,Amort!$B:$K,7,0)</f>
        <v>0</v>
      </c>
      <c r="HS59" s="86">
        <f>VLOOKUP(HS$1,Amort!$B:$K,7,0)</f>
        <v>0</v>
      </c>
      <c r="HT59" s="86">
        <f>VLOOKUP(HT$1,Amort!$B:$K,7,0)</f>
        <v>0</v>
      </c>
      <c r="HU59" s="86">
        <f>VLOOKUP(HU$1,Amort!$B:$K,7,0)</f>
        <v>0</v>
      </c>
      <c r="HV59" s="86">
        <f>VLOOKUP(HV$1,Amort!$B:$K,7,0)</f>
        <v>0</v>
      </c>
      <c r="HW59" s="86">
        <f>VLOOKUP(HW$1,Amort!$B:$K,7,0)</f>
        <v>0</v>
      </c>
      <c r="HX59" s="86">
        <f>VLOOKUP(HX$1,Amort!$B:$K,7,0)</f>
        <v>0</v>
      </c>
      <c r="HY59" s="86">
        <f>VLOOKUP(HY$1,Amort!$B:$K,7,0)</f>
        <v>0</v>
      </c>
      <c r="HZ59" s="86">
        <f>VLOOKUP(HZ$1,Amort!$B:$K,7,0)</f>
        <v>0</v>
      </c>
      <c r="IA59" s="87">
        <f>HZ59</f>
        <v>0</v>
      </c>
      <c r="IB59" s="86">
        <f>VLOOKUP(IB$1,Amort!$B:$K,7,0)</f>
        <v>0</v>
      </c>
      <c r="IC59" s="86">
        <f>VLOOKUP(IC$1,Amort!$B:$K,7,0)</f>
        <v>0</v>
      </c>
      <c r="ID59" s="86">
        <f>VLOOKUP(ID$1,Amort!$B:$K,7,0)</f>
        <v>0</v>
      </c>
      <c r="IE59" s="86">
        <f>VLOOKUP(IE$1,Amort!$B:$K,7,0)</f>
        <v>0</v>
      </c>
      <c r="IF59" s="86">
        <f>VLOOKUP(IF$1,Amort!$B:$K,7,0)</f>
        <v>0</v>
      </c>
      <c r="IG59" s="86">
        <f>VLOOKUP(IG$1,Amort!$B:$K,7,0)</f>
        <v>0</v>
      </c>
      <c r="IH59" s="86">
        <f>VLOOKUP(IH$1,Amort!$B:$K,7,0)</f>
        <v>0</v>
      </c>
      <c r="II59" s="86">
        <f>VLOOKUP(II$1,Amort!$B:$K,7,0)</f>
        <v>0</v>
      </c>
      <c r="IJ59" s="86">
        <f>VLOOKUP(IJ$1,Amort!$B:$K,7,0)</f>
        <v>0</v>
      </c>
      <c r="IK59" s="86">
        <f>VLOOKUP(IK$1,Amort!$B:$K,7,0)</f>
        <v>0</v>
      </c>
      <c r="IL59" s="86">
        <f>VLOOKUP(IL$1,Amort!$B:$K,7,0)</f>
        <v>0</v>
      </c>
      <c r="IM59" s="86">
        <f>VLOOKUP(IM$1,Amort!$B:$K,7,0)</f>
        <v>0</v>
      </c>
      <c r="IN59" s="87">
        <f>IM59</f>
        <v>0</v>
      </c>
      <c r="IO59" s="86">
        <f>VLOOKUP(IO$1,Amort!$B:$K,7,0)</f>
        <v>0</v>
      </c>
      <c r="IP59" s="86">
        <f>VLOOKUP(IP$1,Amort!$B:$K,7,0)</f>
        <v>0</v>
      </c>
      <c r="IQ59" s="86">
        <f>VLOOKUP(IQ$1,Amort!$B:$K,7,0)</f>
        <v>0</v>
      </c>
      <c r="IR59" s="86">
        <f>VLOOKUP(IR$1,Amort!$B:$K,7,0)</f>
        <v>0</v>
      </c>
      <c r="IS59" s="86">
        <f>VLOOKUP(IS$1,Amort!$B:$K,7,0)</f>
        <v>0</v>
      </c>
      <c r="IT59" s="86">
        <f>VLOOKUP(IT$1,Amort!$B:$K,7,0)</f>
        <v>0</v>
      </c>
      <c r="IU59" s="86">
        <f>VLOOKUP(IU$1,Amort!$B:$K,7,0)</f>
        <v>0</v>
      </c>
      <c r="IV59" s="86">
        <f>VLOOKUP(IV$1,Amort!$B:$K,7,0)</f>
        <v>0</v>
      </c>
      <c r="IW59" s="86">
        <f>VLOOKUP(IW$1,Amort!$B:$K,7,0)</f>
        <v>0</v>
      </c>
      <c r="IX59" s="86">
        <f>VLOOKUP(IX$1,Amort!$B:$K,7,0)</f>
        <v>0</v>
      </c>
      <c r="IY59" s="86">
        <f>VLOOKUP(IY$1,Amort!$B:$K,7,0)</f>
        <v>0</v>
      </c>
      <c r="IZ59" s="86">
        <f>VLOOKUP(IZ$1,Amort!$B:$K,7,0)</f>
        <v>0</v>
      </c>
      <c r="JA59" s="87">
        <f>IZ59</f>
        <v>0</v>
      </c>
      <c r="JB59" s="86">
        <f>VLOOKUP(JB$1,Amort!$B:$K,7,0)</f>
        <v>0</v>
      </c>
      <c r="JC59" s="86">
        <f>VLOOKUP(JC$1,Amort!$B:$K,7,0)</f>
        <v>0</v>
      </c>
      <c r="JD59" s="86">
        <f>VLOOKUP(JD$1,Amort!$B:$K,7,0)</f>
        <v>0</v>
      </c>
      <c r="JE59" s="86">
        <f>VLOOKUP(JE$1,Amort!$B:$K,7,0)</f>
        <v>0</v>
      </c>
      <c r="JF59" s="86">
        <f>VLOOKUP(JF$1,Amort!$B:$K,7,0)</f>
        <v>0</v>
      </c>
      <c r="JG59" s="86">
        <f>VLOOKUP(JG$1,Amort!$B:$K,7,0)</f>
        <v>0</v>
      </c>
      <c r="JH59" s="86">
        <f>VLOOKUP(JH$1,Amort!$B:$K,7,0)</f>
        <v>0</v>
      </c>
      <c r="JI59" s="86">
        <f>VLOOKUP(JI$1,Amort!$B:$K,7,0)</f>
        <v>0</v>
      </c>
      <c r="JJ59" s="86">
        <f>VLOOKUP(JJ$1,Amort!$B:$K,7,0)</f>
        <v>0</v>
      </c>
      <c r="JK59" s="86">
        <f>VLOOKUP(JK$1,Amort!$B:$K,7,0)</f>
        <v>0</v>
      </c>
      <c r="JL59" s="86">
        <f>VLOOKUP(JL$1,Amort!$B:$K,7,0)</f>
        <v>0</v>
      </c>
      <c r="JM59" s="86">
        <f>VLOOKUP(JM$1,Amort!$B:$K,7,0)</f>
        <v>0</v>
      </c>
      <c r="JN59" s="87">
        <f>JM59</f>
        <v>0</v>
      </c>
      <c r="JO59" s="86">
        <f>VLOOKUP(JO$1,Amort!$B:$K,7,0)</f>
        <v>0</v>
      </c>
      <c r="JP59" s="86">
        <f>VLOOKUP(JP$1,Amort!$B:$K,7,0)</f>
        <v>0</v>
      </c>
      <c r="JQ59" s="86">
        <f>VLOOKUP(JQ$1,Amort!$B:$K,7,0)</f>
        <v>0</v>
      </c>
      <c r="JR59" s="86">
        <f>VLOOKUP(JR$1,Amort!$B:$K,7,0)</f>
        <v>0</v>
      </c>
      <c r="JS59" s="86">
        <f>VLOOKUP(JS$1,Amort!$B:$K,7,0)</f>
        <v>0</v>
      </c>
      <c r="JT59" s="86">
        <f>VLOOKUP(JT$1,Amort!$B:$K,7,0)</f>
        <v>0</v>
      </c>
      <c r="JU59" s="86">
        <f>VLOOKUP(JU$1,Amort!$B:$K,7,0)</f>
        <v>0</v>
      </c>
      <c r="JV59" s="86">
        <f>VLOOKUP(JV$1,Amort!$B:$K,7,0)</f>
        <v>0</v>
      </c>
      <c r="JW59" s="86">
        <f>VLOOKUP(JW$1,Amort!$B:$K,7,0)</f>
        <v>0</v>
      </c>
      <c r="JX59" s="86">
        <f>VLOOKUP(JX$1,Amort!$B:$K,7,0)</f>
        <v>0</v>
      </c>
      <c r="JY59" s="86">
        <f>VLOOKUP(JY$1,Amort!$B:$K,7,0)</f>
        <v>0</v>
      </c>
      <c r="JZ59" s="86">
        <f>VLOOKUP(JZ$1,Amort!$B:$K,7,0)</f>
        <v>0</v>
      </c>
      <c r="KA59" s="87">
        <f>JZ59</f>
        <v>0</v>
      </c>
      <c r="KB59" s="86">
        <f>VLOOKUP(KB$1,Amort!$B:$K,7,0)</f>
        <v>0</v>
      </c>
      <c r="KC59" s="86">
        <f>VLOOKUP(KC$1,Amort!$B:$K,7,0)</f>
        <v>0</v>
      </c>
      <c r="KD59" s="86">
        <f>VLOOKUP(KD$1,Amort!$B:$K,7,0)</f>
        <v>0</v>
      </c>
      <c r="KE59" s="86">
        <f>VLOOKUP(KE$1,Amort!$B:$K,7,0)</f>
        <v>0</v>
      </c>
      <c r="KF59" s="86">
        <f>VLOOKUP(KF$1,Amort!$B:$K,7,0)</f>
        <v>0</v>
      </c>
      <c r="KG59" s="86">
        <f>VLOOKUP(KG$1,Amort!$B:$K,7,0)</f>
        <v>0</v>
      </c>
      <c r="KH59" s="86">
        <f>VLOOKUP(KH$1,Amort!$B:$K,7,0)</f>
        <v>0</v>
      </c>
      <c r="KI59" s="86">
        <f>VLOOKUP(KI$1,Amort!$B:$K,7,0)</f>
        <v>0</v>
      </c>
      <c r="KJ59" s="86">
        <f>VLOOKUP(KJ$1,Amort!$B:$K,7,0)</f>
        <v>0</v>
      </c>
      <c r="KK59" s="86">
        <f>VLOOKUP(KK$1,Amort!$B:$K,7,0)</f>
        <v>0</v>
      </c>
      <c r="KL59" s="86">
        <f>VLOOKUP(KL$1,Amort!$B:$K,7,0)</f>
        <v>0</v>
      </c>
      <c r="KM59" s="86">
        <f>VLOOKUP(KM$1,Amort!$B:$K,7,0)</f>
        <v>0</v>
      </c>
      <c r="KN59" s="87">
        <f>KM59</f>
        <v>0</v>
      </c>
      <c r="KO59" s="86">
        <f>VLOOKUP(KO$1,Amort!$B:$K,7,0)</f>
        <v>0</v>
      </c>
      <c r="KP59" s="86">
        <f>VLOOKUP(KP$1,Amort!$B:$K,7,0)</f>
        <v>0</v>
      </c>
      <c r="KQ59" s="86">
        <f>VLOOKUP(KQ$1,Amort!$B:$K,7,0)</f>
        <v>0</v>
      </c>
      <c r="KR59" s="86">
        <f>VLOOKUP(KR$1,Amort!$B:$K,7,0)</f>
        <v>0</v>
      </c>
      <c r="KS59" s="86">
        <f>VLOOKUP(KS$1,Amort!$B:$K,7,0)</f>
        <v>0</v>
      </c>
      <c r="KT59" s="86">
        <f>VLOOKUP(KT$1,Amort!$B:$K,7,0)</f>
        <v>0</v>
      </c>
      <c r="KU59" s="86">
        <f>VLOOKUP(KU$1,Amort!$B:$K,7,0)</f>
        <v>0</v>
      </c>
      <c r="KV59" s="86">
        <f>VLOOKUP(KV$1,Amort!$B:$K,7,0)</f>
        <v>0</v>
      </c>
      <c r="KW59" s="86">
        <f>VLOOKUP(KW$1,Amort!$B:$K,7,0)</f>
        <v>0</v>
      </c>
      <c r="KX59" s="86">
        <f>VLOOKUP(KX$1,Amort!$B:$K,7,0)</f>
        <v>0</v>
      </c>
      <c r="KY59" s="86">
        <f>VLOOKUP(KY$1,Amort!$B:$K,7,0)</f>
        <v>0</v>
      </c>
      <c r="KZ59" s="86">
        <f>VLOOKUP(KZ$1,Amort!$B:$K,7,0)</f>
        <v>0</v>
      </c>
      <c r="LA59" s="87">
        <f>KZ59</f>
        <v>0</v>
      </c>
      <c r="LB59" s="86">
        <f>VLOOKUP(LB$1,Amort!$B:$K,7,0)</f>
        <v>0</v>
      </c>
      <c r="LC59" s="86">
        <f>VLOOKUP(LC$1,Amort!$B:$K,7,0)</f>
        <v>0</v>
      </c>
      <c r="LD59" s="86">
        <f>VLOOKUP(LD$1,Amort!$B:$K,7,0)</f>
        <v>0</v>
      </c>
      <c r="LE59" s="86">
        <f>VLOOKUP(LE$1,Amort!$B:$K,7,0)</f>
        <v>0</v>
      </c>
      <c r="LF59" s="86">
        <f>VLOOKUP(LF$1,Amort!$B:$K,7,0)</f>
        <v>0</v>
      </c>
      <c r="LG59" s="86">
        <f>VLOOKUP(LG$1,Amort!$B:$K,7,0)</f>
        <v>0</v>
      </c>
      <c r="LH59" s="86">
        <f>VLOOKUP(LH$1,Amort!$B:$K,7,0)</f>
        <v>0</v>
      </c>
      <c r="LI59" s="86">
        <f>VLOOKUP(LI$1,Amort!$B:$K,7,0)</f>
        <v>0</v>
      </c>
      <c r="LJ59" s="86">
        <f>VLOOKUP(LJ$1,Amort!$B:$K,7,0)</f>
        <v>0</v>
      </c>
      <c r="LK59" s="86">
        <f>VLOOKUP(LK$1,Amort!$B:$K,7,0)</f>
        <v>0</v>
      </c>
      <c r="LL59" s="86">
        <f>VLOOKUP(LL$1,Amort!$B:$K,7,0)</f>
        <v>0</v>
      </c>
      <c r="LM59" s="86">
        <f>VLOOKUP(LM$1,Amort!$B:$K,7,0)</f>
        <v>0</v>
      </c>
      <c r="LN59" s="87">
        <f>LM59</f>
        <v>0</v>
      </c>
      <c r="LO59" s="86">
        <f>VLOOKUP(LO$1,Amort!$B:$K,7,0)</f>
        <v>0</v>
      </c>
      <c r="LP59" s="86">
        <f>VLOOKUP(LP$1,Amort!$B:$K,7,0)</f>
        <v>0</v>
      </c>
      <c r="LQ59" s="86">
        <f>VLOOKUP(LQ$1,Amort!$B:$K,7,0)</f>
        <v>0</v>
      </c>
      <c r="LR59" s="86">
        <f>VLOOKUP(LR$1,Amort!$B:$K,7,0)</f>
        <v>0</v>
      </c>
      <c r="LS59" s="86">
        <f>VLOOKUP(LS$1,Amort!$B:$K,7,0)</f>
        <v>0</v>
      </c>
      <c r="LT59" s="86">
        <f>VLOOKUP(LT$1,Amort!$B:$K,7,0)</f>
        <v>0</v>
      </c>
      <c r="LU59" s="86">
        <f>VLOOKUP(LU$1,Amort!$B:$K,7,0)</f>
        <v>0</v>
      </c>
      <c r="LV59" s="86">
        <f>VLOOKUP(LV$1,Amort!$B:$K,7,0)</f>
        <v>0</v>
      </c>
      <c r="LW59" s="86">
        <f>VLOOKUP(LW$1,Amort!$B:$K,7,0)</f>
        <v>0</v>
      </c>
      <c r="LX59" s="86">
        <f>VLOOKUP(LX$1,Amort!$B:$K,7,0)</f>
        <v>0</v>
      </c>
      <c r="LY59" s="86">
        <f>VLOOKUP(LY$1,Amort!$B:$K,7,0)</f>
        <v>0</v>
      </c>
      <c r="LZ59" s="86">
        <f>VLOOKUP(LZ$1,Amort!$B:$K,7,0)</f>
        <v>0</v>
      </c>
      <c r="MA59" s="87">
        <f>LZ59</f>
        <v>0</v>
      </c>
      <c r="MB59" s="86">
        <f>VLOOKUP(MB$1,Amort!$B:$K,7,0)</f>
        <v>0</v>
      </c>
      <c r="MC59" s="86">
        <f>VLOOKUP(MC$1,Amort!$B:$K,7,0)</f>
        <v>0</v>
      </c>
      <c r="MD59" s="86">
        <f>VLOOKUP(MD$1,Amort!$B:$K,7,0)</f>
        <v>0</v>
      </c>
      <c r="ME59" s="86">
        <f>VLOOKUP(ME$1,Amort!$B:$K,7,0)</f>
        <v>0</v>
      </c>
      <c r="MF59" s="86">
        <f>VLOOKUP(MF$1,Amort!$B:$K,7,0)</f>
        <v>0</v>
      </c>
      <c r="MG59" s="86">
        <f>VLOOKUP(MG$1,Amort!$B:$K,7,0)</f>
        <v>0</v>
      </c>
      <c r="MH59" s="86">
        <f>VLOOKUP(MH$1,Amort!$B:$K,7,0)</f>
        <v>0</v>
      </c>
      <c r="MI59" s="86">
        <f>VLOOKUP(MI$1,Amort!$B:$K,7,0)</f>
        <v>0</v>
      </c>
      <c r="MJ59" s="86">
        <f>VLOOKUP(MJ$1,Amort!$B:$K,7,0)</f>
        <v>0</v>
      </c>
      <c r="MK59" s="86">
        <f>VLOOKUP(MK$1,Amort!$B:$K,7,0)</f>
        <v>0</v>
      </c>
      <c r="ML59" s="86">
        <f>VLOOKUP(ML$1,Amort!$B:$K,7,0)</f>
        <v>0</v>
      </c>
      <c r="MM59" s="86">
        <f>VLOOKUP(MM$1,Amort!$B:$K,7,0)</f>
        <v>0</v>
      </c>
      <c r="MN59" s="87">
        <f>MM59</f>
        <v>0</v>
      </c>
      <c r="MO59" s="86">
        <f>VLOOKUP(MO$1,Amort!$B:$K,7,0)</f>
        <v>0</v>
      </c>
      <c r="MP59" s="86">
        <f>VLOOKUP(MP$1,Amort!$B:$K,7,0)</f>
        <v>0</v>
      </c>
      <c r="MQ59" s="86">
        <f>VLOOKUP(MQ$1,Amort!$B:$K,7,0)</f>
        <v>0</v>
      </c>
      <c r="MR59" s="86">
        <f>VLOOKUP(MR$1,Amort!$B:$K,7,0)</f>
        <v>0</v>
      </c>
      <c r="MS59" s="86">
        <f>VLOOKUP(MS$1,Amort!$B:$K,7,0)</f>
        <v>0</v>
      </c>
      <c r="MT59" s="86">
        <f>VLOOKUP(MT$1,Amort!$B:$K,7,0)</f>
        <v>0</v>
      </c>
      <c r="MU59" s="86">
        <f>VLOOKUP(MU$1,Amort!$B:$K,7,0)</f>
        <v>0</v>
      </c>
      <c r="MV59" s="86">
        <f>VLOOKUP(MV$1,Amort!$B:$K,7,0)</f>
        <v>0</v>
      </c>
      <c r="MW59" s="86">
        <f>VLOOKUP(MW$1,Amort!$B:$K,7,0)</f>
        <v>0</v>
      </c>
      <c r="MX59" s="86">
        <f>VLOOKUP(MX$1,Amort!$B:$K,7,0)</f>
        <v>0</v>
      </c>
      <c r="MY59" s="86">
        <f>VLOOKUP(MY$1,Amort!$B:$K,7,0)</f>
        <v>0</v>
      </c>
      <c r="MZ59" s="86">
        <f>VLOOKUP(MZ$1,Amort!$B:$K,7,0)</f>
        <v>0</v>
      </c>
      <c r="NA59" s="87">
        <f>MZ59</f>
        <v>0</v>
      </c>
      <c r="NB59" s="86">
        <f>VLOOKUP(NB$1,Amort!$B:$K,7,0)</f>
        <v>0</v>
      </c>
      <c r="NC59" s="86">
        <f>VLOOKUP(NC$1,Amort!$B:$K,7,0)</f>
        <v>0</v>
      </c>
      <c r="ND59" s="86">
        <f>VLOOKUP(ND$1,Amort!$B:$K,7,0)</f>
        <v>0</v>
      </c>
      <c r="NE59" s="86">
        <f>VLOOKUP(NE$1,Amort!$B:$K,7,0)</f>
        <v>0</v>
      </c>
      <c r="NF59" s="86">
        <f>VLOOKUP(NF$1,Amort!$B:$K,7,0)</f>
        <v>0</v>
      </c>
      <c r="NG59" s="86">
        <f>VLOOKUP(NG$1,Amort!$B:$K,7,0)</f>
        <v>0</v>
      </c>
      <c r="NH59" s="86">
        <f>VLOOKUP(NH$1,Amort!$B:$K,7,0)</f>
        <v>0</v>
      </c>
      <c r="NI59" s="86">
        <f>VLOOKUP(NI$1,Amort!$B:$K,7,0)</f>
        <v>0</v>
      </c>
      <c r="NJ59" s="86">
        <f>VLOOKUP(NJ$1,Amort!$B:$K,7,0)</f>
        <v>0</v>
      </c>
      <c r="NK59" s="86">
        <f>VLOOKUP(NK$1,Amort!$B:$K,7,0)</f>
        <v>0</v>
      </c>
      <c r="NL59" s="86">
        <f>VLOOKUP(NL$1,Amort!$B:$K,7,0)</f>
        <v>0</v>
      </c>
      <c r="NM59" s="86">
        <f>VLOOKUP(NM$1,Amort!$B:$K,7,0)</f>
        <v>0</v>
      </c>
      <c r="NN59" s="87">
        <f>NM59</f>
        <v>0</v>
      </c>
      <c r="NO59" s="86">
        <f>VLOOKUP(NO$1,Amort!$B:$K,7,0)</f>
        <v>0</v>
      </c>
      <c r="NP59" s="86">
        <f>VLOOKUP(NP$1,Amort!$B:$K,7,0)</f>
        <v>0</v>
      </c>
      <c r="NQ59" s="86">
        <f>VLOOKUP(NQ$1,Amort!$B:$K,7,0)</f>
        <v>0</v>
      </c>
      <c r="NR59" s="86">
        <f>VLOOKUP(NR$1,Amort!$B:$K,7,0)</f>
        <v>0</v>
      </c>
      <c r="NS59" s="86">
        <f>VLOOKUP(NS$1,Amort!$B:$K,7,0)</f>
        <v>0</v>
      </c>
      <c r="NT59" s="86">
        <f>VLOOKUP(NT$1,Amort!$B:$K,7,0)</f>
        <v>0</v>
      </c>
      <c r="NU59" s="86">
        <f>VLOOKUP(NU$1,Amort!$B:$K,7,0)</f>
        <v>0</v>
      </c>
      <c r="NV59" s="86">
        <f>VLOOKUP(NV$1,Amort!$B:$K,7,0)</f>
        <v>0</v>
      </c>
      <c r="NW59" s="86">
        <f>VLOOKUP(NW$1,Amort!$B:$K,7,0)</f>
        <v>0</v>
      </c>
      <c r="NX59" s="86">
        <f>VLOOKUP(NX$1,Amort!$B:$K,7,0)</f>
        <v>0</v>
      </c>
      <c r="NY59" s="86">
        <f>VLOOKUP(NY$1,Amort!$B:$K,7,0)</f>
        <v>0</v>
      </c>
      <c r="NZ59" s="86">
        <f>VLOOKUP(NZ$1,Amort!$B:$K,7,0)</f>
        <v>0</v>
      </c>
      <c r="OA59" s="87">
        <f>NZ59</f>
        <v>0</v>
      </c>
      <c r="OB59" s="86">
        <f>VLOOKUP(OB$1,Amort!$B:$K,7,0)</f>
        <v>0</v>
      </c>
      <c r="OC59" s="86">
        <f>VLOOKUP(OC$1,Amort!$B:$K,7,0)</f>
        <v>0</v>
      </c>
      <c r="OD59" s="86">
        <f>VLOOKUP(OD$1,Amort!$B:$K,7,0)</f>
        <v>0</v>
      </c>
      <c r="OE59" s="86">
        <f>VLOOKUP(OE$1,Amort!$B:$K,7,0)</f>
        <v>0</v>
      </c>
      <c r="OF59" s="86">
        <f>VLOOKUP(OF$1,Amort!$B:$K,7,0)</f>
        <v>0</v>
      </c>
      <c r="OG59" s="86">
        <f>VLOOKUP(OG$1,Amort!$B:$K,7,0)</f>
        <v>0</v>
      </c>
      <c r="OH59" s="86">
        <f>VLOOKUP(OH$1,Amort!$B:$K,7,0)</f>
        <v>0</v>
      </c>
      <c r="OI59" s="86">
        <f>VLOOKUP(OI$1,Amort!$B:$K,7,0)</f>
        <v>0</v>
      </c>
      <c r="OJ59" s="86">
        <f>VLOOKUP(OJ$1,Amort!$B:$K,7,0)</f>
        <v>0</v>
      </c>
      <c r="OK59" s="86">
        <f>VLOOKUP(OK$1,Amort!$B:$K,7,0)</f>
        <v>0</v>
      </c>
      <c r="OL59" s="86">
        <f>VLOOKUP(OL$1,Amort!$B:$K,7,0)</f>
        <v>0</v>
      </c>
      <c r="OM59" s="86">
        <f>VLOOKUP(OM$1,Amort!$B:$K,7,0)</f>
        <v>0</v>
      </c>
      <c r="ON59" s="87">
        <f>OM59</f>
        <v>0</v>
      </c>
      <c r="OO59" s="86">
        <f>VLOOKUP(OO$1,Amort!$B:$K,7,0)</f>
        <v>0</v>
      </c>
      <c r="OP59" s="86">
        <f>VLOOKUP(OP$1,Amort!$B:$K,7,0)</f>
        <v>0</v>
      </c>
      <c r="OQ59" s="86">
        <f>VLOOKUP(OQ$1,Amort!$B:$K,7,0)</f>
        <v>0</v>
      </c>
      <c r="OR59" s="86">
        <f>VLOOKUP(OR$1,Amort!$B:$K,7,0)</f>
        <v>0</v>
      </c>
      <c r="OS59" s="86">
        <f>VLOOKUP(OS$1,Amort!$B:$K,7,0)</f>
        <v>0</v>
      </c>
      <c r="OT59" s="86">
        <f>VLOOKUP(OT$1,Amort!$B:$K,7,0)</f>
        <v>0</v>
      </c>
      <c r="OU59" s="86">
        <f>VLOOKUP(OU$1,Amort!$B:$K,7,0)</f>
        <v>0</v>
      </c>
      <c r="OV59" s="86">
        <f>VLOOKUP(OV$1,Amort!$B:$K,7,0)</f>
        <v>0</v>
      </c>
      <c r="OW59" s="86">
        <f>VLOOKUP(OW$1,Amort!$B:$K,7,0)</f>
        <v>0</v>
      </c>
      <c r="OX59" s="86">
        <f>VLOOKUP(OX$1,Amort!$B:$K,7,0)</f>
        <v>0</v>
      </c>
      <c r="OY59" s="86">
        <f>VLOOKUP(OY$1,Amort!$B:$K,7,0)</f>
        <v>0</v>
      </c>
      <c r="OZ59" s="86">
        <f>VLOOKUP(OZ$1,Amort!$B:$K,7,0)</f>
        <v>0</v>
      </c>
      <c r="PA59" s="87">
        <f>OZ59</f>
        <v>0</v>
      </c>
      <c r="PB59" s="86">
        <f>VLOOKUP(PB$1,Amort!$B:$K,7,0)</f>
        <v>0</v>
      </c>
      <c r="PC59" s="86">
        <f>VLOOKUP(PC$1,Amort!$B:$K,7,0)</f>
        <v>0</v>
      </c>
      <c r="PD59" s="86">
        <f>VLOOKUP(PD$1,Amort!$B:$K,7,0)</f>
        <v>0</v>
      </c>
      <c r="PE59" s="86">
        <f>VLOOKUP(PE$1,Amort!$B:$K,7,0)</f>
        <v>0</v>
      </c>
      <c r="PF59" s="86">
        <f>VLOOKUP(PF$1,Amort!$B:$K,7,0)</f>
        <v>0</v>
      </c>
      <c r="PG59" s="86">
        <f>VLOOKUP(PG$1,Amort!$B:$K,7,0)</f>
        <v>0</v>
      </c>
      <c r="PH59" s="86">
        <f>VLOOKUP(PH$1,Amort!$B:$K,7,0)</f>
        <v>0</v>
      </c>
      <c r="PI59" s="86">
        <f>VLOOKUP(PI$1,Amort!$B:$K,7,0)</f>
        <v>0</v>
      </c>
      <c r="PJ59" s="86">
        <f>VLOOKUP(PJ$1,Amort!$B:$K,7,0)</f>
        <v>0</v>
      </c>
      <c r="PK59" s="86">
        <f>VLOOKUP(PK$1,Amort!$B:$K,7,0)</f>
        <v>0</v>
      </c>
      <c r="PL59" s="86">
        <f>VLOOKUP(PL$1,Amort!$B:$K,7,0)</f>
        <v>0</v>
      </c>
      <c r="PM59" s="86">
        <f>VLOOKUP(PM$1,Amort!$B:$K,7,0)</f>
        <v>0</v>
      </c>
      <c r="PN59" s="87">
        <f>PM59</f>
        <v>0</v>
      </c>
      <c r="PO59" s="86">
        <f>VLOOKUP(PO$1,Amort!$B:$K,7,0)</f>
        <v>0</v>
      </c>
      <c r="PP59" s="86">
        <f>VLOOKUP(PP$1,Amort!$B:$K,7,0)</f>
        <v>0</v>
      </c>
      <c r="PQ59" s="86">
        <f>VLOOKUP(PQ$1,Amort!$B:$K,7,0)</f>
        <v>0</v>
      </c>
      <c r="PR59" s="86">
        <f>VLOOKUP(PR$1,Amort!$B:$K,7,0)</f>
        <v>0</v>
      </c>
      <c r="PS59" s="86">
        <f>VLOOKUP(PS$1,Amort!$B:$K,7,0)</f>
        <v>0</v>
      </c>
      <c r="PT59" s="86">
        <f>VLOOKUP(PT$1,Amort!$B:$K,7,0)</f>
        <v>0</v>
      </c>
      <c r="PU59" s="86">
        <f>VLOOKUP(PU$1,Amort!$B:$K,7,0)</f>
        <v>0</v>
      </c>
      <c r="PV59" s="86">
        <f>VLOOKUP(PV$1,Amort!$B:$K,7,0)</f>
        <v>0</v>
      </c>
      <c r="PW59" s="86">
        <f>VLOOKUP(PW$1,Amort!$B:$K,7,0)</f>
        <v>0</v>
      </c>
      <c r="PX59" s="86">
        <f>VLOOKUP(PX$1,Amort!$B:$K,7,0)</f>
        <v>0</v>
      </c>
      <c r="PY59" s="86">
        <f>VLOOKUP(PY$1,Amort!$B:$K,7,0)</f>
        <v>0</v>
      </c>
      <c r="PZ59" s="86">
        <f>VLOOKUP(PZ$1,Amort!$B:$K,7,0)</f>
        <v>0</v>
      </c>
      <c r="QA59" s="87">
        <f>PZ59</f>
        <v>0</v>
      </c>
      <c r="QB59" s="86">
        <f>VLOOKUP(QB$1,Amort!$B:$K,7,0)</f>
        <v>0</v>
      </c>
      <c r="QC59" s="86">
        <f>VLOOKUP(QC$1,Amort!$B:$K,7,0)</f>
        <v>0</v>
      </c>
      <c r="QD59" s="86">
        <f>VLOOKUP(QD$1,Amort!$B:$K,7,0)</f>
        <v>0</v>
      </c>
      <c r="QE59" s="86">
        <f>VLOOKUP(QE$1,Amort!$B:$K,7,0)</f>
        <v>0</v>
      </c>
      <c r="QF59" s="86">
        <f>VLOOKUP(QF$1,Amort!$B:$K,7,0)</f>
        <v>0</v>
      </c>
      <c r="QG59" s="86">
        <f>VLOOKUP(QG$1,Amort!$B:$K,7,0)</f>
        <v>0</v>
      </c>
      <c r="QH59" s="86">
        <f>VLOOKUP(QH$1,Amort!$B:$K,7,0)</f>
        <v>0</v>
      </c>
      <c r="QI59" s="86">
        <f>VLOOKUP(QI$1,Amort!$B:$K,7,0)</f>
        <v>0</v>
      </c>
      <c r="QJ59" s="86">
        <f>VLOOKUP(QJ$1,Amort!$B:$K,7,0)</f>
        <v>0</v>
      </c>
      <c r="QK59" s="86">
        <f>VLOOKUP(QK$1,Amort!$B:$K,7,0)</f>
        <v>0</v>
      </c>
      <c r="QL59" s="86">
        <f>VLOOKUP(QL$1,Amort!$B:$K,7,0)</f>
        <v>0</v>
      </c>
      <c r="QM59" s="86">
        <f>VLOOKUP(QM$1,Amort!$B:$K,7,0)</f>
        <v>0</v>
      </c>
      <c r="QN59" s="87">
        <f>QM59</f>
        <v>0</v>
      </c>
      <c r="QO59" s="86">
        <f>VLOOKUP(QO$1,Amort!$B:$K,7,0)</f>
        <v>0</v>
      </c>
      <c r="QP59" s="86">
        <f>VLOOKUP(QP$1,Amort!$B:$K,7,0)</f>
        <v>0</v>
      </c>
      <c r="QQ59" s="86">
        <f>VLOOKUP(QQ$1,Amort!$B:$K,7,0)</f>
        <v>0</v>
      </c>
      <c r="QR59" s="86">
        <f>VLOOKUP(QR$1,Amort!$B:$K,7,0)</f>
        <v>0</v>
      </c>
      <c r="QS59" s="86">
        <f>VLOOKUP(QS$1,Amort!$B:$K,7,0)</f>
        <v>0</v>
      </c>
      <c r="QT59" s="86">
        <f>VLOOKUP(QT$1,Amort!$B:$K,7,0)</f>
        <v>0</v>
      </c>
      <c r="QU59" s="86">
        <f>VLOOKUP(QU$1,Amort!$B:$K,7,0)</f>
        <v>0</v>
      </c>
      <c r="QV59" s="86">
        <f>VLOOKUP(QV$1,Amort!$B:$K,7,0)</f>
        <v>0</v>
      </c>
      <c r="QW59" s="86">
        <f>VLOOKUP(QW$1,Amort!$B:$K,7,0)</f>
        <v>0</v>
      </c>
      <c r="QX59" s="86">
        <f>VLOOKUP(QX$1,Amort!$B:$K,7,0)</f>
        <v>0</v>
      </c>
      <c r="QY59" s="86">
        <f>VLOOKUP(QY$1,Amort!$B:$K,7,0)</f>
        <v>0</v>
      </c>
      <c r="QZ59" s="86">
        <f>VLOOKUP(QZ$1,Amort!$B:$K,7,0)</f>
        <v>0</v>
      </c>
      <c r="RA59" s="87">
        <f>QZ59</f>
        <v>0</v>
      </c>
      <c r="RB59" s="86">
        <f>VLOOKUP(RB$1,Amort!$B:$K,7,0)</f>
        <v>0</v>
      </c>
      <c r="RC59" s="86">
        <f>VLOOKUP(RC$1,Amort!$B:$K,7,0)</f>
        <v>0</v>
      </c>
      <c r="RD59" s="86">
        <f>VLOOKUP(RD$1,Amort!$B:$K,7,0)</f>
        <v>0</v>
      </c>
      <c r="RE59" s="86">
        <f>VLOOKUP(RE$1,Amort!$B:$K,7,0)</f>
        <v>0</v>
      </c>
      <c r="RF59" s="86">
        <f>VLOOKUP(RF$1,Amort!$B:$K,7,0)</f>
        <v>0</v>
      </c>
      <c r="RG59" s="86">
        <f>VLOOKUP(RG$1,Amort!$B:$K,7,0)</f>
        <v>0</v>
      </c>
      <c r="RH59" s="86">
        <f>VLOOKUP(RH$1,Amort!$B:$K,7,0)</f>
        <v>0</v>
      </c>
      <c r="RI59" s="86">
        <f>VLOOKUP(RI$1,Amort!$B:$K,7,0)</f>
        <v>0</v>
      </c>
      <c r="RJ59" s="86">
        <f>VLOOKUP(RJ$1,Amort!$B:$K,7,0)</f>
        <v>0</v>
      </c>
      <c r="RK59" s="86">
        <f>VLOOKUP(RK$1,Amort!$B:$K,7,0)</f>
        <v>0</v>
      </c>
      <c r="RL59" s="86">
        <f>VLOOKUP(RL$1,Amort!$B:$K,7,0)</f>
        <v>0</v>
      </c>
      <c r="RM59" s="86">
        <f>VLOOKUP(RM$1,Amort!$B:$K,7,0)</f>
        <v>0</v>
      </c>
      <c r="RN59" s="87">
        <f>RM59</f>
        <v>0</v>
      </c>
    </row>
    <row r="60" spans="1:482" s="77" customFormat="1" hidden="1" outlineLevel="1" x14ac:dyDescent="0.3">
      <c r="A60" s="74" t="s">
        <v>271</v>
      </c>
      <c r="B60" s="90" t="e">
        <f>SUM(B58:B59)</f>
        <v>#N/A</v>
      </c>
      <c r="C60" s="90" t="e">
        <f t="shared" ref="C60:M60" si="1141">SUM(C58:C59)</f>
        <v>#N/A</v>
      </c>
      <c r="D60" s="90" t="e">
        <f t="shared" si="1141"/>
        <v>#N/A</v>
      </c>
      <c r="E60" s="90" t="e">
        <f t="shared" si="1141"/>
        <v>#N/A</v>
      </c>
      <c r="F60" s="90" t="e">
        <f t="shared" si="1141"/>
        <v>#N/A</v>
      </c>
      <c r="G60" s="90" t="e">
        <f t="shared" si="1141"/>
        <v>#N/A</v>
      </c>
      <c r="H60" s="90" t="e">
        <f t="shared" si="1141"/>
        <v>#N/A</v>
      </c>
      <c r="I60" s="90" t="e">
        <f t="shared" si="1141"/>
        <v>#N/A</v>
      </c>
      <c r="J60" s="90" t="e">
        <f t="shared" si="1141"/>
        <v>#N/A</v>
      </c>
      <c r="K60" s="90" t="e">
        <f t="shared" si="1141"/>
        <v>#N/A</v>
      </c>
      <c r="L60" s="90" t="e">
        <f t="shared" si="1141"/>
        <v>#N/A</v>
      </c>
      <c r="M60" s="90" t="e">
        <f t="shared" si="1141"/>
        <v>#N/A</v>
      </c>
      <c r="N60" s="91" t="e">
        <f>M60</f>
        <v>#N/A</v>
      </c>
      <c r="O60" s="90" t="e">
        <f>SUM(O58:O59)</f>
        <v>#N/A</v>
      </c>
      <c r="P60" s="90" t="e">
        <f t="shared" ref="P60:Z60" si="1142">SUM(P58:P59)</f>
        <v>#N/A</v>
      </c>
      <c r="Q60" s="90" t="e">
        <f t="shared" si="1142"/>
        <v>#N/A</v>
      </c>
      <c r="R60" s="90" t="e">
        <f t="shared" si="1142"/>
        <v>#N/A</v>
      </c>
      <c r="S60" s="90" t="e">
        <f t="shared" si="1142"/>
        <v>#N/A</v>
      </c>
      <c r="T60" s="90" t="e">
        <f t="shared" si="1142"/>
        <v>#N/A</v>
      </c>
      <c r="U60" s="90" t="e">
        <f t="shared" si="1142"/>
        <v>#N/A</v>
      </c>
      <c r="V60" s="90" t="e">
        <f t="shared" si="1142"/>
        <v>#N/A</v>
      </c>
      <c r="W60" s="90" t="e">
        <f t="shared" si="1142"/>
        <v>#N/A</v>
      </c>
      <c r="X60" s="90" t="e">
        <f t="shared" si="1142"/>
        <v>#N/A</v>
      </c>
      <c r="Y60" s="90" t="e">
        <f t="shared" si="1142"/>
        <v>#N/A</v>
      </c>
      <c r="Z60" s="90" t="e">
        <f t="shared" si="1142"/>
        <v>#N/A</v>
      </c>
      <c r="AA60" s="91" t="e">
        <f>Z60</f>
        <v>#N/A</v>
      </c>
      <c r="AB60" s="90" t="e">
        <f>SUM(AB58:AB59)</f>
        <v>#N/A</v>
      </c>
      <c r="AC60" s="90" t="e">
        <f t="shared" ref="AC60:AM60" si="1143">SUM(AC58:AC59)</f>
        <v>#N/A</v>
      </c>
      <c r="AD60" s="90" t="e">
        <f t="shared" si="1143"/>
        <v>#N/A</v>
      </c>
      <c r="AE60" s="90" t="e">
        <f t="shared" si="1143"/>
        <v>#N/A</v>
      </c>
      <c r="AF60" s="90" t="e">
        <f t="shared" si="1143"/>
        <v>#N/A</v>
      </c>
      <c r="AG60" s="90" t="e">
        <f t="shared" si="1143"/>
        <v>#N/A</v>
      </c>
      <c r="AH60" s="90" t="e">
        <f t="shared" si="1143"/>
        <v>#N/A</v>
      </c>
      <c r="AI60" s="90" t="e">
        <f t="shared" si="1143"/>
        <v>#N/A</v>
      </c>
      <c r="AJ60" s="90" t="e">
        <f t="shared" si="1143"/>
        <v>#N/A</v>
      </c>
      <c r="AK60" s="90" t="e">
        <f t="shared" si="1143"/>
        <v>#N/A</v>
      </c>
      <c r="AL60" s="90" t="e">
        <f t="shared" si="1143"/>
        <v>#N/A</v>
      </c>
      <c r="AM60" s="90" t="e">
        <f t="shared" si="1143"/>
        <v>#N/A</v>
      </c>
      <c r="AN60" s="91" t="e">
        <f>AM60</f>
        <v>#N/A</v>
      </c>
      <c r="AO60" s="90" t="e">
        <f>SUM(AO58:AO59)</f>
        <v>#N/A</v>
      </c>
      <c r="AP60" s="90" t="e">
        <f t="shared" ref="AP60:AZ60" si="1144">SUM(AP58:AP59)</f>
        <v>#N/A</v>
      </c>
      <c r="AQ60" s="90" t="e">
        <f t="shared" si="1144"/>
        <v>#N/A</v>
      </c>
      <c r="AR60" s="90" t="e">
        <f t="shared" si="1144"/>
        <v>#N/A</v>
      </c>
      <c r="AS60" s="90" t="e">
        <f t="shared" si="1144"/>
        <v>#N/A</v>
      </c>
      <c r="AT60" s="90" t="e">
        <f t="shared" si="1144"/>
        <v>#N/A</v>
      </c>
      <c r="AU60" s="90" t="e">
        <f t="shared" si="1144"/>
        <v>#N/A</v>
      </c>
      <c r="AV60" s="90" t="e">
        <f t="shared" si="1144"/>
        <v>#N/A</v>
      </c>
      <c r="AW60" s="90" t="e">
        <f t="shared" si="1144"/>
        <v>#N/A</v>
      </c>
      <c r="AX60" s="90" t="e">
        <f t="shared" si="1144"/>
        <v>#N/A</v>
      </c>
      <c r="AY60" s="90" t="e">
        <f t="shared" si="1144"/>
        <v>#N/A</v>
      </c>
      <c r="AZ60" s="90" t="e">
        <f t="shared" si="1144"/>
        <v>#N/A</v>
      </c>
      <c r="BA60" s="91" t="e">
        <f>AZ60</f>
        <v>#N/A</v>
      </c>
      <c r="BB60" s="90" t="e">
        <f>SUM(BB58:BB59)</f>
        <v>#N/A</v>
      </c>
      <c r="BC60" s="90" t="e">
        <f t="shared" ref="BC60:BM60" si="1145">SUM(BC58:BC59)</f>
        <v>#N/A</v>
      </c>
      <c r="BD60" s="90" t="e">
        <f t="shared" si="1145"/>
        <v>#N/A</v>
      </c>
      <c r="BE60" s="90" t="e">
        <f t="shared" si="1145"/>
        <v>#N/A</v>
      </c>
      <c r="BF60" s="90" t="e">
        <f t="shared" si="1145"/>
        <v>#N/A</v>
      </c>
      <c r="BG60" s="90" t="e">
        <f t="shared" si="1145"/>
        <v>#N/A</v>
      </c>
      <c r="BH60" s="90" t="e">
        <f t="shared" si="1145"/>
        <v>#N/A</v>
      </c>
      <c r="BI60" s="90" t="e">
        <f t="shared" si="1145"/>
        <v>#N/A</v>
      </c>
      <c r="BJ60" s="90" t="e">
        <f t="shared" si="1145"/>
        <v>#N/A</v>
      </c>
      <c r="BK60" s="90" t="e">
        <f t="shared" si="1145"/>
        <v>#N/A</v>
      </c>
      <c r="BL60" s="90" t="e">
        <f t="shared" si="1145"/>
        <v>#N/A</v>
      </c>
      <c r="BM60" s="90" t="e">
        <f t="shared" si="1145"/>
        <v>#N/A</v>
      </c>
      <c r="BN60" s="91" t="e">
        <f>BM60</f>
        <v>#N/A</v>
      </c>
      <c r="BO60" s="90" t="e">
        <f>SUM(BO58:BO59)</f>
        <v>#N/A</v>
      </c>
      <c r="BP60" s="90" t="e">
        <f t="shared" ref="BP60:BZ60" si="1146">SUM(BP58:BP59)</f>
        <v>#N/A</v>
      </c>
      <c r="BQ60" s="90" t="e">
        <f t="shared" si="1146"/>
        <v>#N/A</v>
      </c>
      <c r="BR60" s="90" t="e">
        <f t="shared" si="1146"/>
        <v>#N/A</v>
      </c>
      <c r="BS60" s="90" t="e">
        <f t="shared" si="1146"/>
        <v>#N/A</v>
      </c>
      <c r="BT60" s="90" t="e">
        <f t="shared" si="1146"/>
        <v>#N/A</v>
      </c>
      <c r="BU60" s="90" t="e">
        <f t="shared" si="1146"/>
        <v>#N/A</v>
      </c>
      <c r="BV60" s="90" t="e">
        <f t="shared" si="1146"/>
        <v>#N/A</v>
      </c>
      <c r="BW60" s="90" t="e">
        <f t="shared" si="1146"/>
        <v>#N/A</v>
      </c>
      <c r="BX60" s="90" t="e">
        <f t="shared" si="1146"/>
        <v>#N/A</v>
      </c>
      <c r="BY60" s="90" t="e">
        <f t="shared" si="1146"/>
        <v>#N/A</v>
      </c>
      <c r="BZ60" s="90" t="e">
        <f t="shared" si="1146"/>
        <v>#N/A</v>
      </c>
      <c r="CA60" s="91" t="e">
        <f>BZ60</f>
        <v>#N/A</v>
      </c>
      <c r="CB60" s="90" t="e">
        <f>SUM(CB58:CB59)</f>
        <v>#N/A</v>
      </c>
      <c r="CC60" s="90" t="e">
        <f t="shared" ref="CC60:CM60" si="1147">SUM(CC58:CC59)</f>
        <v>#N/A</v>
      </c>
      <c r="CD60" s="90" t="e">
        <f t="shared" si="1147"/>
        <v>#N/A</v>
      </c>
      <c r="CE60" s="90" t="e">
        <f t="shared" si="1147"/>
        <v>#N/A</v>
      </c>
      <c r="CF60" s="90" t="e">
        <f t="shared" si="1147"/>
        <v>#N/A</v>
      </c>
      <c r="CG60" s="90" t="e">
        <f t="shared" si="1147"/>
        <v>#N/A</v>
      </c>
      <c r="CH60" s="90" t="e">
        <f t="shared" si="1147"/>
        <v>#N/A</v>
      </c>
      <c r="CI60" s="90" t="e">
        <f t="shared" si="1147"/>
        <v>#N/A</v>
      </c>
      <c r="CJ60" s="90" t="e">
        <f t="shared" si="1147"/>
        <v>#N/A</v>
      </c>
      <c r="CK60" s="90" t="e">
        <f t="shared" si="1147"/>
        <v>#N/A</v>
      </c>
      <c r="CL60" s="90" t="e">
        <f t="shared" si="1147"/>
        <v>#N/A</v>
      </c>
      <c r="CM60" s="90" t="e">
        <f t="shared" si="1147"/>
        <v>#N/A</v>
      </c>
      <c r="CN60" s="91" t="e">
        <f>CM60</f>
        <v>#N/A</v>
      </c>
      <c r="CO60" s="90" t="e">
        <f>SUM(CO58:CO59)</f>
        <v>#N/A</v>
      </c>
      <c r="CP60" s="90" t="e">
        <f t="shared" ref="CP60:CZ60" si="1148">SUM(CP58:CP59)</f>
        <v>#N/A</v>
      </c>
      <c r="CQ60" s="90" t="e">
        <f t="shared" si="1148"/>
        <v>#N/A</v>
      </c>
      <c r="CR60" s="90" t="e">
        <f t="shared" si="1148"/>
        <v>#N/A</v>
      </c>
      <c r="CS60" s="90" t="e">
        <f t="shared" si="1148"/>
        <v>#N/A</v>
      </c>
      <c r="CT60" s="90" t="e">
        <f t="shared" si="1148"/>
        <v>#N/A</v>
      </c>
      <c r="CU60" s="90" t="e">
        <f t="shared" si="1148"/>
        <v>#N/A</v>
      </c>
      <c r="CV60" s="90" t="e">
        <f t="shared" si="1148"/>
        <v>#N/A</v>
      </c>
      <c r="CW60" s="90" t="e">
        <f t="shared" si="1148"/>
        <v>#N/A</v>
      </c>
      <c r="CX60" s="90" t="e">
        <f t="shared" si="1148"/>
        <v>#N/A</v>
      </c>
      <c r="CY60" s="90" t="e">
        <f t="shared" si="1148"/>
        <v>#N/A</v>
      </c>
      <c r="CZ60" s="90" t="e">
        <f t="shared" si="1148"/>
        <v>#N/A</v>
      </c>
      <c r="DA60" s="91" t="e">
        <f>CZ60</f>
        <v>#N/A</v>
      </c>
      <c r="DB60" s="90" t="e">
        <f>SUM(DB58:DB59)</f>
        <v>#N/A</v>
      </c>
      <c r="DC60" s="90" t="e">
        <f t="shared" ref="DC60:DM60" si="1149">SUM(DC58:DC59)</f>
        <v>#N/A</v>
      </c>
      <c r="DD60" s="90" t="e">
        <f t="shared" si="1149"/>
        <v>#N/A</v>
      </c>
      <c r="DE60" s="90" t="e">
        <f t="shared" si="1149"/>
        <v>#N/A</v>
      </c>
      <c r="DF60" s="90" t="e">
        <f t="shared" si="1149"/>
        <v>#N/A</v>
      </c>
      <c r="DG60" s="90" t="e">
        <f t="shared" si="1149"/>
        <v>#N/A</v>
      </c>
      <c r="DH60" s="90" t="e">
        <f t="shared" si="1149"/>
        <v>#N/A</v>
      </c>
      <c r="DI60" s="90" t="e">
        <f t="shared" si="1149"/>
        <v>#N/A</v>
      </c>
      <c r="DJ60" s="90" t="e">
        <f t="shared" si="1149"/>
        <v>#N/A</v>
      </c>
      <c r="DK60" s="90" t="e">
        <f t="shared" si="1149"/>
        <v>#N/A</v>
      </c>
      <c r="DL60" s="90" t="e">
        <f t="shared" si="1149"/>
        <v>#N/A</v>
      </c>
      <c r="DM60" s="90" t="e">
        <f t="shared" si="1149"/>
        <v>#N/A</v>
      </c>
      <c r="DN60" s="91" t="e">
        <f>DM60</f>
        <v>#N/A</v>
      </c>
      <c r="DO60" s="90" t="e">
        <f>SUM(DO58:DO59)</f>
        <v>#N/A</v>
      </c>
      <c r="DP60" s="90" t="e">
        <f t="shared" ref="DP60:DZ60" si="1150">SUM(DP58:DP59)</f>
        <v>#N/A</v>
      </c>
      <c r="DQ60" s="90" t="e">
        <f t="shared" si="1150"/>
        <v>#N/A</v>
      </c>
      <c r="DR60" s="90" t="e">
        <f t="shared" si="1150"/>
        <v>#N/A</v>
      </c>
      <c r="DS60" s="90" t="e">
        <f t="shared" si="1150"/>
        <v>#N/A</v>
      </c>
      <c r="DT60" s="90" t="e">
        <f t="shared" si="1150"/>
        <v>#N/A</v>
      </c>
      <c r="DU60" s="90" t="e">
        <f t="shared" si="1150"/>
        <v>#N/A</v>
      </c>
      <c r="DV60" s="90" t="e">
        <f t="shared" si="1150"/>
        <v>#N/A</v>
      </c>
      <c r="DW60" s="90" t="e">
        <f t="shared" si="1150"/>
        <v>#N/A</v>
      </c>
      <c r="DX60" s="90" t="e">
        <f t="shared" si="1150"/>
        <v>#N/A</v>
      </c>
      <c r="DY60" s="90" t="e">
        <f t="shared" si="1150"/>
        <v>#N/A</v>
      </c>
      <c r="DZ60" s="90" t="e">
        <f t="shared" si="1150"/>
        <v>#N/A</v>
      </c>
      <c r="EA60" s="91" t="e">
        <f>DZ60</f>
        <v>#N/A</v>
      </c>
      <c r="EB60" s="90" t="e">
        <f>SUM(EB58:EB59)</f>
        <v>#N/A</v>
      </c>
      <c r="EC60" s="90" t="e">
        <f t="shared" ref="EC60:EM60" si="1151">SUM(EC58:EC59)</f>
        <v>#N/A</v>
      </c>
      <c r="ED60" s="90" t="e">
        <f t="shared" si="1151"/>
        <v>#N/A</v>
      </c>
      <c r="EE60" s="90" t="e">
        <f t="shared" si="1151"/>
        <v>#N/A</v>
      </c>
      <c r="EF60" s="90" t="e">
        <f t="shared" si="1151"/>
        <v>#N/A</v>
      </c>
      <c r="EG60" s="90" t="e">
        <f t="shared" si="1151"/>
        <v>#N/A</v>
      </c>
      <c r="EH60" s="90" t="e">
        <f t="shared" si="1151"/>
        <v>#N/A</v>
      </c>
      <c r="EI60" s="90" t="e">
        <f t="shared" si="1151"/>
        <v>#N/A</v>
      </c>
      <c r="EJ60" s="90" t="e">
        <f t="shared" si="1151"/>
        <v>#N/A</v>
      </c>
      <c r="EK60" s="90" t="e">
        <f t="shared" si="1151"/>
        <v>#N/A</v>
      </c>
      <c r="EL60" s="90" t="e">
        <f t="shared" si="1151"/>
        <v>#N/A</v>
      </c>
      <c r="EM60" s="90" t="e">
        <f t="shared" si="1151"/>
        <v>#N/A</v>
      </c>
      <c r="EN60" s="91" t="e">
        <f>EM60</f>
        <v>#N/A</v>
      </c>
      <c r="EO60" s="90" t="e">
        <f>SUM(EO58:EO59)</f>
        <v>#N/A</v>
      </c>
      <c r="EP60" s="90" t="e">
        <f t="shared" ref="EP60:EZ60" si="1152">SUM(EP58:EP59)</f>
        <v>#N/A</v>
      </c>
      <c r="EQ60" s="90" t="e">
        <f t="shared" si="1152"/>
        <v>#N/A</v>
      </c>
      <c r="ER60" s="90" t="e">
        <f t="shared" si="1152"/>
        <v>#N/A</v>
      </c>
      <c r="ES60" s="90" t="e">
        <f t="shared" si="1152"/>
        <v>#N/A</v>
      </c>
      <c r="ET60" s="90" t="e">
        <f t="shared" si="1152"/>
        <v>#N/A</v>
      </c>
      <c r="EU60" s="90" t="e">
        <f t="shared" si="1152"/>
        <v>#N/A</v>
      </c>
      <c r="EV60" s="90" t="e">
        <f t="shared" si="1152"/>
        <v>#N/A</v>
      </c>
      <c r="EW60" s="90" t="e">
        <f t="shared" si="1152"/>
        <v>#N/A</v>
      </c>
      <c r="EX60" s="90" t="e">
        <f t="shared" si="1152"/>
        <v>#N/A</v>
      </c>
      <c r="EY60" s="90" t="e">
        <f t="shared" si="1152"/>
        <v>#N/A</v>
      </c>
      <c r="EZ60" s="90" t="e">
        <f t="shared" si="1152"/>
        <v>#N/A</v>
      </c>
      <c r="FA60" s="91" t="e">
        <f>EZ60</f>
        <v>#N/A</v>
      </c>
      <c r="FB60" s="90" t="e">
        <f>SUM(FB58:FB59)</f>
        <v>#N/A</v>
      </c>
      <c r="FC60" s="90" t="e">
        <f t="shared" ref="FC60:FM60" si="1153">SUM(FC58:FC59)</f>
        <v>#N/A</v>
      </c>
      <c r="FD60" s="90" t="e">
        <f t="shared" si="1153"/>
        <v>#N/A</v>
      </c>
      <c r="FE60" s="90" t="e">
        <f t="shared" si="1153"/>
        <v>#N/A</v>
      </c>
      <c r="FF60" s="90" t="e">
        <f t="shared" si="1153"/>
        <v>#N/A</v>
      </c>
      <c r="FG60" s="90" t="e">
        <f t="shared" si="1153"/>
        <v>#N/A</v>
      </c>
      <c r="FH60" s="90" t="e">
        <f t="shared" si="1153"/>
        <v>#N/A</v>
      </c>
      <c r="FI60" s="90" t="e">
        <f t="shared" si="1153"/>
        <v>#N/A</v>
      </c>
      <c r="FJ60" s="90" t="e">
        <f t="shared" si="1153"/>
        <v>#N/A</v>
      </c>
      <c r="FK60" s="90" t="e">
        <f t="shared" si="1153"/>
        <v>#N/A</v>
      </c>
      <c r="FL60" s="90" t="e">
        <f t="shared" si="1153"/>
        <v>#N/A</v>
      </c>
      <c r="FM60" s="90" t="e">
        <f t="shared" si="1153"/>
        <v>#N/A</v>
      </c>
      <c r="FN60" s="91" t="e">
        <f>FM60</f>
        <v>#N/A</v>
      </c>
      <c r="FO60" s="90" t="e">
        <f>SUM(FO58:FO59)</f>
        <v>#N/A</v>
      </c>
      <c r="FP60" s="90" t="e">
        <f t="shared" ref="FP60:FZ60" si="1154">SUM(FP58:FP59)</f>
        <v>#N/A</v>
      </c>
      <c r="FQ60" s="90" t="e">
        <f t="shared" si="1154"/>
        <v>#N/A</v>
      </c>
      <c r="FR60" s="90" t="e">
        <f t="shared" si="1154"/>
        <v>#N/A</v>
      </c>
      <c r="FS60" s="90" t="e">
        <f t="shared" si="1154"/>
        <v>#N/A</v>
      </c>
      <c r="FT60" s="90" t="e">
        <f t="shared" si="1154"/>
        <v>#N/A</v>
      </c>
      <c r="FU60" s="90" t="e">
        <f t="shared" si="1154"/>
        <v>#N/A</v>
      </c>
      <c r="FV60" s="90" t="e">
        <f t="shared" si="1154"/>
        <v>#N/A</v>
      </c>
      <c r="FW60" s="90" t="e">
        <f t="shared" si="1154"/>
        <v>#N/A</v>
      </c>
      <c r="FX60" s="90" t="e">
        <f t="shared" si="1154"/>
        <v>#N/A</v>
      </c>
      <c r="FY60" s="90" t="e">
        <f t="shared" si="1154"/>
        <v>#N/A</v>
      </c>
      <c r="FZ60" s="90" t="e">
        <f t="shared" si="1154"/>
        <v>#N/A</v>
      </c>
      <c r="GA60" s="91" t="e">
        <f>FZ60</f>
        <v>#N/A</v>
      </c>
      <c r="GB60" s="90" t="e">
        <f>SUM(GB58:GB59)</f>
        <v>#N/A</v>
      </c>
      <c r="GC60" s="90" t="e">
        <f t="shared" ref="GC60:GM60" si="1155">SUM(GC58:GC59)</f>
        <v>#N/A</v>
      </c>
      <c r="GD60" s="90" t="e">
        <f t="shared" si="1155"/>
        <v>#N/A</v>
      </c>
      <c r="GE60" s="90" t="e">
        <f t="shared" si="1155"/>
        <v>#N/A</v>
      </c>
      <c r="GF60" s="90" t="e">
        <f t="shared" si="1155"/>
        <v>#N/A</v>
      </c>
      <c r="GG60" s="90" t="e">
        <f t="shared" si="1155"/>
        <v>#N/A</v>
      </c>
      <c r="GH60" s="90" t="e">
        <f t="shared" si="1155"/>
        <v>#N/A</v>
      </c>
      <c r="GI60" s="90" t="e">
        <f t="shared" si="1155"/>
        <v>#N/A</v>
      </c>
      <c r="GJ60" s="90" t="e">
        <f t="shared" si="1155"/>
        <v>#N/A</v>
      </c>
      <c r="GK60" s="90" t="e">
        <f t="shared" si="1155"/>
        <v>#N/A</v>
      </c>
      <c r="GL60" s="90" t="e">
        <f t="shared" si="1155"/>
        <v>#N/A</v>
      </c>
      <c r="GM60" s="90" t="e">
        <f t="shared" si="1155"/>
        <v>#N/A</v>
      </c>
      <c r="GN60" s="91" t="e">
        <f>GM60</f>
        <v>#N/A</v>
      </c>
      <c r="GO60" s="90" t="e">
        <f>SUM(GO58:GO59)</f>
        <v>#N/A</v>
      </c>
      <c r="GP60" s="90" t="e">
        <f t="shared" ref="GP60:GZ60" si="1156">SUM(GP58:GP59)</f>
        <v>#N/A</v>
      </c>
      <c r="GQ60" s="90" t="e">
        <f t="shared" si="1156"/>
        <v>#N/A</v>
      </c>
      <c r="GR60" s="90" t="e">
        <f t="shared" si="1156"/>
        <v>#N/A</v>
      </c>
      <c r="GS60" s="90" t="e">
        <f t="shared" si="1156"/>
        <v>#N/A</v>
      </c>
      <c r="GT60" s="90" t="e">
        <f t="shared" si="1156"/>
        <v>#N/A</v>
      </c>
      <c r="GU60" s="90" t="e">
        <f t="shared" si="1156"/>
        <v>#N/A</v>
      </c>
      <c r="GV60" s="90" t="e">
        <f t="shared" si="1156"/>
        <v>#N/A</v>
      </c>
      <c r="GW60" s="90" t="e">
        <f t="shared" si="1156"/>
        <v>#N/A</v>
      </c>
      <c r="GX60" s="90" t="e">
        <f t="shared" si="1156"/>
        <v>#N/A</v>
      </c>
      <c r="GY60" s="90" t="e">
        <f t="shared" si="1156"/>
        <v>#N/A</v>
      </c>
      <c r="GZ60" s="90" t="e">
        <f t="shared" si="1156"/>
        <v>#N/A</v>
      </c>
      <c r="HA60" s="91" t="e">
        <f>GZ60</f>
        <v>#N/A</v>
      </c>
      <c r="HB60" s="90" t="e">
        <f>SUM(HB58:HB59)</f>
        <v>#N/A</v>
      </c>
      <c r="HC60" s="90" t="e">
        <f t="shared" ref="HC60:HM60" si="1157">SUM(HC58:HC59)</f>
        <v>#N/A</v>
      </c>
      <c r="HD60" s="90" t="e">
        <f t="shared" si="1157"/>
        <v>#N/A</v>
      </c>
      <c r="HE60" s="90" t="e">
        <f t="shared" si="1157"/>
        <v>#N/A</v>
      </c>
      <c r="HF60" s="90" t="e">
        <f t="shared" si="1157"/>
        <v>#N/A</v>
      </c>
      <c r="HG60" s="90" t="e">
        <f t="shared" si="1157"/>
        <v>#N/A</v>
      </c>
      <c r="HH60" s="90" t="e">
        <f t="shared" si="1157"/>
        <v>#N/A</v>
      </c>
      <c r="HI60" s="90" t="e">
        <f t="shared" si="1157"/>
        <v>#N/A</v>
      </c>
      <c r="HJ60" s="90" t="e">
        <f t="shared" si="1157"/>
        <v>#N/A</v>
      </c>
      <c r="HK60" s="90" t="e">
        <f t="shared" si="1157"/>
        <v>#N/A</v>
      </c>
      <c r="HL60" s="90" t="e">
        <f t="shared" si="1157"/>
        <v>#N/A</v>
      </c>
      <c r="HM60" s="90" t="e">
        <f t="shared" si="1157"/>
        <v>#N/A</v>
      </c>
      <c r="HN60" s="91" t="e">
        <f>HM60</f>
        <v>#N/A</v>
      </c>
      <c r="HO60" s="90" t="e">
        <f>SUM(HO58:HO59)</f>
        <v>#N/A</v>
      </c>
      <c r="HP60" s="90" t="e">
        <f t="shared" ref="HP60:HZ60" si="1158">SUM(HP58:HP59)</f>
        <v>#N/A</v>
      </c>
      <c r="HQ60" s="90" t="e">
        <f t="shared" si="1158"/>
        <v>#N/A</v>
      </c>
      <c r="HR60" s="90" t="e">
        <f t="shared" si="1158"/>
        <v>#N/A</v>
      </c>
      <c r="HS60" s="90" t="e">
        <f t="shared" si="1158"/>
        <v>#N/A</v>
      </c>
      <c r="HT60" s="90" t="e">
        <f t="shared" si="1158"/>
        <v>#N/A</v>
      </c>
      <c r="HU60" s="90" t="e">
        <f t="shared" si="1158"/>
        <v>#N/A</v>
      </c>
      <c r="HV60" s="90" t="e">
        <f t="shared" si="1158"/>
        <v>#N/A</v>
      </c>
      <c r="HW60" s="90" t="e">
        <f t="shared" si="1158"/>
        <v>#N/A</v>
      </c>
      <c r="HX60" s="90" t="e">
        <f t="shared" si="1158"/>
        <v>#N/A</v>
      </c>
      <c r="HY60" s="90" t="e">
        <f t="shared" si="1158"/>
        <v>#N/A</v>
      </c>
      <c r="HZ60" s="90" t="e">
        <f t="shared" si="1158"/>
        <v>#N/A</v>
      </c>
      <c r="IA60" s="91" t="e">
        <f>HZ60</f>
        <v>#N/A</v>
      </c>
      <c r="IB60" s="90" t="e">
        <f>SUM(IB58:IB59)</f>
        <v>#N/A</v>
      </c>
      <c r="IC60" s="90" t="e">
        <f t="shared" ref="IC60:IM60" si="1159">SUM(IC58:IC59)</f>
        <v>#N/A</v>
      </c>
      <c r="ID60" s="90" t="e">
        <f t="shared" si="1159"/>
        <v>#N/A</v>
      </c>
      <c r="IE60" s="90" t="e">
        <f t="shared" si="1159"/>
        <v>#N/A</v>
      </c>
      <c r="IF60" s="90" t="e">
        <f t="shared" si="1159"/>
        <v>#N/A</v>
      </c>
      <c r="IG60" s="90" t="e">
        <f t="shared" si="1159"/>
        <v>#N/A</v>
      </c>
      <c r="IH60" s="90" t="e">
        <f t="shared" si="1159"/>
        <v>#N/A</v>
      </c>
      <c r="II60" s="90" t="e">
        <f t="shared" si="1159"/>
        <v>#N/A</v>
      </c>
      <c r="IJ60" s="90" t="e">
        <f t="shared" si="1159"/>
        <v>#N/A</v>
      </c>
      <c r="IK60" s="90" t="e">
        <f t="shared" si="1159"/>
        <v>#N/A</v>
      </c>
      <c r="IL60" s="90" t="e">
        <f t="shared" si="1159"/>
        <v>#N/A</v>
      </c>
      <c r="IM60" s="90" t="e">
        <f t="shared" si="1159"/>
        <v>#N/A</v>
      </c>
      <c r="IN60" s="91" t="e">
        <f>IM60</f>
        <v>#N/A</v>
      </c>
      <c r="IO60" s="90" t="e">
        <f>SUM(IO58:IO59)</f>
        <v>#N/A</v>
      </c>
      <c r="IP60" s="90" t="e">
        <f t="shared" ref="IP60:IZ60" si="1160">SUM(IP58:IP59)</f>
        <v>#N/A</v>
      </c>
      <c r="IQ60" s="90" t="e">
        <f t="shared" si="1160"/>
        <v>#N/A</v>
      </c>
      <c r="IR60" s="90" t="e">
        <f t="shared" si="1160"/>
        <v>#N/A</v>
      </c>
      <c r="IS60" s="90" t="e">
        <f t="shared" si="1160"/>
        <v>#N/A</v>
      </c>
      <c r="IT60" s="90" t="e">
        <f t="shared" si="1160"/>
        <v>#N/A</v>
      </c>
      <c r="IU60" s="90" t="e">
        <f t="shared" si="1160"/>
        <v>#N/A</v>
      </c>
      <c r="IV60" s="90" t="e">
        <f t="shared" si="1160"/>
        <v>#N/A</v>
      </c>
      <c r="IW60" s="90" t="e">
        <f t="shared" si="1160"/>
        <v>#N/A</v>
      </c>
      <c r="IX60" s="90" t="e">
        <f t="shared" si="1160"/>
        <v>#N/A</v>
      </c>
      <c r="IY60" s="90" t="e">
        <f t="shared" si="1160"/>
        <v>#N/A</v>
      </c>
      <c r="IZ60" s="90" t="e">
        <f t="shared" si="1160"/>
        <v>#N/A</v>
      </c>
      <c r="JA60" s="91" t="e">
        <f>IZ60</f>
        <v>#N/A</v>
      </c>
      <c r="JB60" s="90" t="e">
        <f>SUM(JB58:JB59)</f>
        <v>#N/A</v>
      </c>
      <c r="JC60" s="90" t="e">
        <f t="shared" ref="JC60:JM60" si="1161">SUM(JC58:JC59)</f>
        <v>#N/A</v>
      </c>
      <c r="JD60" s="90" t="e">
        <f t="shared" si="1161"/>
        <v>#N/A</v>
      </c>
      <c r="JE60" s="90" t="e">
        <f t="shared" si="1161"/>
        <v>#N/A</v>
      </c>
      <c r="JF60" s="90" t="e">
        <f t="shared" si="1161"/>
        <v>#N/A</v>
      </c>
      <c r="JG60" s="90" t="e">
        <f t="shared" si="1161"/>
        <v>#N/A</v>
      </c>
      <c r="JH60" s="90" t="e">
        <f t="shared" si="1161"/>
        <v>#N/A</v>
      </c>
      <c r="JI60" s="90" t="e">
        <f t="shared" si="1161"/>
        <v>#N/A</v>
      </c>
      <c r="JJ60" s="90" t="e">
        <f t="shared" si="1161"/>
        <v>#N/A</v>
      </c>
      <c r="JK60" s="90" t="e">
        <f t="shared" si="1161"/>
        <v>#N/A</v>
      </c>
      <c r="JL60" s="90" t="e">
        <f t="shared" si="1161"/>
        <v>#N/A</v>
      </c>
      <c r="JM60" s="90" t="e">
        <f t="shared" si="1161"/>
        <v>#N/A</v>
      </c>
      <c r="JN60" s="91" t="e">
        <f>JM60</f>
        <v>#N/A</v>
      </c>
      <c r="JO60" s="90" t="e">
        <f>SUM(JO58:JO59)</f>
        <v>#N/A</v>
      </c>
      <c r="JP60" s="90" t="e">
        <f t="shared" ref="JP60:JZ60" si="1162">SUM(JP58:JP59)</f>
        <v>#N/A</v>
      </c>
      <c r="JQ60" s="90" t="e">
        <f t="shared" si="1162"/>
        <v>#N/A</v>
      </c>
      <c r="JR60" s="90" t="e">
        <f t="shared" si="1162"/>
        <v>#N/A</v>
      </c>
      <c r="JS60" s="90" t="e">
        <f t="shared" si="1162"/>
        <v>#N/A</v>
      </c>
      <c r="JT60" s="90" t="e">
        <f t="shared" si="1162"/>
        <v>#N/A</v>
      </c>
      <c r="JU60" s="90" t="e">
        <f t="shared" si="1162"/>
        <v>#N/A</v>
      </c>
      <c r="JV60" s="90" t="e">
        <f t="shared" si="1162"/>
        <v>#N/A</v>
      </c>
      <c r="JW60" s="90" t="e">
        <f t="shared" si="1162"/>
        <v>#N/A</v>
      </c>
      <c r="JX60" s="90" t="e">
        <f t="shared" si="1162"/>
        <v>#N/A</v>
      </c>
      <c r="JY60" s="90" t="e">
        <f t="shared" si="1162"/>
        <v>#N/A</v>
      </c>
      <c r="JZ60" s="90" t="e">
        <f t="shared" si="1162"/>
        <v>#N/A</v>
      </c>
      <c r="KA60" s="91" t="e">
        <f>JZ60</f>
        <v>#N/A</v>
      </c>
      <c r="KB60" s="90" t="e">
        <f>SUM(KB58:KB59)</f>
        <v>#N/A</v>
      </c>
      <c r="KC60" s="90" t="e">
        <f t="shared" ref="KC60:KM60" si="1163">SUM(KC58:KC59)</f>
        <v>#N/A</v>
      </c>
      <c r="KD60" s="90" t="e">
        <f t="shared" si="1163"/>
        <v>#N/A</v>
      </c>
      <c r="KE60" s="90" t="e">
        <f t="shared" si="1163"/>
        <v>#N/A</v>
      </c>
      <c r="KF60" s="90" t="e">
        <f t="shared" si="1163"/>
        <v>#N/A</v>
      </c>
      <c r="KG60" s="90" t="e">
        <f t="shared" si="1163"/>
        <v>#N/A</v>
      </c>
      <c r="KH60" s="90" t="e">
        <f t="shared" si="1163"/>
        <v>#N/A</v>
      </c>
      <c r="KI60" s="90" t="e">
        <f t="shared" si="1163"/>
        <v>#N/A</v>
      </c>
      <c r="KJ60" s="90" t="e">
        <f t="shared" si="1163"/>
        <v>#N/A</v>
      </c>
      <c r="KK60" s="90" t="e">
        <f t="shared" si="1163"/>
        <v>#N/A</v>
      </c>
      <c r="KL60" s="90" t="e">
        <f t="shared" si="1163"/>
        <v>#N/A</v>
      </c>
      <c r="KM60" s="90" t="e">
        <f t="shared" si="1163"/>
        <v>#N/A</v>
      </c>
      <c r="KN60" s="91" t="e">
        <f>KM60</f>
        <v>#N/A</v>
      </c>
      <c r="KO60" s="90" t="e">
        <f>SUM(KO58:KO59)</f>
        <v>#N/A</v>
      </c>
      <c r="KP60" s="90" t="e">
        <f t="shared" ref="KP60:KZ60" si="1164">SUM(KP58:KP59)</f>
        <v>#N/A</v>
      </c>
      <c r="KQ60" s="90" t="e">
        <f t="shared" si="1164"/>
        <v>#N/A</v>
      </c>
      <c r="KR60" s="90" t="e">
        <f t="shared" si="1164"/>
        <v>#N/A</v>
      </c>
      <c r="KS60" s="90" t="e">
        <f t="shared" si="1164"/>
        <v>#N/A</v>
      </c>
      <c r="KT60" s="90" t="e">
        <f t="shared" si="1164"/>
        <v>#N/A</v>
      </c>
      <c r="KU60" s="90" t="e">
        <f t="shared" si="1164"/>
        <v>#N/A</v>
      </c>
      <c r="KV60" s="90" t="e">
        <f t="shared" si="1164"/>
        <v>#N/A</v>
      </c>
      <c r="KW60" s="90" t="e">
        <f t="shared" si="1164"/>
        <v>#N/A</v>
      </c>
      <c r="KX60" s="90" t="e">
        <f t="shared" si="1164"/>
        <v>#N/A</v>
      </c>
      <c r="KY60" s="90" t="e">
        <f t="shared" si="1164"/>
        <v>#N/A</v>
      </c>
      <c r="KZ60" s="90" t="e">
        <f t="shared" si="1164"/>
        <v>#N/A</v>
      </c>
      <c r="LA60" s="91" t="e">
        <f>KZ60</f>
        <v>#N/A</v>
      </c>
      <c r="LB60" s="90" t="e">
        <f>SUM(LB58:LB59)</f>
        <v>#N/A</v>
      </c>
      <c r="LC60" s="90" t="e">
        <f t="shared" ref="LC60:LM60" si="1165">SUM(LC58:LC59)</f>
        <v>#N/A</v>
      </c>
      <c r="LD60" s="90" t="e">
        <f t="shared" si="1165"/>
        <v>#N/A</v>
      </c>
      <c r="LE60" s="90" t="e">
        <f t="shared" si="1165"/>
        <v>#N/A</v>
      </c>
      <c r="LF60" s="90" t="e">
        <f t="shared" si="1165"/>
        <v>#N/A</v>
      </c>
      <c r="LG60" s="90" t="e">
        <f t="shared" si="1165"/>
        <v>#N/A</v>
      </c>
      <c r="LH60" s="90" t="e">
        <f t="shared" si="1165"/>
        <v>#N/A</v>
      </c>
      <c r="LI60" s="90" t="e">
        <f t="shared" si="1165"/>
        <v>#N/A</v>
      </c>
      <c r="LJ60" s="90" t="e">
        <f t="shared" si="1165"/>
        <v>#N/A</v>
      </c>
      <c r="LK60" s="90" t="e">
        <f t="shared" si="1165"/>
        <v>#N/A</v>
      </c>
      <c r="LL60" s="90" t="e">
        <f t="shared" si="1165"/>
        <v>#N/A</v>
      </c>
      <c r="LM60" s="90" t="e">
        <f t="shared" si="1165"/>
        <v>#N/A</v>
      </c>
      <c r="LN60" s="91" t="e">
        <f>LM60</f>
        <v>#N/A</v>
      </c>
      <c r="LO60" s="90" t="e">
        <f>SUM(LO58:LO59)</f>
        <v>#N/A</v>
      </c>
      <c r="LP60" s="90" t="e">
        <f t="shared" ref="LP60:LZ60" si="1166">SUM(LP58:LP59)</f>
        <v>#N/A</v>
      </c>
      <c r="LQ60" s="90" t="e">
        <f t="shared" si="1166"/>
        <v>#N/A</v>
      </c>
      <c r="LR60" s="90" t="e">
        <f t="shared" si="1166"/>
        <v>#N/A</v>
      </c>
      <c r="LS60" s="90" t="e">
        <f t="shared" si="1166"/>
        <v>#N/A</v>
      </c>
      <c r="LT60" s="90" t="e">
        <f t="shared" si="1166"/>
        <v>#N/A</v>
      </c>
      <c r="LU60" s="90" t="e">
        <f t="shared" si="1166"/>
        <v>#N/A</v>
      </c>
      <c r="LV60" s="90" t="e">
        <f t="shared" si="1166"/>
        <v>#N/A</v>
      </c>
      <c r="LW60" s="90" t="e">
        <f t="shared" si="1166"/>
        <v>#N/A</v>
      </c>
      <c r="LX60" s="90" t="e">
        <f t="shared" si="1166"/>
        <v>#N/A</v>
      </c>
      <c r="LY60" s="90" t="e">
        <f t="shared" si="1166"/>
        <v>#N/A</v>
      </c>
      <c r="LZ60" s="90" t="e">
        <f t="shared" si="1166"/>
        <v>#N/A</v>
      </c>
      <c r="MA60" s="91" t="e">
        <f>LZ60</f>
        <v>#N/A</v>
      </c>
      <c r="MB60" s="90" t="e">
        <f>SUM(MB58:MB59)</f>
        <v>#N/A</v>
      </c>
      <c r="MC60" s="90" t="e">
        <f t="shared" ref="MC60:MM60" si="1167">SUM(MC58:MC59)</f>
        <v>#N/A</v>
      </c>
      <c r="MD60" s="90" t="e">
        <f t="shared" si="1167"/>
        <v>#N/A</v>
      </c>
      <c r="ME60" s="90" t="e">
        <f t="shared" si="1167"/>
        <v>#N/A</v>
      </c>
      <c r="MF60" s="90" t="e">
        <f t="shared" si="1167"/>
        <v>#N/A</v>
      </c>
      <c r="MG60" s="90" t="e">
        <f t="shared" si="1167"/>
        <v>#N/A</v>
      </c>
      <c r="MH60" s="90" t="e">
        <f t="shared" si="1167"/>
        <v>#N/A</v>
      </c>
      <c r="MI60" s="90" t="e">
        <f t="shared" si="1167"/>
        <v>#N/A</v>
      </c>
      <c r="MJ60" s="90" t="e">
        <f t="shared" si="1167"/>
        <v>#N/A</v>
      </c>
      <c r="MK60" s="90" t="e">
        <f t="shared" si="1167"/>
        <v>#N/A</v>
      </c>
      <c r="ML60" s="90" t="e">
        <f t="shared" si="1167"/>
        <v>#N/A</v>
      </c>
      <c r="MM60" s="90" t="e">
        <f t="shared" si="1167"/>
        <v>#N/A</v>
      </c>
      <c r="MN60" s="91" t="e">
        <f>MM60</f>
        <v>#N/A</v>
      </c>
      <c r="MO60" s="90" t="e">
        <f>SUM(MO58:MO59)</f>
        <v>#N/A</v>
      </c>
      <c r="MP60" s="90" t="e">
        <f t="shared" ref="MP60:MZ60" si="1168">SUM(MP58:MP59)</f>
        <v>#N/A</v>
      </c>
      <c r="MQ60" s="90" t="e">
        <f t="shared" si="1168"/>
        <v>#N/A</v>
      </c>
      <c r="MR60" s="90" t="e">
        <f t="shared" si="1168"/>
        <v>#N/A</v>
      </c>
      <c r="MS60" s="90" t="e">
        <f t="shared" si="1168"/>
        <v>#N/A</v>
      </c>
      <c r="MT60" s="90" t="e">
        <f t="shared" si="1168"/>
        <v>#N/A</v>
      </c>
      <c r="MU60" s="90" t="e">
        <f t="shared" si="1168"/>
        <v>#N/A</v>
      </c>
      <c r="MV60" s="90" t="e">
        <f t="shared" si="1168"/>
        <v>#N/A</v>
      </c>
      <c r="MW60" s="90" t="e">
        <f t="shared" si="1168"/>
        <v>#N/A</v>
      </c>
      <c r="MX60" s="90" t="e">
        <f t="shared" si="1168"/>
        <v>#N/A</v>
      </c>
      <c r="MY60" s="90" t="e">
        <f t="shared" si="1168"/>
        <v>#N/A</v>
      </c>
      <c r="MZ60" s="90" t="e">
        <f t="shared" si="1168"/>
        <v>#N/A</v>
      </c>
      <c r="NA60" s="91" t="e">
        <f>MZ60</f>
        <v>#N/A</v>
      </c>
      <c r="NB60" s="90" t="e">
        <f>SUM(NB58:NB59)</f>
        <v>#N/A</v>
      </c>
      <c r="NC60" s="90" t="e">
        <f t="shared" ref="NC60:NM60" si="1169">SUM(NC58:NC59)</f>
        <v>#N/A</v>
      </c>
      <c r="ND60" s="90" t="e">
        <f t="shared" si="1169"/>
        <v>#N/A</v>
      </c>
      <c r="NE60" s="90" t="e">
        <f t="shared" si="1169"/>
        <v>#N/A</v>
      </c>
      <c r="NF60" s="90" t="e">
        <f t="shared" si="1169"/>
        <v>#N/A</v>
      </c>
      <c r="NG60" s="90" t="e">
        <f t="shared" si="1169"/>
        <v>#N/A</v>
      </c>
      <c r="NH60" s="90" t="e">
        <f t="shared" si="1169"/>
        <v>#N/A</v>
      </c>
      <c r="NI60" s="90" t="e">
        <f t="shared" si="1169"/>
        <v>#N/A</v>
      </c>
      <c r="NJ60" s="90" t="e">
        <f t="shared" si="1169"/>
        <v>#N/A</v>
      </c>
      <c r="NK60" s="90" t="e">
        <f t="shared" si="1169"/>
        <v>#N/A</v>
      </c>
      <c r="NL60" s="90" t="e">
        <f t="shared" si="1169"/>
        <v>#N/A</v>
      </c>
      <c r="NM60" s="90" t="e">
        <f t="shared" si="1169"/>
        <v>#N/A</v>
      </c>
      <c r="NN60" s="91" t="e">
        <f>NM60</f>
        <v>#N/A</v>
      </c>
      <c r="NO60" s="90" t="e">
        <f>SUM(NO58:NO59)</f>
        <v>#N/A</v>
      </c>
      <c r="NP60" s="90" t="e">
        <f t="shared" ref="NP60:NZ60" si="1170">SUM(NP58:NP59)</f>
        <v>#N/A</v>
      </c>
      <c r="NQ60" s="90" t="e">
        <f t="shared" si="1170"/>
        <v>#N/A</v>
      </c>
      <c r="NR60" s="90" t="e">
        <f t="shared" si="1170"/>
        <v>#N/A</v>
      </c>
      <c r="NS60" s="90" t="e">
        <f t="shared" si="1170"/>
        <v>#N/A</v>
      </c>
      <c r="NT60" s="90" t="e">
        <f t="shared" si="1170"/>
        <v>#N/A</v>
      </c>
      <c r="NU60" s="90" t="e">
        <f t="shared" si="1170"/>
        <v>#N/A</v>
      </c>
      <c r="NV60" s="90" t="e">
        <f t="shared" si="1170"/>
        <v>#N/A</v>
      </c>
      <c r="NW60" s="90" t="e">
        <f t="shared" si="1170"/>
        <v>#N/A</v>
      </c>
      <c r="NX60" s="90" t="e">
        <f t="shared" si="1170"/>
        <v>#N/A</v>
      </c>
      <c r="NY60" s="90" t="e">
        <f t="shared" si="1170"/>
        <v>#N/A</v>
      </c>
      <c r="NZ60" s="90" t="e">
        <f t="shared" si="1170"/>
        <v>#N/A</v>
      </c>
      <c r="OA60" s="91" t="e">
        <f>NZ60</f>
        <v>#N/A</v>
      </c>
      <c r="OB60" s="90" t="e">
        <f>SUM(OB58:OB59)</f>
        <v>#N/A</v>
      </c>
      <c r="OC60" s="90" t="e">
        <f t="shared" ref="OC60:OM60" si="1171">SUM(OC58:OC59)</f>
        <v>#N/A</v>
      </c>
      <c r="OD60" s="90" t="e">
        <f t="shared" si="1171"/>
        <v>#N/A</v>
      </c>
      <c r="OE60" s="90" t="e">
        <f t="shared" si="1171"/>
        <v>#N/A</v>
      </c>
      <c r="OF60" s="90" t="e">
        <f t="shared" si="1171"/>
        <v>#N/A</v>
      </c>
      <c r="OG60" s="90" t="e">
        <f t="shared" si="1171"/>
        <v>#N/A</v>
      </c>
      <c r="OH60" s="90" t="e">
        <f t="shared" si="1171"/>
        <v>#N/A</v>
      </c>
      <c r="OI60" s="90" t="e">
        <f t="shared" si="1171"/>
        <v>#N/A</v>
      </c>
      <c r="OJ60" s="90" t="e">
        <f t="shared" si="1171"/>
        <v>#N/A</v>
      </c>
      <c r="OK60" s="90" t="e">
        <f t="shared" si="1171"/>
        <v>#N/A</v>
      </c>
      <c r="OL60" s="90" t="e">
        <f t="shared" si="1171"/>
        <v>#N/A</v>
      </c>
      <c r="OM60" s="90" t="e">
        <f t="shared" si="1171"/>
        <v>#N/A</v>
      </c>
      <c r="ON60" s="91" t="e">
        <f>OM60</f>
        <v>#N/A</v>
      </c>
      <c r="OO60" s="90" t="e">
        <f>SUM(OO58:OO59)</f>
        <v>#N/A</v>
      </c>
      <c r="OP60" s="90" t="e">
        <f t="shared" ref="OP60:OZ60" si="1172">SUM(OP58:OP59)</f>
        <v>#N/A</v>
      </c>
      <c r="OQ60" s="90" t="e">
        <f t="shared" si="1172"/>
        <v>#N/A</v>
      </c>
      <c r="OR60" s="90" t="e">
        <f t="shared" si="1172"/>
        <v>#N/A</v>
      </c>
      <c r="OS60" s="90" t="e">
        <f t="shared" si="1172"/>
        <v>#N/A</v>
      </c>
      <c r="OT60" s="90" t="e">
        <f t="shared" si="1172"/>
        <v>#N/A</v>
      </c>
      <c r="OU60" s="90" t="e">
        <f t="shared" si="1172"/>
        <v>#N/A</v>
      </c>
      <c r="OV60" s="90" t="e">
        <f t="shared" si="1172"/>
        <v>#N/A</v>
      </c>
      <c r="OW60" s="90" t="e">
        <f t="shared" si="1172"/>
        <v>#N/A</v>
      </c>
      <c r="OX60" s="90" t="e">
        <f t="shared" si="1172"/>
        <v>#N/A</v>
      </c>
      <c r="OY60" s="90" t="e">
        <f t="shared" si="1172"/>
        <v>#N/A</v>
      </c>
      <c r="OZ60" s="90" t="e">
        <f t="shared" si="1172"/>
        <v>#N/A</v>
      </c>
      <c r="PA60" s="91" t="e">
        <f>OZ60</f>
        <v>#N/A</v>
      </c>
      <c r="PB60" s="90" t="e">
        <f>SUM(PB58:PB59)</f>
        <v>#N/A</v>
      </c>
      <c r="PC60" s="90" t="e">
        <f t="shared" ref="PC60:PM60" si="1173">SUM(PC58:PC59)</f>
        <v>#N/A</v>
      </c>
      <c r="PD60" s="90" t="e">
        <f t="shared" si="1173"/>
        <v>#N/A</v>
      </c>
      <c r="PE60" s="90" t="e">
        <f t="shared" si="1173"/>
        <v>#N/A</v>
      </c>
      <c r="PF60" s="90" t="e">
        <f t="shared" si="1173"/>
        <v>#N/A</v>
      </c>
      <c r="PG60" s="90" t="e">
        <f t="shared" si="1173"/>
        <v>#N/A</v>
      </c>
      <c r="PH60" s="90" t="e">
        <f t="shared" si="1173"/>
        <v>#N/A</v>
      </c>
      <c r="PI60" s="90" t="e">
        <f t="shared" si="1173"/>
        <v>#N/A</v>
      </c>
      <c r="PJ60" s="90" t="e">
        <f t="shared" si="1173"/>
        <v>#N/A</v>
      </c>
      <c r="PK60" s="90" t="e">
        <f t="shared" si="1173"/>
        <v>#N/A</v>
      </c>
      <c r="PL60" s="90" t="e">
        <f t="shared" si="1173"/>
        <v>#N/A</v>
      </c>
      <c r="PM60" s="90" t="e">
        <f t="shared" si="1173"/>
        <v>#N/A</v>
      </c>
      <c r="PN60" s="91" t="e">
        <f>PM60</f>
        <v>#N/A</v>
      </c>
      <c r="PO60" s="90" t="e">
        <f>SUM(PO58:PO59)</f>
        <v>#N/A</v>
      </c>
      <c r="PP60" s="90" t="e">
        <f t="shared" ref="PP60:PZ60" si="1174">SUM(PP58:PP59)</f>
        <v>#N/A</v>
      </c>
      <c r="PQ60" s="90" t="e">
        <f t="shared" si="1174"/>
        <v>#N/A</v>
      </c>
      <c r="PR60" s="90" t="e">
        <f t="shared" si="1174"/>
        <v>#N/A</v>
      </c>
      <c r="PS60" s="90" t="e">
        <f t="shared" si="1174"/>
        <v>#N/A</v>
      </c>
      <c r="PT60" s="90" t="e">
        <f t="shared" si="1174"/>
        <v>#N/A</v>
      </c>
      <c r="PU60" s="90" t="e">
        <f t="shared" si="1174"/>
        <v>#N/A</v>
      </c>
      <c r="PV60" s="90" t="e">
        <f t="shared" si="1174"/>
        <v>#N/A</v>
      </c>
      <c r="PW60" s="90" t="e">
        <f t="shared" si="1174"/>
        <v>#N/A</v>
      </c>
      <c r="PX60" s="90" t="e">
        <f t="shared" si="1174"/>
        <v>#N/A</v>
      </c>
      <c r="PY60" s="90" t="e">
        <f t="shared" si="1174"/>
        <v>#N/A</v>
      </c>
      <c r="PZ60" s="90" t="e">
        <f t="shared" si="1174"/>
        <v>#N/A</v>
      </c>
      <c r="QA60" s="91" t="e">
        <f>PZ60</f>
        <v>#N/A</v>
      </c>
      <c r="QB60" s="90" t="e">
        <f>SUM(QB58:QB59)</f>
        <v>#N/A</v>
      </c>
      <c r="QC60" s="90" t="e">
        <f t="shared" ref="QC60:QM60" si="1175">SUM(QC58:QC59)</f>
        <v>#N/A</v>
      </c>
      <c r="QD60" s="90" t="e">
        <f t="shared" si="1175"/>
        <v>#N/A</v>
      </c>
      <c r="QE60" s="90" t="e">
        <f t="shared" si="1175"/>
        <v>#N/A</v>
      </c>
      <c r="QF60" s="90" t="e">
        <f t="shared" si="1175"/>
        <v>#N/A</v>
      </c>
      <c r="QG60" s="90" t="e">
        <f t="shared" si="1175"/>
        <v>#N/A</v>
      </c>
      <c r="QH60" s="90" t="e">
        <f t="shared" si="1175"/>
        <v>#N/A</v>
      </c>
      <c r="QI60" s="90" t="e">
        <f t="shared" si="1175"/>
        <v>#N/A</v>
      </c>
      <c r="QJ60" s="90" t="e">
        <f t="shared" si="1175"/>
        <v>#N/A</v>
      </c>
      <c r="QK60" s="90" t="e">
        <f t="shared" si="1175"/>
        <v>#N/A</v>
      </c>
      <c r="QL60" s="90" t="e">
        <f t="shared" si="1175"/>
        <v>#N/A</v>
      </c>
      <c r="QM60" s="90" t="e">
        <f t="shared" si="1175"/>
        <v>#N/A</v>
      </c>
      <c r="QN60" s="91" t="e">
        <f>QM60</f>
        <v>#N/A</v>
      </c>
      <c r="QO60" s="90" t="e">
        <f>SUM(QO58:QO59)</f>
        <v>#N/A</v>
      </c>
      <c r="QP60" s="90" t="e">
        <f t="shared" ref="QP60:QZ60" si="1176">SUM(QP58:QP59)</f>
        <v>#N/A</v>
      </c>
      <c r="QQ60" s="90" t="e">
        <f t="shared" si="1176"/>
        <v>#N/A</v>
      </c>
      <c r="QR60" s="90" t="e">
        <f t="shared" si="1176"/>
        <v>#N/A</v>
      </c>
      <c r="QS60" s="90" t="e">
        <f t="shared" si="1176"/>
        <v>#N/A</v>
      </c>
      <c r="QT60" s="90" t="e">
        <f t="shared" si="1176"/>
        <v>#N/A</v>
      </c>
      <c r="QU60" s="90" t="e">
        <f t="shared" si="1176"/>
        <v>#N/A</v>
      </c>
      <c r="QV60" s="90" t="e">
        <f t="shared" si="1176"/>
        <v>#N/A</v>
      </c>
      <c r="QW60" s="90" t="e">
        <f t="shared" si="1176"/>
        <v>#N/A</v>
      </c>
      <c r="QX60" s="90" t="e">
        <f t="shared" si="1176"/>
        <v>#N/A</v>
      </c>
      <c r="QY60" s="90" t="e">
        <f t="shared" si="1176"/>
        <v>#N/A</v>
      </c>
      <c r="QZ60" s="90" t="e">
        <f t="shared" si="1176"/>
        <v>#N/A</v>
      </c>
      <c r="RA60" s="91" t="e">
        <f>QZ60</f>
        <v>#N/A</v>
      </c>
      <c r="RB60" s="90" t="e">
        <f>SUM(RB58:RB59)</f>
        <v>#N/A</v>
      </c>
      <c r="RC60" s="90" t="e">
        <f t="shared" ref="RC60:RM60" si="1177">SUM(RC58:RC59)</f>
        <v>#N/A</v>
      </c>
      <c r="RD60" s="90" t="e">
        <f t="shared" si="1177"/>
        <v>#N/A</v>
      </c>
      <c r="RE60" s="90" t="e">
        <f t="shared" si="1177"/>
        <v>#N/A</v>
      </c>
      <c r="RF60" s="90" t="e">
        <f t="shared" si="1177"/>
        <v>#N/A</v>
      </c>
      <c r="RG60" s="90" t="e">
        <f t="shared" si="1177"/>
        <v>#N/A</v>
      </c>
      <c r="RH60" s="90" t="e">
        <f t="shared" si="1177"/>
        <v>#N/A</v>
      </c>
      <c r="RI60" s="90" t="e">
        <f t="shared" si="1177"/>
        <v>#N/A</v>
      </c>
      <c r="RJ60" s="90" t="e">
        <f t="shared" si="1177"/>
        <v>#N/A</v>
      </c>
      <c r="RK60" s="90" t="e">
        <f t="shared" si="1177"/>
        <v>#N/A</v>
      </c>
      <c r="RL60" s="90" t="e">
        <f t="shared" si="1177"/>
        <v>#N/A</v>
      </c>
      <c r="RM60" s="90" t="e">
        <f t="shared" si="1177"/>
        <v>#N/A</v>
      </c>
      <c r="RN60" s="91" t="e">
        <f>RM60</f>
        <v>#N/A</v>
      </c>
    </row>
    <row r="61" spans="1:482" s="77" customFormat="1" hidden="1" outlineLevel="1" x14ac:dyDescent="0.3">
      <c r="A61" s="74" t="s">
        <v>272</v>
      </c>
      <c r="B61" s="90" t="e">
        <f>B57-B60</f>
        <v>#N/A</v>
      </c>
      <c r="C61" s="90" t="e">
        <f t="shared" ref="C61:M61" si="1178">C57-C60</f>
        <v>#N/A</v>
      </c>
      <c r="D61" s="90" t="e">
        <f t="shared" si="1178"/>
        <v>#N/A</v>
      </c>
      <c r="E61" s="90" t="e">
        <f t="shared" si="1178"/>
        <v>#N/A</v>
      </c>
      <c r="F61" s="90" t="e">
        <f t="shared" si="1178"/>
        <v>#N/A</v>
      </c>
      <c r="G61" s="90" t="e">
        <f t="shared" si="1178"/>
        <v>#N/A</v>
      </c>
      <c r="H61" s="90" t="e">
        <f t="shared" si="1178"/>
        <v>#N/A</v>
      </c>
      <c r="I61" s="90" t="e">
        <f t="shared" si="1178"/>
        <v>#N/A</v>
      </c>
      <c r="J61" s="90" t="e">
        <f t="shared" si="1178"/>
        <v>#N/A</v>
      </c>
      <c r="K61" s="90" t="e">
        <f t="shared" si="1178"/>
        <v>#N/A</v>
      </c>
      <c r="L61" s="90" t="e">
        <f t="shared" si="1178"/>
        <v>#N/A</v>
      </c>
      <c r="M61" s="90" t="e">
        <f t="shared" si="1178"/>
        <v>#N/A</v>
      </c>
      <c r="N61" s="91" t="e">
        <f>M61</f>
        <v>#N/A</v>
      </c>
      <c r="O61" s="90" t="e">
        <f>O57-O60</f>
        <v>#N/A</v>
      </c>
      <c r="P61" s="90" t="e">
        <f t="shared" ref="P61:Z61" si="1179">P57-P60</f>
        <v>#N/A</v>
      </c>
      <c r="Q61" s="90" t="e">
        <f t="shared" si="1179"/>
        <v>#N/A</v>
      </c>
      <c r="R61" s="90" t="e">
        <f t="shared" si="1179"/>
        <v>#N/A</v>
      </c>
      <c r="S61" s="90" t="e">
        <f t="shared" si="1179"/>
        <v>#N/A</v>
      </c>
      <c r="T61" s="90" t="e">
        <f t="shared" si="1179"/>
        <v>#N/A</v>
      </c>
      <c r="U61" s="90" t="e">
        <f t="shared" si="1179"/>
        <v>#N/A</v>
      </c>
      <c r="V61" s="90" t="e">
        <f t="shared" si="1179"/>
        <v>#N/A</v>
      </c>
      <c r="W61" s="90" t="e">
        <f t="shared" si="1179"/>
        <v>#N/A</v>
      </c>
      <c r="X61" s="90" t="e">
        <f t="shared" si="1179"/>
        <v>#N/A</v>
      </c>
      <c r="Y61" s="90" t="e">
        <f t="shared" si="1179"/>
        <v>#N/A</v>
      </c>
      <c r="Z61" s="90" t="e">
        <f t="shared" si="1179"/>
        <v>#N/A</v>
      </c>
      <c r="AA61" s="91" t="e">
        <f>Z61</f>
        <v>#N/A</v>
      </c>
      <c r="AB61" s="90" t="e">
        <f>AB57-AB60</f>
        <v>#N/A</v>
      </c>
      <c r="AC61" s="90" t="e">
        <f t="shared" ref="AC61:AM61" si="1180">AC57-AC60</f>
        <v>#N/A</v>
      </c>
      <c r="AD61" s="90" t="e">
        <f t="shared" si="1180"/>
        <v>#N/A</v>
      </c>
      <c r="AE61" s="90" t="e">
        <f t="shared" si="1180"/>
        <v>#N/A</v>
      </c>
      <c r="AF61" s="90" t="e">
        <f t="shared" si="1180"/>
        <v>#N/A</v>
      </c>
      <c r="AG61" s="90" t="e">
        <f t="shared" si="1180"/>
        <v>#N/A</v>
      </c>
      <c r="AH61" s="90" t="e">
        <f t="shared" si="1180"/>
        <v>#N/A</v>
      </c>
      <c r="AI61" s="90" t="e">
        <f t="shared" si="1180"/>
        <v>#N/A</v>
      </c>
      <c r="AJ61" s="90" t="e">
        <f t="shared" si="1180"/>
        <v>#N/A</v>
      </c>
      <c r="AK61" s="90" t="e">
        <f t="shared" si="1180"/>
        <v>#N/A</v>
      </c>
      <c r="AL61" s="90" t="e">
        <f t="shared" si="1180"/>
        <v>#N/A</v>
      </c>
      <c r="AM61" s="90" t="e">
        <f t="shared" si="1180"/>
        <v>#N/A</v>
      </c>
      <c r="AN61" s="91" t="e">
        <f>AM61</f>
        <v>#N/A</v>
      </c>
      <c r="AO61" s="90" t="e">
        <f>AO57-AO60</f>
        <v>#N/A</v>
      </c>
      <c r="AP61" s="90" t="e">
        <f t="shared" ref="AP61:AZ61" si="1181">AP57-AP60</f>
        <v>#N/A</v>
      </c>
      <c r="AQ61" s="90" t="e">
        <f t="shared" si="1181"/>
        <v>#N/A</v>
      </c>
      <c r="AR61" s="90" t="e">
        <f t="shared" si="1181"/>
        <v>#N/A</v>
      </c>
      <c r="AS61" s="90" t="e">
        <f t="shared" si="1181"/>
        <v>#N/A</v>
      </c>
      <c r="AT61" s="90" t="e">
        <f t="shared" si="1181"/>
        <v>#N/A</v>
      </c>
      <c r="AU61" s="90" t="e">
        <f t="shared" si="1181"/>
        <v>#N/A</v>
      </c>
      <c r="AV61" s="90" t="e">
        <f t="shared" si="1181"/>
        <v>#N/A</v>
      </c>
      <c r="AW61" s="90" t="e">
        <f t="shared" si="1181"/>
        <v>#N/A</v>
      </c>
      <c r="AX61" s="90" t="e">
        <f t="shared" si="1181"/>
        <v>#N/A</v>
      </c>
      <c r="AY61" s="90" t="e">
        <f t="shared" si="1181"/>
        <v>#N/A</v>
      </c>
      <c r="AZ61" s="90" t="e">
        <f t="shared" si="1181"/>
        <v>#N/A</v>
      </c>
      <c r="BA61" s="91" t="e">
        <f>AZ61</f>
        <v>#N/A</v>
      </c>
      <c r="BB61" s="90" t="e">
        <f>BB57-BB60</f>
        <v>#N/A</v>
      </c>
      <c r="BC61" s="90" t="e">
        <f t="shared" ref="BC61:BM61" si="1182">BC57-BC60</f>
        <v>#N/A</v>
      </c>
      <c r="BD61" s="90" t="e">
        <f t="shared" si="1182"/>
        <v>#N/A</v>
      </c>
      <c r="BE61" s="90" t="e">
        <f t="shared" si="1182"/>
        <v>#N/A</v>
      </c>
      <c r="BF61" s="90" t="e">
        <f t="shared" si="1182"/>
        <v>#N/A</v>
      </c>
      <c r="BG61" s="90" t="e">
        <f t="shared" si="1182"/>
        <v>#N/A</v>
      </c>
      <c r="BH61" s="90" t="e">
        <f t="shared" si="1182"/>
        <v>#N/A</v>
      </c>
      <c r="BI61" s="90" t="e">
        <f t="shared" si="1182"/>
        <v>#N/A</v>
      </c>
      <c r="BJ61" s="90" t="e">
        <f t="shared" si="1182"/>
        <v>#N/A</v>
      </c>
      <c r="BK61" s="90" t="e">
        <f t="shared" si="1182"/>
        <v>#N/A</v>
      </c>
      <c r="BL61" s="90" t="e">
        <f t="shared" si="1182"/>
        <v>#N/A</v>
      </c>
      <c r="BM61" s="90" t="e">
        <f t="shared" si="1182"/>
        <v>#N/A</v>
      </c>
      <c r="BN61" s="91" t="e">
        <f>BM61</f>
        <v>#N/A</v>
      </c>
      <c r="BO61" s="90" t="e">
        <f>BO57-BO60</f>
        <v>#N/A</v>
      </c>
      <c r="BP61" s="90" t="e">
        <f t="shared" ref="BP61:BZ61" si="1183">BP57-BP60</f>
        <v>#N/A</v>
      </c>
      <c r="BQ61" s="90" t="e">
        <f t="shared" si="1183"/>
        <v>#N/A</v>
      </c>
      <c r="BR61" s="90" t="e">
        <f t="shared" si="1183"/>
        <v>#N/A</v>
      </c>
      <c r="BS61" s="90" t="e">
        <f t="shared" si="1183"/>
        <v>#N/A</v>
      </c>
      <c r="BT61" s="90" t="e">
        <f t="shared" si="1183"/>
        <v>#N/A</v>
      </c>
      <c r="BU61" s="90" t="e">
        <f t="shared" si="1183"/>
        <v>#N/A</v>
      </c>
      <c r="BV61" s="90" t="e">
        <f t="shared" si="1183"/>
        <v>#N/A</v>
      </c>
      <c r="BW61" s="90" t="e">
        <f t="shared" si="1183"/>
        <v>#N/A</v>
      </c>
      <c r="BX61" s="90" t="e">
        <f t="shared" si="1183"/>
        <v>#N/A</v>
      </c>
      <c r="BY61" s="90" t="e">
        <f t="shared" si="1183"/>
        <v>#N/A</v>
      </c>
      <c r="BZ61" s="90" t="e">
        <f t="shared" si="1183"/>
        <v>#N/A</v>
      </c>
      <c r="CA61" s="91" t="e">
        <f>BZ61</f>
        <v>#N/A</v>
      </c>
      <c r="CB61" s="90" t="e">
        <f>CB57-CB60</f>
        <v>#N/A</v>
      </c>
      <c r="CC61" s="90" t="e">
        <f t="shared" ref="CC61:CM61" si="1184">CC57-CC60</f>
        <v>#N/A</v>
      </c>
      <c r="CD61" s="90" t="e">
        <f t="shared" si="1184"/>
        <v>#N/A</v>
      </c>
      <c r="CE61" s="90" t="e">
        <f t="shared" si="1184"/>
        <v>#N/A</v>
      </c>
      <c r="CF61" s="90" t="e">
        <f t="shared" si="1184"/>
        <v>#N/A</v>
      </c>
      <c r="CG61" s="90" t="e">
        <f t="shared" si="1184"/>
        <v>#N/A</v>
      </c>
      <c r="CH61" s="90" t="e">
        <f t="shared" si="1184"/>
        <v>#N/A</v>
      </c>
      <c r="CI61" s="90" t="e">
        <f t="shared" si="1184"/>
        <v>#N/A</v>
      </c>
      <c r="CJ61" s="90" t="e">
        <f t="shared" si="1184"/>
        <v>#N/A</v>
      </c>
      <c r="CK61" s="90" t="e">
        <f t="shared" si="1184"/>
        <v>#N/A</v>
      </c>
      <c r="CL61" s="90" t="e">
        <f t="shared" si="1184"/>
        <v>#N/A</v>
      </c>
      <c r="CM61" s="90" t="e">
        <f t="shared" si="1184"/>
        <v>#N/A</v>
      </c>
      <c r="CN61" s="91" t="e">
        <f>CM61</f>
        <v>#N/A</v>
      </c>
      <c r="CO61" s="90" t="e">
        <f>CO57-CO60</f>
        <v>#N/A</v>
      </c>
      <c r="CP61" s="90" t="e">
        <f t="shared" ref="CP61:CZ61" si="1185">CP57-CP60</f>
        <v>#N/A</v>
      </c>
      <c r="CQ61" s="90" t="e">
        <f t="shared" si="1185"/>
        <v>#N/A</v>
      </c>
      <c r="CR61" s="90" t="e">
        <f t="shared" si="1185"/>
        <v>#N/A</v>
      </c>
      <c r="CS61" s="90" t="e">
        <f t="shared" si="1185"/>
        <v>#N/A</v>
      </c>
      <c r="CT61" s="90" t="e">
        <f t="shared" si="1185"/>
        <v>#N/A</v>
      </c>
      <c r="CU61" s="90" t="e">
        <f t="shared" si="1185"/>
        <v>#N/A</v>
      </c>
      <c r="CV61" s="90" t="e">
        <f t="shared" si="1185"/>
        <v>#N/A</v>
      </c>
      <c r="CW61" s="90" t="e">
        <f t="shared" si="1185"/>
        <v>#N/A</v>
      </c>
      <c r="CX61" s="90" t="e">
        <f t="shared" si="1185"/>
        <v>#N/A</v>
      </c>
      <c r="CY61" s="90" t="e">
        <f t="shared" si="1185"/>
        <v>#N/A</v>
      </c>
      <c r="CZ61" s="90" t="e">
        <f t="shared" si="1185"/>
        <v>#N/A</v>
      </c>
      <c r="DA61" s="91" t="e">
        <f>CZ61</f>
        <v>#N/A</v>
      </c>
      <c r="DB61" s="90" t="e">
        <f>DB57-DB60</f>
        <v>#N/A</v>
      </c>
      <c r="DC61" s="90" t="e">
        <f t="shared" ref="DC61:DM61" si="1186">DC57-DC60</f>
        <v>#N/A</v>
      </c>
      <c r="DD61" s="90" t="e">
        <f t="shared" si="1186"/>
        <v>#N/A</v>
      </c>
      <c r="DE61" s="90" t="e">
        <f t="shared" si="1186"/>
        <v>#N/A</v>
      </c>
      <c r="DF61" s="90" t="e">
        <f t="shared" si="1186"/>
        <v>#N/A</v>
      </c>
      <c r="DG61" s="90" t="e">
        <f t="shared" si="1186"/>
        <v>#N/A</v>
      </c>
      <c r="DH61" s="90" t="e">
        <f t="shared" si="1186"/>
        <v>#N/A</v>
      </c>
      <c r="DI61" s="90" t="e">
        <f t="shared" si="1186"/>
        <v>#N/A</v>
      </c>
      <c r="DJ61" s="90" t="e">
        <f t="shared" si="1186"/>
        <v>#N/A</v>
      </c>
      <c r="DK61" s="90" t="e">
        <f t="shared" si="1186"/>
        <v>#N/A</v>
      </c>
      <c r="DL61" s="90" t="e">
        <f t="shared" si="1186"/>
        <v>#N/A</v>
      </c>
      <c r="DM61" s="90" t="e">
        <f t="shared" si="1186"/>
        <v>#N/A</v>
      </c>
      <c r="DN61" s="91" t="e">
        <f>DM61</f>
        <v>#N/A</v>
      </c>
      <c r="DO61" s="90" t="e">
        <f>DO57-DO60</f>
        <v>#N/A</v>
      </c>
      <c r="DP61" s="90" t="e">
        <f t="shared" ref="DP61:DZ61" si="1187">DP57-DP60</f>
        <v>#N/A</v>
      </c>
      <c r="DQ61" s="90" t="e">
        <f t="shared" si="1187"/>
        <v>#N/A</v>
      </c>
      <c r="DR61" s="90" t="e">
        <f t="shared" si="1187"/>
        <v>#N/A</v>
      </c>
      <c r="DS61" s="90" t="e">
        <f t="shared" si="1187"/>
        <v>#N/A</v>
      </c>
      <c r="DT61" s="90" t="e">
        <f t="shared" si="1187"/>
        <v>#N/A</v>
      </c>
      <c r="DU61" s="90" t="e">
        <f t="shared" si="1187"/>
        <v>#N/A</v>
      </c>
      <c r="DV61" s="90" t="e">
        <f t="shared" si="1187"/>
        <v>#N/A</v>
      </c>
      <c r="DW61" s="90" t="e">
        <f t="shared" si="1187"/>
        <v>#N/A</v>
      </c>
      <c r="DX61" s="90" t="e">
        <f t="shared" si="1187"/>
        <v>#N/A</v>
      </c>
      <c r="DY61" s="90" t="e">
        <f t="shared" si="1187"/>
        <v>#N/A</v>
      </c>
      <c r="DZ61" s="90" t="e">
        <f t="shared" si="1187"/>
        <v>#N/A</v>
      </c>
      <c r="EA61" s="91" t="e">
        <f>DZ61</f>
        <v>#N/A</v>
      </c>
      <c r="EB61" s="90" t="e">
        <f>EB57-EB60</f>
        <v>#N/A</v>
      </c>
      <c r="EC61" s="90" t="e">
        <f t="shared" ref="EC61:EM61" si="1188">EC57-EC60</f>
        <v>#N/A</v>
      </c>
      <c r="ED61" s="90" t="e">
        <f t="shared" si="1188"/>
        <v>#N/A</v>
      </c>
      <c r="EE61" s="90" t="e">
        <f t="shared" si="1188"/>
        <v>#N/A</v>
      </c>
      <c r="EF61" s="90" t="e">
        <f t="shared" si="1188"/>
        <v>#N/A</v>
      </c>
      <c r="EG61" s="90" t="e">
        <f t="shared" si="1188"/>
        <v>#N/A</v>
      </c>
      <c r="EH61" s="90" t="e">
        <f t="shared" si="1188"/>
        <v>#N/A</v>
      </c>
      <c r="EI61" s="90" t="e">
        <f t="shared" si="1188"/>
        <v>#N/A</v>
      </c>
      <c r="EJ61" s="90" t="e">
        <f t="shared" si="1188"/>
        <v>#N/A</v>
      </c>
      <c r="EK61" s="90" t="e">
        <f t="shared" si="1188"/>
        <v>#N/A</v>
      </c>
      <c r="EL61" s="90" t="e">
        <f t="shared" si="1188"/>
        <v>#N/A</v>
      </c>
      <c r="EM61" s="90" t="e">
        <f t="shared" si="1188"/>
        <v>#N/A</v>
      </c>
      <c r="EN61" s="91" t="e">
        <f>EM61</f>
        <v>#N/A</v>
      </c>
      <c r="EO61" s="90" t="e">
        <f>EO57-EO60</f>
        <v>#N/A</v>
      </c>
      <c r="EP61" s="90" t="e">
        <f t="shared" ref="EP61:EZ61" si="1189">EP57-EP60</f>
        <v>#N/A</v>
      </c>
      <c r="EQ61" s="90" t="e">
        <f t="shared" si="1189"/>
        <v>#N/A</v>
      </c>
      <c r="ER61" s="90" t="e">
        <f t="shared" si="1189"/>
        <v>#N/A</v>
      </c>
      <c r="ES61" s="90" t="e">
        <f t="shared" si="1189"/>
        <v>#N/A</v>
      </c>
      <c r="ET61" s="90" t="e">
        <f t="shared" si="1189"/>
        <v>#N/A</v>
      </c>
      <c r="EU61" s="90" t="e">
        <f t="shared" si="1189"/>
        <v>#N/A</v>
      </c>
      <c r="EV61" s="90" t="e">
        <f t="shared" si="1189"/>
        <v>#N/A</v>
      </c>
      <c r="EW61" s="90" t="e">
        <f t="shared" si="1189"/>
        <v>#N/A</v>
      </c>
      <c r="EX61" s="90" t="e">
        <f t="shared" si="1189"/>
        <v>#N/A</v>
      </c>
      <c r="EY61" s="90" t="e">
        <f t="shared" si="1189"/>
        <v>#N/A</v>
      </c>
      <c r="EZ61" s="90" t="e">
        <f t="shared" si="1189"/>
        <v>#N/A</v>
      </c>
      <c r="FA61" s="91" t="e">
        <f>EZ61</f>
        <v>#N/A</v>
      </c>
      <c r="FB61" s="90" t="e">
        <f>FB57-FB60</f>
        <v>#N/A</v>
      </c>
      <c r="FC61" s="90" t="e">
        <f t="shared" ref="FC61:FM61" si="1190">FC57-FC60</f>
        <v>#N/A</v>
      </c>
      <c r="FD61" s="90" t="e">
        <f t="shared" si="1190"/>
        <v>#N/A</v>
      </c>
      <c r="FE61" s="90" t="e">
        <f t="shared" si="1190"/>
        <v>#N/A</v>
      </c>
      <c r="FF61" s="90" t="e">
        <f t="shared" si="1190"/>
        <v>#N/A</v>
      </c>
      <c r="FG61" s="90" t="e">
        <f t="shared" si="1190"/>
        <v>#N/A</v>
      </c>
      <c r="FH61" s="90" t="e">
        <f t="shared" si="1190"/>
        <v>#N/A</v>
      </c>
      <c r="FI61" s="90" t="e">
        <f t="shared" si="1190"/>
        <v>#N/A</v>
      </c>
      <c r="FJ61" s="90" t="e">
        <f t="shared" si="1190"/>
        <v>#N/A</v>
      </c>
      <c r="FK61" s="90" t="e">
        <f t="shared" si="1190"/>
        <v>#N/A</v>
      </c>
      <c r="FL61" s="90" t="e">
        <f t="shared" si="1190"/>
        <v>#N/A</v>
      </c>
      <c r="FM61" s="90" t="e">
        <f t="shared" si="1190"/>
        <v>#N/A</v>
      </c>
      <c r="FN61" s="91" t="e">
        <f>FM61</f>
        <v>#N/A</v>
      </c>
      <c r="FO61" s="90" t="e">
        <f>FO57-FO60</f>
        <v>#N/A</v>
      </c>
      <c r="FP61" s="90" t="e">
        <f t="shared" ref="FP61:FZ61" si="1191">FP57-FP60</f>
        <v>#N/A</v>
      </c>
      <c r="FQ61" s="90" t="e">
        <f t="shared" si="1191"/>
        <v>#N/A</v>
      </c>
      <c r="FR61" s="90" t="e">
        <f t="shared" si="1191"/>
        <v>#N/A</v>
      </c>
      <c r="FS61" s="90" t="e">
        <f t="shared" si="1191"/>
        <v>#N/A</v>
      </c>
      <c r="FT61" s="90" t="e">
        <f t="shared" si="1191"/>
        <v>#N/A</v>
      </c>
      <c r="FU61" s="90" t="e">
        <f t="shared" si="1191"/>
        <v>#N/A</v>
      </c>
      <c r="FV61" s="90" t="e">
        <f t="shared" si="1191"/>
        <v>#N/A</v>
      </c>
      <c r="FW61" s="90" t="e">
        <f t="shared" si="1191"/>
        <v>#N/A</v>
      </c>
      <c r="FX61" s="90" t="e">
        <f t="shared" si="1191"/>
        <v>#N/A</v>
      </c>
      <c r="FY61" s="90" t="e">
        <f t="shared" si="1191"/>
        <v>#N/A</v>
      </c>
      <c r="FZ61" s="90" t="e">
        <f t="shared" si="1191"/>
        <v>#N/A</v>
      </c>
      <c r="GA61" s="91" t="e">
        <f>FZ61</f>
        <v>#N/A</v>
      </c>
      <c r="GB61" s="90" t="e">
        <f>GB57-GB60</f>
        <v>#N/A</v>
      </c>
      <c r="GC61" s="90" t="e">
        <f t="shared" ref="GC61:GM61" si="1192">GC57-GC60</f>
        <v>#N/A</v>
      </c>
      <c r="GD61" s="90" t="e">
        <f t="shared" si="1192"/>
        <v>#N/A</v>
      </c>
      <c r="GE61" s="90" t="e">
        <f t="shared" si="1192"/>
        <v>#N/A</v>
      </c>
      <c r="GF61" s="90" t="e">
        <f t="shared" si="1192"/>
        <v>#N/A</v>
      </c>
      <c r="GG61" s="90" t="e">
        <f t="shared" si="1192"/>
        <v>#N/A</v>
      </c>
      <c r="GH61" s="90" t="e">
        <f t="shared" si="1192"/>
        <v>#N/A</v>
      </c>
      <c r="GI61" s="90" t="e">
        <f t="shared" si="1192"/>
        <v>#N/A</v>
      </c>
      <c r="GJ61" s="90" t="e">
        <f t="shared" si="1192"/>
        <v>#N/A</v>
      </c>
      <c r="GK61" s="90" t="e">
        <f t="shared" si="1192"/>
        <v>#N/A</v>
      </c>
      <c r="GL61" s="90" t="e">
        <f t="shared" si="1192"/>
        <v>#N/A</v>
      </c>
      <c r="GM61" s="90" t="e">
        <f t="shared" si="1192"/>
        <v>#N/A</v>
      </c>
      <c r="GN61" s="91" t="e">
        <f>GM61</f>
        <v>#N/A</v>
      </c>
      <c r="GO61" s="90" t="e">
        <f>GO57-GO60</f>
        <v>#N/A</v>
      </c>
      <c r="GP61" s="90" t="e">
        <f t="shared" ref="GP61:GZ61" si="1193">GP57-GP60</f>
        <v>#N/A</v>
      </c>
      <c r="GQ61" s="90" t="e">
        <f t="shared" si="1193"/>
        <v>#N/A</v>
      </c>
      <c r="GR61" s="90" t="e">
        <f t="shared" si="1193"/>
        <v>#N/A</v>
      </c>
      <c r="GS61" s="90" t="e">
        <f t="shared" si="1193"/>
        <v>#N/A</v>
      </c>
      <c r="GT61" s="90" t="e">
        <f t="shared" si="1193"/>
        <v>#N/A</v>
      </c>
      <c r="GU61" s="90" t="e">
        <f t="shared" si="1193"/>
        <v>#N/A</v>
      </c>
      <c r="GV61" s="90" t="e">
        <f t="shared" si="1193"/>
        <v>#N/A</v>
      </c>
      <c r="GW61" s="90" t="e">
        <f t="shared" si="1193"/>
        <v>#N/A</v>
      </c>
      <c r="GX61" s="90" t="e">
        <f t="shared" si="1193"/>
        <v>#N/A</v>
      </c>
      <c r="GY61" s="90" t="e">
        <f t="shared" si="1193"/>
        <v>#N/A</v>
      </c>
      <c r="GZ61" s="90" t="e">
        <f t="shared" si="1193"/>
        <v>#N/A</v>
      </c>
      <c r="HA61" s="91" t="e">
        <f>GZ61</f>
        <v>#N/A</v>
      </c>
      <c r="HB61" s="90" t="e">
        <f>HB57-HB60</f>
        <v>#N/A</v>
      </c>
      <c r="HC61" s="90" t="e">
        <f t="shared" ref="HC61:HM61" si="1194">HC57-HC60</f>
        <v>#N/A</v>
      </c>
      <c r="HD61" s="90" t="e">
        <f t="shared" si="1194"/>
        <v>#N/A</v>
      </c>
      <c r="HE61" s="90" t="e">
        <f t="shared" si="1194"/>
        <v>#N/A</v>
      </c>
      <c r="HF61" s="90" t="e">
        <f t="shared" si="1194"/>
        <v>#N/A</v>
      </c>
      <c r="HG61" s="90" t="e">
        <f t="shared" si="1194"/>
        <v>#N/A</v>
      </c>
      <c r="HH61" s="90" t="e">
        <f t="shared" si="1194"/>
        <v>#N/A</v>
      </c>
      <c r="HI61" s="90" t="e">
        <f t="shared" si="1194"/>
        <v>#N/A</v>
      </c>
      <c r="HJ61" s="90" t="e">
        <f t="shared" si="1194"/>
        <v>#N/A</v>
      </c>
      <c r="HK61" s="90" t="e">
        <f t="shared" si="1194"/>
        <v>#N/A</v>
      </c>
      <c r="HL61" s="90" t="e">
        <f t="shared" si="1194"/>
        <v>#N/A</v>
      </c>
      <c r="HM61" s="90" t="e">
        <f t="shared" si="1194"/>
        <v>#N/A</v>
      </c>
      <c r="HN61" s="91" t="e">
        <f>HM61</f>
        <v>#N/A</v>
      </c>
      <c r="HO61" s="90" t="e">
        <f>HO57-HO60</f>
        <v>#N/A</v>
      </c>
      <c r="HP61" s="90" t="e">
        <f t="shared" ref="HP61:HZ61" si="1195">HP57-HP60</f>
        <v>#N/A</v>
      </c>
      <c r="HQ61" s="90" t="e">
        <f t="shared" si="1195"/>
        <v>#N/A</v>
      </c>
      <c r="HR61" s="90" t="e">
        <f t="shared" si="1195"/>
        <v>#N/A</v>
      </c>
      <c r="HS61" s="90" t="e">
        <f t="shared" si="1195"/>
        <v>#N/A</v>
      </c>
      <c r="HT61" s="90" t="e">
        <f t="shared" si="1195"/>
        <v>#N/A</v>
      </c>
      <c r="HU61" s="90" t="e">
        <f t="shared" si="1195"/>
        <v>#N/A</v>
      </c>
      <c r="HV61" s="90" t="e">
        <f t="shared" si="1195"/>
        <v>#N/A</v>
      </c>
      <c r="HW61" s="90" t="e">
        <f t="shared" si="1195"/>
        <v>#N/A</v>
      </c>
      <c r="HX61" s="90" t="e">
        <f t="shared" si="1195"/>
        <v>#N/A</v>
      </c>
      <c r="HY61" s="90" t="e">
        <f t="shared" si="1195"/>
        <v>#N/A</v>
      </c>
      <c r="HZ61" s="90" t="e">
        <f t="shared" si="1195"/>
        <v>#N/A</v>
      </c>
      <c r="IA61" s="91" t="e">
        <f>HZ61</f>
        <v>#N/A</v>
      </c>
      <c r="IB61" s="90" t="e">
        <f>IB57-IB60</f>
        <v>#N/A</v>
      </c>
      <c r="IC61" s="90" t="e">
        <f t="shared" ref="IC61:IM61" si="1196">IC57-IC60</f>
        <v>#N/A</v>
      </c>
      <c r="ID61" s="90" t="e">
        <f t="shared" si="1196"/>
        <v>#N/A</v>
      </c>
      <c r="IE61" s="90" t="e">
        <f t="shared" si="1196"/>
        <v>#N/A</v>
      </c>
      <c r="IF61" s="90" t="e">
        <f t="shared" si="1196"/>
        <v>#N/A</v>
      </c>
      <c r="IG61" s="90" t="e">
        <f t="shared" si="1196"/>
        <v>#N/A</v>
      </c>
      <c r="IH61" s="90" t="e">
        <f t="shared" si="1196"/>
        <v>#N/A</v>
      </c>
      <c r="II61" s="90" t="e">
        <f t="shared" si="1196"/>
        <v>#N/A</v>
      </c>
      <c r="IJ61" s="90" t="e">
        <f t="shared" si="1196"/>
        <v>#N/A</v>
      </c>
      <c r="IK61" s="90" t="e">
        <f t="shared" si="1196"/>
        <v>#N/A</v>
      </c>
      <c r="IL61" s="90" t="e">
        <f t="shared" si="1196"/>
        <v>#N/A</v>
      </c>
      <c r="IM61" s="90" t="e">
        <f t="shared" si="1196"/>
        <v>#N/A</v>
      </c>
      <c r="IN61" s="91" t="e">
        <f>IM61</f>
        <v>#N/A</v>
      </c>
      <c r="IO61" s="90" t="e">
        <f>IO57-IO60</f>
        <v>#N/A</v>
      </c>
      <c r="IP61" s="90" t="e">
        <f t="shared" ref="IP61:IZ61" si="1197">IP57-IP60</f>
        <v>#N/A</v>
      </c>
      <c r="IQ61" s="90" t="e">
        <f t="shared" si="1197"/>
        <v>#N/A</v>
      </c>
      <c r="IR61" s="90" t="e">
        <f t="shared" si="1197"/>
        <v>#N/A</v>
      </c>
      <c r="IS61" s="90" t="e">
        <f t="shared" si="1197"/>
        <v>#N/A</v>
      </c>
      <c r="IT61" s="90" t="e">
        <f t="shared" si="1197"/>
        <v>#N/A</v>
      </c>
      <c r="IU61" s="90" t="e">
        <f t="shared" si="1197"/>
        <v>#N/A</v>
      </c>
      <c r="IV61" s="90" t="e">
        <f t="shared" si="1197"/>
        <v>#N/A</v>
      </c>
      <c r="IW61" s="90" t="e">
        <f t="shared" si="1197"/>
        <v>#N/A</v>
      </c>
      <c r="IX61" s="90" t="e">
        <f t="shared" si="1197"/>
        <v>#N/A</v>
      </c>
      <c r="IY61" s="90" t="e">
        <f t="shared" si="1197"/>
        <v>#N/A</v>
      </c>
      <c r="IZ61" s="90" t="e">
        <f t="shared" si="1197"/>
        <v>#N/A</v>
      </c>
      <c r="JA61" s="91" t="e">
        <f>IZ61</f>
        <v>#N/A</v>
      </c>
      <c r="JB61" s="90" t="e">
        <f>JB57-JB60</f>
        <v>#N/A</v>
      </c>
      <c r="JC61" s="90" t="e">
        <f t="shared" ref="JC61:JM61" si="1198">JC57-JC60</f>
        <v>#N/A</v>
      </c>
      <c r="JD61" s="90" t="e">
        <f t="shared" si="1198"/>
        <v>#N/A</v>
      </c>
      <c r="JE61" s="90" t="e">
        <f t="shared" si="1198"/>
        <v>#N/A</v>
      </c>
      <c r="JF61" s="90" t="e">
        <f t="shared" si="1198"/>
        <v>#N/A</v>
      </c>
      <c r="JG61" s="90" t="e">
        <f t="shared" si="1198"/>
        <v>#N/A</v>
      </c>
      <c r="JH61" s="90" t="e">
        <f t="shared" si="1198"/>
        <v>#N/A</v>
      </c>
      <c r="JI61" s="90" t="e">
        <f t="shared" si="1198"/>
        <v>#N/A</v>
      </c>
      <c r="JJ61" s="90" t="e">
        <f t="shared" si="1198"/>
        <v>#N/A</v>
      </c>
      <c r="JK61" s="90" t="e">
        <f t="shared" si="1198"/>
        <v>#N/A</v>
      </c>
      <c r="JL61" s="90" t="e">
        <f t="shared" si="1198"/>
        <v>#N/A</v>
      </c>
      <c r="JM61" s="90" t="e">
        <f t="shared" si="1198"/>
        <v>#N/A</v>
      </c>
      <c r="JN61" s="91" t="e">
        <f>JM61</f>
        <v>#N/A</v>
      </c>
      <c r="JO61" s="90" t="e">
        <f>JO57-JO60</f>
        <v>#N/A</v>
      </c>
      <c r="JP61" s="90" t="e">
        <f t="shared" ref="JP61:JZ61" si="1199">JP57-JP60</f>
        <v>#N/A</v>
      </c>
      <c r="JQ61" s="90" t="e">
        <f t="shared" si="1199"/>
        <v>#N/A</v>
      </c>
      <c r="JR61" s="90" t="e">
        <f t="shared" si="1199"/>
        <v>#N/A</v>
      </c>
      <c r="JS61" s="90" t="e">
        <f t="shared" si="1199"/>
        <v>#N/A</v>
      </c>
      <c r="JT61" s="90" t="e">
        <f t="shared" si="1199"/>
        <v>#N/A</v>
      </c>
      <c r="JU61" s="90" t="e">
        <f t="shared" si="1199"/>
        <v>#N/A</v>
      </c>
      <c r="JV61" s="90" t="e">
        <f t="shared" si="1199"/>
        <v>#N/A</v>
      </c>
      <c r="JW61" s="90" t="e">
        <f t="shared" si="1199"/>
        <v>#N/A</v>
      </c>
      <c r="JX61" s="90" t="e">
        <f t="shared" si="1199"/>
        <v>#N/A</v>
      </c>
      <c r="JY61" s="90" t="e">
        <f t="shared" si="1199"/>
        <v>#N/A</v>
      </c>
      <c r="JZ61" s="90" t="e">
        <f t="shared" si="1199"/>
        <v>#N/A</v>
      </c>
      <c r="KA61" s="91" t="e">
        <f>JZ61</f>
        <v>#N/A</v>
      </c>
      <c r="KB61" s="90" t="e">
        <f>KB57-KB60</f>
        <v>#N/A</v>
      </c>
      <c r="KC61" s="90" t="e">
        <f t="shared" ref="KC61:KM61" si="1200">KC57-KC60</f>
        <v>#N/A</v>
      </c>
      <c r="KD61" s="90" t="e">
        <f t="shared" si="1200"/>
        <v>#N/A</v>
      </c>
      <c r="KE61" s="90" t="e">
        <f t="shared" si="1200"/>
        <v>#N/A</v>
      </c>
      <c r="KF61" s="90" t="e">
        <f t="shared" si="1200"/>
        <v>#N/A</v>
      </c>
      <c r="KG61" s="90" t="e">
        <f t="shared" si="1200"/>
        <v>#N/A</v>
      </c>
      <c r="KH61" s="90" t="e">
        <f t="shared" si="1200"/>
        <v>#N/A</v>
      </c>
      <c r="KI61" s="90" t="e">
        <f t="shared" si="1200"/>
        <v>#N/A</v>
      </c>
      <c r="KJ61" s="90" t="e">
        <f t="shared" si="1200"/>
        <v>#N/A</v>
      </c>
      <c r="KK61" s="90" t="e">
        <f t="shared" si="1200"/>
        <v>#N/A</v>
      </c>
      <c r="KL61" s="90" t="e">
        <f t="shared" si="1200"/>
        <v>#N/A</v>
      </c>
      <c r="KM61" s="90" t="e">
        <f t="shared" si="1200"/>
        <v>#N/A</v>
      </c>
      <c r="KN61" s="91" t="e">
        <f>KM61</f>
        <v>#N/A</v>
      </c>
      <c r="KO61" s="90" t="e">
        <f>KO57-KO60</f>
        <v>#N/A</v>
      </c>
      <c r="KP61" s="90" t="e">
        <f t="shared" ref="KP61:KZ61" si="1201">KP57-KP60</f>
        <v>#N/A</v>
      </c>
      <c r="KQ61" s="90" t="e">
        <f t="shared" si="1201"/>
        <v>#N/A</v>
      </c>
      <c r="KR61" s="90" t="e">
        <f t="shared" si="1201"/>
        <v>#N/A</v>
      </c>
      <c r="KS61" s="90" t="e">
        <f t="shared" si="1201"/>
        <v>#N/A</v>
      </c>
      <c r="KT61" s="90" t="e">
        <f t="shared" si="1201"/>
        <v>#N/A</v>
      </c>
      <c r="KU61" s="90" t="e">
        <f t="shared" si="1201"/>
        <v>#N/A</v>
      </c>
      <c r="KV61" s="90" t="e">
        <f t="shared" si="1201"/>
        <v>#N/A</v>
      </c>
      <c r="KW61" s="90" t="e">
        <f t="shared" si="1201"/>
        <v>#N/A</v>
      </c>
      <c r="KX61" s="90" t="e">
        <f t="shared" si="1201"/>
        <v>#N/A</v>
      </c>
      <c r="KY61" s="90" t="e">
        <f t="shared" si="1201"/>
        <v>#N/A</v>
      </c>
      <c r="KZ61" s="90" t="e">
        <f t="shared" si="1201"/>
        <v>#N/A</v>
      </c>
      <c r="LA61" s="91" t="e">
        <f>KZ61</f>
        <v>#N/A</v>
      </c>
      <c r="LB61" s="90" t="e">
        <f>LB57-LB60</f>
        <v>#N/A</v>
      </c>
      <c r="LC61" s="90" t="e">
        <f t="shared" ref="LC61:LM61" si="1202">LC57-LC60</f>
        <v>#N/A</v>
      </c>
      <c r="LD61" s="90" t="e">
        <f t="shared" si="1202"/>
        <v>#N/A</v>
      </c>
      <c r="LE61" s="90" t="e">
        <f t="shared" si="1202"/>
        <v>#N/A</v>
      </c>
      <c r="LF61" s="90" t="e">
        <f t="shared" si="1202"/>
        <v>#N/A</v>
      </c>
      <c r="LG61" s="90" t="e">
        <f t="shared" si="1202"/>
        <v>#N/A</v>
      </c>
      <c r="LH61" s="90" t="e">
        <f t="shared" si="1202"/>
        <v>#N/A</v>
      </c>
      <c r="LI61" s="90" t="e">
        <f t="shared" si="1202"/>
        <v>#N/A</v>
      </c>
      <c r="LJ61" s="90" t="e">
        <f t="shared" si="1202"/>
        <v>#N/A</v>
      </c>
      <c r="LK61" s="90" t="e">
        <f t="shared" si="1202"/>
        <v>#N/A</v>
      </c>
      <c r="LL61" s="90" t="e">
        <f t="shared" si="1202"/>
        <v>#N/A</v>
      </c>
      <c r="LM61" s="90" t="e">
        <f t="shared" si="1202"/>
        <v>#N/A</v>
      </c>
      <c r="LN61" s="91" t="e">
        <f>LM61</f>
        <v>#N/A</v>
      </c>
      <c r="LO61" s="90" t="e">
        <f>LO57-LO60</f>
        <v>#N/A</v>
      </c>
      <c r="LP61" s="90" t="e">
        <f t="shared" ref="LP61:LZ61" si="1203">LP57-LP60</f>
        <v>#N/A</v>
      </c>
      <c r="LQ61" s="90" t="e">
        <f t="shared" si="1203"/>
        <v>#N/A</v>
      </c>
      <c r="LR61" s="90" t="e">
        <f t="shared" si="1203"/>
        <v>#N/A</v>
      </c>
      <c r="LS61" s="90" t="e">
        <f t="shared" si="1203"/>
        <v>#N/A</v>
      </c>
      <c r="LT61" s="90" t="e">
        <f t="shared" si="1203"/>
        <v>#N/A</v>
      </c>
      <c r="LU61" s="90" t="e">
        <f t="shared" si="1203"/>
        <v>#N/A</v>
      </c>
      <c r="LV61" s="90" t="e">
        <f t="shared" si="1203"/>
        <v>#N/A</v>
      </c>
      <c r="LW61" s="90" t="e">
        <f t="shared" si="1203"/>
        <v>#N/A</v>
      </c>
      <c r="LX61" s="90" t="e">
        <f t="shared" si="1203"/>
        <v>#N/A</v>
      </c>
      <c r="LY61" s="90" t="e">
        <f t="shared" si="1203"/>
        <v>#N/A</v>
      </c>
      <c r="LZ61" s="90" t="e">
        <f t="shared" si="1203"/>
        <v>#N/A</v>
      </c>
      <c r="MA61" s="91" t="e">
        <f>LZ61</f>
        <v>#N/A</v>
      </c>
      <c r="MB61" s="90" t="e">
        <f>MB57-MB60</f>
        <v>#N/A</v>
      </c>
      <c r="MC61" s="90" t="e">
        <f t="shared" ref="MC61:MM61" si="1204">MC57-MC60</f>
        <v>#N/A</v>
      </c>
      <c r="MD61" s="90" t="e">
        <f t="shared" si="1204"/>
        <v>#N/A</v>
      </c>
      <c r="ME61" s="90" t="e">
        <f t="shared" si="1204"/>
        <v>#N/A</v>
      </c>
      <c r="MF61" s="90" t="e">
        <f t="shared" si="1204"/>
        <v>#N/A</v>
      </c>
      <c r="MG61" s="90" t="e">
        <f t="shared" si="1204"/>
        <v>#N/A</v>
      </c>
      <c r="MH61" s="90" t="e">
        <f t="shared" si="1204"/>
        <v>#N/A</v>
      </c>
      <c r="MI61" s="90" t="e">
        <f t="shared" si="1204"/>
        <v>#N/A</v>
      </c>
      <c r="MJ61" s="90" t="e">
        <f t="shared" si="1204"/>
        <v>#N/A</v>
      </c>
      <c r="MK61" s="90" t="e">
        <f t="shared" si="1204"/>
        <v>#N/A</v>
      </c>
      <c r="ML61" s="90" t="e">
        <f t="shared" si="1204"/>
        <v>#N/A</v>
      </c>
      <c r="MM61" s="90" t="e">
        <f t="shared" si="1204"/>
        <v>#N/A</v>
      </c>
      <c r="MN61" s="91" t="e">
        <f>MM61</f>
        <v>#N/A</v>
      </c>
      <c r="MO61" s="90" t="e">
        <f>MO57-MO60</f>
        <v>#N/A</v>
      </c>
      <c r="MP61" s="90" t="e">
        <f t="shared" ref="MP61:MZ61" si="1205">MP57-MP60</f>
        <v>#N/A</v>
      </c>
      <c r="MQ61" s="90" t="e">
        <f t="shared" si="1205"/>
        <v>#N/A</v>
      </c>
      <c r="MR61" s="90" t="e">
        <f t="shared" si="1205"/>
        <v>#N/A</v>
      </c>
      <c r="MS61" s="90" t="e">
        <f t="shared" si="1205"/>
        <v>#N/A</v>
      </c>
      <c r="MT61" s="90" t="e">
        <f t="shared" si="1205"/>
        <v>#N/A</v>
      </c>
      <c r="MU61" s="90" t="e">
        <f t="shared" si="1205"/>
        <v>#N/A</v>
      </c>
      <c r="MV61" s="90" t="e">
        <f t="shared" si="1205"/>
        <v>#N/A</v>
      </c>
      <c r="MW61" s="90" t="e">
        <f t="shared" si="1205"/>
        <v>#N/A</v>
      </c>
      <c r="MX61" s="90" t="e">
        <f t="shared" si="1205"/>
        <v>#N/A</v>
      </c>
      <c r="MY61" s="90" t="e">
        <f t="shared" si="1205"/>
        <v>#N/A</v>
      </c>
      <c r="MZ61" s="90" t="e">
        <f t="shared" si="1205"/>
        <v>#N/A</v>
      </c>
      <c r="NA61" s="91" t="e">
        <f>MZ61</f>
        <v>#N/A</v>
      </c>
      <c r="NB61" s="90" t="e">
        <f>NB57-NB60</f>
        <v>#N/A</v>
      </c>
      <c r="NC61" s="90" t="e">
        <f t="shared" ref="NC61:NM61" si="1206">NC57-NC60</f>
        <v>#N/A</v>
      </c>
      <c r="ND61" s="90" t="e">
        <f t="shared" si="1206"/>
        <v>#N/A</v>
      </c>
      <c r="NE61" s="90" t="e">
        <f t="shared" si="1206"/>
        <v>#N/A</v>
      </c>
      <c r="NF61" s="90" t="e">
        <f t="shared" si="1206"/>
        <v>#N/A</v>
      </c>
      <c r="NG61" s="90" t="e">
        <f t="shared" si="1206"/>
        <v>#N/A</v>
      </c>
      <c r="NH61" s="90" t="e">
        <f t="shared" si="1206"/>
        <v>#N/A</v>
      </c>
      <c r="NI61" s="90" t="e">
        <f t="shared" si="1206"/>
        <v>#N/A</v>
      </c>
      <c r="NJ61" s="90" t="e">
        <f t="shared" si="1206"/>
        <v>#N/A</v>
      </c>
      <c r="NK61" s="90" t="e">
        <f t="shared" si="1206"/>
        <v>#N/A</v>
      </c>
      <c r="NL61" s="90" t="e">
        <f t="shared" si="1206"/>
        <v>#N/A</v>
      </c>
      <c r="NM61" s="90" t="e">
        <f t="shared" si="1206"/>
        <v>#N/A</v>
      </c>
      <c r="NN61" s="91" t="e">
        <f>NM61</f>
        <v>#N/A</v>
      </c>
      <c r="NO61" s="90" t="e">
        <f>NO57-NO60</f>
        <v>#N/A</v>
      </c>
      <c r="NP61" s="90" t="e">
        <f t="shared" ref="NP61:NZ61" si="1207">NP57-NP60</f>
        <v>#N/A</v>
      </c>
      <c r="NQ61" s="90" t="e">
        <f t="shared" si="1207"/>
        <v>#N/A</v>
      </c>
      <c r="NR61" s="90" t="e">
        <f t="shared" si="1207"/>
        <v>#N/A</v>
      </c>
      <c r="NS61" s="90" t="e">
        <f t="shared" si="1207"/>
        <v>#N/A</v>
      </c>
      <c r="NT61" s="90" t="e">
        <f t="shared" si="1207"/>
        <v>#N/A</v>
      </c>
      <c r="NU61" s="90" t="e">
        <f t="shared" si="1207"/>
        <v>#N/A</v>
      </c>
      <c r="NV61" s="90" t="e">
        <f t="shared" si="1207"/>
        <v>#N/A</v>
      </c>
      <c r="NW61" s="90" t="e">
        <f t="shared" si="1207"/>
        <v>#N/A</v>
      </c>
      <c r="NX61" s="90" t="e">
        <f t="shared" si="1207"/>
        <v>#N/A</v>
      </c>
      <c r="NY61" s="90" t="e">
        <f t="shared" si="1207"/>
        <v>#N/A</v>
      </c>
      <c r="NZ61" s="90" t="e">
        <f t="shared" si="1207"/>
        <v>#N/A</v>
      </c>
      <c r="OA61" s="91" t="e">
        <f>NZ61</f>
        <v>#N/A</v>
      </c>
      <c r="OB61" s="90" t="e">
        <f>OB57-OB60</f>
        <v>#N/A</v>
      </c>
      <c r="OC61" s="90" t="e">
        <f t="shared" ref="OC61:OM61" si="1208">OC57-OC60</f>
        <v>#N/A</v>
      </c>
      <c r="OD61" s="90" t="e">
        <f t="shared" si="1208"/>
        <v>#N/A</v>
      </c>
      <c r="OE61" s="90" t="e">
        <f t="shared" si="1208"/>
        <v>#N/A</v>
      </c>
      <c r="OF61" s="90" t="e">
        <f t="shared" si="1208"/>
        <v>#N/A</v>
      </c>
      <c r="OG61" s="90" t="e">
        <f t="shared" si="1208"/>
        <v>#N/A</v>
      </c>
      <c r="OH61" s="90" t="e">
        <f t="shared" si="1208"/>
        <v>#N/A</v>
      </c>
      <c r="OI61" s="90" t="e">
        <f t="shared" si="1208"/>
        <v>#N/A</v>
      </c>
      <c r="OJ61" s="90" t="e">
        <f t="shared" si="1208"/>
        <v>#N/A</v>
      </c>
      <c r="OK61" s="90" t="e">
        <f t="shared" si="1208"/>
        <v>#N/A</v>
      </c>
      <c r="OL61" s="90" t="e">
        <f t="shared" si="1208"/>
        <v>#N/A</v>
      </c>
      <c r="OM61" s="90" t="e">
        <f t="shared" si="1208"/>
        <v>#N/A</v>
      </c>
      <c r="ON61" s="91" t="e">
        <f>OM61</f>
        <v>#N/A</v>
      </c>
      <c r="OO61" s="90" t="e">
        <f>OO57-OO60</f>
        <v>#N/A</v>
      </c>
      <c r="OP61" s="90" t="e">
        <f t="shared" ref="OP61:OZ61" si="1209">OP57-OP60</f>
        <v>#N/A</v>
      </c>
      <c r="OQ61" s="90" t="e">
        <f t="shared" si="1209"/>
        <v>#N/A</v>
      </c>
      <c r="OR61" s="90" t="e">
        <f t="shared" si="1209"/>
        <v>#N/A</v>
      </c>
      <c r="OS61" s="90" t="e">
        <f t="shared" si="1209"/>
        <v>#N/A</v>
      </c>
      <c r="OT61" s="90" t="e">
        <f t="shared" si="1209"/>
        <v>#N/A</v>
      </c>
      <c r="OU61" s="90" t="e">
        <f t="shared" si="1209"/>
        <v>#N/A</v>
      </c>
      <c r="OV61" s="90" t="e">
        <f t="shared" si="1209"/>
        <v>#N/A</v>
      </c>
      <c r="OW61" s="90" t="e">
        <f t="shared" si="1209"/>
        <v>#N/A</v>
      </c>
      <c r="OX61" s="90" t="e">
        <f t="shared" si="1209"/>
        <v>#N/A</v>
      </c>
      <c r="OY61" s="90" t="e">
        <f t="shared" si="1209"/>
        <v>#N/A</v>
      </c>
      <c r="OZ61" s="90" t="e">
        <f t="shared" si="1209"/>
        <v>#N/A</v>
      </c>
      <c r="PA61" s="91" t="e">
        <f>OZ61</f>
        <v>#N/A</v>
      </c>
      <c r="PB61" s="90" t="e">
        <f>PB57-PB60</f>
        <v>#N/A</v>
      </c>
      <c r="PC61" s="90" t="e">
        <f t="shared" ref="PC61:PM61" si="1210">PC57-PC60</f>
        <v>#N/A</v>
      </c>
      <c r="PD61" s="90" t="e">
        <f t="shared" si="1210"/>
        <v>#N/A</v>
      </c>
      <c r="PE61" s="90" t="e">
        <f t="shared" si="1210"/>
        <v>#N/A</v>
      </c>
      <c r="PF61" s="90" t="e">
        <f t="shared" si="1210"/>
        <v>#N/A</v>
      </c>
      <c r="PG61" s="90" t="e">
        <f t="shared" si="1210"/>
        <v>#N/A</v>
      </c>
      <c r="PH61" s="90" t="e">
        <f t="shared" si="1210"/>
        <v>#N/A</v>
      </c>
      <c r="PI61" s="90" t="e">
        <f t="shared" si="1210"/>
        <v>#N/A</v>
      </c>
      <c r="PJ61" s="90" t="e">
        <f t="shared" si="1210"/>
        <v>#N/A</v>
      </c>
      <c r="PK61" s="90" t="e">
        <f t="shared" si="1210"/>
        <v>#N/A</v>
      </c>
      <c r="PL61" s="90" t="e">
        <f t="shared" si="1210"/>
        <v>#N/A</v>
      </c>
      <c r="PM61" s="90" t="e">
        <f t="shared" si="1210"/>
        <v>#N/A</v>
      </c>
      <c r="PN61" s="91" t="e">
        <f>PM61</f>
        <v>#N/A</v>
      </c>
      <c r="PO61" s="90" t="e">
        <f>PO57-PO60</f>
        <v>#N/A</v>
      </c>
      <c r="PP61" s="90" t="e">
        <f t="shared" ref="PP61:PZ61" si="1211">PP57-PP60</f>
        <v>#N/A</v>
      </c>
      <c r="PQ61" s="90" t="e">
        <f t="shared" si="1211"/>
        <v>#N/A</v>
      </c>
      <c r="PR61" s="90" t="e">
        <f t="shared" si="1211"/>
        <v>#N/A</v>
      </c>
      <c r="PS61" s="90" t="e">
        <f t="shared" si="1211"/>
        <v>#N/A</v>
      </c>
      <c r="PT61" s="90" t="e">
        <f t="shared" si="1211"/>
        <v>#N/A</v>
      </c>
      <c r="PU61" s="90" t="e">
        <f t="shared" si="1211"/>
        <v>#N/A</v>
      </c>
      <c r="PV61" s="90" t="e">
        <f t="shared" si="1211"/>
        <v>#N/A</v>
      </c>
      <c r="PW61" s="90" t="e">
        <f t="shared" si="1211"/>
        <v>#N/A</v>
      </c>
      <c r="PX61" s="90" t="e">
        <f t="shared" si="1211"/>
        <v>#N/A</v>
      </c>
      <c r="PY61" s="90" t="e">
        <f t="shared" si="1211"/>
        <v>#N/A</v>
      </c>
      <c r="PZ61" s="90" t="e">
        <f t="shared" si="1211"/>
        <v>#N/A</v>
      </c>
      <c r="QA61" s="91" t="e">
        <f>PZ61</f>
        <v>#N/A</v>
      </c>
      <c r="QB61" s="90" t="e">
        <f>QB57-QB60</f>
        <v>#N/A</v>
      </c>
      <c r="QC61" s="90" t="e">
        <f t="shared" ref="QC61:QM61" si="1212">QC57-QC60</f>
        <v>#N/A</v>
      </c>
      <c r="QD61" s="90" t="e">
        <f t="shared" si="1212"/>
        <v>#N/A</v>
      </c>
      <c r="QE61" s="90" t="e">
        <f t="shared" si="1212"/>
        <v>#N/A</v>
      </c>
      <c r="QF61" s="90" t="e">
        <f t="shared" si="1212"/>
        <v>#N/A</v>
      </c>
      <c r="QG61" s="90" t="e">
        <f t="shared" si="1212"/>
        <v>#N/A</v>
      </c>
      <c r="QH61" s="90" t="e">
        <f t="shared" si="1212"/>
        <v>#N/A</v>
      </c>
      <c r="QI61" s="90" t="e">
        <f t="shared" si="1212"/>
        <v>#N/A</v>
      </c>
      <c r="QJ61" s="90" t="e">
        <f t="shared" si="1212"/>
        <v>#N/A</v>
      </c>
      <c r="QK61" s="90" t="e">
        <f t="shared" si="1212"/>
        <v>#N/A</v>
      </c>
      <c r="QL61" s="90" t="e">
        <f t="shared" si="1212"/>
        <v>#N/A</v>
      </c>
      <c r="QM61" s="90" t="e">
        <f t="shared" si="1212"/>
        <v>#N/A</v>
      </c>
      <c r="QN61" s="91" t="e">
        <f>QM61</f>
        <v>#N/A</v>
      </c>
      <c r="QO61" s="90" t="e">
        <f>QO57-QO60</f>
        <v>#N/A</v>
      </c>
      <c r="QP61" s="90" t="e">
        <f t="shared" ref="QP61:QZ61" si="1213">QP57-QP60</f>
        <v>#N/A</v>
      </c>
      <c r="QQ61" s="90" t="e">
        <f t="shared" si="1213"/>
        <v>#N/A</v>
      </c>
      <c r="QR61" s="90" t="e">
        <f t="shared" si="1213"/>
        <v>#N/A</v>
      </c>
      <c r="QS61" s="90" t="e">
        <f t="shared" si="1213"/>
        <v>#N/A</v>
      </c>
      <c r="QT61" s="90" t="e">
        <f t="shared" si="1213"/>
        <v>#N/A</v>
      </c>
      <c r="QU61" s="90" t="e">
        <f t="shared" si="1213"/>
        <v>#N/A</v>
      </c>
      <c r="QV61" s="90" t="e">
        <f t="shared" si="1213"/>
        <v>#N/A</v>
      </c>
      <c r="QW61" s="90" t="e">
        <f t="shared" si="1213"/>
        <v>#N/A</v>
      </c>
      <c r="QX61" s="90" t="e">
        <f t="shared" si="1213"/>
        <v>#N/A</v>
      </c>
      <c r="QY61" s="90" t="e">
        <f t="shared" si="1213"/>
        <v>#N/A</v>
      </c>
      <c r="QZ61" s="90" t="e">
        <f t="shared" si="1213"/>
        <v>#N/A</v>
      </c>
      <c r="RA61" s="91" t="e">
        <f>QZ61</f>
        <v>#N/A</v>
      </c>
      <c r="RB61" s="90" t="e">
        <f>RB57-RB60</f>
        <v>#N/A</v>
      </c>
      <c r="RC61" s="90" t="e">
        <f t="shared" ref="RC61:RM61" si="1214">RC57-RC60</f>
        <v>#N/A</v>
      </c>
      <c r="RD61" s="90" t="e">
        <f t="shared" si="1214"/>
        <v>#N/A</v>
      </c>
      <c r="RE61" s="90" t="e">
        <f t="shared" si="1214"/>
        <v>#N/A</v>
      </c>
      <c r="RF61" s="90" t="e">
        <f t="shared" si="1214"/>
        <v>#N/A</v>
      </c>
      <c r="RG61" s="90" t="e">
        <f t="shared" si="1214"/>
        <v>#N/A</v>
      </c>
      <c r="RH61" s="90" t="e">
        <f t="shared" si="1214"/>
        <v>#N/A</v>
      </c>
      <c r="RI61" s="90" t="e">
        <f t="shared" si="1214"/>
        <v>#N/A</v>
      </c>
      <c r="RJ61" s="90" t="e">
        <f t="shared" si="1214"/>
        <v>#N/A</v>
      </c>
      <c r="RK61" s="90" t="e">
        <f t="shared" si="1214"/>
        <v>#N/A</v>
      </c>
      <c r="RL61" s="90" t="e">
        <f t="shared" si="1214"/>
        <v>#N/A</v>
      </c>
      <c r="RM61" s="90" t="e">
        <f t="shared" si="1214"/>
        <v>#N/A</v>
      </c>
      <c r="RN61" s="91" t="e">
        <f>RM61</f>
        <v>#N/A</v>
      </c>
    </row>
    <row r="62" spans="1:482" s="77" customFormat="1" hidden="1" outlineLevel="1" x14ac:dyDescent="0.3">
      <c r="A62" s="74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1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1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1"/>
      <c r="AO62" s="90"/>
      <c r="AP62" s="90"/>
      <c r="AQ62" s="90"/>
      <c r="AR62" s="90"/>
      <c r="AS62" s="90"/>
      <c r="AT62" s="90"/>
      <c r="AU62" s="90"/>
      <c r="AV62" s="90"/>
      <c r="AW62" s="90"/>
      <c r="AX62" s="90"/>
      <c r="AY62" s="90"/>
      <c r="AZ62" s="90"/>
      <c r="BA62" s="91"/>
      <c r="BB62" s="90"/>
      <c r="BC62" s="90"/>
      <c r="BD62" s="90"/>
      <c r="BE62" s="90"/>
      <c r="BF62" s="90"/>
      <c r="BG62" s="90"/>
      <c r="BH62" s="90"/>
      <c r="BI62" s="90"/>
      <c r="BJ62" s="90"/>
      <c r="BK62" s="90"/>
      <c r="BL62" s="90"/>
      <c r="BM62" s="90"/>
      <c r="BN62" s="91"/>
      <c r="BO62" s="90"/>
      <c r="BP62" s="90"/>
      <c r="BQ62" s="90"/>
      <c r="BR62" s="90"/>
      <c r="BS62" s="90"/>
      <c r="BT62" s="90"/>
      <c r="BU62" s="90"/>
      <c r="BV62" s="90"/>
      <c r="BW62" s="90"/>
      <c r="BX62" s="90"/>
      <c r="BY62" s="90"/>
      <c r="BZ62" s="90"/>
      <c r="CA62" s="91"/>
      <c r="CB62" s="90"/>
      <c r="CC62" s="90"/>
      <c r="CD62" s="90"/>
      <c r="CE62" s="90"/>
      <c r="CF62" s="90"/>
      <c r="CG62" s="90"/>
      <c r="CH62" s="90"/>
      <c r="CI62" s="90"/>
      <c r="CJ62" s="90"/>
      <c r="CK62" s="90"/>
      <c r="CL62" s="90"/>
      <c r="CM62" s="90"/>
      <c r="CN62" s="91"/>
      <c r="CO62" s="90"/>
      <c r="CP62" s="90"/>
      <c r="CQ62" s="90"/>
      <c r="CR62" s="90"/>
      <c r="CS62" s="90"/>
      <c r="CT62" s="90"/>
      <c r="CU62" s="90"/>
      <c r="CV62" s="90"/>
      <c r="CW62" s="90"/>
      <c r="CX62" s="90"/>
      <c r="CY62" s="90"/>
      <c r="CZ62" s="90"/>
      <c r="DA62" s="91"/>
      <c r="DB62" s="90"/>
      <c r="DC62" s="90"/>
      <c r="DD62" s="90"/>
      <c r="DE62" s="90"/>
      <c r="DF62" s="90"/>
      <c r="DG62" s="90"/>
      <c r="DH62" s="90"/>
      <c r="DI62" s="90"/>
      <c r="DJ62" s="90"/>
      <c r="DK62" s="90"/>
      <c r="DL62" s="90"/>
      <c r="DM62" s="90"/>
      <c r="DN62" s="91"/>
      <c r="DO62" s="90"/>
      <c r="DP62" s="90"/>
      <c r="DQ62" s="90"/>
      <c r="DR62" s="90"/>
      <c r="DS62" s="90"/>
      <c r="DT62" s="90"/>
      <c r="DU62" s="90"/>
      <c r="DV62" s="90"/>
      <c r="DW62" s="90"/>
      <c r="DX62" s="90"/>
      <c r="DY62" s="90"/>
      <c r="DZ62" s="90"/>
      <c r="EA62" s="91"/>
      <c r="EB62" s="90"/>
      <c r="EC62" s="90"/>
      <c r="ED62" s="90"/>
      <c r="EE62" s="90"/>
      <c r="EF62" s="90"/>
      <c r="EG62" s="90"/>
      <c r="EH62" s="90"/>
      <c r="EI62" s="90"/>
      <c r="EJ62" s="90"/>
      <c r="EK62" s="90"/>
      <c r="EL62" s="90"/>
      <c r="EM62" s="90"/>
      <c r="EN62" s="91"/>
      <c r="EO62" s="90"/>
      <c r="EP62" s="90"/>
      <c r="EQ62" s="90"/>
      <c r="ER62" s="90"/>
      <c r="ES62" s="90"/>
      <c r="ET62" s="90"/>
      <c r="EU62" s="90"/>
      <c r="EV62" s="90"/>
      <c r="EW62" s="90"/>
      <c r="EX62" s="90"/>
      <c r="EY62" s="90"/>
      <c r="EZ62" s="90"/>
      <c r="FA62" s="91"/>
      <c r="FB62" s="90"/>
      <c r="FC62" s="90"/>
      <c r="FD62" s="90"/>
      <c r="FE62" s="90"/>
      <c r="FF62" s="90"/>
      <c r="FG62" s="90"/>
      <c r="FH62" s="90"/>
      <c r="FI62" s="90"/>
      <c r="FJ62" s="90"/>
      <c r="FK62" s="90"/>
      <c r="FL62" s="90"/>
      <c r="FM62" s="90"/>
      <c r="FN62" s="91"/>
      <c r="FO62" s="90"/>
      <c r="FP62" s="90"/>
      <c r="FQ62" s="90"/>
      <c r="FR62" s="90"/>
      <c r="FS62" s="90"/>
      <c r="FT62" s="90"/>
      <c r="FU62" s="90"/>
      <c r="FV62" s="90"/>
      <c r="FW62" s="90"/>
      <c r="FX62" s="90"/>
      <c r="FY62" s="90"/>
      <c r="FZ62" s="90"/>
      <c r="GA62" s="91"/>
      <c r="GB62" s="90"/>
      <c r="GC62" s="90"/>
      <c r="GD62" s="90"/>
      <c r="GE62" s="90"/>
      <c r="GF62" s="90"/>
      <c r="GG62" s="90"/>
      <c r="GH62" s="90"/>
      <c r="GI62" s="90"/>
      <c r="GJ62" s="90"/>
      <c r="GK62" s="90"/>
      <c r="GL62" s="90"/>
      <c r="GM62" s="90"/>
      <c r="GN62" s="91"/>
      <c r="GO62" s="90"/>
      <c r="GP62" s="90"/>
      <c r="GQ62" s="90"/>
      <c r="GR62" s="90"/>
      <c r="GS62" s="90"/>
      <c r="GT62" s="90"/>
      <c r="GU62" s="90"/>
      <c r="GV62" s="90"/>
      <c r="GW62" s="90"/>
      <c r="GX62" s="90"/>
      <c r="GY62" s="90"/>
      <c r="GZ62" s="90"/>
      <c r="HA62" s="91"/>
      <c r="HB62" s="90"/>
      <c r="HC62" s="90"/>
      <c r="HD62" s="90"/>
      <c r="HE62" s="90"/>
      <c r="HF62" s="90"/>
      <c r="HG62" s="90"/>
      <c r="HH62" s="90"/>
      <c r="HI62" s="90"/>
      <c r="HJ62" s="90"/>
      <c r="HK62" s="90"/>
      <c r="HL62" s="90"/>
      <c r="HM62" s="90"/>
      <c r="HN62" s="91"/>
      <c r="HO62" s="90"/>
      <c r="HP62" s="90"/>
      <c r="HQ62" s="90"/>
      <c r="HR62" s="90"/>
      <c r="HS62" s="90"/>
      <c r="HT62" s="90"/>
      <c r="HU62" s="90"/>
      <c r="HV62" s="90"/>
      <c r="HW62" s="90"/>
      <c r="HX62" s="90"/>
      <c r="HY62" s="90"/>
      <c r="HZ62" s="90"/>
      <c r="IA62" s="91"/>
      <c r="IB62" s="90"/>
      <c r="IC62" s="90"/>
      <c r="ID62" s="90"/>
      <c r="IE62" s="90"/>
      <c r="IF62" s="90"/>
      <c r="IG62" s="90"/>
      <c r="IH62" s="90"/>
      <c r="II62" s="90"/>
      <c r="IJ62" s="90"/>
      <c r="IK62" s="90"/>
      <c r="IL62" s="90"/>
      <c r="IM62" s="90"/>
      <c r="IN62" s="91"/>
      <c r="IO62" s="90"/>
      <c r="IP62" s="90"/>
      <c r="IQ62" s="90"/>
      <c r="IR62" s="90"/>
      <c r="IS62" s="90"/>
      <c r="IT62" s="90"/>
      <c r="IU62" s="90"/>
      <c r="IV62" s="90"/>
      <c r="IW62" s="90"/>
      <c r="IX62" s="90"/>
      <c r="IY62" s="90"/>
      <c r="IZ62" s="90"/>
      <c r="JA62" s="91"/>
      <c r="JB62" s="90"/>
      <c r="JC62" s="90"/>
      <c r="JD62" s="90"/>
      <c r="JE62" s="90"/>
      <c r="JF62" s="90"/>
      <c r="JG62" s="90"/>
      <c r="JH62" s="90"/>
      <c r="JI62" s="90"/>
      <c r="JJ62" s="90"/>
      <c r="JK62" s="90"/>
      <c r="JL62" s="90"/>
      <c r="JM62" s="90"/>
      <c r="JN62" s="91"/>
      <c r="JO62" s="90"/>
      <c r="JP62" s="90"/>
      <c r="JQ62" s="90"/>
      <c r="JR62" s="90"/>
      <c r="JS62" s="90"/>
      <c r="JT62" s="90"/>
      <c r="JU62" s="90"/>
      <c r="JV62" s="90"/>
      <c r="JW62" s="90"/>
      <c r="JX62" s="90"/>
      <c r="JY62" s="90"/>
      <c r="JZ62" s="90"/>
      <c r="KA62" s="91"/>
      <c r="KB62" s="90"/>
      <c r="KC62" s="90"/>
      <c r="KD62" s="90"/>
      <c r="KE62" s="90"/>
      <c r="KF62" s="90"/>
      <c r="KG62" s="90"/>
      <c r="KH62" s="90"/>
      <c r="KI62" s="90"/>
      <c r="KJ62" s="90"/>
      <c r="KK62" s="90"/>
      <c r="KL62" s="90"/>
      <c r="KM62" s="90"/>
      <c r="KN62" s="91"/>
      <c r="KO62" s="90"/>
      <c r="KP62" s="90"/>
      <c r="KQ62" s="90"/>
      <c r="KR62" s="90"/>
      <c r="KS62" s="90"/>
      <c r="KT62" s="90"/>
      <c r="KU62" s="90"/>
      <c r="KV62" s="90"/>
      <c r="KW62" s="90"/>
      <c r="KX62" s="90"/>
      <c r="KY62" s="90"/>
      <c r="KZ62" s="90"/>
      <c r="LA62" s="91"/>
      <c r="LB62" s="90"/>
      <c r="LC62" s="90"/>
      <c r="LD62" s="90"/>
      <c r="LE62" s="90"/>
      <c r="LF62" s="90"/>
      <c r="LG62" s="90"/>
      <c r="LH62" s="90"/>
      <c r="LI62" s="90"/>
      <c r="LJ62" s="90"/>
      <c r="LK62" s="90"/>
      <c r="LL62" s="90"/>
      <c r="LM62" s="90"/>
      <c r="LN62" s="91"/>
      <c r="LO62" s="90"/>
      <c r="LP62" s="90"/>
      <c r="LQ62" s="90"/>
      <c r="LR62" s="90"/>
      <c r="LS62" s="90"/>
      <c r="LT62" s="90"/>
      <c r="LU62" s="90"/>
      <c r="LV62" s="90"/>
      <c r="LW62" s="90"/>
      <c r="LX62" s="90"/>
      <c r="LY62" s="90"/>
      <c r="LZ62" s="90"/>
      <c r="MA62" s="91"/>
      <c r="MB62" s="90"/>
      <c r="MC62" s="90"/>
      <c r="MD62" s="90"/>
      <c r="ME62" s="90"/>
      <c r="MF62" s="90"/>
      <c r="MG62" s="90"/>
      <c r="MH62" s="90"/>
      <c r="MI62" s="90"/>
      <c r="MJ62" s="90"/>
      <c r="MK62" s="90"/>
      <c r="ML62" s="90"/>
      <c r="MM62" s="90"/>
      <c r="MN62" s="91"/>
      <c r="MO62" s="90"/>
      <c r="MP62" s="90"/>
      <c r="MQ62" s="90"/>
      <c r="MR62" s="90"/>
      <c r="MS62" s="90"/>
      <c r="MT62" s="90"/>
      <c r="MU62" s="90"/>
      <c r="MV62" s="90"/>
      <c r="MW62" s="90"/>
      <c r="MX62" s="90"/>
      <c r="MY62" s="90"/>
      <c r="MZ62" s="90"/>
      <c r="NA62" s="91"/>
      <c r="NB62" s="90"/>
      <c r="NC62" s="90"/>
      <c r="ND62" s="90"/>
      <c r="NE62" s="90"/>
      <c r="NF62" s="90"/>
      <c r="NG62" s="90"/>
      <c r="NH62" s="90"/>
      <c r="NI62" s="90"/>
      <c r="NJ62" s="90"/>
      <c r="NK62" s="90"/>
      <c r="NL62" s="90"/>
      <c r="NM62" s="90"/>
      <c r="NN62" s="91"/>
      <c r="NO62" s="90"/>
      <c r="NP62" s="90"/>
      <c r="NQ62" s="90"/>
      <c r="NR62" s="90"/>
      <c r="NS62" s="90"/>
      <c r="NT62" s="90"/>
      <c r="NU62" s="90"/>
      <c r="NV62" s="90"/>
      <c r="NW62" s="90"/>
      <c r="NX62" s="90"/>
      <c r="NY62" s="90"/>
      <c r="NZ62" s="90"/>
      <c r="OA62" s="91"/>
      <c r="OB62" s="90"/>
      <c r="OC62" s="90"/>
      <c r="OD62" s="90"/>
      <c r="OE62" s="90"/>
      <c r="OF62" s="90"/>
      <c r="OG62" s="90"/>
      <c r="OH62" s="90"/>
      <c r="OI62" s="90"/>
      <c r="OJ62" s="90"/>
      <c r="OK62" s="90"/>
      <c r="OL62" s="90"/>
      <c r="OM62" s="90"/>
      <c r="ON62" s="91"/>
      <c r="OO62" s="90"/>
      <c r="OP62" s="90"/>
      <c r="OQ62" s="90"/>
      <c r="OR62" s="90"/>
      <c r="OS62" s="90"/>
      <c r="OT62" s="90"/>
      <c r="OU62" s="90"/>
      <c r="OV62" s="90"/>
      <c r="OW62" s="90"/>
      <c r="OX62" s="90"/>
      <c r="OY62" s="90"/>
      <c r="OZ62" s="90"/>
      <c r="PA62" s="91"/>
      <c r="PB62" s="90"/>
      <c r="PC62" s="90"/>
      <c r="PD62" s="90"/>
      <c r="PE62" s="90"/>
      <c r="PF62" s="90"/>
      <c r="PG62" s="90"/>
      <c r="PH62" s="90"/>
      <c r="PI62" s="90"/>
      <c r="PJ62" s="90"/>
      <c r="PK62" s="90"/>
      <c r="PL62" s="90"/>
      <c r="PM62" s="90"/>
      <c r="PN62" s="91"/>
      <c r="PO62" s="90"/>
      <c r="PP62" s="90"/>
      <c r="PQ62" s="90"/>
      <c r="PR62" s="90"/>
      <c r="PS62" s="90"/>
      <c r="PT62" s="90"/>
      <c r="PU62" s="90"/>
      <c r="PV62" s="90"/>
      <c r="PW62" s="90"/>
      <c r="PX62" s="90"/>
      <c r="PY62" s="90"/>
      <c r="PZ62" s="90"/>
      <c r="QA62" s="91"/>
      <c r="QB62" s="90"/>
      <c r="QC62" s="90"/>
      <c r="QD62" s="90"/>
      <c r="QE62" s="90"/>
      <c r="QF62" s="90"/>
      <c r="QG62" s="90"/>
      <c r="QH62" s="90"/>
      <c r="QI62" s="90"/>
      <c r="QJ62" s="90"/>
      <c r="QK62" s="90"/>
      <c r="QL62" s="90"/>
      <c r="QM62" s="90"/>
      <c r="QN62" s="91"/>
      <c r="QO62" s="90"/>
      <c r="QP62" s="90"/>
      <c r="QQ62" s="90"/>
      <c r="QR62" s="90"/>
      <c r="QS62" s="90"/>
      <c r="QT62" s="90"/>
      <c r="QU62" s="90"/>
      <c r="QV62" s="90"/>
      <c r="QW62" s="90"/>
      <c r="QX62" s="90"/>
      <c r="QY62" s="90"/>
      <c r="QZ62" s="90"/>
      <c r="RA62" s="91"/>
      <c r="RB62" s="90"/>
      <c r="RC62" s="90"/>
      <c r="RD62" s="90"/>
      <c r="RE62" s="90"/>
      <c r="RF62" s="90"/>
      <c r="RG62" s="90"/>
      <c r="RH62" s="90"/>
      <c r="RI62" s="90"/>
      <c r="RJ62" s="90"/>
      <c r="RK62" s="90"/>
      <c r="RL62" s="90"/>
      <c r="RM62" s="90"/>
      <c r="RN62" s="91"/>
    </row>
    <row r="63" spans="1:482" s="85" customFormat="1" collapsed="1" x14ac:dyDescent="0.3">
      <c r="A63" s="82" t="s">
        <v>273</v>
      </c>
      <c r="N63" s="94"/>
      <c r="AA63" s="94"/>
      <c r="AN63" s="94"/>
      <c r="BA63" s="94"/>
      <c r="BN63" s="94"/>
      <c r="CA63" s="94"/>
      <c r="CN63" s="94"/>
      <c r="DA63" s="94"/>
      <c r="DN63" s="94"/>
      <c r="EA63" s="94"/>
      <c r="EN63" s="94"/>
      <c r="FA63" s="94"/>
      <c r="FN63" s="94"/>
      <c r="GA63" s="94"/>
      <c r="GN63" s="94"/>
      <c r="HA63" s="94"/>
      <c r="HN63" s="94"/>
      <c r="IA63" s="94"/>
      <c r="IN63" s="94"/>
      <c r="JA63" s="94"/>
      <c r="JN63" s="94"/>
      <c r="KA63" s="94"/>
      <c r="KN63" s="94"/>
      <c r="LA63" s="94"/>
      <c r="LN63" s="94"/>
      <c r="MA63" s="94"/>
      <c r="MN63" s="94"/>
      <c r="NA63" s="94"/>
      <c r="NN63" s="94"/>
      <c r="OA63" s="94"/>
      <c r="ON63" s="94"/>
      <c r="PA63" s="94"/>
      <c r="PN63" s="94"/>
      <c r="QA63" s="94"/>
      <c r="QN63" s="94"/>
      <c r="RA63" s="94"/>
      <c r="RN63" s="94"/>
    </row>
    <row r="64" spans="1:482" hidden="1" outlineLevel="1" x14ac:dyDescent="0.3">
      <c r="A64" s="78" t="s">
        <v>274</v>
      </c>
      <c r="B64" s="86" t="e">
        <f>Inputs!$B$11</f>
        <v>#N/A</v>
      </c>
      <c r="C64" s="86" t="e">
        <f>B64-B65</f>
        <v>#N/A</v>
      </c>
      <c r="D64" s="86" t="e">
        <f t="shared" ref="D64:M64" si="1215">C64-C65</f>
        <v>#N/A</v>
      </c>
      <c r="E64" s="86" t="e">
        <f t="shared" si="1215"/>
        <v>#N/A</v>
      </c>
      <c r="F64" s="86" t="e">
        <f t="shared" si="1215"/>
        <v>#N/A</v>
      </c>
      <c r="G64" s="86" t="e">
        <f t="shared" si="1215"/>
        <v>#N/A</v>
      </c>
      <c r="H64" s="86" t="e">
        <f t="shared" si="1215"/>
        <v>#N/A</v>
      </c>
      <c r="I64" s="86" t="e">
        <f t="shared" si="1215"/>
        <v>#N/A</v>
      </c>
      <c r="J64" s="86" t="e">
        <f t="shared" si="1215"/>
        <v>#N/A</v>
      </c>
      <c r="K64" s="86" t="e">
        <f t="shared" si="1215"/>
        <v>#N/A</v>
      </c>
      <c r="L64" s="86" t="e">
        <f t="shared" si="1215"/>
        <v>#N/A</v>
      </c>
      <c r="M64" s="86" t="e">
        <f t="shared" si="1215"/>
        <v>#N/A</v>
      </c>
      <c r="N64" s="87" t="e">
        <f>M64</f>
        <v>#N/A</v>
      </c>
      <c r="O64" s="86" t="e">
        <f>M64-M65</f>
        <v>#N/A</v>
      </c>
      <c r="P64" s="86" t="e">
        <f t="shared" ref="P64:Z64" si="1216">O64-O65</f>
        <v>#N/A</v>
      </c>
      <c r="Q64" s="86" t="e">
        <f t="shared" si="1216"/>
        <v>#N/A</v>
      </c>
      <c r="R64" s="86" t="e">
        <f t="shared" si="1216"/>
        <v>#N/A</v>
      </c>
      <c r="S64" s="86" t="e">
        <f t="shared" si="1216"/>
        <v>#N/A</v>
      </c>
      <c r="T64" s="86" t="e">
        <f t="shared" si="1216"/>
        <v>#N/A</v>
      </c>
      <c r="U64" s="86" t="e">
        <f t="shared" si="1216"/>
        <v>#N/A</v>
      </c>
      <c r="V64" s="86" t="e">
        <f t="shared" si="1216"/>
        <v>#N/A</v>
      </c>
      <c r="W64" s="86" t="e">
        <f t="shared" si="1216"/>
        <v>#N/A</v>
      </c>
      <c r="X64" s="86" t="e">
        <f t="shared" si="1216"/>
        <v>#N/A</v>
      </c>
      <c r="Y64" s="86" t="e">
        <f t="shared" si="1216"/>
        <v>#N/A</v>
      </c>
      <c r="Z64" s="86" t="e">
        <f t="shared" si="1216"/>
        <v>#N/A</v>
      </c>
      <c r="AA64" s="87" t="e">
        <f>Z64</f>
        <v>#N/A</v>
      </c>
      <c r="AB64" s="86" t="e">
        <f>Z64-Z65</f>
        <v>#N/A</v>
      </c>
      <c r="AC64" s="86" t="e">
        <f t="shared" ref="AC64:AM64" si="1217">AB64-AB65</f>
        <v>#N/A</v>
      </c>
      <c r="AD64" s="86" t="e">
        <f t="shared" si="1217"/>
        <v>#N/A</v>
      </c>
      <c r="AE64" s="86" t="e">
        <f t="shared" si="1217"/>
        <v>#N/A</v>
      </c>
      <c r="AF64" s="86" t="e">
        <f t="shared" si="1217"/>
        <v>#N/A</v>
      </c>
      <c r="AG64" s="86" t="e">
        <f t="shared" si="1217"/>
        <v>#N/A</v>
      </c>
      <c r="AH64" s="86" t="e">
        <f t="shared" si="1217"/>
        <v>#N/A</v>
      </c>
      <c r="AI64" s="86" t="e">
        <f t="shared" si="1217"/>
        <v>#N/A</v>
      </c>
      <c r="AJ64" s="86" t="e">
        <f t="shared" si="1217"/>
        <v>#N/A</v>
      </c>
      <c r="AK64" s="86" t="e">
        <f t="shared" si="1217"/>
        <v>#N/A</v>
      </c>
      <c r="AL64" s="86" t="e">
        <f t="shared" si="1217"/>
        <v>#N/A</v>
      </c>
      <c r="AM64" s="86" t="e">
        <f t="shared" si="1217"/>
        <v>#N/A</v>
      </c>
      <c r="AN64" s="87" t="e">
        <f>AM64</f>
        <v>#N/A</v>
      </c>
      <c r="AO64" s="86" t="e">
        <f>AM64-AM65</f>
        <v>#N/A</v>
      </c>
      <c r="AP64" s="86" t="e">
        <f t="shared" ref="AP64:AZ64" si="1218">AO64-AO65</f>
        <v>#N/A</v>
      </c>
      <c r="AQ64" s="86" t="e">
        <f t="shared" si="1218"/>
        <v>#N/A</v>
      </c>
      <c r="AR64" s="86" t="e">
        <f t="shared" si="1218"/>
        <v>#N/A</v>
      </c>
      <c r="AS64" s="86" t="e">
        <f t="shared" si="1218"/>
        <v>#N/A</v>
      </c>
      <c r="AT64" s="86" t="e">
        <f t="shared" si="1218"/>
        <v>#N/A</v>
      </c>
      <c r="AU64" s="86" t="e">
        <f t="shared" si="1218"/>
        <v>#N/A</v>
      </c>
      <c r="AV64" s="86" t="e">
        <f t="shared" si="1218"/>
        <v>#N/A</v>
      </c>
      <c r="AW64" s="86" t="e">
        <f t="shared" si="1218"/>
        <v>#N/A</v>
      </c>
      <c r="AX64" s="86" t="e">
        <f t="shared" si="1218"/>
        <v>#N/A</v>
      </c>
      <c r="AY64" s="86" t="e">
        <f t="shared" si="1218"/>
        <v>#N/A</v>
      </c>
      <c r="AZ64" s="86" t="e">
        <f t="shared" si="1218"/>
        <v>#N/A</v>
      </c>
      <c r="BA64" s="87" t="e">
        <f>AZ64</f>
        <v>#N/A</v>
      </c>
      <c r="BB64" s="86" t="e">
        <f>AZ64-AZ65</f>
        <v>#N/A</v>
      </c>
      <c r="BC64" s="86" t="e">
        <f t="shared" ref="BC64:BM64" si="1219">BB64-BB65</f>
        <v>#N/A</v>
      </c>
      <c r="BD64" s="86" t="e">
        <f t="shared" si="1219"/>
        <v>#N/A</v>
      </c>
      <c r="BE64" s="86" t="e">
        <f t="shared" si="1219"/>
        <v>#N/A</v>
      </c>
      <c r="BF64" s="86" t="e">
        <f t="shared" si="1219"/>
        <v>#N/A</v>
      </c>
      <c r="BG64" s="86" t="e">
        <f t="shared" si="1219"/>
        <v>#N/A</v>
      </c>
      <c r="BH64" s="86" t="e">
        <f t="shared" si="1219"/>
        <v>#N/A</v>
      </c>
      <c r="BI64" s="86" t="e">
        <f t="shared" si="1219"/>
        <v>#N/A</v>
      </c>
      <c r="BJ64" s="86" t="e">
        <f t="shared" si="1219"/>
        <v>#N/A</v>
      </c>
      <c r="BK64" s="86" t="e">
        <f t="shared" si="1219"/>
        <v>#N/A</v>
      </c>
      <c r="BL64" s="86" t="e">
        <f t="shared" si="1219"/>
        <v>#N/A</v>
      </c>
      <c r="BM64" s="86" t="e">
        <f t="shared" si="1219"/>
        <v>#N/A</v>
      </c>
      <c r="BN64" s="87" t="e">
        <f>BM64</f>
        <v>#N/A</v>
      </c>
      <c r="BO64" s="86" t="e">
        <f>BM64-BM65</f>
        <v>#N/A</v>
      </c>
      <c r="BP64" s="86" t="e">
        <f t="shared" ref="BP64:BZ64" si="1220">BO64-BO65</f>
        <v>#N/A</v>
      </c>
      <c r="BQ64" s="86" t="e">
        <f t="shared" si="1220"/>
        <v>#N/A</v>
      </c>
      <c r="BR64" s="86" t="e">
        <f t="shared" si="1220"/>
        <v>#N/A</v>
      </c>
      <c r="BS64" s="86" t="e">
        <f t="shared" si="1220"/>
        <v>#N/A</v>
      </c>
      <c r="BT64" s="86" t="e">
        <f t="shared" si="1220"/>
        <v>#N/A</v>
      </c>
      <c r="BU64" s="86" t="e">
        <f t="shared" si="1220"/>
        <v>#N/A</v>
      </c>
      <c r="BV64" s="86" t="e">
        <f t="shared" si="1220"/>
        <v>#N/A</v>
      </c>
      <c r="BW64" s="86" t="e">
        <f t="shared" si="1220"/>
        <v>#N/A</v>
      </c>
      <c r="BX64" s="86" t="e">
        <f t="shared" si="1220"/>
        <v>#N/A</v>
      </c>
      <c r="BY64" s="86" t="e">
        <f t="shared" si="1220"/>
        <v>#N/A</v>
      </c>
      <c r="BZ64" s="86" t="e">
        <f t="shared" si="1220"/>
        <v>#N/A</v>
      </c>
      <c r="CA64" s="87" t="e">
        <f>BZ64</f>
        <v>#N/A</v>
      </c>
      <c r="CB64" s="86" t="e">
        <f>BZ64-BZ65</f>
        <v>#N/A</v>
      </c>
      <c r="CC64" s="86" t="e">
        <f t="shared" ref="CC64:CM64" si="1221">CB64-CB65</f>
        <v>#N/A</v>
      </c>
      <c r="CD64" s="86" t="e">
        <f t="shared" si="1221"/>
        <v>#N/A</v>
      </c>
      <c r="CE64" s="86" t="e">
        <f t="shared" si="1221"/>
        <v>#N/A</v>
      </c>
      <c r="CF64" s="86" t="e">
        <f t="shared" si="1221"/>
        <v>#N/A</v>
      </c>
      <c r="CG64" s="86" t="e">
        <f t="shared" si="1221"/>
        <v>#N/A</v>
      </c>
      <c r="CH64" s="86" t="e">
        <f t="shared" si="1221"/>
        <v>#N/A</v>
      </c>
      <c r="CI64" s="86" t="e">
        <f t="shared" si="1221"/>
        <v>#N/A</v>
      </c>
      <c r="CJ64" s="86" t="e">
        <f t="shared" si="1221"/>
        <v>#N/A</v>
      </c>
      <c r="CK64" s="86" t="e">
        <f t="shared" si="1221"/>
        <v>#N/A</v>
      </c>
      <c r="CL64" s="86" t="e">
        <f t="shared" si="1221"/>
        <v>#N/A</v>
      </c>
      <c r="CM64" s="86" t="e">
        <f t="shared" si="1221"/>
        <v>#N/A</v>
      </c>
      <c r="CN64" s="87" t="e">
        <f>CM64</f>
        <v>#N/A</v>
      </c>
      <c r="CO64" s="86" t="e">
        <f>CM64-CM65</f>
        <v>#N/A</v>
      </c>
      <c r="CP64" s="86" t="e">
        <f t="shared" ref="CP64:CZ64" si="1222">CO64-CO65</f>
        <v>#N/A</v>
      </c>
      <c r="CQ64" s="86" t="e">
        <f t="shared" si="1222"/>
        <v>#N/A</v>
      </c>
      <c r="CR64" s="86" t="e">
        <f t="shared" si="1222"/>
        <v>#N/A</v>
      </c>
      <c r="CS64" s="86" t="e">
        <f t="shared" si="1222"/>
        <v>#N/A</v>
      </c>
      <c r="CT64" s="86" t="e">
        <f t="shared" si="1222"/>
        <v>#N/A</v>
      </c>
      <c r="CU64" s="86" t="e">
        <f t="shared" si="1222"/>
        <v>#N/A</v>
      </c>
      <c r="CV64" s="86" t="e">
        <f t="shared" si="1222"/>
        <v>#N/A</v>
      </c>
      <c r="CW64" s="86" t="e">
        <f t="shared" si="1222"/>
        <v>#N/A</v>
      </c>
      <c r="CX64" s="86" t="e">
        <f t="shared" si="1222"/>
        <v>#N/A</v>
      </c>
      <c r="CY64" s="86" t="e">
        <f t="shared" si="1222"/>
        <v>#N/A</v>
      </c>
      <c r="CZ64" s="86" t="e">
        <f t="shared" si="1222"/>
        <v>#N/A</v>
      </c>
      <c r="DA64" s="87" t="e">
        <f>CZ64</f>
        <v>#N/A</v>
      </c>
      <c r="DB64" s="86" t="e">
        <f>CZ64-CZ65</f>
        <v>#N/A</v>
      </c>
      <c r="DC64" s="86" t="e">
        <f t="shared" ref="DC64:DM64" si="1223">DB64-DB65</f>
        <v>#N/A</v>
      </c>
      <c r="DD64" s="86" t="e">
        <f t="shared" si="1223"/>
        <v>#N/A</v>
      </c>
      <c r="DE64" s="86" t="e">
        <f t="shared" si="1223"/>
        <v>#N/A</v>
      </c>
      <c r="DF64" s="86" t="e">
        <f t="shared" si="1223"/>
        <v>#N/A</v>
      </c>
      <c r="DG64" s="86" t="e">
        <f t="shared" si="1223"/>
        <v>#N/A</v>
      </c>
      <c r="DH64" s="86" t="e">
        <f t="shared" si="1223"/>
        <v>#N/A</v>
      </c>
      <c r="DI64" s="86" t="e">
        <f t="shared" si="1223"/>
        <v>#N/A</v>
      </c>
      <c r="DJ64" s="86" t="e">
        <f t="shared" si="1223"/>
        <v>#N/A</v>
      </c>
      <c r="DK64" s="86" t="e">
        <f t="shared" si="1223"/>
        <v>#N/A</v>
      </c>
      <c r="DL64" s="86" t="e">
        <f t="shared" si="1223"/>
        <v>#N/A</v>
      </c>
      <c r="DM64" s="86" t="e">
        <f t="shared" si="1223"/>
        <v>#N/A</v>
      </c>
      <c r="DN64" s="87" t="e">
        <f>DM64</f>
        <v>#N/A</v>
      </c>
      <c r="DO64" s="86" t="e">
        <f>DM64-DM65</f>
        <v>#N/A</v>
      </c>
      <c r="DP64" s="86" t="e">
        <f t="shared" ref="DP64:DZ64" si="1224">DO64-DO65</f>
        <v>#N/A</v>
      </c>
      <c r="DQ64" s="86" t="e">
        <f t="shared" si="1224"/>
        <v>#N/A</v>
      </c>
      <c r="DR64" s="86" t="e">
        <f t="shared" si="1224"/>
        <v>#N/A</v>
      </c>
      <c r="DS64" s="86" t="e">
        <f t="shared" si="1224"/>
        <v>#N/A</v>
      </c>
      <c r="DT64" s="86" t="e">
        <f t="shared" si="1224"/>
        <v>#N/A</v>
      </c>
      <c r="DU64" s="86" t="e">
        <f t="shared" si="1224"/>
        <v>#N/A</v>
      </c>
      <c r="DV64" s="86" t="e">
        <f t="shared" si="1224"/>
        <v>#N/A</v>
      </c>
      <c r="DW64" s="86" t="e">
        <f t="shared" si="1224"/>
        <v>#N/A</v>
      </c>
      <c r="DX64" s="86" t="e">
        <f t="shared" si="1224"/>
        <v>#N/A</v>
      </c>
      <c r="DY64" s="86" t="e">
        <f t="shared" si="1224"/>
        <v>#N/A</v>
      </c>
      <c r="DZ64" s="86" t="e">
        <f t="shared" si="1224"/>
        <v>#N/A</v>
      </c>
      <c r="EA64" s="87" t="e">
        <f>DZ64</f>
        <v>#N/A</v>
      </c>
      <c r="EB64" s="86" t="e">
        <f>DZ64-DZ65</f>
        <v>#N/A</v>
      </c>
      <c r="EC64" s="86" t="e">
        <f t="shared" ref="EC64:EM64" si="1225">EB64-EB65</f>
        <v>#N/A</v>
      </c>
      <c r="ED64" s="86" t="e">
        <f t="shared" si="1225"/>
        <v>#N/A</v>
      </c>
      <c r="EE64" s="86" t="e">
        <f t="shared" si="1225"/>
        <v>#N/A</v>
      </c>
      <c r="EF64" s="86" t="e">
        <f t="shared" si="1225"/>
        <v>#N/A</v>
      </c>
      <c r="EG64" s="86" t="e">
        <f t="shared" si="1225"/>
        <v>#N/A</v>
      </c>
      <c r="EH64" s="86" t="e">
        <f t="shared" si="1225"/>
        <v>#N/A</v>
      </c>
      <c r="EI64" s="86" t="e">
        <f t="shared" si="1225"/>
        <v>#N/A</v>
      </c>
      <c r="EJ64" s="86" t="e">
        <f t="shared" si="1225"/>
        <v>#N/A</v>
      </c>
      <c r="EK64" s="86" t="e">
        <f t="shared" si="1225"/>
        <v>#N/A</v>
      </c>
      <c r="EL64" s="86" t="e">
        <f t="shared" si="1225"/>
        <v>#N/A</v>
      </c>
      <c r="EM64" s="86" t="e">
        <f t="shared" si="1225"/>
        <v>#N/A</v>
      </c>
      <c r="EN64" s="87" t="e">
        <f>EM64</f>
        <v>#N/A</v>
      </c>
      <c r="EO64" s="86" t="e">
        <f>EM64-EM65</f>
        <v>#N/A</v>
      </c>
      <c r="EP64" s="86" t="e">
        <f t="shared" ref="EP64:EZ64" si="1226">EO64-EO65</f>
        <v>#N/A</v>
      </c>
      <c r="EQ64" s="86" t="e">
        <f t="shared" si="1226"/>
        <v>#N/A</v>
      </c>
      <c r="ER64" s="86" t="e">
        <f t="shared" si="1226"/>
        <v>#N/A</v>
      </c>
      <c r="ES64" s="86" t="e">
        <f t="shared" si="1226"/>
        <v>#N/A</v>
      </c>
      <c r="ET64" s="86" t="e">
        <f t="shared" si="1226"/>
        <v>#N/A</v>
      </c>
      <c r="EU64" s="86" t="e">
        <f t="shared" si="1226"/>
        <v>#N/A</v>
      </c>
      <c r="EV64" s="86" t="e">
        <f t="shared" si="1226"/>
        <v>#N/A</v>
      </c>
      <c r="EW64" s="86" t="e">
        <f t="shared" si="1226"/>
        <v>#N/A</v>
      </c>
      <c r="EX64" s="86" t="e">
        <f t="shared" si="1226"/>
        <v>#N/A</v>
      </c>
      <c r="EY64" s="86" t="e">
        <f t="shared" si="1226"/>
        <v>#N/A</v>
      </c>
      <c r="EZ64" s="86" t="e">
        <f t="shared" si="1226"/>
        <v>#N/A</v>
      </c>
      <c r="FA64" s="87" t="e">
        <f>EZ64</f>
        <v>#N/A</v>
      </c>
      <c r="FB64" s="86" t="e">
        <f>EZ64-EZ65</f>
        <v>#N/A</v>
      </c>
      <c r="FC64" s="86" t="e">
        <f t="shared" ref="FC64:FM64" si="1227">FB64-FB65</f>
        <v>#N/A</v>
      </c>
      <c r="FD64" s="86" t="e">
        <f t="shared" si="1227"/>
        <v>#N/A</v>
      </c>
      <c r="FE64" s="86" t="e">
        <f t="shared" si="1227"/>
        <v>#N/A</v>
      </c>
      <c r="FF64" s="86" t="e">
        <f t="shared" si="1227"/>
        <v>#N/A</v>
      </c>
      <c r="FG64" s="86" t="e">
        <f t="shared" si="1227"/>
        <v>#N/A</v>
      </c>
      <c r="FH64" s="86" t="e">
        <f t="shared" si="1227"/>
        <v>#N/A</v>
      </c>
      <c r="FI64" s="86" t="e">
        <f t="shared" si="1227"/>
        <v>#N/A</v>
      </c>
      <c r="FJ64" s="86" t="e">
        <f t="shared" si="1227"/>
        <v>#N/A</v>
      </c>
      <c r="FK64" s="86" t="e">
        <f t="shared" si="1227"/>
        <v>#N/A</v>
      </c>
      <c r="FL64" s="86" t="e">
        <f t="shared" si="1227"/>
        <v>#N/A</v>
      </c>
      <c r="FM64" s="86" t="e">
        <f t="shared" si="1227"/>
        <v>#N/A</v>
      </c>
      <c r="FN64" s="87" t="e">
        <f>FM64</f>
        <v>#N/A</v>
      </c>
      <c r="FO64" s="86" t="e">
        <f>FM64-FM65</f>
        <v>#N/A</v>
      </c>
      <c r="FP64" s="86" t="e">
        <f t="shared" ref="FP64:FZ64" si="1228">FO64-FO65</f>
        <v>#N/A</v>
      </c>
      <c r="FQ64" s="86" t="e">
        <f t="shared" si="1228"/>
        <v>#N/A</v>
      </c>
      <c r="FR64" s="86" t="e">
        <f t="shared" si="1228"/>
        <v>#N/A</v>
      </c>
      <c r="FS64" s="86" t="e">
        <f t="shared" si="1228"/>
        <v>#N/A</v>
      </c>
      <c r="FT64" s="86" t="e">
        <f t="shared" si="1228"/>
        <v>#N/A</v>
      </c>
      <c r="FU64" s="86" t="e">
        <f t="shared" si="1228"/>
        <v>#N/A</v>
      </c>
      <c r="FV64" s="86" t="e">
        <f t="shared" si="1228"/>
        <v>#N/A</v>
      </c>
      <c r="FW64" s="86" t="e">
        <f t="shared" si="1228"/>
        <v>#N/A</v>
      </c>
      <c r="FX64" s="86" t="e">
        <f t="shared" si="1228"/>
        <v>#N/A</v>
      </c>
      <c r="FY64" s="86" t="e">
        <f t="shared" si="1228"/>
        <v>#N/A</v>
      </c>
      <c r="FZ64" s="86" t="e">
        <f t="shared" si="1228"/>
        <v>#N/A</v>
      </c>
      <c r="GA64" s="87" t="e">
        <f>FZ64</f>
        <v>#N/A</v>
      </c>
      <c r="GB64" s="86" t="e">
        <f>FZ64-FZ65</f>
        <v>#N/A</v>
      </c>
      <c r="GC64" s="86" t="e">
        <f t="shared" ref="GC64:GM64" si="1229">GB64-GB65</f>
        <v>#N/A</v>
      </c>
      <c r="GD64" s="86" t="e">
        <f t="shared" si="1229"/>
        <v>#N/A</v>
      </c>
      <c r="GE64" s="86" t="e">
        <f t="shared" si="1229"/>
        <v>#N/A</v>
      </c>
      <c r="GF64" s="86" t="e">
        <f t="shared" si="1229"/>
        <v>#N/A</v>
      </c>
      <c r="GG64" s="86" t="e">
        <f t="shared" si="1229"/>
        <v>#N/A</v>
      </c>
      <c r="GH64" s="86" t="e">
        <f t="shared" si="1229"/>
        <v>#N/A</v>
      </c>
      <c r="GI64" s="86" t="e">
        <f t="shared" si="1229"/>
        <v>#N/A</v>
      </c>
      <c r="GJ64" s="86" t="e">
        <f t="shared" si="1229"/>
        <v>#N/A</v>
      </c>
      <c r="GK64" s="86" t="e">
        <f t="shared" si="1229"/>
        <v>#N/A</v>
      </c>
      <c r="GL64" s="86" t="e">
        <f t="shared" si="1229"/>
        <v>#N/A</v>
      </c>
      <c r="GM64" s="86" t="e">
        <f t="shared" si="1229"/>
        <v>#N/A</v>
      </c>
      <c r="GN64" s="87" t="e">
        <f>GM64</f>
        <v>#N/A</v>
      </c>
      <c r="GO64" s="86" t="e">
        <f>GM64-GM65</f>
        <v>#N/A</v>
      </c>
      <c r="GP64" s="86" t="e">
        <f t="shared" ref="GP64:GZ64" si="1230">GO64-GO65</f>
        <v>#N/A</v>
      </c>
      <c r="GQ64" s="86" t="e">
        <f t="shared" si="1230"/>
        <v>#N/A</v>
      </c>
      <c r="GR64" s="86" t="e">
        <f t="shared" si="1230"/>
        <v>#N/A</v>
      </c>
      <c r="GS64" s="86" t="e">
        <f t="shared" si="1230"/>
        <v>#N/A</v>
      </c>
      <c r="GT64" s="86" t="e">
        <f t="shared" si="1230"/>
        <v>#N/A</v>
      </c>
      <c r="GU64" s="86" t="e">
        <f t="shared" si="1230"/>
        <v>#N/A</v>
      </c>
      <c r="GV64" s="86" t="e">
        <f t="shared" si="1230"/>
        <v>#N/A</v>
      </c>
      <c r="GW64" s="86" t="e">
        <f t="shared" si="1230"/>
        <v>#N/A</v>
      </c>
      <c r="GX64" s="86" t="e">
        <f t="shared" si="1230"/>
        <v>#N/A</v>
      </c>
      <c r="GY64" s="86" t="e">
        <f t="shared" si="1230"/>
        <v>#N/A</v>
      </c>
      <c r="GZ64" s="86" t="e">
        <f t="shared" si="1230"/>
        <v>#N/A</v>
      </c>
      <c r="HA64" s="87" t="e">
        <f>GZ64</f>
        <v>#N/A</v>
      </c>
      <c r="HB64" s="86" t="e">
        <f>GZ64-GZ65</f>
        <v>#N/A</v>
      </c>
      <c r="HC64" s="86" t="e">
        <f t="shared" ref="HC64:HM64" si="1231">HB64-HB65</f>
        <v>#N/A</v>
      </c>
      <c r="HD64" s="86" t="e">
        <f t="shared" si="1231"/>
        <v>#N/A</v>
      </c>
      <c r="HE64" s="86" t="e">
        <f t="shared" si="1231"/>
        <v>#N/A</v>
      </c>
      <c r="HF64" s="86" t="e">
        <f t="shared" si="1231"/>
        <v>#N/A</v>
      </c>
      <c r="HG64" s="86" t="e">
        <f t="shared" si="1231"/>
        <v>#N/A</v>
      </c>
      <c r="HH64" s="86" t="e">
        <f t="shared" si="1231"/>
        <v>#N/A</v>
      </c>
      <c r="HI64" s="86" t="e">
        <f t="shared" si="1231"/>
        <v>#N/A</v>
      </c>
      <c r="HJ64" s="86" t="e">
        <f t="shared" si="1231"/>
        <v>#N/A</v>
      </c>
      <c r="HK64" s="86" t="e">
        <f t="shared" si="1231"/>
        <v>#N/A</v>
      </c>
      <c r="HL64" s="86" t="e">
        <f t="shared" si="1231"/>
        <v>#N/A</v>
      </c>
      <c r="HM64" s="86" t="e">
        <f t="shared" si="1231"/>
        <v>#N/A</v>
      </c>
      <c r="HN64" s="87" t="e">
        <f>HM64</f>
        <v>#N/A</v>
      </c>
      <c r="HO64" s="86" t="e">
        <f>HM64-HM65</f>
        <v>#N/A</v>
      </c>
      <c r="HP64" s="86" t="e">
        <f t="shared" ref="HP64:HZ64" si="1232">HO64-HO65</f>
        <v>#N/A</v>
      </c>
      <c r="HQ64" s="86" t="e">
        <f t="shared" si="1232"/>
        <v>#N/A</v>
      </c>
      <c r="HR64" s="86" t="e">
        <f t="shared" si="1232"/>
        <v>#N/A</v>
      </c>
      <c r="HS64" s="86" t="e">
        <f t="shared" si="1232"/>
        <v>#N/A</v>
      </c>
      <c r="HT64" s="86" t="e">
        <f t="shared" si="1232"/>
        <v>#N/A</v>
      </c>
      <c r="HU64" s="86" t="e">
        <f t="shared" si="1232"/>
        <v>#N/A</v>
      </c>
      <c r="HV64" s="86" t="e">
        <f t="shared" si="1232"/>
        <v>#N/A</v>
      </c>
      <c r="HW64" s="86" t="e">
        <f t="shared" si="1232"/>
        <v>#N/A</v>
      </c>
      <c r="HX64" s="86" t="e">
        <f t="shared" si="1232"/>
        <v>#N/A</v>
      </c>
      <c r="HY64" s="86" t="e">
        <f t="shared" si="1232"/>
        <v>#N/A</v>
      </c>
      <c r="HZ64" s="86" t="e">
        <f t="shared" si="1232"/>
        <v>#N/A</v>
      </c>
      <c r="IA64" s="87" t="e">
        <f>HZ64</f>
        <v>#N/A</v>
      </c>
      <c r="IB64" s="86" t="e">
        <f>HZ64-HZ65</f>
        <v>#N/A</v>
      </c>
      <c r="IC64" s="86" t="e">
        <f t="shared" ref="IC64:IM64" si="1233">IB64-IB65</f>
        <v>#N/A</v>
      </c>
      <c r="ID64" s="86" t="e">
        <f t="shared" si="1233"/>
        <v>#N/A</v>
      </c>
      <c r="IE64" s="86" t="e">
        <f t="shared" si="1233"/>
        <v>#N/A</v>
      </c>
      <c r="IF64" s="86" t="e">
        <f t="shared" si="1233"/>
        <v>#N/A</v>
      </c>
      <c r="IG64" s="86" t="e">
        <f t="shared" si="1233"/>
        <v>#N/A</v>
      </c>
      <c r="IH64" s="86" t="e">
        <f t="shared" si="1233"/>
        <v>#N/A</v>
      </c>
      <c r="II64" s="86" t="e">
        <f t="shared" si="1233"/>
        <v>#N/A</v>
      </c>
      <c r="IJ64" s="86" t="e">
        <f t="shared" si="1233"/>
        <v>#N/A</v>
      </c>
      <c r="IK64" s="86" t="e">
        <f t="shared" si="1233"/>
        <v>#N/A</v>
      </c>
      <c r="IL64" s="86" t="e">
        <f t="shared" si="1233"/>
        <v>#N/A</v>
      </c>
      <c r="IM64" s="86" t="e">
        <f t="shared" si="1233"/>
        <v>#N/A</v>
      </c>
      <c r="IN64" s="87" t="e">
        <f>IM64</f>
        <v>#N/A</v>
      </c>
      <c r="IO64" s="86" t="e">
        <f>IM64-IM65</f>
        <v>#N/A</v>
      </c>
      <c r="IP64" s="86" t="e">
        <f t="shared" ref="IP64:IZ64" si="1234">IO64-IO65</f>
        <v>#N/A</v>
      </c>
      <c r="IQ64" s="86" t="e">
        <f t="shared" si="1234"/>
        <v>#N/A</v>
      </c>
      <c r="IR64" s="86" t="e">
        <f t="shared" si="1234"/>
        <v>#N/A</v>
      </c>
      <c r="IS64" s="86" t="e">
        <f t="shared" si="1234"/>
        <v>#N/A</v>
      </c>
      <c r="IT64" s="86" t="e">
        <f t="shared" si="1234"/>
        <v>#N/A</v>
      </c>
      <c r="IU64" s="86" t="e">
        <f t="shared" si="1234"/>
        <v>#N/A</v>
      </c>
      <c r="IV64" s="86" t="e">
        <f t="shared" si="1234"/>
        <v>#N/A</v>
      </c>
      <c r="IW64" s="86" t="e">
        <f t="shared" si="1234"/>
        <v>#N/A</v>
      </c>
      <c r="IX64" s="86" t="e">
        <f t="shared" si="1234"/>
        <v>#N/A</v>
      </c>
      <c r="IY64" s="86" t="e">
        <f t="shared" si="1234"/>
        <v>#N/A</v>
      </c>
      <c r="IZ64" s="86" t="e">
        <f t="shared" si="1234"/>
        <v>#N/A</v>
      </c>
      <c r="JA64" s="87" t="e">
        <f>IZ64</f>
        <v>#N/A</v>
      </c>
      <c r="JB64" s="86" t="e">
        <f>IZ64-IZ65</f>
        <v>#N/A</v>
      </c>
      <c r="JC64" s="86" t="e">
        <f t="shared" ref="JC64:JM64" si="1235">JB64-JB65</f>
        <v>#N/A</v>
      </c>
      <c r="JD64" s="86" t="e">
        <f t="shared" si="1235"/>
        <v>#N/A</v>
      </c>
      <c r="JE64" s="86" t="e">
        <f t="shared" si="1235"/>
        <v>#N/A</v>
      </c>
      <c r="JF64" s="86" t="e">
        <f t="shared" si="1235"/>
        <v>#N/A</v>
      </c>
      <c r="JG64" s="86" t="e">
        <f t="shared" si="1235"/>
        <v>#N/A</v>
      </c>
      <c r="JH64" s="86" t="e">
        <f t="shared" si="1235"/>
        <v>#N/A</v>
      </c>
      <c r="JI64" s="86" t="e">
        <f t="shared" si="1235"/>
        <v>#N/A</v>
      </c>
      <c r="JJ64" s="86" t="e">
        <f t="shared" si="1235"/>
        <v>#N/A</v>
      </c>
      <c r="JK64" s="86" t="e">
        <f t="shared" si="1235"/>
        <v>#N/A</v>
      </c>
      <c r="JL64" s="86" t="e">
        <f t="shared" si="1235"/>
        <v>#N/A</v>
      </c>
      <c r="JM64" s="86" t="e">
        <f t="shared" si="1235"/>
        <v>#N/A</v>
      </c>
      <c r="JN64" s="87" t="e">
        <f>JM64</f>
        <v>#N/A</v>
      </c>
      <c r="JO64" s="86" t="e">
        <f>JM64-JM65</f>
        <v>#N/A</v>
      </c>
      <c r="JP64" s="86" t="e">
        <f t="shared" ref="JP64:JZ64" si="1236">JO64-JO65</f>
        <v>#N/A</v>
      </c>
      <c r="JQ64" s="86" t="e">
        <f t="shared" si="1236"/>
        <v>#N/A</v>
      </c>
      <c r="JR64" s="86" t="e">
        <f t="shared" si="1236"/>
        <v>#N/A</v>
      </c>
      <c r="JS64" s="86" t="e">
        <f t="shared" si="1236"/>
        <v>#N/A</v>
      </c>
      <c r="JT64" s="86" t="e">
        <f t="shared" si="1236"/>
        <v>#N/A</v>
      </c>
      <c r="JU64" s="86" t="e">
        <f t="shared" si="1236"/>
        <v>#N/A</v>
      </c>
      <c r="JV64" s="86" t="e">
        <f t="shared" si="1236"/>
        <v>#N/A</v>
      </c>
      <c r="JW64" s="86" t="e">
        <f t="shared" si="1236"/>
        <v>#N/A</v>
      </c>
      <c r="JX64" s="86" t="e">
        <f t="shared" si="1236"/>
        <v>#N/A</v>
      </c>
      <c r="JY64" s="86" t="e">
        <f t="shared" si="1236"/>
        <v>#N/A</v>
      </c>
      <c r="JZ64" s="86" t="e">
        <f t="shared" si="1236"/>
        <v>#N/A</v>
      </c>
      <c r="KA64" s="87" t="e">
        <f>JZ64</f>
        <v>#N/A</v>
      </c>
      <c r="KB64" s="86" t="e">
        <f>JZ64-JZ65</f>
        <v>#N/A</v>
      </c>
      <c r="KC64" s="86" t="e">
        <f t="shared" ref="KC64:KM64" si="1237">KB64-KB65</f>
        <v>#N/A</v>
      </c>
      <c r="KD64" s="86" t="e">
        <f t="shared" si="1237"/>
        <v>#N/A</v>
      </c>
      <c r="KE64" s="86" t="e">
        <f t="shared" si="1237"/>
        <v>#N/A</v>
      </c>
      <c r="KF64" s="86" t="e">
        <f t="shared" si="1237"/>
        <v>#N/A</v>
      </c>
      <c r="KG64" s="86" t="e">
        <f t="shared" si="1237"/>
        <v>#N/A</v>
      </c>
      <c r="KH64" s="86" t="e">
        <f t="shared" si="1237"/>
        <v>#N/A</v>
      </c>
      <c r="KI64" s="86" t="e">
        <f t="shared" si="1237"/>
        <v>#N/A</v>
      </c>
      <c r="KJ64" s="86" t="e">
        <f t="shared" si="1237"/>
        <v>#N/A</v>
      </c>
      <c r="KK64" s="86" t="e">
        <f t="shared" si="1237"/>
        <v>#N/A</v>
      </c>
      <c r="KL64" s="86" t="e">
        <f t="shared" si="1237"/>
        <v>#N/A</v>
      </c>
      <c r="KM64" s="86" t="e">
        <f t="shared" si="1237"/>
        <v>#N/A</v>
      </c>
      <c r="KN64" s="87" t="e">
        <f>KM64</f>
        <v>#N/A</v>
      </c>
      <c r="KO64" s="86" t="e">
        <f>KM64-KM65</f>
        <v>#N/A</v>
      </c>
      <c r="KP64" s="86" t="e">
        <f t="shared" ref="KP64:KZ64" si="1238">KO64-KO65</f>
        <v>#N/A</v>
      </c>
      <c r="KQ64" s="86" t="e">
        <f t="shared" si="1238"/>
        <v>#N/A</v>
      </c>
      <c r="KR64" s="86" t="e">
        <f t="shared" si="1238"/>
        <v>#N/A</v>
      </c>
      <c r="KS64" s="86" t="e">
        <f t="shared" si="1238"/>
        <v>#N/A</v>
      </c>
      <c r="KT64" s="86" t="e">
        <f t="shared" si="1238"/>
        <v>#N/A</v>
      </c>
      <c r="KU64" s="86" t="e">
        <f t="shared" si="1238"/>
        <v>#N/A</v>
      </c>
      <c r="KV64" s="86" t="e">
        <f t="shared" si="1238"/>
        <v>#N/A</v>
      </c>
      <c r="KW64" s="86" t="e">
        <f t="shared" si="1238"/>
        <v>#N/A</v>
      </c>
      <c r="KX64" s="86" t="e">
        <f t="shared" si="1238"/>
        <v>#N/A</v>
      </c>
      <c r="KY64" s="86" t="e">
        <f t="shared" si="1238"/>
        <v>#N/A</v>
      </c>
      <c r="KZ64" s="86" t="e">
        <f t="shared" si="1238"/>
        <v>#N/A</v>
      </c>
      <c r="LA64" s="87" t="e">
        <f>KZ64</f>
        <v>#N/A</v>
      </c>
      <c r="LB64" s="86" t="e">
        <f>KZ64-KZ65</f>
        <v>#N/A</v>
      </c>
      <c r="LC64" s="86" t="e">
        <f t="shared" ref="LC64:LM64" si="1239">LB64-LB65</f>
        <v>#N/A</v>
      </c>
      <c r="LD64" s="86" t="e">
        <f t="shared" si="1239"/>
        <v>#N/A</v>
      </c>
      <c r="LE64" s="86" t="e">
        <f t="shared" si="1239"/>
        <v>#N/A</v>
      </c>
      <c r="LF64" s="86" t="e">
        <f t="shared" si="1239"/>
        <v>#N/A</v>
      </c>
      <c r="LG64" s="86" t="e">
        <f t="shared" si="1239"/>
        <v>#N/A</v>
      </c>
      <c r="LH64" s="86" t="e">
        <f t="shared" si="1239"/>
        <v>#N/A</v>
      </c>
      <c r="LI64" s="86" t="e">
        <f t="shared" si="1239"/>
        <v>#N/A</v>
      </c>
      <c r="LJ64" s="86" t="e">
        <f t="shared" si="1239"/>
        <v>#N/A</v>
      </c>
      <c r="LK64" s="86" t="e">
        <f t="shared" si="1239"/>
        <v>#N/A</v>
      </c>
      <c r="LL64" s="86" t="e">
        <f t="shared" si="1239"/>
        <v>#N/A</v>
      </c>
      <c r="LM64" s="86" t="e">
        <f t="shared" si="1239"/>
        <v>#N/A</v>
      </c>
      <c r="LN64" s="87" t="e">
        <f>LM64</f>
        <v>#N/A</v>
      </c>
      <c r="LO64" s="86" t="e">
        <f>LM64-LM65</f>
        <v>#N/A</v>
      </c>
      <c r="LP64" s="86" t="e">
        <f t="shared" ref="LP64:LZ64" si="1240">LO64-LO65</f>
        <v>#N/A</v>
      </c>
      <c r="LQ64" s="86" t="e">
        <f t="shared" si="1240"/>
        <v>#N/A</v>
      </c>
      <c r="LR64" s="86" t="e">
        <f t="shared" si="1240"/>
        <v>#N/A</v>
      </c>
      <c r="LS64" s="86" t="e">
        <f t="shared" si="1240"/>
        <v>#N/A</v>
      </c>
      <c r="LT64" s="86" t="e">
        <f t="shared" si="1240"/>
        <v>#N/A</v>
      </c>
      <c r="LU64" s="86" t="e">
        <f t="shared" si="1240"/>
        <v>#N/A</v>
      </c>
      <c r="LV64" s="86" t="e">
        <f t="shared" si="1240"/>
        <v>#N/A</v>
      </c>
      <c r="LW64" s="86" t="e">
        <f t="shared" si="1240"/>
        <v>#N/A</v>
      </c>
      <c r="LX64" s="86" t="e">
        <f t="shared" si="1240"/>
        <v>#N/A</v>
      </c>
      <c r="LY64" s="86" t="e">
        <f t="shared" si="1240"/>
        <v>#N/A</v>
      </c>
      <c r="LZ64" s="86" t="e">
        <f t="shared" si="1240"/>
        <v>#N/A</v>
      </c>
      <c r="MA64" s="87" t="e">
        <f>LZ64</f>
        <v>#N/A</v>
      </c>
      <c r="MB64" s="86" t="e">
        <f>LZ64-LZ65</f>
        <v>#N/A</v>
      </c>
      <c r="MC64" s="86" t="e">
        <f t="shared" ref="MC64:MM64" si="1241">MB64-MB65</f>
        <v>#N/A</v>
      </c>
      <c r="MD64" s="86" t="e">
        <f t="shared" si="1241"/>
        <v>#N/A</v>
      </c>
      <c r="ME64" s="86" t="e">
        <f t="shared" si="1241"/>
        <v>#N/A</v>
      </c>
      <c r="MF64" s="86" t="e">
        <f t="shared" si="1241"/>
        <v>#N/A</v>
      </c>
      <c r="MG64" s="86" t="e">
        <f t="shared" si="1241"/>
        <v>#N/A</v>
      </c>
      <c r="MH64" s="86" t="e">
        <f t="shared" si="1241"/>
        <v>#N/A</v>
      </c>
      <c r="MI64" s="86" t="e">
        <f t="shared" si="1241"/>
        <v>#N/A</v>
      </c>
      <c r="MJ64" s="86" t="e">
        <f t="shared" si="1241"/>
        <v>#N/A</v>
      </c>
      <c r="MK64" s="86" t="e">
        <f t="shared" si="1241"/>
        <v>#N/A</v>
      </c>
      <c r="ML64" s="86" t="e">
        <f t="shared" si="1241"/>
        <v>#N/A</v>
      </c>
      <c r="MM64" s="86" t="e">
        <f t="shared" si="1241"/>
        <v>#N/A</v>
      </c>
      <c r="MN64" s="87" t="e">
        <f>MM64</f>
        <v>#N/A</v>
      </c>
      <c r="MO64" s="86" t="e">
        <f>MM64-MM65</f>
        <v>#N/A</v>
      </c>
      <c r="MP64" s="86" t="e">
        <f t="shared" ref="MP64:MZ64" si="1242">MO64-MO65</f>
        <v>#N/A</v>
      </c>
      <c r="MQ64" s="86" t="e">
        <f t="shared" si="1242"/>
        <v>#N/A</v>
      </c>
      <c r="MR64" s="86" t="e">
        <f t="shared" si="1242"/>
        <v>#N/A</v>
      </c>
      <c r="MS64" s="86" t="e">
        <f t="shared" si="1242"/>
        <v>#N/A</v>
      </c>
      <c r="MT64" s="86" t="e">
        <f t="shared" si="1242"/>
        <v>#N/A</v>
      </c>
      <c r="MU64" s="86" t="e">
        <f t="shared" si="1242"/>
        <v>#N/A</v>
      </c>
      <c r="MV64" s="86" t="e">
        <f t="shared" si="1242"/>
        <v>#N/A</v>
      </c>
      <c r="MW64" s="86" t="e">
        <f t="shared" si="1242"/>
        <v>#N/A</v>
      </c>
      <c r="MX64" s="86" t="e">
        <f t="shared" si="1242"/>
        <v>#N/A</v>
      </c>
      <c r="MY64" s="86" t="e">
        <f t="shared" si="1242"/>
        <v>#N/A</v>
      </c>
      <c r="MZ64" s="86" t="e">
        <f t="shared" si="1242"/>
        <v>#N/A</v>
      </c>
      <c r="NA64" s="87" t="e">
        <f>MZ64</f>
        <v>#N/A</v>
      </c>
      <c r="NB64" s="86" t="e">
        <f>MZ64-MZ65</f>
        <v>#N/A</v>
      </c>
      <c r="NC64" s="86" t="e">
        <f t="shared" ref="NC64:NM64" si="1243">NB64-NB65</f>
        <v>#N/A</v>
      </c>
      <c r="ND64" s="86" t="e">
        <f t="shared" si="1243"/>
        <v>#N/A</v>
      </c>
      <c r="NE64" s="86" t="e">
        <f t="shared" si="1243"/>
        <v>#N/A</v>
      </c>
      <c r="NF64" s="86" t="e">
        <f t="shared" si="1243"/>
        <v>#N/A</v>
      </c>
      <c r="NG64" s="86" t="e">
        <f t="shared" si="1243"/>
        <v>#N/A</v>
      </c>
      <c r="NH64" s="86" t="e">
        <f t="shared" si="1243"/>
        <v>#N/A</v>
      </c>
      <c r="NI64" s="86" t="e">
        <f t="shared" si="1243"/>
        <v>#N/A</v>
      </c>
      <c r="NJ64" s="86" t="e">
        <f t="shared" si="1243"/>
        <v>#N/A</v>
      </c>
      <c r="NK64" s="86" t="e">
        <f t="shared" si="1243"/>
        <v>#N/A</v>
      </c>
      <c r="NL64" s="86" t="e">
        <f t="shared" si="1243"/>
        <v>#N/A</v>
      </c>
      <c r="NM64" s="86" t="e">
        <f t="shared" si="1243"/>
        <v>#N/A</v>
      </c>
      <c r="NN64" s="87" t="e">
        <f>NM64</f>
        <v>#N/A</v>
      </c>
      <c r="NO64" s="86" t="e">
        <f>NM64-NM65</f>
        <v>#N/A</v>
      </c>
      <c r="NP64" s="86" t="e">
        <f t="shared" ref="NP64:NZ64" si="1244">NO64-NO65</f>
        <v>#N/A</v>
      </c>
      <c r="NQ64" s="86" t="e">
        <f t="shared" si="1244"/>
        <v>#N/A</v>
      </c>
      <c r="NR64" s="86" t="e">
        <f t="shared" si="1244"/>
        <v>#N/A</v>
      </c>
      <c r="NS64" s="86" t="e">
        <f t="shared" si="1244"/>
        <v>#N/A</v>
      </c>
      <c r="NT64" s="86" t="e">
        <f t="shared" si="1244"/>
        <v>#N/A</v>
      </c>
      <c r="NU64" s="86" t="e">
        <f t="shared" si="1244"/>
        <v>#N/A</v>
      </c>
      <c r="NV64" s="86" t="e">
        <f t="shared" si="1244"/>
        <v>#N/A</v>
      </c>
      <c r="NW64" s="86" t="e">
        <f t="shared" si="1244"/>
        <v>#N/A</v>
      </c>
      <c r="NX64" s="86" t="e">
        <f t="shared" si="1244"/>
        <v>#N/A</v>
      </c>
      <c r="NY64" s="86" t="e">
        <f t="shared" si="1244"/>
        <v>#N/A</v>
      </c>
      <c r="NZ64" s="86" t="e">
        <f t="shared" si="1244"/>
        <v>#N/A</v>
      </c>
      <c r="OA64" s="87" t="e">
        <f>NZ64</f>
        <v>#N/A</v>
      </c>
      <c r="OB64" s="86" t="e">
        <f>NZ64-NZ65</f>
        <v>#N/A</v>
      </c>
      <c r="OC64" s="86" t="e">
        <f t="shared" ref="OC64:OM64" si="1245">OB64-OB65</f>
        <v>#N/A</v>
      </c>
      <c r="OD64" s="86" t="e">
        <f t="shared" si="1245"/>
        <v>#N/A</v>
      </c>
      <c r="OE64" s="86" t="e">
        <f t="shared" si="1245"/>
        <v>#N/A</v>
      </c>
      <c r="OF64" s="86" t="e">
        <f t="shared" si="1245"/>
        <v>#N/A</v>
      </c>
      <c r="OG64" s="86" t="e">
        <f t="shared" si="1245"/>
        <v>#N/A</v>
      </c>
      <c r="OH64" s="86" t="e">
        <f t="shared" si="1245"/>
        <v>#N/A</v>
      </c>
      <c r="OI64" s="86" t="e">
        <f t="shared" si="1245"/>
        <v>#N/A</v>
      </c>
      <c r="OJ64" s="86" t="e">
        <f t="shared" si="1245"/>
        <v>#N/A</v>
      </c>
      <c r="OK64" s="86" t="e">
        <f t="shared" si="1245"/>
        <v>#N/A</v>
      </c>
      <c r="OL64" s="86" t="e">
        <f t="shared" si="1245"/>
        <v>#N/A</v>
      </c>
      <c r="OM64" s="86" t="e">
        <f t="shared" si="1245"/>
        <v>#N/A</v>
      </c>
      <c r="ON64" s="87" t="e">
        <f>OM64</f>
        <v>#N/A</v>
      </c>
      <c r="OO64" s="86" t="e">
        <f>OM64-OM65</f>
        <v>#N/A</v>
      </c>
      <c r="OP64" s="86" t="e">
        <f t="shared" ref="OP64:OZ64" si="1246">OO64-OO65</f>
        <v>#N/A</v>
      </c>
      <c r="OQ64" s="86" t="e">
        <f t="shared" si="1246"/>
        <v>#N/A</v>
      </c>
      <c r="OR64" s="86" t="e">
        <f t="shared" si="1246"/>
        <v>#N/A</v>
      </c>
      <c r="OS64" s="86" t="e">
        <f t="shared" si="1246"/>
        <v>#N/A</v>
      </c>
      <c r="OT64" s="86" t="e">
        <f t="shared" si="1246"/>
        <v>#N/A</v>
      </c>
      <c r="OU64" s="86" t="e">
        <f t="shared" si="1246"/>
        <v>#N/A</v>
      </c>
      <c r="OV64" s="86" t="e">
        <f t="shared" si="1246"/>
        <v>#N/A</v>
      </c>
      <c r="OW64" s="86" t="e">
        <f t="shared" si="1246"/>
        <v>#N/A</v>
      </c>
      <c r="OX64" s="86" t="e">
        <f t="shared" si="1246"/>
        <v>#N/A</v>
      </c>
      <c r="OY64" s="86" t="e">
        <f t="shared" si="1246"/>
        <v>#N/A</v>
      </c>
      <c r="OZ64" s="86" t="e">
        <f t="shared" si="1246"/>
        <v>#N/A</v>
      </c>
      <c r="PA64" s="87" t="e">
        <f>OZ64</f>
        <v>#N/A</v>
      </c>
      <c r="PB64" s="86" t="e">
        <f>OZ64-OZ65</f>
        <v>#N/A</v>
      </c>
      <c r="PC64" s="86" t="e">
        <f t="shared" ref="PC64:PM64" si="1247">PB64-PB65</f>
        <v>#N/A</v>
      </c>
      <c r="PD64" s="86" t="e">
        <f t="shared" si="1247"/>
        <v>#N/A</v>
      </c>
      <c r="PE64" s="86" t="e">
        <f t="shared" si="1247"/>
        <v>#N/A</v>
      </c>
      <c r="PF64" s="86" t="e">
        <f t="shared" si="1247"/>
        <v>#N/A</v>
      </c>
      <c r="PG64" s="86" t="e">
        <f t="shared" si="1247"/>
        <v>#N/A</v>
      </c>
      <c r="PH64" s="86" t="e">
        <f t="shared" si="1247"/>
        <v>#N/A</v>
      </c>
      <c r="PI64" s="86" t="e">
        <f t="shared" si="1247"/>
        <v>#N/A</v>
      </c>
      <c r="PJ64" s="86" t="e">
        <f t="shared" si="1247"/>
        <v>#N/A</v>
      </c>
      <c r="PK64" s="86" t="e">
        <f t="shared" si="1247"/>
        <v>#N/A</v>
      </c>
      <c r="PL64" s="86" t="e">
        <f t="shared" si="1247"/>
        <v>#N/A</v>
      </c>
      <c r="PM64" s="86" t="e">
        <f t="shared" si="1247"/>
        <v>#N/A</v>
      </c>
      <c r="PN64" s="87" t="e">
        <f>PM64</f>
        <v>#N/A</v>
      </c>
      <c r="PO64" s="86" t="e">
        <f>PM64-PM65</f>
        <v>#N/A</v>
      </c>
      <c r="PP64" s="86" t="e">
        <f t="shared" ref="PP64:PZ64" si="1248">PO64-PO65</f>
        <v>#N/A</v>
      </c>
      <c r="PQ64" s="86" t="e">
        <f t="shared" si="1248"/>
        <v>#N/A</v>
      </c>
      <c r="PR64" s="86" t="e">
        <f t="shared" si="1248"/>
        <v>#N/A</v>
      </c>
      <c r="PS64" s="86" t="e">
        <f t="shared" si="1248"/>
        <v>#N/A</v>
      </c>
      <c r="PT64" s="86" t="e">
        <f t="shared" si="1248"/>
        <v>#N/A</v>
      </c>
      <c r="PU64" s="86" t="e">
        <f t="shared" si="1248"/>
        <v>#N/A</v>
      </c>
      <c r="PV64" s="86" t="e">
        <f t="shared" si="1248"/>
        <v>#N/A</v>
      </c>
      <c r="PW64" s="86" t="e">
        <f t="shared" si="1248"/>
        <v>#N/A</v>
      </c>
      <c r="PX64" s="86" t="e">
        <f t="shared" si="1248"/>
        <v>#N/A</v>
      </c>
      <c r="PY64" s="86" t="e">
        <f t="shared" si="1248"/>
        <v>#N/A</v>
      </c>
      <c r="PZ64" s="86" t="e">
        <f t="shared" si="1248"/>
        <v>#N/A</v>
      </c>
      <c r="QA64" s="87" t="e">
        <f>PZ64</f>
        <v>#N/A</v>
      </c>
      <c r="QB64" s="86" t="e">
        <f>PZ64-PZ65</f>
        <v>#N/A</v>
      </c>
      <c r="QC64" s="86" t="e">
        <f t="shared" ref="QC64:QM64" si="1249">QB64-QB65</f>
        <v>#N/A</v>
      </c>
      <c r="QD64" s="86" t="e">
        <f t="shared" si="1249"/>
        <v>#N/A</v>
      </c>
      <c r="QE64" s="86" t="e">
        <f t="shared" si="1249"/>
        <v>#N/A</v>
      </c>
      <c r="QF64" s="86" t="e">
        <f t="shared" si="1249"/>
        <v>#N/A</v>
      </c>
      <c r="QG64" s="86" t="e">
        <f t="shared" si="1249"/>
        <v>#N/A</v>
      </c>
      <c r="QH64" s="86" t="e">
        <f t="shared" si="1249"/>
        <v>#N/A</v>
      </c>
      <c r="QI64" s="86" t="e">
        <f t="shared" si="1249"/>
        <v>#N/A</v>
      </c>
      <c r="QJ64" s="86" t="e">
        <f t="shared" si="1249"/>
        <v>#N/A</v>
      </c>
      <c r="QK64" s="86" t="e">
        <f t="shared" si="1249"/>
        <v>#N/A</v>
      </c>
      <c r="QL64" s="86" t="e">
        <f t="shared" si="1249"/>
        <v>#N/A</v>
      </c>
      <c r="QM64" s="86" t="e">
        <f t="shared" si="1249"/>
        <v>#N/A</v>
      </c>
      <c r="QN64" s="87" t="e">
        <f>QM64</f>
        <v>#N/A</v>
      </c>
      <c r="QO64" s="86" t="e">
        <f>QM64-QM65</f>
        <v>#N/A</v>
      </c>
      <c r="QP64" s="86" t="e">
        <f t="shared" ref="QP64:QZ64" si="1250">QO64-QO65</f>
        <v>#N/A</v>
      </c>
      <c r="QQ64" s="86" t="e">
        <f t="shared" si="1250"/>
        <v>#N/A</v>
      </c>
      <c r="QR64" s="86" t="e">
        <f t="shared" si="1250"/>
        <v>#N/A</v>
      </c>
      <c r="QS64" s="86" t="e">
        <f t="shared" si="1250"/>
        <v>#N/A</v>
      </c>
      <c r="QT64" s="86" t="e">
        <f t="shared" si="1250"/>
        <v>#N/A</v>
      </c>
      <c r="QU64" s="86" t="e">
        <f t="shared" si="1250"/>
        <v>#N/A</v>
      </c>
      <c r="QV64" s="86" t="e">
        <f t="shared" si="1250"/>
        <v>#N/A</v>
      </c>
      <c r="QW64" s="86" t="e">
        <f t="shared" si="1250"/>
        <v>#N/A</v>
      </c>
      <c r="QX64" s="86" t="e">
        <f t="shared" si="1250"/>
        <v>#N/A</v>
      </c>
      <c r="QY64" s="86" t="e">
        <f t="shared" si="1250"/>
        <v>#N/A</v>
      </c>
      <c r="QZ64" s="86" t="e">
        <f t="shared" si="1250"/>
        <v>#N/A</v>
      </c>
      <c r="RA64" s="87" t="e">
        <f>QZ64</f>
        <v>#N/A</v>
      </c>
      <c r="RB64" s="86" t="e">
        <f>QZ64-QZ65</f>
        <v>#N/A</v>
      </c>
      <c r="RC64" s="86" t="e">
        <f t="shared" ref="RC64:RM64" si="1251">RB64-RB65</f>
        <v>#N/A</v>
      </c>
      <c r="RD64" s="86" t="e">
        <f t="shared" si="1251"/>
        <v>#N/A</v>
      </c>
      <c r="RE64" s="86" t="e">
        <f t="shared" si="1251"/>
        <v>#N/A</v>
      </c>
      <c r="RF64" s="86" t="e">
        <f t="shared" si="1251"/>
        <v>#N/A</v>
      </c>
      <c r="RG64" s="86" t="e">
        <f t="shared" si="1251"/>
        <v>#N/A</v>
      </c>
      <c r="RH64" s="86" t="e">
        <f t="shared" si="1251"/>
        <v>#N/A</v>
      </c>
      <c r="RI64" s="86" t="e">
        <f t="shared" si="1251"/>
        <v>#N/A</v>
      </c>
      <c r="RJ64" s="86" t="e">
        <f t="shared" si="1251"/>
        <v>#N/A</v>
      </c>
      <c r="RK64" s="86" t="e">
        <f t="shared" si="1251"/>
        <v>#N/A</v>
      </c>
      <c r="RL64" s="86" t="e">
        <f t="shared" si="1251"/>
        <v>#N/A</v>
      </c>
      <c r="RM64" s="86" t="e">
        <f t="shared" si="1251"/>
        <v>#N/A</v>
      </c>
      <c r="RN64" s="87" t="e">
        <f>RM64</f>
        <v>#N/A</v>
      </c>
    </row>
    <row r="65" spans="1:560" hidden="1" outlineLevel="1" x14ac:dyDescent="0.3">
      <c r="A65" s="78" t="s">
        <v>275</v>
      </c>
      <c r="B65" s="86" t="e">
        <f>Inputs!$B$11*Inputs!$B$16/(Inputs!$B$17*12)</f>
        <v>#N/A</v>
      </c>
      <c r="C65" s="86" t="e">
        <f>IF(C$64&gt;Inputs!$B$11*Inputs!$B$16,Inputs!$B$11*Inputs!$B$16/(Inputs!$B$17*12),0)</f>
        <v>#N/A</v>
      </c>
      <c r="D65" s="86" t="e">
        <f>IF(D$64&gt;Inputs!$B$11*Inputs!$B$16,Inputs!$B$11*Inputs!$B$16/(Inputs!$B$17*12),0)</f>
        <v>#N/A</v>
      </c>
      <c r="E65" s="86" t="e">
        <f>IF(E$64&gt;Inputs!$B$11*Inputs!$B$16,Inputs!$B$11*Inputs!$B$16/(Inputs!$B$17*12),0)</f>
        <v>#N/A</v>
      </c>
      <c r="F65" s="86" t="e">
        <f>IF(F$64&gt;Inputs!$B$11*Inputs!$B$16,Inputs!$B$11*Inputs!$B$16/(Inputs!$B$17*12),0)</f>
        <v>#N/A</v>
      </c>
      <c r="G65" s="86" t="e">
        <f>IF(G$64&gt;Inputs!$B$11*Inputs!$B$16,Inputs!$B$11*Inputs!$B$16/(Inputs!$B$17*12),0)</f>
        <v>#N/A</v>
      </c>
      <c r="H65" s="86" t="e">
        <f>IF(H$64&gt;Inputs!$B$11*Inputs!$B$16,Inputs!$B$11*Inputs!$B$16/(Inputs!$B$17*12),0)</f>
        <v>#N/A</v>
      </c>
      <c r="I65" s="86" t="e">
        <f>IF(I$64&gt;Inputs!$B$11*Inputs!$B$16,Inputs!$B$11*Inputs!$B$16/(Inputs!$B$17*12),0)</f>
        <v>#N/A</v>
      </c>
      <c r="J65" s="86" t="e">
        <f>IF(J$64&gt;Inputs!$B$11*Inputs!$B$16,Inputs!$B$11*Inputs!$B$16/(Inputs!$B$17*12),0)</f>
        <v>#N/A</v>
      </c>
      <c r="K65" s="86" t="e">
        <f>IF(K$64&gt;Inputs!$B$11*Inputs!$B$16,Inputs!$B$11*Inputs!$B$16/(Inputs!$B$17*12),0)</f>
        <v>#N/A</v>
      </c>
      <c r="L65" s="86" t="e">
        <f>IF(L$64&gt;Inputs!$B$11*Inputs!$B$16,Inputs!$B$11*Inputs!$B$16/(Inputs!$B$17*12),0)</f>
        <v>#N/A</v>
      </c>
      <c r="M65" s="86" t="e">
        <f>IF(M$64&gt;Inputs!$B$11*Inputs!$B$16,Inputs!$B$11*Inputs!$B$16/(Inputs!$B$17*12),0)</f>
        <v>#N/A</v>
      </c>
      <c r="N65" s="87" t="e">
        <f t="shared" ref="N65" si="1252">SUM(B65:M65)</f>
        <v>#N/A</v>
      </c>
      <c r="O65" s="86" t="e">
        <f>IF(O$64&gt;Inputs!$B$11*Inputs!$B$16,Inputs!$B$11*Inputs!$B$16/(Inputs!$B$17*12),0)</f>
        <v>#N/A</v>
      </c>
      <c r="P65" s="86" t="e">
        <f>IF(P$64&gt;Inputs!$B$11*Inputs!$B$16,Inputs!$B$11*Inputs!$B$16/(Inputs!$B$17*12),0)</f>
        <v>#N/A</v>
      </c>
      <c r="Q65" s="86" t="e">
        <f>IF(Q$64&gt;Inputs!$B$11*Inputs!$B$16,Inputs!$B$11*Inputs!$B$16/(Inputs!$B$17*12),0)</f>
        <v>#N/A</v>
      </c>
      <c r="R65" s="86" t="e">
        <f>IF(R$64&gt;Inputs!$B$11*Inputs!$B$16,Inputs!$B$11*Inputs!$B$16/(Inputs!$B$17*12),0)</f>
        <v>#N/A</v>
      </c>
      <c r="S65" s="86" t="e">
        <f>IF(S$64&gt;Inputs!$B$11*Inputs!$B$16,Inputs!$B$11*Inputs!$B$16/(Inputs!$B$17*12),0)</f>
        <v>#N/A</v>
      </c>
      <c r="T65" s="86" t="e">
        <f>IF(T$64&gt;Inputs!$B$11*Inputs!$B$16,Inputs!$B$11*Inputs!$B$16/(Inputs!$B$17*12),0)</f>
        <v>#N/A</v>
      </c>
      <c r="U65" s="86" t="e">
        <f>IF(U$64&gt;Inputs!$B$11*Inputs!$B$16,Inputs!$B$11*Inputs!$B$16/(Inputs!$B$17*12),0)</f>
        <v>#N/A</v>
      </c>
      <c r="V65" s="86" t="e">
        <f>IF(V$64&gt;Inputs!$B$11*Inputs!$B$16,Inputs!$B$11*Inputs!$B$16/(Inputs!$B$17*12),0)</f>
        <v>#N/A</v>
      </c>
      <c r="W65" s="86" t="e">
        <f>IF(W$64&gt;Inputs!$B$11*Inputs!$B$16,Inputs!$B$11*Inputs!$B$16/(Inputs!$B$17*12),0)</f>
        <v>#N/A</v>
      </c>
      <c r="X65" s="86" t="e">
        <f>IF(X$64&gt;Inputs!$B$11*Inputs!$B$16,Inputs!$B$11*Inputs!$B$16/(Inputs!$B$17*12),0)</f>
        <v>#N/A</v>
      </c>
      <c r="Y65" s="86" t="e">
        <f>IF(Y$64&gt;Inputs!$B$11*Inputs!$B$16,Inputs!$B$11*Inputs!$B$16/(Inputs!$B$17*12),0)</f>
        <v>#N/A</v>
      </c>
      <c r="Z65" s="86" t="e">
        <f>IF(Z$64&gt;Inputs!$B$11*Inputs!$B$16,Inputs!$B$11*Inputs!$B$16/(Inputs!$B$17*12),0)</f>
        <v>#N/A</v>
      </c>
      <c r="AA65" s="87" t="e">
        <f t="shared" ref="AA65" si="1253">SUM(O65:Z65)</f>
        <v>#N/A</v>
      </c>
      <c r="AB65" s="86" t="e">
        <f>IF(AB$64&gt;Inputs!$B$11*Inputs!$B$16,Inputs!$B$11*Inputs!$B$16/(Inputs!$B$17*12),0)</f>
        <v>#N/A</v>
      </c>
      <c r="AC65" s="86" t="e">
        <f>IF(AC$64&gt;Inputs!$B$11*Inputs!$B$16,Inputs!$B$11*Inputs!$B$16/(Inputs!$B$17*12),0)</f>
        <v>#N/A</v>
      </c>
      <c r="AD65" s="86" t="e">
        <f>IF(AD$64&gt;Inputs!$B$11*Inputs!$B$16,Inputs!$B$11*Inputs!$B$16/(Inputs!$B$17*12),0)</f>
        <v>#N/A</v>
      </c>
      <c r="AE65" s="86" t="e">
        <f>IF(AE$64&gt;Inputs!$B$11*Inputs!$B$16,Inputs!$B$11*Inputs!$B$16/(Inputs!$B$17*12),0)</f>
        <v>#N/A</v>
      </c>
      <c r="AF65" s="86" t="e">
        <f>IF(AF$64&gt;Inputs!$B$11*Inputs!$B$16,Inputs!$B$11*Inputs!$B$16/(Inputs!$B$17*12),0)</f>
        <v>#N/A</v>
      </c>
      <c r="AG65" s="86" t="e">
        <f>IF(AG$64&gt;Inputs!$B$11*Inputs!$B$16,Inputs!$B$11*Inputs!$B$16/(Inputs!$B$17*12),0)</f>
        <v>#N/A</v>
      </c>
      <c r="AH65" s="86" t="e">
        <f>IF(AH$64&gt;Inputs!$B$11*Inputs!$B$16,Inputs!$B$11*Inputs!$B$16/(Inputs!$B$17*12),0)</f>
        <v>#N/A</v>
      </c>
      <c r="AI65" s="86" t="e">
        <f>IF(AI$64&gt;Inputs!$B$11*Inputs!$B$16,Inputs!$B$11*Inputs!$B$16/(Inputs!$B$17*12),0)</f>
        <v>#N/A</v>
      </c>
      <c r="AJ65" s="86" t="e">
        <f>IF(AJ$64&gt;Inputs!$B$11*Inputs!$B$16,Inputs!$B$11*Inputs!$B$16/(Inputs!$B$17*12),0)</f>
        <v>#N/A</v>
      </c>
      <c r="AK65" s="86" t="e">
        <f>IF(AK$64&gt;Inputs!$B$11*Inputs!$B$16,Inputs!$B$11*Inputs!$B$16/(Inputs!$B$17*12),0)</f>
        <v>#N/A</v>
      </c>
      <c r="AL65" s="86" t="e">
        <f>IF(AL$64&gt;Inputs!$B$11*Inputs!$B$16,Inputs!$B$11*Inputs!$B$16/(Inputs!$B$17*12),0)</f>
        <v>#N/A</v>
      </c>
      <c r="AM65" s="86" t="e">
        <f>IF(AM$64&gt;Inputs!$B$11*Inputs!$B$16,Inputs!$B$11*Inputs!$B$16/(Inputs!$B$17*12),0)</f>
        <v>#N/A</v>
      </c>
      <c r="AN65" s="87" t="e">
        <f t="shared" ref="AN65" si="1254">SUM(AB65:AM65)</f>
        <v>#N/A</v>
      </c>
      <c r="AO65" s="86" t="e">
        <f>IF(AO$64&gt;Inputs!$B$11*Inputs!$B$16,Inputs!$B$11*Inputs!$B$16/(Inputs!$B$17*12),0)</f>
        <v>#N/A</v>
      </c>
      <c r="AP65" s="86" t="e">
        <f>IF(AP$64&gt;Inputs!$B$11*Inputs!$B$16,Inputs!$B$11*Inputs!$B$16/(Inputs!$B$17*12),0)</f>
        <v>#N/A</v>
      </c>
      <c r="AQ65" s="86" t="e">
        <f>IF(AQ$64&gt;Inputs!$B$11*Inputs!$B$16,Inputs!$B$11*Inputs!$B$16/(Inputs!$B$17*12),0)</f>
        <v>#N/A</v>
      </c>
      <c r="AR65" s="86" t="e">
        <f>IF(AR$64&gt;Inputs!$B$11*Inputs!$B$16,Inputs!$B$11*Inputs!$B$16/(Inputs!$B$17*12),0)</f>
        <v>#N/A</v>
      </c>
      <c r="AS65" s="86" t="e">
        <f>IF(AS$64&gt;Inputs!$B$11*Inputs!$B$16,Inputs!$B$11*Inputs!$B$16/(Inputs!$B$17*12),0)</f>
        <v>#N/A</v>
      </c>
      <c r="AT65" s="86" t="e">
        <f>IF(AT$64&gt;Inputs!$B$11*Inputs!$B$16,Inputs!$B$11*Inputs!$B$16/(Inputs!$B$17*12),0)</f>
        <v>#N/A</v>
      </c>
      <c r="AU65" s="86" t="e">
        <f>IF(AU$64&gt;Inputs!$B$11*Inputs!$B$16,Inputs!$B$11*Inputs!$B$16/(Inputs!$B$17*12),0)</f>
        <v>#N/A</v>
      </c>
      <c r="AV65" s="86" t="e">
        <f>IF(AV$64&gt;Inputs!$B$11*Inputs!$B$16,Inputs!$B$11*Inputs!$B$16/(Inputs!$B$17*12),0)</f>
        <v>#N/A</v>
      </c>
      <c r="AW65" s="86" t="e">
        <f>IF(AW$64&gt;Inputs!$B$11*Inputs!$B$16,Inputs!$B$11*Inputs!$B$16/(Inputs!$B$17*12),0)</f>
        <v>#N/A</v>
      </c>
      <c r="AX65" s="86" t="e">
        <f>IF(AX$64&gt;Inputs!$B$11*Inputs!$B$16,Inputs!$B$11*Inputs!$B$16/(Inputs!$B$17*12),0)</f>
        <v>#N/A</v>
      </c>
      <c r="AY65" s="86" t="e">
        <f>IF(AY$64&gt;Inputs!$B$11*Inputs!$B$16,Inputs!$B$11*Inputs!$B$16/(Inputs!$B$17*12),0)</f>
        <v>#N/A</v>
      </c>
      <c r="AZ65" s="86" t="e">
        <f>IF(AZ$64&gt;Inputs!$B$11*Inputs!$B$16,Inputs!$B$11*Inputs!$B$16/(Inputs!$B$17*12),0)</f>
        <v>#N/A</v>
      </c>
      <c r="BA65" s="87" t="e">
        <f t="shared" ref="BA65" si="1255">SUM(AO65:AZ65)</f>
        <v>#N/A</v>
      </c>
      <c r="BB65" s="86" t="e">
        <f>IF(BB$64&gt;Inputs!$B$11*Inputs!$B$16,Inputs!$B$11*Inputs!$B$16/(Inputs!$B$17*12),0)</f>
        <v>#N/A</v>
      </c>
      <c r="BC65" s="86" t="e">
        <f>IF(BC$64&gt;Inputs!$B$11*Inputs!$B$16,Inputs!$B$11*Inputs!$B$16/(Inputs!$B$17*12),0)</f>
        <v>#N/A</v>
      </c>
      <c r="BD65" s="86" t="e">
        <f>IF(BD$64&gt;Inputs!$B$11*Inputs!$B$16,Inputs!$B$11*Inputs!$B$16/(Inputs!$B$17*12),0)</f>
        <v>#N/A</v>
      </c>
      <c r="BE65" s="86" t="e">
        <f>IF(BE$64&gt;Inputs!$B$11*Inputs!$B$16,Inputs!$B$11*Inputs!$B$16/(Inputs!$B$17*12),0)</f>
        <v>#N/A</v>
      </c>
      <c r="BF65" s="86" t="e">
        <f>IF(BF$64&gt;Inputs!$B$11*Inputs!$B$16,Inputs!$B$11*Inputs!$B$16/(Inputs!$B$17*12),0)</f>
        <v>#N/A</v>
      </c>
      <c r="BG65" s="86" t="e">
        <f>IF(BG$64&gt;Inputs!$B$11*Inputs!$B$16,Inputs!$B$11*Inputs!$B$16/(Inputs!$B$17*12),0)</f>
        <v>#N/A</v>
      </c>
      <c r="BH65" s="86" t="e">
        <f>IF(BH$64&gt;Inputs!$B$11*Inputs!$B$16,Inputs!$B$11*Inputs!$B$16/(Inputs!$B$17*12),0)</f>
        <v>#N/A</v>
      </c>
      <c r="BI65" s="86" t="e">
        <f>IF(BI$64&gt;Inputs!$B$11*Inputs!$B$16,Inputs!$B$11*Inputs!$B$16/(Inputs!$B$17*12),0)</f>
        <v>#N/A</v>
      </c>
      <c r="BJ65" s="86" t="e">
        <f>IF(BJ$64&gt;Inputs!$B$11*Inputs!$B$16,Inputs!$B$11*Inputs!$B$16/(Inputs!$B$17*12),0)</f>
        <v>#N/A</v>
      </c>
      <c r="BK65" s="86" t="e">
        <f>IF(BK$64&gt;Inputs!$B$11*Inputs!$B$16,Inputs!$B$11*Inputs!$B$16/(Inputs!$B$17*12),0)</f>
        <v>#N/A</v>
      </c>
      <c r="BL65" s="86" t="e">
        <f>IF(BL$64&gt;Inputs!$B$11*Inputs!$B$16,Inputs!$B$11*Inputs!$B$16/(Inputs!$B$17*12),0)</f>
        <v>#N/A</v>
      </c>
      <c r="BM65" s="86" t="e">
        <f>IF(BM$64&gt;Inputs!$B$11*Inputs!$B$16,Inputs!$B$11*Inputs!$B$16/(Inputs!$B$17*12),0)</f>
        <v>#N/A</v>
      </c>
      <c r="BN65" s="87" t="e">
        <f t="shared" ref="BN65" si="1256">SUM(BB65:BM65)</f>
        <v>#N/A</v>
      </c>
      <c r="BO65" s="86" t="e">
        <f>IF(BO$64&gt;Inputs!$B$11*Inputs!$B$16,Inputs!$B$11*Inputs!$B$16/(Inputs!$B$17*12),0)</f>
        <v>#N/A</v>
      </c>
      <c r="BP65" s="86" t="e">
        <f>IF(BP$64&gt;Inputs!$B$11*Inputs!$B$16,Inputs!$B$11*Inputs!$B$16/(Inputs!$B$17*12),0)</f>
        <v>#N/A</v>
      </c>
      <c r="BQ65" s="86" t="e">
        <f>IF(BQ$64&gt;Inputs!$B$11*Inputs!$B$16,Inputs!$B$11*Inputs!$B$16/(Inputs!$B$17*12),0)</f>
        <v>#N/A</v>
      </c>
      <c r="BR65" s="86" t="e">
        <f>IF(BR$64&gt;Inputs!$B$11*Inputs!$B$16,Inputs!$B$11*Inputs!$B$16/(Inputs!$B$17*12),0)</f>
        <v>#N/A</v>
      </c>
      <c r="BS65" s="86" t="e">
        <f>IF(BS$64&gt;Inputs!$B$11*Inputs!$B$16,Inputs!$B$11*Inputs!$B$16/(Inputs!$B$17*12),0)</f>
        <v>#N/A</v>
      </c>
      <c r="BT65" s="86" t="e">
        <f>IF(BT$64&gt;Inputs!$B$11*Inputs!$B$16,Inputs!$B$11*Inputs!$B$16/(Inputs!$B$17*12),0)</f>
        <v>#N/A</v>
      </c>
      <c r="BU65" s="86" t="e">
        <f>IF(BU$64&gt;Inputs!$B$11*Inputs!$B$16,Inputs!$B$11*Inputs!$B$16/(Inputs!$B$17*12),0)</f>
        <v>#N/A</v>
      </c>
      <c r="BV65" s="86" t="e">
        <f>IF(BV$64&gt;Inputs!$B$11*Inputs!$B$16,Inputs!$B$11*Inputs!$B$16/(Inputs!$B$17*12),0)</f>
        <v>#N/A</v>
      </c>
      <c r="BW65" s="86" t="e">
        <f>IF(BW$64&gt;Inputs!$B$11*Inputs!$B$16,Inputs!$B$11*Inputs!$B$16/(Inputs!$B$17*12),0)</f>
        <v>#N/A</v>
      </c>
      <c r="BX65" s="86" t="e">
        <f>IF(BX$64&gt;Inputs!$B$11*Inputs!$B$16,Inputs!$B$11*Inputs!$B$16/(Inputs!$B$17*12),0)</f>
        <v>#N/A</v>
      </c>
      <c r="BY65" s="86" t="e">
        <f>IF(BY$64&gt;Inputs!$B$11*Inputs!$B$16,Inputs!$B$11*Inputs!$B$16/(Inputs!$B$17*12),0)</f>
        <v>#N/A</v>
      </c>
      <c r="BZ65" s="86" t="e">
        <f>IF(BZ$64&gt;Inputs!$B$11*Inputs!$B$16,Inputs!$B$11*Inputs!$B$16/(Inputs!$B$17*12),0)</f>
        <v>#N/A</v>
      </c>
      <c r="CA65" s="87" t="e">
        <f t="shared" ref="CA65" si="1257">SUM(BO65:BZ65)</f>
        <v>#N/A</v>
      </c>
      <c r="CB65" s="86" t="e">
        <f>IF(CB$64&gt;Inputs!$B$11*Inputs!$B$16,Inputs!$B$11*Inputs!$B$16/(Inputs!$B$17*12),0)</f>
        <v>#N/A</v>
      </c>
      <c r="CC65" s="86" t="e">
        <f>IF(CC$64&gt;Inputs!$B$11*Inputs!$B$16,Inputs!$B$11*Inputs!$B$16/(Inputs!$B$17*12),0)</f>
        <v>#N/A</v>
      </c>
      <c r="CD65" s="86" t="e">
        <f>IF(CD$64&gt;Inputs!$B$11*Inputs!$B$16,Inputs!$B$11*Inputs!$B$16/(Inputs!$B$17*12),0)</f>
        <v>#N/A</v>
      </c>
      <c r="CE65" s="86" t="e">
        <f>IF(CE$64&gt;Inputs!$B$11*Inputs!$B$16,Inputs!$B$11*Inputs!$B$16/(Inputs!$B$17*12),0)</f>
        <v>#N/A</v>
      </c>
      <c r="CF65" s="86" t="e">
        <f>IF(CF$64&gt;Inputs!$B$11*Inputs!$B$16,Inputs!$B$11*Inputs!$B$16/(Inputs!$B$17*12),0)</f>
        <v>#N/A</v>
      </c>
      <c r="CG65" s="86" t="e">
        <f>IF(CG$64&gt;Inputs!$B$11*Inputs!$B$16,Inputs!$B$11*Inputs!$B$16/(Inputs!$B$17*12),0)</f>
        <v>#N/A</v>
      </c>
      <c r="CH65" s="86" t="e">
        <f>IF(CH$64&gt;Inputs!$B$11*Inputs!$B$16,Inputs!$B$11*Inputs!$B$16/(Inputs!$B$17*12),0)</f>
        <v>#N/A</v>
      </c>
      <c r="CI65" s="86" t="e">
        <f>IF(CI$64&gt;Inputs!$B$11*Inputs!$B$16,Inputs!$B$11*Inputs!$B$16/(Inputs!$B$17*12),0)</f>
        <v>#N/A</v>
      </c>
      <c r="CJ65" s="86" t="e">
        <f>IF(CJ$64&gt;Inputs!$B$11*Inputs!$B$16,Inputs!$B$11*Inputs!$B$16/(Inputs!$B$17*12),0)</f>
        <v>#N/A</v>
      </c>
      <c r="CK65" s="86" t="e">
        <f>IF(CK$64&gt;Inputs!$B$11*Inputs!$B$16,Inputs!$B$11*Inputs!$B$16/(Inputs!$B$17*12),0)</f>
        <v>#N/A</v>
      </c>
      <c r="CL65" s="86" t="e">
        <f>IF(CL$64&gt;Inputs!$B$11*Inputs!$B$16,Inputs!$B$11*Inputs!$B$16/(Inputs!$B$17*12),0)</f>
        <v>#N/A</v>
      </c>
      <c r="CM65" s="86" t="e">
        <f>IF(CM$64&gt;Inputs!$B$11*Inputs!$B$16,Inputs!$B$11*Inputs!$B$16/(Inputs!$B$17*12),0)</f>
        <v>#N/A</v>
      </c>
      <c r="CN65" s="87" t="e">
        <f t="shared" ref="CN65" si="1258">SUM(CB65:CM65)</f>
        <v>#N/A</v>
      </c>
      <c r="CO65" s="86" t="e">
        <f>IF(CO$64&gt;Inputs!$B$11*Inputs!$B$16,Inputs!$B$11*Inputs!$B$16/(Inputs!$B$17*12),0)</f>
        <v>#N/A</v>
      </c>
      <c r="CP65" s="86" t="e">
        <f>IF(CP$64&gt;Inputs!$B$11*Inputs!$B$16,Inputs!$B$11*Inputs!$B$16/(Inputs!$B$17*12),0)</f>
        <v>#N/A</v>
      </c>
      <c r="CQ65" s="86" t="e">
        <f>IF(CQ$64&gt;Inputs!$B$11*Inputs!$B$16,Inputs!$B$11*Inputs!$B$16/(Inputs!$B$17*12),0)</f>
        <v>#N/A</v>
      </c>
      <c r="CR65" s="86" t="e">
        <f>IF(CR$64&gt;Inputs!$B$11*Inputs!$B$16,Inputs!$B$11*Inputs!$B$16/(Inputs!$B$17*12),0)</f>
        <v>#N/A</v>
      </c>
      <c r="CS65" s="86" t="e">
        <f>IF(CS$64&gt;Inputs!$B$11*Inputs!$B$16,Inputs!$B$11*Inputs!$B$16/(Inputs!$B$17*12),0)</f>
        <v>#N/A</v>
      </c>
      <c r="CT65" s="86" t="e">
        <f>IF(CT$64&gt;Inputs!$B$11*Inputs!$B$16,Inputs!$B$11*Inputs!$B$16/(Inputs!$B$17*12),0)</f>
        <v>#N/A</v>
      </c>
      <c r="CU65" s="86" t="e">
        <f>IF(CU$64&gt;Inputs!$B$11*Inputs!$B$16,Inputs!$B$11*Inputs!$B$16/(Inputs!$B$17*12),0)</f>
        <v>#N/A</v>
      </c>
      <c r="CV65" s="86" t="e">
        <f>IF(CV$64&gt;Inputs!$B$11*Inputs!$B$16,Inputs!$B$11*Inputs!$B$16/(Inputs!$B$17*12),0)</f>
        <v>#N/A</v>
      </c>
      <c r="CW65" s="86" t="e">
        <f>IF(CW$64&gt;Inputs!$B$11*Inputs!$B$16,Inputs!$B$11*Inputs!$B$16/(Inputs!$B$17*12),0)</f>
        <v>#N/A</v>
      </c>
      <c r="CX65" s="86" t="e">
        <f>IF(CX$64&gt;Inputs!$B$11*Inputs!$B$16,Inputs!$B$11*Inputs!$B$16/(Inputs!$B$17*12),0)</f>
        <v>#N/A</v>
      </c>
      <c r="CY65" s="86" t="e">
        <f>IF(CY$64&gt;Inputs!$B$11*Inputs!$B$16,Inputs!$B$11*Inputs!$B$16/(Inputs!$B$17*12),0)</f>
        <v>#N/A</v>
      </c>
      <c r="CZ65" s="86" t="e">
        <f>IF(CZ$64&gt;Inputs!$B$11*Inputs!$B$16,Inputs!$B$11*Inputs!$B$16/(Inputs!$B$17*12),0)</f>
        <v>#N/A</v>
      </c>
      <c r="DA65" s="87" t="e">
        <f t="shared" ref="DA65" si="1259">SUM(CO65:CZ65)</f>
        <v>#N/A</v>
      </c>
      <c r="DB65" s="86" t="e">
        <f>IF(DB$64&gt;Inputs!$B$11*Inputs!$B$16,Inputs!$B$11*Inputs!$B$16/(Inputs!$B$17*12),0)</f>
        <v>#N/A</v>
      </c>
      <c r="DC65" s="86" t="e">
        <f>IF(DC$64&gt;Inputs!$B$11*Inputs!$B$16,Inputs!$B$11*Inputs!$B$16/(Inputs!$B$17*12),0)</f>
        <v>#N/A</v>
      </c>
      <c r="DD65" s="86" t="e">
        <f>IF(DD$64&gt;Inputs!$B$11*Inputs!$B$16,Inputs!$B$11*Inputs!$B$16/(Inputs!$B$17*12),0)</f>
        <v>#N/A</v>
      </c>
      <c r="DE65" s="86" t="e">
        <f>IF(DE$64&gt;Inputs!$B$11*Inputs!$B$16,Inputs!$B$11*Inputs!$B$16/(Inputs!$B$17*12),0)</f>
        <v>#N/A</v>
      </c>
      <c r="DF65" s="86" t="e">
        <f>IF(DF$64&gt;Inputs!$B$11*Inputs!$B$16,Inputs!$B$11*Inputs!$B$16/(Inputs!$B$17*12),0)</f>
        <v>#N/A</v>
      </c>
      <c r="DG65" s="86" t="e">
        <f>IF(DG$64&gt;Inputs!$B$11*Inputs!$B$16,Inputs!$B$11*Inputs!$B$16/(Inputs!$B$17*12),0)</f>
        <v>#N/A</v>
      </c>
      <c r="DH65" s="86" t="e">
        <f>IF(DH$64&gt;Inputs!$B$11*Inputs!$B$16,Inputs!$B$11*Inputs!$B$16/(Inputs!$B$17*12),0)</f>
        <v>#N/A</v>
      </c>
      <c r="DI65" s="86" t="e">
        <f>IF(DI$64&gt;Inputs!$B$11*Inputs!$B$16,Inputs!$B$11*Inputs!$B$16/(Inputs!$B$17*12),0)</f>
        <v>#N/A</v>
      </c>
      <c r="DJ65" s="86" t="e">
        <f>IF(DJ$64&gt;Inputs!$B$11*Inputs!$B$16,Inputs!$B$11*Inputs!$B$16/(Inputs!$B$17*12),0)</f>
        <v>#N/A</v>
      </c>
      <c r="DK65" s="86" t="e">
        <f>IF(DK$64&gt;Inputs!$B$11*Inputs!$B$16,Inputs!$B$11*Inputs!$B$16/(Inputs!$B$17*12),0)</f>
        <v>#N/A</v>
      </c>
      <c r="DL65" s="86" t="e">
        <f>IF(DL$64&gt;Inputs!$B$11*Inputs!$B$16,Inputs!$B$11*Inputs!$B$16/(Inputs!$B$17*12),0)</f>
        <v>#N/A</v>
      </c>
      <c r="DM65" s="86" t="e">
        <f>IF(DM$64&gt;Inputs!$B$11*Inputs!$B$16,Inputs!$B$11*Inputs!$B$16/(Inputs!$B$17*12),0)</f>
        <v>#N/A</v>
      </c>
      <c r="DN65" s="87" t="e">
        <f t="shared" ref="DN65" si="1260">SUM(DB65:DM65)</f>
        <v>#N/A</v>
      </c>
      <c r="DO65" s="86" t="e">
        <f>IF(DO$64&gt;Inputs!$B$11*Inputs!$B$16,Inputs!$B$11*Inputs!$B$16/(Inputs!$B$17*12),0)</f>
        <v>#N/A</v>
      </c>
      <c r="DP65" s="86" t="e">
        <f>IF(DP$64&gt;Inputs!$B$11*Inputs!$B$16,Inputs!$B$11*Inputs!$B$16/(Inputs!$B$17*12),0)</f>
        <v>#N/A</v>
      </c>
      <c r="DQ65" s="86" t="e">
        <f>IF(DQ$64&gt;Inputs!$B$11*Inputs!$B$16,Inputs!$B$11*Inputs!$B$16/(Inputs!$B$17*12),0)</f>
        <v>#N/A</v>
      </c>
      <c r="DR65" s="86" t="e">
        <f>IF(DR$64&gt;Inputs!$B$11*Inputs!$B$16,Inputs!$B$11*Inputs!$B$16/(Inputs!$B$17*12),0)</f>
        <v>#N/A</v>
      </c>
      <c r="DS65" s="86" t="e">
        <f>IF(DS$64&gt;Inputs!$B$11*Inputs!$B$16,Inputs!$B$11*Inputs!$B$16/(Inputs!$B$17*12),0)</f>
        <v>#N/A</v>
      </c>
      <c r="DT65" s="86" t="e">
        <f>IF(DT$64&gt;Inputs!$B$11*Inputs!$B$16,Inputs!$B$11*Inputs!$B$16/(Inputs!$B$17*12),0)</f>
        <v>#N/A</v>
      </c>
      <c r="DU65" s="86" t="e">
        <f>IF(DU$64&gt;Inputs!$B$11*Inputs!$B$16,Inputs!$B$11*Inputs!$B$16/(Inputs!$B$17*12),0)</f>
        <v>#N/A</v>
      </c>
      <c r="DV65" s="86" t="e">
        <f>IF(DV$64&gt;Inputs!$B$11*Inputs!$B$16,Inputs!$B$11*Inputs!$B$16/(Inputs!$B$17*12),0)</f>
        <v>#N/A</v>
      </c>
      <c r="DW65" s="86" t="e">
        <f>IF(DW$64&gt;Inputs!$B$11*Inputs!$B$16,Inputs!$B$11*Inputs!$B$16/(Inputs!$B$17*12),0)</f>
        <v>#N/A</v>
      </c>
      <c r="DX65" s="86" t="e">
        <f>IF(DX$64&gt;Inputs!$B$11*Inputs!$B$16,Inputs!$B$11*Inputs!$B$16/(Inputs!$B$17*12),0)</f>
        <v>#N/A</v>
      </c>
      <c r="DY65" s="86" t="e">
        <f>IF(DY$64&gt;Inputs!$B$11*Inputs!$B$16,Inputs!$B$11*Inputs!$B$16/(Inputs!$B$17*12),0)</f>
        <v>#N/A</v>
      </c>
      <c r="DZ65" s="86" t="e">
        <f>IF(DZ$64&gt;Inputs!$B$11*Inputs!$B$16,Inputs!$B$11*Inputs!$B$16/(Inputs!$B$17*12),0)</f>
        <v>#N/A</v>
      </c>
      <c r="EA65" s="87" t="e">
        <f t="shared" ref="EA65" si="1261">SUM(DO65:DZ65)</f>
        <v>#N/A</v>
      </c>
      <c r="EB65" s="86" t="e">
        <f>IF(EB$64&gt;Inputs!$B$11*Inputs!$B$16,Inputs!$B$11*Inputs!$B$16/(Inputs!$B$17*12),0)</f>
        <v>#N/A</v>
      </c>
      <c r="EC65" s="86" t="e">
        <f>IF(EC$64&gt;Inputs!$B$11*Inputs!$B$16,Inputs!$B$11*Inputs!$B$16/(Inputs!$B$17*12),0)</f>
        <v>#N/A</v>
      </c>
      <c r="ED65" s="86" t="e">
        <f>IF(ED$64&gt;Inputs!$B$11*Inputs!$B$16,Inputs!$B$11*Inputs!$B$16/(Inputs!$B$17*12),0)</f>
        <v>#N/A</v>
      </c>
      <c r="EE65" s="86" t="e">
        <f>IF(EE$64&gt;Inputs!$B$11*Inputs!$B$16,Inputs!$B$11*Inputs!$B$16/(Inputs!$B$17*12),0)</f>
        <v>#N/A</v>
      </c>
      <c r="EF65" s="86" t="e">
        <f>IF(EF$64&gt;Inputs!$B$11*Inputs!$B$16,Inputs!$B$11*Inputs!$B$16/(Inputs!$B$17*12),0)</f>
        <v>#N/A</v>
      </c>
      <c r="EG65" s="86" t="e">
        <f>IF(EG$64&gt;Inputs!$B$11*Inputs!$B$16,Inputs!$B$11*Inputs!$B$16/(Inputs!$B$17*12),0)</f>
        <v>#N/A</v>
      </c>
      <c r="EH65" s="86" t="e">
        <f>IF(EH$64&gt;Inputs!$B$11*Inputs!$B$16,Inputs!$B$11*Inputs!$B$16/(Inputs!$B$17*12),0)</f>
        <v>#N/A</v>
      </c>
      <c r="EI65" s="86" t="e">
        <f>IF(EI$64&gt;Inputs!$B$11*Inputs!$B$16,Inputs!$B$11*Inputs!$B$16/(Inputs!$B$17*12),0)</f>
        <v>#N/A</v>
      </c>
      <c r="EJ65" s="86" t="e">
        <f>IF(EJ$64&gt;Inputs!$B$11*Inputs!$B$16,Inputs!$B$11*Inputs!$B$16/(Inputs!$B$17*12),0)</f>
        <v>#N/A</v>
      </c>
      <c r="EK65" s="86" t="e">
        <f>IF(EK$64&gt;Inputs!$B$11*Inputs!$B$16,Inputs!$B$11*Inputs!$B$16/(Inputs!$B$17*12),0)</f>
        <v>#N/A</v>
      </c>
      <c r="EL65" s="86" t="e">
        <f>IF(EL$64&gt;Inputs!$B$11*Inputs!$B$16,Inputs!$B$11*Inputs!$B$16/(Inputs!$B$17*12),0)</f>
        <v>#N/A</v>
      </c>
      <c r="EM65" s="86" t="e">
        <f>IF(EM$64&gt;Inputs!$B$11*Inputs!$B$16,Inputs!$B$11*Inputs!$B$16/(Inputs!$B$17*12),0)</f>
        <v>#N/A</v>
      </c>
      <c r="EN65" s="87" t="e">
        <f t="shared" ref="EN65" si="1262">SUM(EB65:EM65)</f>
        <v>#N/A</v>
      </c>
      <c r="EO65" s="86" t="e">
        <f>IF(EO$64&gt;Inputs!$B$11*Inputs!$B$16,Inputs!$B$11*Inputs!$B$16/(Inputs!$B$17*12),0)</f>
        <v>#N/A</v>
      </c>
      <c r="EP65" s="86" t="e">
        <f>IF(EP$64&gt;Inputs!$B$11*Inputs!$B$16,Inputs!$B$11*Inputs!$B$16/(Inputs!$B$17*12),0)</f>
        <v>#N/A</v>
      </c>
      <c r="EQ65" s="86" t="e">
        <f>IF(EQ$64&gt;Inputs!$B$11*Inputs!$B$16,Inputs!$B$11*Inputs!$B$16/(Inputs!$B$17*12),0)</f>
        <v>#N/A</v>
      </c>
      <c r="ER65" s="86" t="e">
        <f>IF(ER$64&gt;Inputs!$B$11*Inputs!$B$16,Inputs!$B$11*Inputs!$B$16/(Inputs!$B$17*12),0)</f>
        <v>#N/A</v>
      </c>
      <c r="ES65" s="86" t="e">
        <f>IF(ES$64&gt;Inputs!$B$11*Inputs!$B$16,Inputs!$B$11*Inputs!$B$16/(Inputs!$B$17*12),0)</f>
        <v>#N/A</v>
      </c>
      <c r="ET65" s="86" t="e">
        <f>IF(ET$64&gt;Inputs!$B$11*Inputs!$B$16,Inputs!$B$11*Inputs!$B$16/(Inputs!$B$17*12),0)</f>
        <v>#N/A</v>
      </c>
      <c r="EU65" s="86" t="e">
        <f>IF(EU$64&gt;Inputs!$B$11*Inputs!$B$16,Inputs!$B$11*Inputs!$B$16/(Inputs!$B$17*12),0)</f>
        <v>#N/A</v>
      </c>
      <c r="EV65" s="86" t="e">
        <f>IF(EV$64&gt;Inputs!$B$11*Inputs!$B$16,Inputs!$B$11*Inputs!$B$16/(Inputs!$B$17*12),0)</f>
        <v>#N/A</v>
      </c>
      <c r="EW65" s="86" t="e">
        <f>IF(EW$64&gt;Inputs!$B$11*Inputs!$B$16,Inputs!$B$11*Inputs!$B$16/(Inputs!$B$17*12),0)</f>
        <v>#N/A</v>
      </c>
      <c r="EX65" s="86" t="e">
        <f>IF(EX$64&gt;Inputs!$B$11*Inputs!$B$16,Inputs!$B$11*Inputs!$B$16/(Inputs!$B$17*12),0)</f>
        <v>#N/A</v>
      </c>
      <c r="EY65" s="86" t="e">
        <f>IF(EY$64&gt;Inputs!$B$11*Inputs!$B$16,Inputs!$B$11*Inputs!$B$16/(Inputs!$B$17*12),0)</f>
        <v>#N/A</v>
      </c>
      <c r="EZ65" s="86" t="e">
        <f>IF(EZ$64&gt;Inputs!$B$11*Inputs!$B$16,Inputs!$B$11*Inputs!$B$16/(Inputs!$B$17*12),0)</f>
        <v>#N/A</v>
      </c>
      <c r="FA65" s="87" t="e">
        <f t="shared" ref="FA65" si="1263">SUM(EO65:EZ65)</f>
        <v>#N/A</v>
      </c>
      <c r="FB65" s="86" t="e">
        <f>IF(FB$64&gt;Inputs!$B$11*Inputs!$B$16,Inputs!$B$11*Inputs!$B$16/(Inputs!$B$17*12),0)</f>
        <v>#N/A</v>
      </c>
      <c r="FC65" s="86" t="e">
        <f>IF(FC$64&gt;Inputs!$B$11*Inputs!$B$16,Inputs!$B$11*Inputs!$B$16/(Inputs!$B$17*12),0)</f>
        <v>#N/A</v>
      </c>
      <c r="FD65" s="86" t="e">
        <f>IF(FD$64&gt;Inputs!$B$11*Inputs!$B$16,Inputs!$B$11*Inputs!$B$16/(Inputs!$B$17*12),0)</f>
        <v>#N/A</v>
      </c>
      <c r="FE65" s="86" t="e">
        <f>IF(FE$64&gt;Inputs!$B$11*Inputs!$B$16,Inputs!$B$11*Inputs!$B$16/(Inputs!$B$17*12),0)</f>
        <v>#N/A</v>
      </c>
      <c r="FF65" s="86" t="e">
        <f>IF(FF$64&gt;Inputs!$B$11*Inputs!$B$16,Inputs!$B$11*Inputs!$B$16/(Inputs!$B$17*12),0)</f>
        <v>#N/A</v>
      </c>
      <c r="FG65" s="86" t="e">
        <f>IF(FG$64&gt;Inputs!$B$11*Inputs!$B$16,Inputs!$B$11*Inputs!$B$16/(Inputs!$B$17*12),0)</f>
        <v>#N/A</v>
      </c>
      <c r="FH65" s="86" t="e">
        <f>IF(FH$64&gt;Inputs!$B$11*Inputs!$B$16,Inputs!$B$11*Inputs!$B$16/(Inputs!$B$17*12),0)</f>
        <v>#N/A</v>
      </c>
      <c r="FI65" s="86" t="e">
        <f>IF(FI$64&gt;Inputs!$B$11*Inputs!$B$16,Inputs!$B$11*Inputs!$B$16/(Inputs!$B$17*12),0)</f>
        <v>#N/A</v>
      </c>
      <c r="FJ65" s="86" t="e">
        <f>IF(FJ$64&gt;Inputs!$B$11*Inputs!$B$16,Inputs!$B$11*Inputs!$B$16/(Inputs!$B$17*12),0)</f>
        <v>#N/A</v>
      </c>
      <c r="FK65" s="86" t="e">
        <f>IF(FK$64&gt;Inputs!$B$11*Inputs!$B$16,Inputs!$B$11*Inputs!$B$16/(Inputs!$B$17*12),0)</f>
        <v>#N/A</v>
      </c>
      <c r="FL65" s="86" t="e">
        <f>IF(FL$64&gt;Inputs!$B$11*Inputs!$B$16,Inputs!$B$11*Inputs!$B$16/(Inputs!$B$17*12),0)</f>
        <v>#N/A</v>
      </c>
      <c r="FM65" s="86" t="e">
        <f>IF(FM$64&gt;Inputs!$B$11*Inputs!$B$16,Inputs!$B$11*Inputs!$B$16/(Inputs!$B$17*12),0)</f>
        <v>#N/A</v>
      </c>
      <c r="FN65" s="87" t="e">
        <f t="shared" ref="FN65" si="1264">SUM(FB65:FM65)</f>
        <v>#N/A</v>
      </c>
      <c r="FO65" s="86" t="e">
        <f>IF(FO$64&gt;Inputs!$B$11*Inputs!$B$16,Inputs!$B$11*Inputs!$B$16/(Inputs!$B$17*12),0)</f>
        <v>#N/A</v>
      </c>
      <c r="FP65" s="86" t="e">
        <f>IF(FP$64&gt;Inputs!$B$11*Inputs!$B$16,Inputs!$B$11*Inputs!$B$16/(Inputs!$B$17*12),0)</f>
        <v>#N/A</v>
      </c>
      <c r="FQ65" s="86" t="e">
        <f>IF(FQ$64&gt;Inputs!$B$11*Inputs!$B$16,Inputs!$B$11*Inputs!$B$16/(Inputs!$B$17*12),0)</f>
        <v>#N/A</v>
      </c>
      <c r="FR65" s="86" t="e">
        <f>IF(FR$64&gt;Inputs!$B$11*Inputs!$B$16,Inputs!$B$11*Inputs!$B$16/(Inputs!$B$17*12),0)</f>
        <v>#N/A</v>
      </c>
      <c r="FS65" s="86" t="e">
        <f>IF(FS$64&gt;Inputs!$B$11*Inputs!$B$16,Inputs!$B$11*Inputs!$B$16/(Inputs!$B$17*12),0)</f>
        <v>#N/A</v>
      </c>
      <c r="FT65" s="86" t="e">
        <f>IF(FT$64&gt;Inputs!$B$11*Inputs!$B$16,Inputs!$B$11*Inputs!$B$16/(Inputs!$B$17*12),0)</f>
        <v>#N/A</v>
      </c>
      <c r="FU65" s="86" t="e">
        <f>IF(FU$64&gt;Inputs!$B$11*Inputs!$B$16,Inputs!$B$11*Inputs!$B$16/(Inputs!$B$17*12),0)</f>
        <v>#N/A</v>
      </c>
      <c r="FV65" s="86" t="e">
        <f>IF(FV$64&gt;Inputs!$B$11*Inputs!$B$16,Inputs!$B$11*Inputs!$B$16/(Inputs!$B$17*12),0)</f>
        <v>#N/A</v>
      </c>
      <c r="FW65" s="86" t="e">
        <f>IF(FW$64&gt;Inputs!$B$11*Inputs!$B$16,Inputs!$B$11*Inputs!$B$16/(Inputs!$B$17*12),0)</f>
        <v>#N/A</v>
      </c>
      <c r="FX65" s="86" t="e">
        <f>IF(FX$64&gt;Inputs!$B$11*Inputs!$B$16,Inputs!$B$11*Inputs!$B$16/(Inputs!$B$17*12),0)</f>
        <v>#N/A</v>
      </c>
      <c r="FY65" s="86" t="e">
        <f>IF(FY$64&gt;Inputs!$B$11*Inputs!$B$16,Inputs!$B$11*Inputs!$B$16/(Inputs!$B$17*12),0)</f>
        <v>#N/A</v>
      </c>
      <c r="FZ65" s="86" t="e">
        <f>IF(FZ$64&gt;Inputs!$B$11*Inputs!$B$16,Inputs!$B$11*Inputs!$B$16/(Inputs!$B$17*12),0)</f>
        <v>#N/A</v>
      </c>
      <c r="GA65" s="87" t="e">
        <f t="shared" ref="GA65" si="1265">SUM(FO65:FZ65)</f>
        <v>#N/A</v>
      </c>
      <c r="GB65" s="86" t="e">
        <f>IF(GB$64&gt;Inputs!$B$11*Inputs!$B$16,Inputs!$B$11*Inputs!$B$16/(Inputs!$B$17*12),0)</f>
        <v>#N/A</v>
      </c>
      <c r="GC65" s="86" t="e">
        <f>IF(GC$64&gt;Inputs!$B$11*Inputs!$B$16,Inputs!$B$11*Inputs!$B$16/(Inputs!$B$17*12),0)</f>
        <v>#N/A</v>
      </c>
      <c r="GD65" s="86" t="e">
        <f>IF(GD$64&gt;Inputs!$B$11*Inputs!$B$16,Inputs!$B$11*Inputs!$B$16/(Inputs!$B$17*12),0)</f>
        <v>#N/A</v>
      </c>
      <c r="GE65" s="86" t="e">
        <f>IF(GE$64&gt;Inputs!$B$11*Inputs!$B$16,Inputs!$B$11*Inputs!$B$16/(Inputs!$B$17*12),0)</f>
        <v>#N/A</v>
      </c>
      <c r="GF65" s="86" t="e">
        <f>IF(GF$64&gt;Inputs!$B$11*Inputs!$B$16,Inputs!$B$11*Inputs!$B$16/(Inputs!$B$17*12),0)</f>
        <v>#N/A</v>
      </c>
      <c r="GG65" s="86" t="e">
        <f>IF(GG$64&gt;Inputs!$B$11*Inputs!$B$16,Inputs!$B$11*Inputs!$B$16/(Inputs!$B$17*12),0)</f>
        <v>#N/A</v>
      </c>
      <c r="GH65" s="86" t="e">
        <f>IF(GH$64&gt;Inputs!$B$11*Inputs!$B$16,Inputs!$B$11*Inputs!$B$16/(Inputs!$B$17*12),0)</f>
        <v>#N/A</v>
      </c>
      <c r="GI65" s="86" t="e">
        <f>IF(GI$64&gt;Inputs!$B$11*Inputs!$B$16,Inputs!$B$11*Inputs!$B$16/(Inputs!$B$17*12),0)</f>
        <v>#N/A</v>
      </c>
      <c r="GJ65" s="86" t="e">
        <f>IF(GJ$64&gt;Inputs!$B$11*Inputs!$B$16,Inputs!$B$11*Inputs!$B$16/(Inputs!$B$17*12),0)</f>
        <v>#N/A</v>
      </c>
      <c r="GK65" s="86" t="e">
        <f>IF(GK$64&gt;Inputs!$B$11*Inputs!$B$16,Inputs!$B$11*Inputs!$B$16/(Inputs!$B$17*12),0)</f>
        <v>#N/A</v>
      </c>
      <c r="GL65" s="86" t="e">
        <f>IF(GL$64&gt;Inputs!$B$11*Inputs!$B$16,Inputs!$B$11*Inputs!$B$16/(Inputs!$B$17*12),0)</f>
        <v>#N/A</v>
      </c>
      <c r="GM65" s="86" t="e">
        <f>IF(GM$64&gt;Inputs!$B$11*Inputs!$B$16,Inputs!$B$11*Inputs!$B$16/(Inputs!$B$17*12),0)</f>
        <v>#N/A</v>
      </c>
      <c r="GN65" s="87" t="e">
        <f t="shared" ref="GN65" si="1266">SUM(GB65:GM65)</f>
        <v>#N/A</v>
      </c>
      <c r="GO65" s="86" t="e">
        <f>IF(GO$64&gt;Inputs!$B$11*Inputs!$B$16,Inputs!$B$11*Inputs!$B$16/(Inputs!$B$17*12),0)</f>
        <v>#N/A</v>
      </c>
      <c r="GP65" s="86" t="e">
        <f>IF(GP$64&gt;Inputs!$B$11*Inputs!$B$16,Inputs!$B$11*Inputs!$B$16/(Inputs!$B$17*12),0)</f>
        <v>#N/A</v>
      </c>
      <c r="GQ65" s="86" t="e">
        <f>IF(GQ$64&gt;Inputs!$B$11*Inputs!$B$16,Inputs!$B$11*Inputs!$B$16/(Inputs!$B$17*12),0)</f>
        <v>#N/A</v>
      </c>
      <c r="GR65" s="86" t="e">
        <f>IF(GR$64&gt;Inputs!$B$11*Inputs!$B$16,Inputs!$B$11*Inputs!$B$16/(Inputs!$B$17*12),0)</f>
        <v>#N/A</v>
      </c>
      <c r="GS65" s="86" t="e">
        <f>IF(GS$64&gt;Inputs!$B$11*Inputs!$B$16,Inputs!$B$11*Inputs!$B$16/(Inputs!$B$17*12),0)</f>
        <v>#N/A</v>
      </c>
      <c r="GT65" s="86" t="e">
        <f>IF(GT$64&gt;Inputs!$B$11*Inputs!$B$16,Inputs!$B$11*Inputs!$B$16/(Inputs!$B$17*12),0)</f>
        <v>#N/A</v>
      </c>
      <c r="GU65" s="86" t="e">
        <f>IF(GU$64&gt;Inputs!$B$11*Inputs!$B$16,Inputs!$B$11*Inputs!$B$16/(Inputs!$B$17*12),0)</f>
        <v>#N/A</v>
      </c>
      <c r="GV65" s="86" t="e">
        <f>IF(GV$64&gt;Inputs!$B$11*Inputs!$B$16,Inputs!$B$11*Inputs!$B$16/(Inputs!$B$17*12),0)</f>
        <v>#N/A</v>
      </c>
      <c r="GW65" s="86" t="e">
        <f>IF(GW$64&gt;Inputs!$B$11*Inputs!$B$16,Inputs!$B$11*Inputs!$B$16/(Inputs!$B$17*12),0)</f>
        <v>#N/A</v>
      </c>
      <c r="GX65" s="86" t="e">
        <f>IF(GX$64&gt;Inputs!$B$11*Inputs!$B$16,Inputs!$B$11*Inputs!$B$16/(Inputs!$B$17*12),0)</f>
        <v>#N/A</v>
      </c>
      <c r="GY65" s="86" t="e">
        <f>IF(GY$64&gt;Inputs!$B$11*Inputs!$B$16,Inputs!$B$11*Inputs!$B$16/(Inputs!$B$17*12),0)</f>
        <v>#N/A</v>
      </c>
      <c r="GZ65" s="86" t="e">
        <f>IF(GZ$64&gt;Inputs!$B$11*Inputs!$B$16,Inputs!$B$11*Inputs!$B$16/(Inputs!$B$17*12),0)</f>
        <v>#N/A</v>
      </c>
      <c r="HA65" s="87" t="e">
        <f t="shared" ref="HA65" si="1267">SUM(GO65:GZ65)</f>
        <v>#N/A</v>
      </c>
      <c r="HB65" s="86" t="e">
        <f>IF(HB$64&gt;Inputs!$B$11*Inputs!$B$16,Inputs!$B$11*Inputs!$B$16/(Inputs!$B$17*12),0)</f>
        <v>#N/A</v>
      </c>
      <c r="HC65" s="86" t="e">
        <f>IF(HC$64&gt;Inputs!$B$11*Inputs!$B$16,Inputs!$B$11*Inputs!$B$16/(Inputs!$B$17*12),0)</f>
        <v>#N/A</v>
      </c>
      <c r="HD65" s="86" t="e">
        <f>IF(HD$64&gt;Inputs!$B$11*Inputs!$B$16,Inputs!$B$11*Inputs!$B$16/(Inputs!$B$17*12),0)</f>
        <v>#N/A</v>
      </c>
      <c r="HE65" s="86" t="e">
        <f>IF(HE$64&gt;Inputs!$B$11*Inputs!$B$16,Inputs!$B$11*Inputs!$B$16/(Inputs!$B$17*12),0)</f>
        <v>#N/A</v>
      </c>
      <c r="HF65" s="86" t="e">
        <f>IF(HF$64&gt;Inputs!$B$11*Inputs!$B$16,Inputs!$B$11*Inputs!$B$16/(Inputs!$B$17*12),0)</f>
        <v>#N/A</v>
      </c>
      <c r="HG65" s="86" t="e">
        <f>IF(HG$64&gt;Inputs!$B$11*Inputs!$B$16,Inputs!$B$11*Inputs!$B$16/(Inputs!$B$17*12),0)</f>
        <v>#N/A</v>
      </c>
      <c r="HH65" s="86" t="e">
        <f>IF(HH$64&gt;Inputs!$B$11*Inputs!$B$16,Inputs!$B$11*Inputs!$B$16/(Inputs!$B$17*12),0)</f>
        <v>#N/A</v>
      </c>
      <c r="HI65" s="86" t="e">
        <f>IF(HI$64&gt;Inputs!$B$11*Inputs!$B$16,Inputs!$B$11*Inputs!$B$16/(Inputs!$B$17*12),0)</f>
        <v>#N/A</v>
      </c>
      <c r="HJ65" s="86" t="e">
        <f>IF(HJ$64&gt;Inputs!$B$11*Inputs!$B$16,Inputs!$B$11*Inputs!$B$16/(Inputs!$B$17*12),0)</f>
        <v>#N/A</v>
      </c>
      <c r="HK65" s="86" t="e">
        <f>IF(HK$64&gt;Inputs!$B$11*Inputs!$B$16,Inputs!$B$11*Inputs!$B$16/(Inputs!$B$17*12),0)</f>
        <v>#N/A</v>
      </c>
      <c r="HL65" s="86" t="e">
        <f>IF(HL$64&gt;Inputs!$B$11*Inputs!$B$16,Inputs!$B$11*Inputs!$B$16/(Inputs!$B$17*12),0)</f>
        <v>#N/A</v>
      </c>
      <c r="HM65" s="86" t="e">
        <f>IF(HM$64&gt;Inputs!$B$11*Inputs!$B$16,Inputs!$B$11*Inputs!$B$16/(Inputs!$B$17*12),0)</f>
        <v>#N/A</v>
      </c>
      <c r="HN65" s="87" t="e">
        <f t="shared" ref="HN65" si="1268">SUM(HB65:HM65)</f>
        <v>#N/A</v>
      </c>
      <c r="HO65" s="86" t="e">
        <f>IF(HO$64&gt;Inputs!$B$11*Inputs!$B$16,Inputs!$B$11*Inputs!$B$16/(Inputs!$B$17*12),0)</f>
        <v>#N/A</v>
      </c>
      <c r="HP65" s="86" t="e">
        <f>IF(HP$64&gt;Inputs!$B$11*Inputs!$B$16,Inputs!$B$11*Inputs!$B$16/(Inputs!$B$17*12),0)</f>
        <v>#N/A</v>
      </c>
      <c r="HQ65" s="86" t="e">
        <f>IF(HQ$64&gt;Inputs!$B$11*Inputs!$B$16,Inputs!$B$11*Inputs!$B$16/(Inputs!$B$17*12),0)</f>
        <v>#N/A</v>
      </c>
      <c r="HR65" s="86" t="e">
        <f>IF(HR$64&gt;Inputs!$B$11*Inputs!$B$16,Inputs!$B$11*Inputs!$B$16/(Inputs!$B$17*12),0)</f>
        <v>#N/A</v>
      </c>
      <c r="HS65" s="86" t="e">
        <f>IF(HS$64&gt;Inputs!$B$11*Inputs!$B$16,Inputs!$B$11*Inputs!$B$16/(Inputs!$B$17*12),0)</f>
        <v>#N/A</v>
      </c>
      <c r="HT65" s="86" t="e">
        <f>IF(HT$64&gt;Inputs!$B$11*Inputs!$B$16,Inputs!$B$11*Inputs!$B$16/(Inputs!$B$17*12),0)</f>
        <v>#N/A</v>
      </c>
      <c r="HU65" s="86" t="e">
        <f>IF(HU$64&gt;Inputs!$B$11*Inputs!$B$16,Inputs!$B$11*Inputs!$B$16/(Inputs!$B$17*12),0)</f>
        <v>#N/A</v>
      </c>
      <c r="HV65" s="86" t="e">
        <f>IF(HV$64&gt;Inputs!$B$11*Inputs!$B$16,Inputs!$B$11*Inputs!$B$16/(Inputs!$B$17*12),0)</f>
        <v>#N/A</v>
      </c>
      <c r="HW65" s="86" t="e">
        <f>IF(HW$64&gt;Inputs!$B$11*Inputs!$B$16,Inputs!$B$11*Inputs!$B$16/(Inputs!$B$17*12),0)</f>
        <v>#N/A</v>
      </c>
      <c r="HX65" s="86" t="e">
        <f>IF(HX$64&gt;Inputs!$B$11*Inputs!$B$16,Inputs!$B$11*Inputs!$B$16/(Inputs!$B$17*12),0)</f>
        <v>#N/A</v>
      </c>
      <c r="HY65" s="86" t="e">
        <f>IF(HY$64&gt;Inputs!$B$11*Inputs!$B$16,Inputs!$B$11*Inputs!$B$16/(Inputs!$B$17*12),0)</f>
        <v>#N/A</v>
      </c>
      <c r="HZ65" s="86" t="e">
        <f>IF(HZ$64&gt;Inputs!$B$11*Inputs!$B$16,Inputs!$B$11*Inputs!$B$16/(Inputs!$B$17*12),0)</f>
        <v>#N/A</v>
      </c>
      <c r="IA65" s="87" t="e">
        <f t="shared" ref="IA65" si="1269">SUM(HO65:HZ65)</f>
        <v>#N/A</v>
      </c>
      <c r="IB65" s="86" t="e">
        <f>IF(IB$64&gt;Inputs!$B$11*Inputs!$B$16,Inputs!$B$11*Inputs!$B$16/(Inputs!$B$17*12),0)</f>
        <v>#N/A</v>
      </c>
      <c r="IC65" s="86" t="e">
        <f>IF(IC$64&gt;Inputs!$B$11*Inputs!$B$16,Inputs!$B$11*Inputs!$B$16/(Inputs!$B$17*12),0)</f>
        <v>#N/A</v>
      </c>
      <c r="ID65" s="86" t="e">
        <f>IF(ID$64&gt;Inputs!$B$11*Inputs!$B$16,Inputs!$B$11*Inputs!$B$16/(Inputs!$B$17*12),0)</f>
        <v>#N/A</v>
      </c>
      <c r="IE65" s="86" t="e">
        <f>IF(IE$64&gt;Inputs!$B$11*Inputs!$B$16,Inputs!$B$11*Inputs!$B$16/(Inputs!$B$17*12),0)</f>
        <v>#N/A</v>
      </c>
      <c r="IF65" s="86" t="e">
        <f>IF(IF$64&gt;Inputs!$B$11*Inputs!$B$16,Inputs!$B$11*Inputs!$B$16/(Inputs!$B$17*12),0)</f>
        <v>#N/A</v>
      </c>
      <c r="IG65" s="86" t="e">
        <f>IF(IG$64&gt;Inputs!$B$11*Inputs!$B$16,Inputs!$B$11*Inputs!$B$16/(Inputs!$B$17*12),0)</f>
        <v>#N/A</v>
      </c>
      <c r="IH65" s="86" t="e">
        <f>IF(IH$64&gt;Inputs!$B$11*Inputs!$B$16,Inputs!$B$11*Inputs!$B$16/(Inputs!$B$17*12),0)</f>
        <v>#N/A</v>
      </c>
      <c r="II65" s="86" t="e">
        <f>IF(II$64&gt;Inputs!$B$11*Inputs!$B$16,Inputs!$B$11*Inputs!$B$16/(Inputs!$B$17*12),0)</f>
        <v>#N/A</v>
      </c>
      <c r="IJ65" s="86" t="e">
        <f>IF(IJ$64&gt;Inputs!$B$11*Inputs!$B$16,Inputs!$B$11*Inputs!$B$16/(Inputs!$B$17*12),0)</f>
        <v>#N/A</v>
      </c>
      <c r="IK65" s="86" t="e">
        <f>IF(IK$64&gt;Inputs!$B$11*Inputs!$B$16,Inputs!$B$11*Inputs!$B$16/(Inputs!$B$17*12),0)</f>
        <v>#N/A</v>
      </c>
      <c r="IL65" s="86" t="e">
        <f>IF(IL$64&gt;Inputs!$B$11*Inputs!$B$16,Inputs!$B$11*Inputs!$B$16/(Inputs!$B$17*12),0)</f>
        <v>#N/A</v>
      </c>
      <c r="IM65" s="86" t="e">
        <f>IF(IM$64&gt;Inputs!$B$11*Inputs!$B$16,Inputs!$B$11*Inputs!$B$16/(Inputs!$B$17*12),0)</f>
        <v>#N/A</v>
      </c>
      <c r="IN65" s="87" t="e">
        <f t="shared" ref="IN65" si="1270">SUM(IB65:IM65)</f>
        <v>#N/A</v>
      </c>
      <c r="IO65" s="86" t="e">
        <f>IF(IO$64&gt;Inputs!$B$11*Inputs!$B$16,Inputs!$B$11*Inputs!$B$16/(Inputs!$B$17*12),0)</f>
        <v>#N/A</v>
      </c>
      <c r="IP65" s="86" t="e">
        <f>IF(IP$64&gt;Inputs!$B$11*Inputs!$B$16,Inputs!$B$11*Inputs!$B$16/(Inputs!$B$17*12),0)</f>
        <v>#N/A</v>
      </c>
      <c r="IQ65" s="86" t="e">
        <f>IF(IQ$64&gt;Inputs!$B$11*Inputs!$B$16,Inputs!$B$11*Inputs!$B$16/(Inputs!$B$17*12),0)</f>
        <v>#N/A</v>
      </c>
      <c r="IR65" s="86" t="e">
        <f>IF(IR$64&gt;Inputs!$B$11*Inputs!$B$16,Inputs!$B$11*Inputs!$B$16/(Inputs!$B$17*12),0)</f>
        <v>#N/A</v>
      </c>
      <c r="IS65" s="86" t="e">
        <f>IF(IS$64&gt;Inputs!$B$11*Inputs!$B$16,Inputs!$B$11*Inputs!$B$16/(Inputs!$B$17*12),0)</f>
        <v>#N/A</v>
      </c>
      <c r="IT65" s="86" t="e">
        <f>IF(IT$64&gt;Inputs!$B$11*Inputs!$B$16,Inputs!$B$11*Inputs!$B$16/(Inputs!$B$17*12),0)</f>
        <v>#N/A</v>
      </c>
      <c r="IU65" s="86" t="e">
        <f>IF(IU$64&gt;Inputs!$B$11*Inputs!$B$16,Inputs!$B$11*Inputs!$B$16/(Inputs!$B$17*12),0)</f>
        <v>#N/A</v>
      </c>
      <c r="IV65" s="86" t="e">
        <f>IF(IV$64&gt;Inputs!$B$11*Inputs!$B$16,Inputs!$B$11*Inputs!$B$16/(Inputs!$B$17*12),0)</f>
        <v>#N/A</v>
      </c>
      <c r="IW65" s="86" t="e">
        <f>IF(IW$64&gt;Inputs!$B$11*Inputs!$B$16,Inputs!$B$11*Inputs!$B$16/(Inputs!$B$17*12),0)</f>
        <v>#N/A</v>
      </c>
      <c r="IX65" s="86" t="e">
        <f>IF(IX$64&gt;Inputs!$B$11*Inputs!$B$16,Inputs!$B$11*Inputs!$B$16/(Inputs!$B$17*12),0)</f>
        <v>#N/A</v>
      </c>
      <c r="IY65" s="86" t="e">
        <f>IF(IY$64&gt;Inputs!$B$11*Inputs!$B$16,Inputs!$B$11*Inputs!$B$16/(Inputs!$B$17*12),0)</f>
        <v>#N/A</v>
      </c>
      <c r="IZ65" s="86" t="e">
        <f>IF(IZ$64&gt;Inputs!$B$11*Inputs!$B$16,Inputs!$B$11*Inputs!$B$16/(Inputs!$B$17*12),0)</f>
        <v>#N/A</v>
      </c>
      <c r="JA65" s="87" t="e">
        <f t="shared" ref="JA65" si="1271">SUM(IO65:IZ65)</f>
        <v>#N/A</v>
      </c>
      <c r="JB65" s="86" t="e">
        <f>IF(JB$64&gt;Inputs!$B$11*Inputs!$B$16,Inputs!$B$11*Inputs!$B$16/(Inputs!$B$17*12),0)</f>
        <v>#N/A</v>
      </c>
      <c r="JC65" s="86" t="e">
        <f>IF(JC$64&gt;Inputs!$B$11*Inputs!$B$16,Inputs!$B$11*Inputs!$B$16/(Inputs!$B$17*12),0)</f>
        <v>#N/A</v>
      </c>
      <c r="JD65" s="86" t="e">
        <f>IF(JD$64&gt;Inputs!$B$11*Inputs!$B$16,Inputs!$B$11*Inputs!$B$16/(Inputs!$B$17*12),0)</f>
        <v>#N/A</v>
      </c>
      <c r="JE65" s="86" t="e">
        <f>IF(JE$64&gt;Inputs!$B$11*Inputs!$B$16,Inputs!$B$11*Inputs!$B$16/(Inputs!$B$17*12),0)</f>
        <v>#N/A</v>
      </c>
      <c r="JF65" s="86" t="e">
        <f>IF(JF$64&gt;Inputs!$B$11*Inputs!$B$16,Inputs!$B$11*Inputs!$B$16/(Inputs!$B$17*12),0)</f>
        <v>#N/A</v>
      </c>
      <c r="JG65" s="86" t="e">
        <f>IF(JG$64&gt;Inputs!$B$11*Inputs!$B$16,Inputs!$B$11*Inputs!$B$16/(Inputs!$B$17*12),0)</f>
        <v>#N/A</v>
      </c>
      <c r="JH65" s="86" t="e">
        <f>IF(JH$64&gt;Inputs!$B$11*Inputs!$B$16,Inputs!$B$11*Inputs!$B$16/(Inputs!$B$17*12),0)</f>
        <v>#N/A</v>
      </c>
      <c r="JI65" s="86" t="e">
        <f>IF(JI$64&gt;Inputs!$B$11*Inputs!$B$16,Inputs!$B$11*Inputs!$B$16/(Inputs!$B$17*12),0)</f>
        <v>#N/A</v>
      </c>
      <c r="JJ65" s="86" t="e">
        <f>IF(JJ$64&gt;Inputs!$B$11*Inputs!$B$16,Inputs!$B$11*Inputs!$B$16/(Inputs!$B$17*12),0)</f>
        <v>#N/A</v>
      </c>
      <c r="JK65" s="86" t="e">
        <f>IF(JK$64&gt;Inputs!$B$11*Inputs!$B$16,Inputs!$B$11*Inputs!$B$16/(Inputs!$B$17*12),0)</f>
        <v>#N/A</v>
      </c>
      <c r="JL65" s="86" t="e">
        <f>IF(JL$64&gt;Inputs!$B$11*Inputs!$B$16,Inputs!$B$11*Inputs!$B$16/(Inputs!$B$17*12),0)</f>
        <v>#N/A</v>
      </c>
      <c r="JM65" s="86" t="e">
        <f>IF(JM$64&gt;Inputs!$B$11*Inputs!$B$16,Inputs!$B$11*Inputs!$B$16/(Inputs!$B$17*12),0)</f>
        <v>#N/A</v>
      </c>
      <c r="JN65" s="87" t="e">
        <f t="shared" ref="JN65" si="1272">SUM(JB65:JM65)</f>
        <v>#N/A</v>
      </c>
      <c r="JO65" s="86" t="e">
        <f>IF(JO$64&gt;Inputs!$B$11*Inputs!$B$16,Inputs!$B$11*Inputs!$B$16/(Inputs!$B$17*12),0)</f>
        <v>#N/A</v>
      </c>
      <c r="JP65" s="86" t="e">
        <f>IF(JP$64&gt;Inputs!$B$11*Inputs!$B$16,Inputs!$B$11*Inputs!$B$16/(Inputs!$B$17*12),0)</f>
        <v>#N/A</v>
      </c>
      <c r="JQ65" s="86" t="e">
        <f>IF(JQ$64&gt;Inputs!$B$11*Inputs!$B$16,Inputs!$B$11*Inputs!$B$16/(Inputs!$B$17*12),0)</f>
        <v>#N/A</v>
      </c>
      <c r="JR65" s="86" t="e">
        <f>IF(JR$64&gt;Inputs!$B$11*Inputs!$B$16,Inputs!$B$11*Inputs!$B$16/(Inputs!$B$17*12),0)</f>
        <v>#N/A</v>
      </c>
      <c r="JS65" s="86" t="e">
        <f>IF(JS$64&gt;Inputs!$B$11*Inputs!$B$16,Inputs!$B$11*Inputs!$B$16/(Inputs!$B$17*12),0)</f>
        <v>#N/A</v>
      </c>
      <c r="JT65" s="86" t="e">
        <f>IF(JT$64&gt;Inputs!$B$11*Inputs!$B$16,Inputs!$B$11*Inputs!$B$16/(Inputs!$B$17*12),0)</f>
        <v>#N/A</v>
      </c>
      <c r="JU65" s="86" t="e">
        <f>IF(JU$64&gt;Inputs!$B$11*Inputs!$B$16,Inputs!$B$11*Inputs!$B$16/(Inputs!$B$17*12),0)</f>
        <v>#N/A</v>
      </c>
      <c r="JV65" s="86" t="e">
        <f>IF(JV$64&gt;Inputs!$B$11*Inputs!$B$16,Inputs!$B$11*Inputs!$B$16/(Inputs!$B$17*12),0)</f>
        <v>#N/A</v>
      </c>
      <c r="JW65" s="86" t="e">
        <f>IF(JW$64&gt;Inputs!$B$11*Inputs!$B$16,Inputs!$B$11*Inputs!$B$16/(Inputs!$B$17*12),0)</f>
        <v>#N/A</v>
      </c>
      <c r="JX65" s="86" t="e">
        <f>IF(JX$64&gt;Inputs!$B$11*Inputs!$B$16,Inputs!$B$11*Inputs!$B$16/(Inputs!$B$17*12),0)</f>
        <v>#N/A</v>
      </c>
      <c r="JY65" s="86" t="e">
        <f>IF(JY$64&gt;Inputs!$B$11*Inputs!$B$16,Inputs!$B$11*Inputs!$B$16/(Inputs!$B$17*12),0)</f>
        <v>#N/A</v>
      </c>
      <c r="JZ65" s="86" t="e">
        <f>IF(JZ$64&gt;Inputs!$B$11*Inputs!$B$16,Inputs!$B$11*Inputs!$B$16/(Inputs!$B$17*12),0)</f>
        <v>#N/A</v>
      </c>
      <c r="KA65" s="87" t="e">
        <f t="shared" ref="KA65" si="1273">SUM(JO65:JZ65)</f>
        <v>#N/A</v>
      </c>
      <c r="KB65" s="86" t="e">
        <f>IF(KB$64&gt;Inputs!$B$11*Inputs!$B$16,Inputs!$B$11*Inputs!$B$16/(Inputs!$B$17*12),0)</f>
        <v>#N/A</v>
      </c>
      <c r="KC65" s="86" t="e">
        <f>IF(KC$64&gt;Inputs!$B$11*Inputs!$B$16,Inputs!$B$11*Inputs!$B$16/(Inputs!$B$17*12),0)</f>
        <v>#N/A</v>
      </c>
      <c r="KD65" s="86" t="e">
        <f>IF(KD$64&gt;Inputs!$B$11*Inputs!$B$16,Inputs!$B$11*Inputs!$B$16/(Inputs!$B$17*12),0)</f>
        <v>#N/A</v>
      </c>
      <c r="KE65" s="86" t="e">
        <f>IF(KE$64&gt;Inputs!$B$11*Inputs!$B$16,Inputs!$B$11*Inputs!$B$16/(Inputs!$B$17*12),0)</f>
        <v>#N/A</v>
      </c>
      <c r="KF65" s="86" t="e">
        <f>IF(KF$64&gt;Inputs!$B$11*Inputs!$B$16,Inputs!$B$11*Inputs!$B$16/(Inputs!$B$17*12),0)</f>
        <v>#N/A</v>
      </c>
      <c r="KG65" s="86" t="e">
        <f>IF(KG$64&gt;Inputs!$B$11*Inputs!$B$16,Inputs!$B$11*Inputs!$B$16/(Inputs!$B$17*12),0)</f>
        <v>#N/A</v>
      </c>
      <c r="KH65" s="86" t="e">
        <f>IF(KH$64&gt;Inputs!$B$11*Inputs!$B$16,Inputs!$B$11*Inputs!$B$16/(Inputs!$B$17*12),0)</f>
        <v>#N/A</v>
      </c>
      <c r="KI65" s="86" t="e">
        <f>IF(KI$64&gt;Inputs!$B$11*Inputs!$B$16,Inputs!$B$11*Inputs!$B$16/(Inputs!$B$17*12),0)</f>
        <v>#N/A</v>
      </c>
      <c r="KJ65" s="86" t="e">
        <f>IF(KJ$64&gt;Inputs!$B$11*Inputs!$B$16,Inputs!$B$11*Inputs!$B$16/(Inputs!$B$17*12),0)</f>
        <v>#N/A</v>
      </c>
      <c r="KK65" s="86" t="e">
        <f>IF(KK$64&gt;Inputs!$B$11*Inputs!$B$16,Inputs!$B$11*Inputs!$B$16/(Inputs!$B$17*12),0)</f>
        <v>#N/A</v>
      </c>
      <c r="KL65" s="86" t="e">
        <f>IF(KL$64&gt;Inputs!$B$11*Inputs!$B$16,Inputs!$B$11*Inputs!$B$16/(Inputs!$B$17*12),0)</f>
        <v>#N/A</v>
      </c>
      <c r="KM65" s="86" t="e">
        <f>IF(KM$64&gt;Inputs!$B$11*Inputs!$B$16,Inputs!$B$11*Inputs!$B$16/(Inputs!$B$17*12),0)</f>
        <v>#N/A</v>
      </c>
      <c r="KN65" s="87" t="e">
        <f t="shared" ref="KN65" si="1274">SUM(KB65:KM65)</f>
        <v>#N/A</v>
      </c>
      <c r="KO65" s="86" t="e">
        <f>IF(KO$64&gt;Inputs!$B$11*Inputs!$B$16,Inputs!$B$11*Inputs!$B$16/(Inputs!$B$17*12),0)</f>
        <v>#N/A</v>
      </c>
      <c r="KP65" s="86" t="e">
        <f>IF(KP$64&gt;Inputs!$B$11*Inputs!$B$16,Inputs!$B$11*Inputs!$B$16/(Inputs!$B$17*12),0)</f>
        <v>#N/A</v>
      </c>
      <c r="KQ65" s="86" t="e">
        <f>IF(KQ$64&gt;Inputs!$B$11*Inputs!$B$16,Inputs!$B$11*Inputs!$B$16/(Inputs!$B$17*12),0)</f>
        <v>#N/A</v>
      </c>
      <c r="KR65" s="86" t="e">
        <f>IF(KR$64&gt;Inputs!$B$11*Inputs!$B$16,Inputs!$B$11*Inputs!$B$16/(Inputs!$B$17*12),0)</f>
        <v>#N/A</v>
      </c>
      <c r="KS65" s="86" t="e">
        <f>IF(KS$64&gt;Inputs!$B$11*Inputs!$B$16,Inputs!$B$11*Inputs!$B$16/(Inputs!$B$17*12),0)</f>
        <v>#N/A</v>
      </c>
      <c r="KT65" s="86" t="e">
        <f>IF(KT$64&gt;Inputs!$B$11*Inputs!$B$16,Inputs!$B$11*Inputs!$B$16/(Inputs!$B$17*12),0)</f>
        <v>#N/A</v>
      </c>
      <c r="KU65" s="86" t="e">
        <f>IF(KU$64&gt;Inputs!$B$11*Inputs!$B$16,Inputs!$B$11*Inputs!$B$16/(Inputs!$B$17*12),0)</f>
        <v>#N/A</v>
      </c>
      <c r="KV65" s="86" t="e">
        <f>IF(KV$64&gt;Inputs!$B$11*Inputs!$B$16,Inputs!$B$11*Inputs!$B$16/(Inputs!$B$17*12),0)</f>
        <v>#N/A</v>
      </c>
      <c r="KW65" s="86" t="e">
        <f>IF(KW$64&gt;Inputs!$B$11*Inputs!$B$16,Inputs!$B$11*Inputs!$B$16/(Inputs!$B$17*12),0)</f>
        <v>#N/A</v>
      </c>
      <c r="KX65" s="86" t="e">
        <f>IF(KX$64&gt;Inputs!$B$11*Inputs!$B$16,Inputs!$B$11*Inputs!$B$16/(Inputs!$B$17*12),0)</f>
        <v>#N/A</v>
      </c>
      <c r="KY65" s="86" t="e">
        <f>IF(KY$64&gt;Inputs!$B$11*Inputs!$B$16,Inputs!$B$11*Inputs!$B$16/(Inputs!$B$17*12),0)</f>
        <v>#N/A</v>
      </c>
      <c r="KZ65" s="86" t="e">
        <f>IF(KZ$64&gt;Inputs!$B$11*Inputs!$B$16,Inputs!$B$11*Inputs!$B$16/(Inputs!$B$17*12),0)</f>
        <v>#N/A</v>
      </c>
      <c r="LA65" s="87" t="e">
        <f t="shared" ref="LA65" si="1275">SUM(KO65:KZ65)</f>
        <v>#N/A</v>
      </c>
      <c r="LB65" s="86" t="e">
        <f>IF(LB$64&gt;Inputs!$B$11*Inputs!$B$16,Inputs!$B$11*Inputs!$B$16/(Inputs!$B$17*12),0)</f>
        <v>#N/A</v>
      </c>
      <c r="LC65" s="86" t="e">
        <f>IF(LC$64&gt;Inputs!$B$11*Inputs!$B$16,Inputs!$B$11*Inputs!$B$16/(Inputs!$B$17*12),0)</f>
        <v>#N/A</v>
      </c>
      <c r="LD65" s="86" t="e">
        <f>IF(LD$64&gt;Inputs!$B$11*Inputs!$B$16,Inputs!$B$11*Inputs!$B$16/(Inputs!$B$17*12),0)</f>
        <v>#N/A</v>
      </c>
      <c r="LE65" s="86" t="e">
        <f>IF(LE$64&gt;Inputs!$B$11*Inputs!$B$16,Inputs!$B$11*Inputs!$B$16/(Inputs!$B$17*12),0)</f>
        <v>#N/A</v>
      </c>
      <c r="LF65" s="86" t="e">
        <f>IF(LF$64&gt;Inputs!$B$11*Inputs!$B$16,Inputs!$B$11*Inputs!$B$16/(Inputs!$B$17*12),0)</f>
        <v>#N/A</v>
      </c>
      <c r="LG65" s="86" t="e">
        <f>IF(LG$64&gt;Inputs!$B$11*Inputs!$B$16,Inputs!$B$11*Inputs!$B$16/(Inputs!$B$17*12),0)</f>
        <v>#N/A</v>
      </c>
      <c r="LH65" s="86" t="e">
        <f>IF(LH$64&gt;Inputs!$B$11*Inputs!$B$16,Inputs!$B$11*Inputs!$B$16/(Inputs!$B$17*12),0)</f>
        <v>#N/A</v>
      </c>
      <c r="LI65" s="86" t="e">
        <f>IF(LI$64&gt;Inputs!$B$11*Inputs!$B$16,Inputs!$B$11*Inputs!$B$16/(Inputs!$B$17*12),0)</f>
        <v>#N/A</v>
      </c>
      <c r="LJ65" s="86" t="e">
        <f>IF(LJ$64&gt;Inputs!$B$11*Inputs!$B$16,Inputs!$B$11*Inputs!$B$16/(Inputs!$B$17*12),0)</f>
        <v>#N/A</v>
      </c>
      <c r="LK65" s="86" t="e">
        <f>IF(LK$64&gt;Inputs!$B$11*Inputs!$B$16,Inputs!$B$11*Inputs!$B$16/(Inputs!$B$17*12),0)</f>
        <v>#N/A</v>
      </c>
      <c r="LL65" s="86" t="e">
        <f>IF(LL$64&gt;Inputs!$B$11*Inputs!$B$16,Inputs!$B$11*Inputs!$B$16/(Inputs!$B$17*12),0)</f>
        <v>#N/A</v>
      </c>
      <c r="LM65" s="86" t="e">
        <f>IF(LM$64&gt;Inputs!$B$11*Inputs!$B$16,Inputs!$B$11*Inputs!$B$16/(Inputs!$B$17*12),0)</f>
        <v>#N/A</v>
      </c>
      <c r="LN65" s="87" t="e">
        <f t="shared" ref="LN65" si="1276">SUM(LB65:LM65)</f>
        <v>#N/A</v>
      </c>
      <c r="LO65" s="86" t="e">
        <f>IF(LO$64&gt;Inputs!$B$11*Inputs!$B$16,Inputs!$B$11*Inputs!$B$16/(Inputs!$B$17*12),0)</f>
        <v>#N/A</v>
      </c>
      <c r="LP65" s="86" t="e">
        <f>IF(LP$64&gt;Inputs!$B$11*Inputs!$B$16,Inputs!$B$11*Inputs!$B$16/(Inputs!$B$17*12),0)</f>
        <v>#N/A</v>
      </c>
      <c r="LQ65" s="86" t="e">
        <f>IF(LQ$64&gt;Inputs!$B$11*Inputs!$B$16,Inputs!$B$11*Inputs!$B$16/(Inputs!$B$17*12),0)</f>
        <v>#N/A</v>
      </c>
      <c r="LR65" s="86" t="e">
        <f>IF(LR$64&gt;Inputs!$B$11*Inputs!$B$16,Inputs!$B$11*Inputs!$B$16/(Inputs!$B$17*12),0)</f>
        <v>#N/A</v>
      </c>
      <c r="LS65" s="86" t="e">
        <f>IF(LS$64&gt;Inputs!$B$11*Inputs!$B$16,Inputs!$B$11*Inputs!$B$16/(Inputs!$B$17*12),0)</f>
        <v>#N/A</v>
      </c>
      <c r="LT65" s="86" t="e">
        <f>IF(LT$64&gt;Inputs!$B$11*Inputs!$B$16,Inputs!$B$11*Inputs!$B$16/(Inputs!$B$17*12),0)</f>
        <v>#N/A</v>
      </c>
      <c r="LU65" s="86" t="e">
        <f>IF(LU$64&gt;Inputs!$B$11*Inputs!$B$16,Inputs!$B$11*Inputs!$B$16/(Inputs!$B$17*12),0)</f>
        <v>#N/A</v>
      </c>
      <c r="LV65" s="86" t="e">
        <f>IF(LV$64&gt;Inputs!$B$11*Inputs!$B$16,Inputs!$B$11*Inputs!$B$16/(Inputs!$B$17*12),0)</f>
        <v>#N/A</v>
      </c>
      <c r="LW65" s="86" t="e">
        <f>IF(LW$64&gt;Inputs!$B$11*Inputs!$B$16,Inputs!$B$11*Inputs!$B$16/(Inputs!$B$17*12),0)</f>
        <v>#N/A</v>
      </c>
      <c r="LX65" s="86" t="e">
        <f>IF(LX$64&gt;Inputs!$B$11*Inputs!$B$16,Inputs!$B$11*Inputs!$B$16/(Inputs!$B$17*12),0)</f>
        <v>#N/A</v>
      </c>
      <c r="LY65" s="86" t="e">
        <f>IF(LY$64&gt;Inputs!$B$11*Inputs!$B$16,Inputs!$B$11*Inputs!$B$16/(Inputs!$B$17*12),0)</f>
        <v>#N/A</v>
      </c>
      <c r="LZ65" s="86" t="e">
        <f>IF(LZ$64&gt;Inputs!$B$11*Inputs!$B$16,Inputs!$B$11*Inputs!$B$16/(Inputs!$B$17*12),0)</f>
        <v>#N/A</v>
      </c>
      <c r="MA65" s="87" t="e">
        <f t="shared" ref="MA65" si="1277">SUM(LO65:LZ65)</f>
        <v>#N/A</v>
      </c>
      <c r="MB65" s="86" t="e">
        <f>IF(MB$64&gt;Inputs!$B$11*Inputs!$B$16,Inputs!$B$11*Inputs!$B$16/(Inputs!$B$17*12),0)</f>
        <v>#N/A</v>
      </c>
      <c r="MC65" s="86" t="e">
        <f>IF(MC$64&gt;Inputs!$B$11*Inputs!$B$16,Inputs!$B$11*Inputs!$B$16/(Inputs!$B$17*12),0)</f>
        <v>#N/A</v>
      </c>
      <c r="MD65" s="86" t="e">
        <f>IF(MD$64&gt;Inputs!$B$11*Inputs!$B$16,Inputs!$B$11*Inputs!$B$16/(Inputs!$B$17*12),0)</f>
        <v>#N/A</v>
      </c>
      <c r="ME65" s="86" t="e">
        <f>IF(ME$64&gt;Inputs!$B$11*Inputs!$B$16,Inputs!$B$11*Inputs!$B$16/(Inputs!$B$17*12),0)</f>
        <v>#N/A</v>
      </c>
      <c r="MF65" s="86" t="e">
        <f>IF(MF$64&gt;Inputs!$B$11*Inputs!$B$16,Inputs!$B$11*Inputs!$B$16/(Inputs!$B$17*12),0)</f>
        <v>#N/A</v>
      </c>
      <c r="MG65" s="86" t="e">
        <f>IF(MG$64&gt;Inputs!$B$11*Inputs!$B$16,Inputs!$B$11*Inputs!$B$16/(Inputs!$B$17*12),0)</f>
        <v>#N/A</v>
      </c>
      <c r="MH65" s="86" t="e">
        <f>IF(MH$64&gt;Inputs!$B$11*Inputs!$B$16,Inputs!$B$11*Inputs!$B$16/(Inputs!$B$17*12),0)</f>
        <v>#N/A</v>
      </c>
      <c r="MI65" s="86" t="e">
        <f>IF(MI$64&gt;Inputs!$B$11*Inputs!$B$16,Inputs!$B$11*Inputs!$B$16/(Inputs!$B$17*12),0)</f>
        <v>#N/A</v>
      </c>
      <c r="MJ65" s="86" t="e">
        <f>IF(MJ$64&gt;Inputs!$B$11*Inputs!$B$16,Inputs!$B$11*Inputs!$B$16/(Inputs!$B$17*12),0)</f>
        <v>#N/A</v>
      </c>
      <c r="MK65" s="86" t="e">
        <f>IF(MK$64&gt;Inputs!$B$11*Inputs!$B$16,Inputs!$B$11*Inputs!$B$16/(Inputs!$B$17*12),0)</f>
        <v>#N/A</v>
      </c>
      <c r="ML65" s="86" t="e">
        <f>IF(ML$64&gt;Inputs!$B$11*Inputs!$B$16,Inputs!$B$11*Inputs!$B$16/(Inputs!$B$17*12),0)</f>
        <v>#N/A</v>
      </c>
      <c r="MM65" s="86" t="e">
        <f>IF(MM$64&gt;Inputs!$B$11*Inputs!$B$16,Inputs!$B$11*Inputs!$B$16/(Inputs!$B$17*12),0)</f>
        <v>#N/A</v>
      </c>
      <c r="MN65" s="87" t="e">
        <f t="shared" ref="MN65" si="1278">SUM(MB65:MM65)</f>
        <v>#N/A</v>
      </c>
      <c r="MO65" s="86" t="e">
        <f>IF(MO$64&gt;Inputs!$B$11*Inputs!$B$16,Inputs!$B$11*Inputs!$B$16/(Inputs!$B$17*12),0)</f>
        <v>#N/A</v>
      </c>
      <c r="MP65" s="86" t="e">
        <f>IF(MP$64&gt;Inputs!$B$11*Inputs!$B$16,Inputs!$B$11*Inputs!$B$16/(Inputs!$B$17*12),0)</f>
        <v>#N/A</v>
      </c>
      <c r="MQ65" s="86" t="e">
        <f>IF(MQ$64&gt;Inputs!$B$11*Inputs!$B$16,Inputs!$B$11*Inputs!$B$16/(Inputs!$B$17*12),0)</f>
        <v>#N/A</v>
      </c>
      <c r="MR65" s="86" t="e">
        <f>IF(MR$64&gt;Inputs!$B$11*Inputs!$B$16,Inputs!$B$11*Inputs!$B$16/(Inputs!$B$17*12),0)</f>
        <v>#N/A</v>
      </c>
      <c r="MS65" s="86" t="e">
        <f>IF(MS$64&gt;Inputs!$B$11*Inputs!$B$16,Inputs!$B$11*Inputs!$B$16/(Inputs!$B$17*12),0)</f>
        <v>#N/A</v>
      </c>
      <c r="MT65" s="86" t="e">
        <f>IF(MT$64&gt;Inputs!$B$11*Inputs!$B$16,Inputs!$B$11*Inputs!$B$16/(Inputs!$B$17*12),0)</f>
        <v>#N/A</v>
      </c>
      <c r="MU65" s="86" t="e">
        <f>IF(MU$64&gt;Inputs!$B$11*Inputs!$B$16,Inputs!$B$11*Inputs!$B$16/(Inputs!$B$17*12),0)</f>
        <v>#N/A</v>
      </c>
      <c r="MV65" s="86" t="e">
        <f>IF(MV$64&gt;Inputs!$B$11*Inputs!$B$16,Inputs!$B$11*Inputs!$B$16/(Inputs!$B$17*12),0)</f>
        <v>#N/A</v>
      </c>
      <c r="MW65" s="86" t="e">
        <f>IF(MW$64&gt;Inputs!$B$11*Inputs!$B$16,Inputs!$B$11*Inputs!$B$16/(Inputs!$B$17*12),0)</f>
        <v>#N/A</v>
      </c>
      <c r="MX65" s="86" t="e">
        <f>IF(MX$64&gt;Inputs!$B$11*Inputs!$B$16,Inputs!$B$11*Inputs!$B$16/(Inputs!$B$17*12),0)</f>
        <v>#N/A</v>
      </c>
      <c r="MY65" s="86" t="e">
        <f>IF(MY$64&gt;Inputs!$B$11*Inputs!$B$16,Inputs!$B$11*Inputs!$B$16/(Inputs!$B$17*12),0)</f>
        <v>#N/A</v>
      </c>
      <c r="MZ65" s="86" t="e">
        <f>IF(MZ$64&gt;Inputs!$B$11*Inputs!$B$16,Inputs!$B$11*Inputs!$B$16/(Inputs!$B$17*12),0)</f>
        <v>#N/A</v>
      </c>
      <c r="NA65" s="87" t="e">
        <f t="shared" ref="NA65" si="1279">SUM(MO65:MZ65)</f>
        <v>#N/A</v>
      </c>
      <c r="NB65" s="86" t="e">
        <f>IF(NB$64&gt;Inputs!$B$11*Inputs!$B$16,Inputs!$B$11*Inputs!$B$16/(Inputs!$B$17*12),0)</f>
        <v>#N/A</v>
      </c>
      <c r="NC65" s="86" t="e">
        <f>IF(NC$64&gt;Inputs!$B$11*Inputs!$B$16,Inputs!$B$11*Inputs!$B$16/(Inputs!$B$17*12),0)</f>
        <v>#N/A</v>
      </c>
      <c r="ND65" s="86" t="e">
        <f>IF(ND$64&gt;Inputs!$B$11*Inputs!$B$16,Inputs!$B$11*Inputs!$B$16/(Inputs!$B$17*12),0)</f>
        <v>#N/A</v>
      </c>
      <c r="NE65" s="86" t="e">
        <f>IF(NE$64&gt;Inputs!$B$11*Inputs!$B$16,Inputs!$B$11*Inputs!$B$16/(Inputs!$B$17*12),0)</f>
        <v>#N/A</v>
      </c>
      <c r="NF65" s="86" t="e">
        <f>IF(NF$64&gt;Inputs!$B$11*Inputs!$B$16,Inputs!$B$11*Inputs!$B$16/(Inputs!$B$17*12),0)</f>
        <v>#N/A</v>
      </c>
      <c r="NG65" s="86" t="e">
        <f>IF(NG$64&gt;Inputs!$B$11*Inputs!$B$16,Inputs!$B$11*Inputs!$B$16/(Inputs!$B$17*12),0)</f>
        <v>#N/A</v>
      </c>
      <c r="NH65" s="86" t="e">
        <f>IF(NH$64&gt;Inputs!$B$11*Inputs!$B$16,Inputs!$B$11*Inputs!$B$16/(Inputs!$B$17*12),0)</f>
        <v>#N/A</v>
      </c>
      <c r="NI65" s="86" t="e">
        <f>IF(NI$64&gt;Inputs!$B$11*Inputs!$B$16,Inputs!$B$11*Inputs!$B$16/(Inputs!$B$17*12),0)</f>
        <v>#N/A</v>
      </c>
      <c r="NJ65" s="86" t="e">
        <f>IF(NJ$64&gt;Inputs!$B$11*Inputs!$B$16,Inputs!$B$11*Inputs!$B$16/(Inputs!$B$17*12),0)</f>
        <v>#N/A</v>
      </c>
      <c r="NK65" s="86" t="e">
        <f>IF(NK$64&gt;Inputs!$B$11*Inputs!$B$16,Inputs!$B$11*Inputs!$B$16/(Inputs!$B$17*12),0)</f>
        <v>#N/A</v>
      </c>
      <c r="NL65" s="86" t="e">
        <f>IF(NL$64&gt;Inputs!$B$11*Inputs!$B$16,Inputs!$B$11*Inputs!$B$16/(Inputs!$B$17*12),0)</f>
        <v>#N/A</v>
      </c>
      <c r="NM65" s="86" t="e">
        <f>IF(NM$64&gt;Inputs!$B$11*Inputs!$B$16,Inputs!$B$11*Inputs!$B$16/(Inputs!$B$17*12),0)</f>
        <v>#N/A</v>
      </c>
      <c r="NN65" s="87" t="e">
        <f t="shared" ref="NN65" si="1280">SUM(NB65:NM65)</f>
        <v>#N/A</v>
      </c>
      <c r="NO65" s="86" t="e">
        <f>IF(NO$64&gt;Inputs!$B$11*Inputs!$B$16,Inputs!$B$11*Inputs!$B$16/(Inputs!$B$17*12),0)</f>
        <v>#N/A</v>
      </c>
      <c r="NP65" s="86" t="e">
        <f>IF(NP$64&gt;Inputs!$B$11*Inputs!$B$16,Inputs!$B$11*Inputs!$B$16/(Inputs!$B$17*12),0)</f>
        <v>#N/A</v>
      </c>
      <c r="NQ65" s="86" t="e">
        <f>IF(NQ$64&gt;Inputs!$B$11*Inputs!$B$16,Inputs!$B$11*Inputs!$B$16/(Inputs!$B$17*12),0)</f>
        <v>#N/A</v>
      </c>
      <c r="NR65" s="86" t="e">
        <f>IF(NR$64&gt;Inputs!$B$11*Inputs!$B$16,Inputs!$B$11*Inputs!$B$16/(Inputs!$B$17*12),0)</f>
        <v>#N/A</v>
      </c>
      <c r="NS65" s="86" t="e">
        <f>IF(NS$64&gt;Inputs!$B$11*Inputs!$B$16,Inputs!$B$11*Inputs!$B$16/(Inputs!$B$17*12),0)</f>
        <v>#N/A</v>
      </c>
      <c r="NT65" s="86" t="e">
        <f>IF(NT$64&gt;Inputs!$B$11*Inputs!$B$16,Inputs!$B$11*Inputs!$B$16/(Inputs!$B$17*12),0)</f>
        <v>#N/A</v>
      </c>
      <c r="NU65" s="86" t="e">
        <f>IF(NU$64&gt;Inputs!$B$11*Inputs!$B$16,Inputs!$B$11*Inputs!$B$16/(Inputs!$B$17*12),0)</f>
        <v>#N/A</v>
      </c>
      <c r="NV65" s="86" t="e">
        <f>IF(NV$64&gt;Inputs!$B$11*Inputs!$B$16,Inputs!$B$11*Inputs!$B$16/(Inputs!$B$17*12),0)</f>
        <v>#N/A</v>
      </c>
      <c r="NW65" s="86" t="e">
        <f>IF(NW$64&gt;Inputs!$B$11*Inputs!$B$16,Inputs!$B$11*Inputs!$B$16/(Inputs!$B$17*12),0)</f>
        <v>#N/A</v>
      </c>
      <c r="NX65" s="86" t="e">
        <f>IF(NX$64&gt;Inputs!$B$11*Inputs!$B$16,Inputs!$B$11*Inputs!$B$16/(Inputs!$B$17*12),0)</f>
        <v>#N/A</v>
      </c>
      <c r="NY65" s="86" t="e">
        <f>IF(NY$64&gt;Inputs!$B$11*Inputs!$B$16,Inputs!$B$11*Inputs!$B$16/(Inputs!$B$17*12),0)</f>
        <v>#N/A</v>
      </c>
      <c r="NZ65" s="86" t="e">
        <f>IF(NZ$64&gt;Inputs!$B$11*Inputs!$B$16,Inputs!$B$11*Inputs!$B$16/(Inputs!$B$17*12),0)</f>
        <v>#N/A</v>
      </c>
      <c r="OA65" s="87" t="e">
        <f t="shared" ref="OA65" si="1281">SUM(NO65:NZ65)</f>
        <v>#N/A</v>
      </c>
      <c r="OB65" s="86" t="e">
        <f>IF(OB$64&gt;Inputs!$B$11*Inputs!$B$16,Inputs!$B$11*Inputs!$B$16/(Inputs!$B$17*12),0)</f>
        <v>#N/A</v>
      </c>
      <c r="OC65" s="86" t="e">
        <f>IF(OC$64&gt;Inputs!$B$11*Inputs!$B$16,Inputs!$B$11*Inputs!$B$16/(Inputs!$B$17*12),0)</f>
        <v>#N/A</v>
      </c>
      <c r="OD65" s="86" t="e">
        <f>IF(OD$64&gt;Inputs!$B$11*Inputs!$B$16,Inputs!$B$11*Inputs!$B$16/(Inputs!$B$17*12),0)</f>
        <v>#N/A</v>
      </c>
      <c r="OE65" s="86" t="e">
        <f>IF(OE$64&gt;Inputs!$B$11*Inputs!$B$16,Inputs!$B$11*Inputs!$B$16/(Inputs!$B$17*12),0)</f>
        <v>#N/A</v>
      </c>
      <c r="OF65" s="86" t="e">
        <f>IF(OF$64&gt;Inputs!$B$11*Inputs!$B$16,Inputs!$B$11*Inputs!$B$16/(Inputs!$B$17*12),0)</f>
        <v>#N/A</v>
      </c>
      <c r="OG65" s="86" t="e">
        <f>IF(OG$64&gt;Inputs!$B$11*Inputs!$B$16,Inputs!$B$11*Inputs!$B$16/(Inputs!$B$17*12),0)</f>
        <v>#N/A</v>
      </c>
      <c r="OH65" s="86" t="e">
        <f>IF(OH$64&gt;Inputs!$B$11*Inputs!$B$16,Inputs!$B$11*Inputs!$B$16/(Inputs!$B$17*12),0)</f>
        <v>#N/A</v>
      </c>
      <c r="OI65" s="86" t="e">
        <f>IF(OI$64&gt;Inputs!$B$11*Inputs!$B$16,Inputs!$B$11*Inputs!$B$16/(Inputs!$B$17*12),0)</f>
        <v>#N/A</v>
      </c>
      <c r="OJ65" s="86" t="e">
        <f>IF(OJ$64&gt;Inputs!$B$11*Inputs!$B$16,Inputs!$B$11*Inputs!$B$16/(Inputs!$B$17*12),0)</f>
        <v>#N/A</v>
      </c>
      <c r="OK65" s="86" t="e">
        <f>IF(OK$64&gt;Inputs!$B$11*Inputs!$B$16,Inputs!$B$11*Inputs!$B$16/(Inputs!$B$17*12),0)</f>
        <v>#N/A</v>
      </c>
      <c r="OL65" s="86" t="e">
        <f>IF(OL$64&gt;Inputs!$B$11*Inputs!$B$16,Inputs!$B$11*Inputs!$B$16/(Inputs!$B$17*12),0)</f>
        <v>#N/A</v>
      </c>
      <c r="OM65" s="86" t="e">
        <f>IF(OM$64&gt;Inputs!$B$11*Inputs!$B$16,Inputs!$B$11*Inputs!$B$16/(Inputs!$B$17*12),0)</f>
        <v>#N/A</v>
      </c>
      <c r="ON65" s="87" t="e">
        <f t="shared" ref="ON65" si="1282">SUM(OB65:OM65)</f>
        <v>#N/A</v>
      </c>
      <c r="OO65" s="86" t="e">
        <f>IF(OO$64&gt;Inputs!$B$11*Inputs!$B$16,Inputs!$B$11*Inputs!$B$16/(Inputs!$B$17*12),0)</f>
        <v>#N/A</v>
      </c>
      <c r="OP65" s="86" t="e">
        <f>IF(OP$64&gt;Inputs!$B$11*Inputs!$B$16,Inputs!$B$11*Inputs!$B$16/(Inputs!$B$17*12),0)</f>
        <v>#N/A</v>
      </c>
      <c r="OQ65" s="86" t="e">
        <f>IF(OQ$64&gt;Inputs!$B$11*Inputs!$B$16,Inputs!$B$11*Inputs!$B$16/(Inputs!$B$17*12),0)</f>
        <v>#N/A</v>
      </c>
      <c r="OR65" s="86" t="e">
        <f>IF(OR$64&gt;Inputs!$B$11*Inputs!$B$16,Inputs!$B$11*Inputs!$B$16/(Inputs!$B$17*12),0)</f>
        <v>#N/A</v>
      </c>
      <c r="OS65" s="86" t="e">
        <f>IF(OS$64&gt;Inputs!$B$11*Inputs!$B$16,Inputs!$B$11*Inputs!$B$16/(Inputs!$B$17*12),0)</f>
        <v>#N/A</v>
      </c>
      <c r="OT65" s="86" t="e">
        <f>IF(OT$64&gt;Inputs!$B$11*Inputs!$B$16,Inputs!$B$11*Inputs!$B$16/(Inputs!$B$17*12),0)</f>
        <v>#N/A</v>
      </c>
      <c r="OU65" s="86" t="e">
        <f>IF(OU$64&gt;Inputs!$B$11*Inputs!$B$16,Inputs!$B$11*Inputs!$B$16/(Inputs!$B$17*12),0)</f>
        <v>#N/A</v>
      </c>
      <c r="OV65" s="86" t="e">
        <f>IF(OV$64&gt;Inputs!$B$11*Inputs!$B$16,Inputs!$B$11*Inputs!$B$16/(Inputs!$B$17*12),0)</f>
        <v>#N/A</v>
      </c>
      <c r="OW65" s="86" t="e">
        <f>IF(OW$64&gt;Inputs!$B$11*Inputs!$B$16,Inputs!$B$11*Inputs!$B$16/(Inputs!$B$17*12),0)</f>
        <v>#N/A</v>
      </c>
      <c r="OX65" s="86" t="e">
        <f>IF(OX$64&gt;Inputs!$B$11*Inputs!$B$16,Inputs!$B$11*Inputs!$B$16/(Inputs!$B$17*12),0)</f>
        <v>#N/A</v>
      </c>
      <c r="OY65" s="86" t="e">
        <f>IF(OY$64&gt;Inputs!$B$11*Inputs!$B$16,Inputs!$B$11*Inputs!$B$16/(Inputs!$B$17*12),0)</f>
        <v>#N/A</v>
      </c>
      <c r="OZ65" s="86" t="e">
        <f>IF(OZ$64&gt;Inputs!$B$11*Inputs!$B$16,Inputs!$B$11*Inputs!$B$16/(Inputs!$B$17*12),0)</f>
        <v>#N/A</v>
      </c>
      <c r="PA65" s="87" t="e">
        <f t="shared" ref="PA65" si="1283">SUM(OO65:OZ65)</f>
        <v>#N/A</v>
      </c>
      <c r="PB65" s="86" t="e">
        <f>IF(PB$64&gt;Inputs!$B$11*Inputs!$B$16,Inputs!$B$11*Inputs!$B$16/(Inputs!$B$17*12),0)</f>
        <v>#N/A</v>
      </c>
      <c r="PC65" s="86" t="e">
        <f>IF(PC$64&gt;Inputs!$B$11*Inputs!$B$16,Inputs!$B$11*Inputs!$B$16/(Inputs!$B$17*12),0)</f>
        <v>#N/A</v>
      </c>
      <c r="PD65" s="86" t="e">
        <f>IF(PD$64&gt;Inputs!$B$11*Inputs!$B$16,Inputs!$B$11*Inputs!$B$16/(Inputs!$B$17*12),0)</f>
        <v>#N/A</v>
      </c>
      <c r="PE65" s="86" t="e">
        <f>IF(PE$64&gt;Inputs!$B$11*Inputs!$B$16,Inputs!$B$11*Inputs!$B$16/(Inputs!$B$17*12),0)</f>
        <v>#N/A</v>
      </c>
      <c r="PF65" s="86" t="e">
        <f>IF(PF$64&gt;Inputs!$B$11*Inputs!$B$16,Inputs!$B$11*Inputs!$B$16/(Inputs!$B$17*12),0)</f>
        <v>#N/A</v>
      </c>
      <c r="PG65" s="86" t="e">
        <f>IF(PG$64&gt;Inputs!$B$11*Inputs!$B$16,Inputs!$B$11*Inputs!$B$16/(Inputs!$B$17*12),0)</f>
        <v>#N/A</v>
      </c>
      <c r="PH65" s="86" t="e">
        <f>IF(PH$64&gt;Inputs!$B$11*Inputs!$B$16,Inputs!$B$11*Inputs!$B$16/(Inputs!$B$17*12),0)</f>
        <v>#N/A</v>
      </c>
      <c r="PI65" s="86" t="e">
        <f>IF(PI$64&gt;Inputs!$B$11*Inputs!$B$16,Inputs!$B$11*Inputs!$B$16/(Inputs!$B$17*12),0)</f>
        <v>#N/A</v>
      </c>
      <c r="PJ65" s="86" t="e">
        <f>IF(PJ$64&gt;Inputs!$B$11*Inputs!$B$16,Inputs!$B$11*Inputs!$B$16/(Inputs!$B$17*12),0)</f>
        <v>#N/A</v>
      </c>
      <c r="PK65" s="86" t="e">
        <f>IF(PK$64&gt;Inputs!$B$11*Inputs!$B$16,Inputs!$B$11*Inputs!$B$16/(Inputs!$B$17*12),0)</f>
        <v>#N/A</v>
      </c>
      <c r="PL65" s="86" t="e">
        <f>IF(PL$64&gt;Inputs!$B$11*Inputs!$B$16,Inputs!$B$11*Inputs!$B$16/(Inputs!$B$17*12),0)</f>
        <v>#N/A</v>
      </c>
      <c r="PM65" s="86" t="e">
        <f>IF(PM$64&gt;Inputs!$B$11*Inputs!$B$16,Inputs!$B$11*Inputs!$B$16/(Inputs!$B$17*12),0)</f>
        <v>#N/A</v>
      </c>
      <c r="PN65" s="87" t="e">
        <f t="shared" ref="PN65" si="1284">SUM(PB65:PM65)</f>
        <v>#N/A</v>
      </c>
      <c r="PO65" s="86" t="e">
        <f>IF(PO$64&gt;Inputs!$B$11*Inputs!$B$16,Inputs!$B$11*Inputs!$B$16/(Inputs!$B$17*12),0)</f>
        <v>#N/A</v>
      </c>
      <c r="PP65" s="86" t="e">
        <f>IF(PP$64&gt;Inputs!$B$11*Inputs!$B$16,Inputs!$B$11*Inputs!$B$16/(Inputs!$B$17*12),0)</f>
        <v>#N/A</v>
      </c>
      <c r="PQ65" s="86" t="e">
        <f>IF(PQ$64&gt;Inputs!$B$11*Inputs!$B$16,Inputs!$B$11*Inputs!$B$16/(Inputs!$B$17*12),0)</f>
        <v>#N/A</v>
      </c>
      <c r="PR65" s="86" t="e">
        <f>IF(PR$64&gt;Inputs!$B$11*Inputs!$B$16,Inputs!$B$11*Inputs!$B$16/(Inputs!$B$17*12),0)</f>
        <v>#N/A</v>
      </c>
      <c r="PS65" s="86" t="e">
        <f>IF(PS$64&gt;Inputs!$B$11*Inputs!$B$16,Inputs!$B$11*Inputs!$B$16/(Inputs!$B$17*12),0)</f>
        <v>#N/A</v>
      </c>
      <c r="PT65" s="86" t="e">
        <f>IF(PT$64&gt;Inputs!$B$11*Inputs!$B$16,Inputs!$B$11*Inputs!$B$16/(Inputs!$B$17*12),0)</f>
        <v>#N/A</v>
      </c>
      <c r="PU65" s="86" t="e">
        <f>IF(PU$64&gt;Inputs!$B$11*Inputs!$B$16,Inputs!$B$11*Inputs!$B$16/(Inputs!$B$17*12),0)</f>
        <v>#N/A</v>
      </c>
      <c r="PV65" s="86" t="e">
        <f>IF(PV$64&gt;Inputs!$B$11*Inputs!$B$16,Inputs!$B$11*Inputs!$B$16/(Inputs!$B$17*12),0)</f>
        <v>#N/A</v>
      </c>
      <c r="PW65" s="86" t="e">
        <f>IF(PW$64&gt;Inputs!$B$11*Inputs!$B$16,Inputs!$B$11*Inputs!$B$16/(Inputs!$B$17*12),0)</f>
        <v>#N/A</v>
      </c>
      <c r="PX65" s="86" t="e">
        <f>IF(PX$64&gt;Inputs!$B$11*Inputs!$B$16,Inputs!$B$11*Inputs!$B$16/(Inputs!$B$17*12),0)</f>
        <v>#N/A</v>
      </c>
      <c r="PY65" s="86" t="e">
        <f>IF(PY$64&gt;Inputs!$B$11*Inputs!$B$16,Inputs!$B$11*Inputs!$B$16/(Inputs!$B$17*12),0)</f>
        <v>#N/A</v>
      </c>
      <c r="PZ65" s="86" t="e">
        <f>IF(PZ$64&gt;Inputs!$B$11*Inputs!$B$16,Inputs!$B$11*Inputs!$B$16/(Inputs!$B$17*12),0)</f>
        <v>#N/A</v>
      </c>
      <c r="QA65" s="87" t="e">
        <f t="shared" ref="QA65" si="1285">SUM(PO65:PZ65)</f>
        <v>#N/A</v>
      </c>
      <c r="QB65" s="86" t="e">
        <f>IF(QB$64&gt;Inputs!$B$11*Inputs!$B$16,Inputs!$B$11*Inputs!$B$16/(Inputs!$B$17*12),0)</f>
        <v>#N/A</v>
      </c>
      <c r="QC65" s="86" t="e">
        <f>IF(QC$64&gt;Inputs!$B$11*Inputs!$B$16,Inputs!$B$11*Inputs!$B$16/(Inputs!$B$17*12),0)</f>
        <v>#N/A</v>
      </c>
      <c r="QD65" s="86" t="e">
        <f>IF(QD$64&gt;Inputs!$B$11*Inputs!$B$16,Inputs!$B$11*Inputs!$B$16/(Inputs!$B$17*12),0)</f>
        <v>#N/A</v>
      </c>
      <c r="QE65" s="86" t="e">
        <f>IF(QE$64&gt;Inputs!$B$11*Inputs!$B$16,Inputs!$B$11*Inputs!$B$16/(Inputs!$B$17*12),0)</f>
        <v>#N/A</v>
      </c>
      <c r="QF65" s="86" t="e">
        <f>IF(QF$64&gt;Inputs!$B$11*Inputs!$B$16,Inputs!$B$11*Inputs!$B$16/(Inputs!$B$17*12),0)</f>
        <v>#N/A</v>
      </c>
      <c r="QG65" s="86" t="e">
        <f>IF(QG$64&gt;Inputs!$B$11*Inputs!$B$16,Inputs!$B$11*Inputs!$B$16/(Inputs!$B$17*12),0)</f>
        <v>#N/A</v>
      </c>
      <c r="QH65" s="86" t="e">
        <f>IF(QH$64&gt;Inputs!$B$11*Inputs!$B$16,Inputs!$B$11*Inputs!$B$16/(Inputs!$B$17*12),0)</f>
        <v>#N/A</v>
      </c>
      <c r="QI65" s="86" t="e">
        <f>IF(QI$64&gt;Inputs!$B$11*Inputs!$B$16,Inputs!$B$11*Inputs!$B$16/(Inputs!$B$17*12),0)</f>
        <v>#N/A</v>
      </c>
      <c r="QJ65" s="86" t="e">
        <f>IF(QJ$64&gt;Inputs!$B$11*Inputs!$B$16,Inputs!$B$11*Inputs!$B$16/(Inputs!$B$17*12),0)</f>
        <v>#N/A</v>
      </c>
      <c r="QK65" s="86" t="e">
        <f>IF(QK$64&gt;Inputs!$B$11*Inputs!$B$16,Inputs!$B$11*Inputs!$B$16/(Inputs!$B$17*12),0)</f>
        <v>#N/A</v>
      </c>
      <c r="QL65" s="86" t="e">
        <f>IF(QL$64&gt;Inputs!$B$11*Inputs!$B$16,Inputs!$B$11*Inputs!$B$16/(Inputs!$B$17*12),0)</f>
        <v>#N/A</v>
      </c>
      <c r="QM65" s="86" t="e">
        <f>IF(QM$64&gt;Inputs!$B$11*Inputs!$B$16,Inputs!$B$11*Inputs!$B$16/(Inputs!$B$17*12),0)</f>
        <v>#N/A</v>
      </c>
      <c r="QN65" s="87" t="e">
        <f t="shared" ref="QN65" si="1286">SUM(QB65:QM65)</f>
        <v>#N/A</v>
      </c>
      <c r="QO65" s="86" t="e">
        <f>IF(QO$64&gt;Inputs!$B$11*Inputs!$B$16,Inputs!$B$11*Inputs!$B$16/(Inputs!$B$17*12),0)</f>
        <v>#N/A</v>
      </c>
      <c r="QP65" s="86" t="e">
        <f>IF(QP$64&gt;Inputs!$B$11*Inputs!$B$16,Inputs!$B$11*Inputs!$B$16/(Inputs!$B$17*12),0)</f>
        <v>#N/A</v>
      </c>
      <c r="QQ65" s="86" t="e">
        <f>IF(QQ$64&gt;Inputs!$B$11*Inputs!$B$16,Inputs!$B$11*Inputs!$B$16/(Inputs!$B$17*12),0)</f>
        <v>#N/A</v>
      </c>
      <c r="QR65" s="86" t="e">
        <f>IF(QR$64&gt;Inputs!$B$11*Inputs!$B$16,Inputs!$B$11*Inputs!$B$16/(Inputs!$B$17*12),0)</f>
        <v>#N/A</v>
      </c>
      <c r="QS65" s="86" t="e">
        <f>IF(QS$64&gt;Inputs!$B$11*Inputs!$B$16,Inputs!$B$11*Inputs!$B$16/(Inputs!$B$17*12),0)</f>
        <v>#N/A</v>
      </c>
      <c r="QT65" s="86" t="e">
        <f>IF(QT$64&gt;Inputs!$B$11*Inputs!$B$16,Inputs!$B$11*Inputs!$B$16/(Inputs!$B$17*12),0)</f>
        <v>#N/A</v>
      </c>
      <c r="QU65" s="86" t="e">
        <f>IF(QU$64&gt;Inputs!$B$11*Inputs!$B$16,Inputs!$B$11*Inputs!$B$16/(Inputs!$B$17*12),0)</f>
        <v>#N/A</v>
      </c>
      <c r="QV65" s="86" t="e">
        <f>IF(QV$64&gt;Inputs!$B$11*Inputs!$B$16,Inputs!$B$11*Inputs!$B$16/(Inputs!$B$17*12),0)</f>
        <v>#N/A</v>
      </c>
      <c r="QW65" s="86" t="e">
        <f>IF(QW$64&gt;Inputs!$B$11*Inputs!$B$16,Inputs!$B$11*Inputs!$B$16/(Inputs!$B$17*12),0)</f>
        <v>#N/A</v>
      </c>
      <c r="QX65" s="86" t="e">
        <f>IF(QX$64&gt;Inputs!$B$11*Inputs!$B$16,Inputs!$B$11*Inputs!$B$16/(Inputs!$B$17*12),0)</f>
        <v>#N/A</v>
      </c>
      <c r="QY65" s="86" t="e">
        <f>IF(QY$64&gt;Inputs!$B$11*Inputs!$B$16,Inputs!$B$11*Inputs!$B$16/(Inputs!$B$17*12),0)</f>
        <v>#N/A</v>
      </c>
      <c r="QZ65" s="86" t="e">
        <f>IF(QZ$64&gt;Inputs!$B$11*Inputs!$B$16,Inputs!$B$11*Inputs!$B$16/(Inputs!$B$17*12),0)</f>
        <v>#N/A</v>
      </c>
      <c r="RA65" s="87" t="e">
        <f t="shared" ref="RA65" si="1287">SUM(QO65:QZ65)</f>
        <v>#N/A</v>
      </c>
      <c r="RB65" s="86" t="e">
        <f>IF(RB$64&gt;Inputs!$B$11*Inputs!$B$16,Inputs!$B$11*Inputs!$B$16/(Inputs!$B$17*12),0)</f>
        <v>#N/A</v>
      </c>
      <c r="RC65" s="86" t="e">
        <f>IF(RC$64&gt;Inputs!$B$11*Inputs!$B$16,Inputs!$B$11*Inputs!$B$16/(Inputs!$B$17*12),0)</f>
        <v>#N/A</v>
      </c>
      <c r="RD65" s="86" t="e">
        <f>IF(RD$64&gt;Inputs!$B$11*Inputs!$B$16,Inputs!$B$11*Inputs!$B$16/(Inputs!$B$17*12),0)</f>
        <v>#N/A</v>
      </c>
      <c r="RE65" s="86" t="e">
        <f>IF(RE$64&gt;Inputs!$B$11*Inputs!$B$16,Inputs!$B$11*Inputs!$B$16/(Inputs!$B$17*12),0)</f>
        <v>#N/A</v>
      </c>
      <c r="RF65" s="86" t="e">
        <f>IF(RF$64&gt;Inputs!$B$11*Inputs!$B$16,Inputs!$B$11*Inputs!$B$16/(Inputs!$B$17*12),0)</f>
        <v>#N/A</v>
      </c>
      <c r="RG65" s="86" t="e">
        <f>IF(RG$64&gt;Inputs!$B$11*Inputs!$B$16,Inputs!$B$11*Inputs!$B$16/(Inputs!$B$17*12),0)</f>
        <v>#N/A</v>
      </c>
      <c r="RH65" s="86" t="e">
        <f>IF(RH$64&gt;Inputs!$B$11*Inputs!$B$16,Inputs!$B$11*Inputs!$B$16/(Inputs!$B$17*12),0)</f>
        <v>#N/A</v>
      </c>
      <c r="RI65" s="86" t="e">
        <f>IF(RI$64&gt;Inputs!$B$11*Inputs!$B$16,Inputs!$B$11*Inputs!$B$16/(Inputs!$B$17*12),0)</f>
        <v>#N/A</v>
      </c>
      <c r="RJ65" s="86" t="e">
        <f>IF(RJ$64&gt;Inputs!$B$11*Inputs!$B$16,Inputs!$B$11*Inputs!$B$16/(Inputs!$B$17*12),0)</f>
        <v>#N/A</v>
      </c>
      <c r="RK65" s="86" t="e">
        <f>IF(RK$64&gt;Inputs!$B$11*Inputs!$B$16,Inputs!$B$11*Inputs!$B$16/(Inputs!$B$17*12),0)</f>
        <v>#N/A</v>
      </c>
      <c r="RL65" s="86" t="e">
        <f>IF(RL$64&gt;Inputs!$B$11*Inputs!$B$16,Inputs!$B$11*Inputs!$B$16/(Inputs!$B$17*12),0)</f>
        <v>#N/A</v>
      </c>
      <c r="RM65" s="86" t="e">
        <f>IF(RM$64&gt;Inputs!$B$11*Inputs!$B$16,Inputs!$B$11*Inputs!$B$16/(Inputs!$B$17*12),0)</f>
        <v>#N/A</v>
      </c>
      <c r="RN65" s="87" t="e">
        <f t="shared" ref="RN65" si="1288">SUM(RB65:RM65)</f>
        <v>#N/A</v>
      </c>
    </row>
    <row r="66" spans="1:560" hidden="1" outlineLevel="1" x14ac:dyDescent="0.3"/>
    <row r="67" spans="1:560" s="85" customFormat="1" collapsed="1" x14ac:dyDescent="0.3">
      <c r="A67" s="82" t="s">
        <v>276</v>
      </c>
      <c r="N67" s="94"/>
      <c r="AA67" s="94"/>
      <c r="AN67" s="94"/>
      <c r="BA67" s="94"/>
      <c r="BN67" s="94"/>
      <c r="CA67" s="94"/>
      <c r="CN67" s="94"/>
      <c r="DA67" s="94"/>
      <c r="DN67" s="94"/>
      <c r="EA67" s="94"/>
      <c r="EN67" s="94"/>
      <c r="FA67" s="94"/>
      <c r="FN67" s="94"/>
      <c r="GA67" s="94"/>
      <c r="GN67" s="94"/>
      <c r="HA67" s="94"/>
      <c r="HN67" s="94"/>
      <c r="IA67" s="94"/>
      <c r="IN67" s="94"/>
      <c r="JA67" s="94"/>
      <c r="JN67" s="94"/>
      <c r="KA67" s="94"/>
      <c r="KN67" s="94"/>
      <c r="LA67" s="94"/>
      <c r="LN67" s="94"/>
      <c r="MA67" s="94"/>
      <c r="MN67" s="94"/>
      <c r="NA67" s="94"/>
      <c r="NN67" s="94"/>
      <c r="OA67" s="94"/>
      <c r="ON67" s="94"/>
      <c r="PA67" s="94"/>
      <c r="PN67" s="94"/>
      <c r="QA67" s="94"/>
      <c r="QN67" s="94"/>
      <c r="RA67" s="94"/>
      <c r="RN67" s="94"/>
    </row>
    <row r="68" spans="1:560" s="77" customFormat="1" outlineLevel="1" x14ac:dyDescent="0.3">
      <c r="A68" s="74" t="s">
        <v>277</v>
      </c>
      <c r="B68" s="90" t="e">
        <f>Inputs!$B$6/12</f>
        <v>#N/A</v>
      </c>
      <c r="C68" s="90" t="e">
        <f>Inputs!$B$6/12</f>
        <v>#N/A</v>
      </c>
      <c r="D68" s="90" t="e">
        <f>Inputs!$B$6/12</f>
        <v>#N/A</v>
      </c>
      <c r="E68" s="90" t="e">
        <f>Inputs!$B$6/12</f>
        <v>#N/A</v>
      </c>
      <c r="F68" s="90" t="e">
        <f>Inputs!$B$6/12</f>
        <v>#N/A</v>
      </c>
      <c r="G68" s="90" t="e">
        <f>Inputs!$B$6/12</f>
        <v>#N/A</v>
      </c>
      <c r="H68" s="90" t="e">
        <f>Inputs!$B$6/12</f>
        <v>#N/A</v>
      </c>
      <c r="I68" s="90" t="e">
        <f>Inputs!$B$6/12</f>
        <v>#N/A</v>
      </c>
      <c r="J68" s="90" t="e">
        <f>Inputs!$B$6/12</f>
        <v>#N/A</v>
      </c>
      <c r="K68" s="90" t="e">
        <f>Inputs!$B$6/12</f>
        <v>#N/A</v>
      </c>
      <c r="L68" s="90" t="e">
        <f>Inputs!$B$6/12</f>
        <v>#N/A</v>
      </c>
      <c r="M68" s="90" t="e">
        <f>Inputs!$B$6/12</f>
        <v>#N/A</v>
      </c>
      <c r="N68" s="91" t="e">
        <f t="shared" ref="N68:N80" si="1289">SUM(B68:M68)</f>
        <v>#N/A</v>
      </c>
      <c r="O68" s="90" t="e">
        <f>M68*(1+Inputs!$B$7)</f>
        <v>#N/A</v>
      </c>
      <c r="P68" s="90" t="e">
        <f>O68</f>
        <v>#N/A</v>
      </c>
      <c r="Q68" s="90" t="e">
        <f t="shared" ref="Q68:Z68" si="1290">P68</f>
        <v>#N/A</v>
      </c>
      <c r="R68" s="90" t="e">
        <f t="shared" si="1290"/>
        <v>#N/A</v>
      </c>
      <c r="S68" s="90" t="e">
        <f t="shared" si="1290"/>
        <v>#N/A</v>
      </c>
      <c r="T68" s="90" t="e">
        <f t="shared" si="1290"/>
        <v>#N/A</v>
      </c>
      <c r="U68" s="90" t="e">
        <f t="shared" si="1290"/>
        <v>#N/A</v>
      </c>
      <c r="V68" s="90" t="e">
        <f t="shared" si="1290"/>
        <v>#N/A</v>
      </c>
      <c r="W68" s="90" t="e">
        <f t="shared" si="1290"/>
        <v>#N/A</v>
      </c>
      <c r="X68" s="90" t="e">
        <f t="shared" si="1290"/>
        <v>#N/A</v>
      </c>
      <c r="Y68" s="90" t="e">
        <f t="shared" si="1290"/>
        <v>#N/A</v>
      </c>
      <c r="Z68" s="90" t="e">
        <f t="shared" si="1290"/>
        <v>#N/A</v>
      </c>
      <c r="AA68" s="91" t="e">
        <f t="shared" ref="AA68:AA70" si="1291">SUM(O68:Z68)</f>
        <v>#N/A</v>
      </c>
      <c r="AB68" s="90" t="e">
        <f>Z68*(1+Inputs!$B$7)</f>
        <v>#N/A</v>
      </c>
      <c r="AC68" s="90" t="e">
        <f>AB68</f>
        <v>#N/A</v>
      </c>
      <c r="AD68" s="90" t="e">
        <f t="shared" ref="AD68:AM68" si="1292">AC68</f>
        <v>#N/A</v>
      </c>
      <c r="AE68" s="90" t="e">
        <f t="shared" si="1292"/>
        <v>#N/A</v>
      </c>
      <c r="AF68" s="90" t="e">
        <f t="shared" si="1292"/>
        <v>#N/A</v>
      </c>
      <c r="AG68" s="90" t="e">
        <f t="shared" si="1292"/>
        <v>#N/A</v>
      </c>
      <c r="AH68" s="90" t="e">
        <f t="shared" si="1292"/>
        <v>#N/A</v>
      </c>
      <c r="AI68" s="90" t="e">
        <f t="shared" si="1292"/>
        <v>#N/A</v>
      </c>
      <c r="AJ68" s="90" t="e">
        <f t="shared" si="1292"/>
        <v>#N/A</v>
      </c>
      <c r="AK68" s="90" t="e">
        <f t="shared" si="1292"/>
        <v>#N/A</v>
      </c>
      <c r="AL68" s="90" t="e">
        <f t="shared" si="1292"/>
        <v>#N/A</v>
      </c>
      <c r="AM68" s="90" t="e">
        <f t="shared" si="1292"/>
        <v>#N/A</v>
      </c>
      <c r="AN68" s="91" t="e">
        <f t="shared" ref="AN68:AN70" si="1293">SUM(AB68:AM68)</f>
        <v>#N/A</v>
      </c>
      <c r="AO68" s="90" t="e">
        <f>AM68*(1+Inputs!$B$7)</f>
        <v>#N/A</v>
      </c>
      <c r="AP68" s="90" t="e">
        <f>AO68</f>
        <v>#N/A</v>
      </c>
      <c r="AQ68" s="90" t="e">
        <f t="shared" ref="AQ68:AZ68" si="1294">AP68</f>
        <v>#N/A</v>
      </c>
      <c r="AR68" s="90" t="e">
        <f t="shared" si="1294"/>
        <v>#N/A</v>
      </c>
      <c r="AS68" s="90" t="e">
        <f t="shared" si="1294"/>
        <v>#N/A</v>
      </c>
      <c r="AT68" s="90" t="e">
        <f t="shared" si="1294"/>
        <v>#N/A</v>
      </c>
      <c r="AU68" s="90" t="e">
        <f t="shared" si="1294"/>
        <v>#N/A</v>
      </c>
      <c r="AV68" s="90" t="e">
        <f t="shared" si="1294"/>
        <v>#N/A</v>
      </c>
      <c r="AW68" s="90" t="e">
        <f t="shared" si="1294"/>
        <v>#N/A</v>
      </c>
      <c r="AX68" s="90" t="e">
        <f t="shared" si="1294"/>
        <v>#N/A</v>
      </c>
      <c r="AY68" s="90" t="e">
        <f t="shared" si="1294"/>
        <v>#N/A</v>
      </c>
      <c r="AZ68" s="90" t="e">
        <f t="shared" si="1294"/>
        <v>#N/A</v>
      </c>
      <c r="BA68" s="91" t="e">
        <f t="shared" ref="BA68:BA70" si="1295">SUM(AO68:AZ68)</f>
        <v>#N/A</v>
      </c>
      <c r="BB68" s="90" t="e">
        <f>AZ68*(1+Inputs!$B$7)</f>
        <v>#N/A</v>
      </c>
      <c r="BC68" s="90" t="e">
        <f>BB68</f>
        <v>#N/A</v>
      </c>
      <c r="BD68" s="90" t="e">
        <f t="shared" ref="BD68:BM68" si="1296">BC68</f>
        <v>#N/A</v>
      </c>
      <c r="BE68" s="90" t="e">
        <f t="shared" si="1296"/>
        <v>#N/A</v>
      </c>
      <c r="BF68" s="90" t="e">
        <f t="shared" si="1296"/>
        <v>#N/A</v>
      </c>
      <c r="BG68" s="90" t="e">
        <f t="shared" si="1296"/>
        <v>#N/A</v>
      </c>
      <c r="BH68" s="90" t="e">
        <f t="shared" si="1296"/>
        <v>#N/A</v>
      </c>
      <c r="BI68" s="90" t="e">
        <f t="shared" si="1296"/>
        <v>#N/A</v>
      </c>
      <c r="BJ68" s="90" t="e">
        <f t="shared" si="1296"/>
        <v>#N/A</v>
      </c>
      <c r="BK68" s="90" t="e">
        <f t="shared" si="1296"/>
        <v>#N/A</v>
      </c>
      <c r="BL68" s="90" t="e">
        <f t="shared" si="1296"/>
        <v>#N/A</v>
      </c>
      <c r="BM68" s="90" t="e">
        <f t="shared" si="1296"/>
        <v>#N/A</v>
      </c>
      <c r="BN68" s="91" t="e">
        <f t="shared" ref="BN68:BN70" si="1297">SUM(BB68:BM68)</f>
        <v>#N/A</v>
      </c>
      <c r="BO68" s="90" t="e">
        <f>BM68*(1+Inputs!$B$7)</f>
        <v>#N/A</v>
      </c>
      <c r="BP68" s="90" t="e">
        <f>BO68</f>
        <v>#N/A</v>
      </c>
      <c r="BQ68" s="90" t="e">
        <f t="shared" ref="BQ68:BZ68" si="1298">BP68</f>
        <v>#N/A</v>
      </c>
      <c r="BR68" s="90" t="e">
        <f t="shared" si="1298"/>
        <v>#N/A</v>
      </c>
      <c r="BS68" s="90" t="e">
        <f t="shared" si="1298"/>
        <v>#N/A</v>
      </c>
      <c r="BT68" s="90" t="e">
        <f t="shared" si="1298"/>
        <v>#N/A</v>
      </c>
      <c r="BU68" s="90" t="e">
        <f t="shared" si="1298"/>
        <v>#N/A</v>
      </c>
      <c r="BV68" s="90" t="e">
        <f t="shared" si="1298"/>
        <v>#N/A</v>
      </c>
      <c r="BW68" s="90" t="e">
        <f t="shared" si="1298"/>
        <v>#N/A</v>
      </c>
      <c r="BX68" s="90" t="e">
        <f t="shared" si="1298"/>
        <v>#N/A</v>
      </c>
      <c r="BY68" s="90" t="e">
        <f t="shared" si="1298"/>
        <v>#N/A</v>
      </c>
      <c r="BZ68" s="90" t="e">
        <f t="shared" si="1298"/>
        <v>#N/A</v>
      </c>
      <c r="CA68" s="91" t="e">
        <f t="shared" ref="CA68:CA70" si="1299">SUM(BO68:BZ68)</f>
        <v>#N/A</v>
      </c>
      <c r="CB68" s="90" t="e">
        <f>BZ68*(1+Inputs!$B$7)</f>
        <v>#N/A</v>
      </c>
      <c r="CC68" s="90" t="e">
        <f>CB68</f>
        <v>#N/A</v>
      </c>
      <c r="CD68" s="90" t="e">
        <f t="shared" ref="CD68:CM68" si="1300">CC68</f>
        <v>#N/A</v>
      </c>
      <c r="CE68" s="90" t="e">
        <f t="shared" si="1300"/>
        <v>#N/A</v>
      </c>
      <c r="CF68" s="90" t="e">
        <f t="shared" si="1300"/>
        <v>#N/A</v>
      </c>
      <c r="CG68" s="90" t="e">
        <f t="shared" si="1300"/>
        <v>#N/A</v>
      </c>
      <c r="CH68" s="90" t="e">
        <f t="shared" si="1300"/>
        <v>#N/A</v>
      </c>
      <c r="CI68" s="90" t="e">
        <f t="shared" si="1300"/>
        <v>#N/A</v>
      </c>
      <c r="CJ68" s="90" t="e">
        <f t="shared" si="1300"/>
        <v>#N/A</v>
      </c>
      <c r="CK68" s="90" t="e">
        <f t="shared" si="1300"/>
        <v>#N/A</v>
      </c>
      <c r="CL68" s="90" t="e">
        <f t="shared" si="1300"/>
        <v>#N/A</v>
      </c>
      <c r="CM68" s="90" t="e">
        <f t="shared" si="1300"/>
        <v>#N/A</v>
      </c>
      <c r="CN68" s="91" t="e">
        <f t="shared" ref="CN68:CN70" si="1301">SUM(CB68:CM68)</f>
        <v>#N/A</v>
      </c>
      <c r="CO68" s="90" t="e">
        <f>CM68*(1+Inputs!$B$7)</f>
        <v>#N/A</v>
      </c>
      <c r="CP68" s="90" t="e">
        <f>CO68</f>
        <v>#N/A</v>
      </c>
      <c r="CQ68" s="90" t="e">
        <f t="shared" ref="CQ68:CZ68" si="1302">CP68</f>
        <v>#N/A</v>
      </c>
      <c r="CR68" s="90" t="e">
        <f t="shared" si="1302"/>
        <v>#N/A</v>
      </c>
      <c r="CS68" s="90" t="e">
        <f t="shared" si="1302"/>
        <v>#N/A</v>
      </c>
      <c r="CT68" s="90" t="e">
        <f t="shared" si="1302"/>
        <v>#N/A</v>
      </c>
      <c r="CU68" s="90" t="e">
        <f t="shared" si="1302"/>
        <v>#N/A</v>
      </c>
      <c r="CV68" s="90" t="e">
        <f t="shared" si="1302"/>
        <v>#N/A</v>
      </c>
      <c r="CW68" s="90" t="e">
        <f t="shared" si="1302"/>
        <v>#N/A</v>
      </c>
      <c r="CX68" s="90" t="e">
        <f t="shared" si="1302"/>
        <v>#N/A</v>
      </c>
      <c r="CY68" s="90" t="e">
        <f t="shared" si="1302"/>
        <v>#N/A</v>
      </c>
      <c r="CZ68" s="90" t="e">
        <f t="shared" si="1302"/>
        <v>#N/A</v>
      </c>
      <c r="DA68" s="91" t="e">
        <f t="shared" ref="DA68:DA70" si="1303">SUM(CO68:CZ68)</f>
        <v>#N/A</v>
      </c>
      <c r="DB68" s="90" t="e">
        <f>CZ68*(1+Inputs!$B$7)</f>
        <v>#N/A</v>
      </c>
      <c r="DC68" s="90" t="e">
        <f>DB68</f>
        <v>#N/A</v>
      </c>
      <c r="DD68" s="90" t="e">
        <f t="shared" ref="DD68:DM68" si="1304">DC68</f>
        <v>#N/A</v>
      </c>
      <c r="DE68" s="90" t="e">
        <f t="shared" si="1304"/>
        <v>#N/A</v>
      </c>
      <c r="DF68" s="90" t="e">
        <f t="shared" si="1304"/>
        <v>#N/A</v>
      </c>
      <c r="DG68" s="90" t="e">
        <f t="shared" si="1304"/>
        <v>#N/A</v>
      </c>
      <c r="DH68" s="90" t="e">
        <f t="shared" si="1304"/>
        <v>#N/A</v>
      </c>
      <c r="DI68" s="90" t="e">
        <f t="shared" si="1304"/>
        <v>#N/A</v>
      </c>
      <c r="DJ68" s="90" t="e">
        <f t="shared" si="1304"/>
        <v>#N/A</v>
      </c>
      <c r="DK68" s="90" t="e">
        <f t="shared" si="1304"/>
        <v>#N/A</v>
      </c>
      <c r="DL68" s="90" t="e">
        <f t="shared" si="1304"/>
        <v>#N/A</v>
      </c>
      <c r="DM68" s="90" t="e">
        <f t="shared" si="1304"/>
        <v>#N/A</v>
      </c>
      <c r="DN68" s="91" t="e">
        <f t="shared" ref="DN68:DN70" si="1305">SUM(DB68:DM68)</f>
        <v>#N/A</v>
      </c>
      <c r="DO68" s="90" t="e">
        <f>DM68*(1+Inputs!$B$7)</f>
        <v>#N/A</v>
      </c>
      <c r="DP68" s="90" t="e">
        <f>DO68</f>
        <v>#N/A</v>
      </c>
      <c r="DQ68" s="90" t="e">
        <f t="shared" ref="DQ68:DZ68" si="1306">DP68</f>
        <v>#N/A</v>
      </c>
      <c r="DR68" s="90" t="e">
        <f t="shared" si="1306"/>
        <v>#N/A</v>
      </c>
      <c r="DS68" s="90" t="e">
        <f t="shared" si="1306"/>
        <v>#N/A</v>
      </c>
      <c r="DT68" s="90" t="e">
        <f t="shared" si="1306"/>
        <v>#N/A</v>
      </c>
      <c r="DU68" s="90" t="e">
        <f t="shared" si="1306"/>
        <v>#N/A</v>
      </c>
      <c r="DV68" s="90" t="e">
        <f t="shared" si="1306"/>
        <v>#N/A</v>
      </c>
      <c r="DW68" s="90" t="e">
        <f t="shared" si="1306"/>
        <v>#N/A</v>
      </c>
      <c r="DX68" s="90" t="e">
        <f t="shared" si="1306"/>
        <v>#N/A</v>
      </c>
      <c r="DY68" s="90" t="e">
        <f t="shared" si="1306"/>
        <v>#N/A</v>
      </c>
      <c r="DZ68" s="90" t="e">
        <f t="shared" si="1306"/>
        <v>#N/A</v>
      </c>
      <c r="EA68" s="91" t="e">
        <f t="shared" ref="EA68:EA70" si="1307">SUM(DO68:DZ68)</f>
        <v>#N/A</v>
      </c>
      <c r="EB68" s="90" t="e">
        <f>DZ68*(1+Inputs!$B$7)</f>
        <v>#N/A</v>
      </c>
      <c r="EC68" s="90" t="e">
        <f>EB68</f>
        <v>#N/A</v>
      </c>
      <c r="ED68" s="90" t="e">
        <f t="shared" ref="ED68:EM68" si="1308">EC68</f>
        <v>#N/A</v>
      </c>
      <c r="EE68" s="90" t="e">
        <f t="shared" si="1308"/>
        <v>#N/A</v>
      </c>
      <c r="EF68" s="90" t="e">
        <f t="shared" si="1308"/>
        <v>#N/A</v>
      </c>
      <c r="EG68" s="90" t="e">
        <f t="shared" si="1308"/>
        <v>#N/A</v>
      </c>
      <c r="EH68" s="90" t="e">
        <f t="shared" si="1308"/>
        <v>#N/A</v>
      </c>
      <c r="EI68" s="90" t="e">
        <f t="shared" si="1308"/>
        <v>#N/A</v>
      </c>
      <c r="EJ68" s="90" t="e">
        <f t="shared" si="1308"/>
        <v>#N/A</v>
      </c>
      <c r="EK68" s="90" t="e">
        <f t="shared" si="1308"/>
        <v>#N/A</v>
      </c>
      <c r="EL68" s="90" t="e">
        <f t="shared" si="1308"/>
        <v>#N/A</v>
      </c>
      <c r="EM68" s="90" t="e">
        <f t="shared" si="1308"/>
        <v>#N/A</v>
      </c>
      <c r="EN68" s="91" t="e">
        <f t="shared" ref="EN68:EN70" si="1309">SUM(EB68:EM68)</f>
        <v>#N/A</v>
      </c>
      <c r="EO68" s="90" t="e">
        <f>EM68*(1+Inputs!$B$7)</f>
        <v>#N/A</v>
      </c>
      <c r="EP68" s="90" t="e">
        <f>EO68</f>
        <v>#N/A</v>
      </c>
      <c r="EQ68" s="90" t="e">
        <f t="shared" ref="EQ68:EZ68" si="1310">EP68</f>
        <v>#N/A</v>
      </c>
      <c r="ER68" s="90" t="e">
        <f t="shared" si="1310"/>
        <v>#N/A</v>
      </c>
      <c r="ES68" s="90" t="e">
        <f t="shared" si="1310"/>
        <v>#N/A</v>
      </c>
      <c r="ET68" s="90" t="e">
        <f t="shared" si="1310"/>
        <v>#N/A</v>
      </c>
      <c r="EU68" s="90" t="e">
        <f t="shared" si="1310"/>
        <v>#N/A</v>
      </c>
      <c r="EV68" s="90" t="e">
        <f t="shared" si="1310"/>
        <v>#N/A</v>
      </c>
      <c r="EW68" s="90" t="e">
        <f t="shared" si="1310"/>
        <v>#N/A</v>
      </c>
      <c r="EX68" s="90" t="e">
        <f t="shared" si="1310"/>
        <v>#N/A</v>
      </c>
      <c r="EY68" s="90" t="e">
        <f t="shared" si="1310"/>
        <v>#N/A</v>
      </c>
      <c r="EZ68" s="90" t="e">
        <f t="shared" si="1310"/>
        <v>#N/A</v>
      </c>
      <c r="FA68" s="91" t="e">
        <f t="shared" ref="FA68:FA70" si="1311">SUM(EO68:EZ68)</f>
        <v>#N/A</v>
      </c>
      <c r="FB68" s="90" t="e">
        <f>EZ68*(1+Inputs!$B$7)</f>
        <v>#N/A</v>
      </c>
      <c r="FC68" s="90" t="e">
        <f>FB68</f>
        <v>#N/A</v>
      </c>
      <c r="FD68" s="90" t="e">
        <f t="shared" ref="FD68:FM68" si="1312">FC68</f>
        <v>#N/A</v>
      </c>
      <c r="FE68" s="90" t="e">
        <f t="shared" si="1312"/>
        <v>#N/A</v>
      </c>
      <c r="FF68" s="90" t="e">
        <f t="shared" si="1312"/>
        <v>#N/A</v>
      </c>
      <c r="FG68" s="90" t="e">
        <f t="shared" si="1312"/>
        <v>#N/A</v>
      </c>
      <c r="FH68" s="90" t="e">
        <f t="shared" si="1312"/>
        <v>#N/A</v>
      </c>
      <c r="FI68" s="90" t="e">
        <f t="shared" si="1312"/>
        <v>#N/A</v>
      </c>
      <c r="FJ68" s="90" t="e">
        <f t="shared" si="1312"/>
        <v>#N/A</v>
      </c>
      <c r="FK68" s="90" t="e">
        <f t="shared" si="1312"/>
        <v>#N/A</v>
      </c>
      <c r="FL68" s="90" t="e">
        <f t="shared" si="1312"/>
        <v>#N/A</v>
      </c>
      <c r="FM68" s="90" t="e">
        <f t="shared" si="1312"/>
        <v>#N/A</v>
      </c>
      <c r="FN68" s="91" t="e">
        <f t="shared" ref="FN68:FN70" si="1313">SUM(FB68:FM68)</f>
        <v>#N/A</v>
      </c>
      <c r="FO68" s="90" t="e">
        <f>FM68*(1+Inputs!$B$7)</f>
        <v>#N/A</v>
      </c>
      <c r="FP68" s="90" t="e">
        <f>FO68</f>
        <v>#N/A</v>
      </c>
      <c r="FQ68" s="90" t="e">
        <f t="shared" ref="FQ68:FZ68" si="1314">FP68</f>
        <v>#N/A</v>
      </c>
      <c r="FR68" s="90" t="e">
        <f t="shared" si="1314"/>
        <v>#N/A</v>
      </c>
      <c r="FS68" s="90" t="e">
        <f t="shared" si="1314"/>
        <v>#N/A</v>
      </c>
      <c r="FT68" s="90" t="e">
        <f t="shared" si="1314"/>
        <v>#N/A</v>
      </c>
      <c r="FU68" s="90" t="e">
        <f t="shared" si="1314"/>
        <v>#N/A</v>
      </c>
      <c r="FV68" s="90" t="e">
        <f t="shared" si="1314"/>
        <v>#N/A</v>
      </c>
      <c r="FW68" s="90" t="e">
        <f t="shared" si="1314"/>
        <v>#N/A</v>
      </c>
      <c r="FX68" s="90" t="e">
        <f t="shared" si="1314"/>
        <v>#N/A</v>
      </c>
      <c r="FY68" s="90" t="e">
        <f t="shared" si="1314"/>
        <v>#N/A</v>
      </c>
      <c r="FZ68" s="90" t="e">
        <f t="shared" si="1314"/>
        <v>#N/A</v>
      </c>
      <c r="GA68" s="91" t="e">
        <f t="shared" ref="GA68:GA70" si="1315">SUM(FO68:FZ68)</f>
        <v>#N/A</v>
      </c>
      <c r="GB68" s="90" t="e">
        <f>FZ68*(1+Inputs!$B$7)</f>
        <v>#N/A</v>
      </c>
      <c r="GC68" s="90" t="e">
        <f>GB68</f>
        <v>#N/A</v>
      </c>
      <c r="GD68" s="90" t="e">
        <f t="shared" ref="GD68:GM68" si="1316">GC68</f>
        <v>#N/A</v>
      </c>
      <c r="GE68" s="90" t="e">
        <f t="shared" si="1316"/>
        <v>#N/A</v>
      </c>
      <c r="GF68" s="90" t="e">
        <f t="shared" si="1316"/>
        <v>#N/A</v>
      </c>
      <c r="GG68" s="90" t="e">
        <f t="shared" si="1316"/>
        <v>#N/A</v>
      </c>
      <c r="GH68" s="90" t="e">
        <f t="shared" si="1316"/>
        <v>#N/A</v>
      </c>
      <c r="GI68" s="90" t="e">
        <f t="shared" si="1316"/>
        <v>#N/A</v>
      </c>
      <c r="GJ68" s="90" t="e">
        <f t="shared" si="1316"/>
        <v>#N/A</v>
      </c>
      <c r="GK68" s="90" t="e">
        <f t="shared" si="1316"/>
        <v>#N/A</v>
      </c>
      <c r="GL68" s="90" t="e">
        <f t="shared" si="1316"/>
        <v>#N/A</v>
      </c>
      <c r="GM68" s="90" t="e">
        <f t="shared" si="1316"/>
        <v>#N/A</v>
      </c>
      <c r="GN68" s="91" t="e">
        <f t="shared" ref="GN68:GN70" si="1317">SUM(GB68:GM68)</f>
        <v>#N/A</v>
      </c>
      <c r="GO68" s="90" t="e">
        <f>GM68*(1+Inputs!$B$7)</f>
        <v>#N/A</v>
      </c>
      <c r="GP68" s="90" t="e">
        <f>GO68</f>
        <v>#N/A</v>
      </c>
      <c r="GQ68" s="90" t="e">
        <f t="shared" ref="GQ68:GZ68" si="1318">GP68</f>
        <v>#N/A</v>
      </c>
      <c r="GR68" s="90" t="e">
        <f t="shared" si="1318"/>
        <v>#N/A</v>
      </c>
      <c r="GS68" s="90" t="e">
        <f t="shared" si="1318"/>
        <v>#N/A</v>
      </c>
      <c r="GT68" s="90" t="e">
        <f t="shared" si="1318"/>
        <v>#N/A</v>
      </c>
      <c r="GU68" s="90" t="e">
        <f t="shared" si="1318"/>
        <v>#N/A</v>
      </c>
      <c r="GV68" s="90" t="e">
        <f t="shared" si="1318"/>
        <v>#N/A</v>
      </c>
      <c r="GW68" s="90" t="e">
        <f t="shared" si="1318"/>
        <v>#N/A</v>
      </c>
      <c r="GX68" s="90" t="e">
        <f t="shared" si="1318"/>
        <v>#N/A</v>
      </c>
      <c r="GY68" s="90" t="e">
        <f t="shared" si="1318"/>
        <v>#N/A</v>
      </c>
      <c r="GZ68" s="90" t="e">
        <f t="shared" si="1318"/>
        <v>#N/A</v>
      </c>
      <c r="HA68" s="91" t="e">
        <f t="shared" ref="HA68:HA70" si="1319">SUM(GO68:GZ68)</f>
        <v>#N/A</v>
      </c>
      <c r="HB68" s="90" t="e">
        <f>GZ68*(1+Inputs!$B$7)</f>
        <v>#N/A</v>
      </c>
      <c r="HC68" s="90" t="e">
        <f>HB68</f>
        <v>#N/A</v>
      </c>
      <c r="HD68" s="90" t="e">
        <f t="shared" ref="HD68:HM68" si="1320">HC68</f>
        <v>#N/A</v>
      </c>
      <c r="HE68" s="90" t="e">
        <f t="shared" si="1320"/>
        <v>#N/A</v>
      </c>
      <c r="HF68" s="90" t="e">
        <f t="shared" si="1320"/>
        <v>#N/A</v>
      </c>
      <c r="HG68" s="90" t="e">
        <f t="shared" si="1320"/>
        <v>#N/A</v>
      </c>
      <c r="HH68" s="90" t="e">
        <f t="shared" si="1320"/>
        <v>#N/A</v>
      </c>
      <c r="HI68" s="90" t="e">
        <f t="shared" si="1320"/>
        <v>#N/A</v>
      </c>
      <c r="HJ68" s="90" t="e">
        <f t="shared" si="1320"/>
        <v>#N/A</v>
      </c>
      <c r="HK68" s="90" t="e">
        <f t="shared" si="1320"/>
        <v>#N/A</v>
      </c>
      <c r="HL68" s="90" t="e">
        <f t="shared" si="1320"/>
        <v>#N/A</v>
      </c>
      <c r="HM68" s="90" t="e">
        <f t="shared" si="1320"/>
        <v>#N/A</v>
      </c>
      <c r="HN68" s="91" t="e">
        <f t="shared" ref="HN68:HN70" si="1321">SUM(HB68:HM68)</f>
        <v>#N/A</v>
      </c>
      <c r="HO68" s="90" t="e">
        <f>HM68*(1+Inputs!$B$7)</f>
        <v>#N/A</v>
      </c>
      <c r="HP68" s="90" t="e">
        <f>HO68</f>
        <v>#N/A</v>
      </c>
      <c r="HQ68" s="90" t="e">
        <f t="shared" ref="HQ68:HZ68" si="1322">HP68</f>
        <v>#N/A</v>
      </c>
      <c r="HR68" s="90" t="e">
        <f t="shared" si="1322"/>
        <v>#N/A</v>
      </c>
      <c r="HS68" s="90" t="e">
        <f t="shared" si="1322"/>
        <v>#N/A</v>
      </c>
      <c r="HT68" s="90" t="e">
        <f t="shared" si="1322"/>
        <v>#N/A</v>
      </c>
      <c r="HU68" s="90" t="e">
        <f t="shared" si="1322"/>
        <v>#N/A</v>
      </c>
      <c r="HV68" s="90" t="e">
        <f t="shared" si="1322"/>
        <v>#N/A</v>
      </c>
      <c r="HW68" s="90" t="e">
        <f t="shared" si="1322"/>
        <v>#N/A</v>
      </c>
      <c r="HX68" s="90" t="e">
        <f t="shared" si="1322"/>
        <v>#N/A</v>
      </c>
      <c r="HY68" s="90" t="e">
        <f t="shared" si="1322"/>
        <v>#N/A</v>
      </c>
      <c r="HZ68" s="90" t="e">
        <f t="shared" si="1322"/>
        <v>#N/A</v>
      </c>
      <c r="IA68" s="91" t="e">
        <f t="shared" ref="IA68:IA70" si="1323">SUM(HO68:HZ68)</f>
        <v>#N/A</v>
      </c>
      <c r="IB68" s="90" t="e">
        <f>HZ68*(1+Inputs!$B$7)</f>
        <v>#N/A</v>
      </c>
      <c r="IC68" s="90" t="e">
        <f>IB68</f>
        <v>#N/A</v>
      </c>
      <c r="ID68" s="90" t="e">
        <f t="shared" ref="ID68:IM68" si="1324">IC68</f>
        <v>#N/A</v>
      </c>
      <c r="IE68" s="90" t="e">
        <f t="shared" si="1324"/>
        <v>#N/A</v>
      </c>
      <c r="IF68" s="90" t="e">
        <f t="shared" si="1324"/>
        <v>#N/A</v>
      </c>
      <c r="IG68" s="90" t="e">
        <f t="shared" si="1324"/>
        <v>#N/A</v>
      </c>
      <c r="IH68" s="90" t="e">
        <f t="shared" si="1324"/>
        <v>#N/A</v>
      </c>
      <c r="II68" s="90" t="e">
        <f t="shared" si="1324"/>
        <v>#N/A</v>
      </c>
      <c r="IJ68" s="90" t="e">
        <f t="shared" si="1324"/>
        <v>#N/A</v>
      </c>
      <c r="IK68" s="90" t="e">
        <f t="shared" si="1324"/>
        <v>#N/A</v>
      </c>
      <c r="IL68" s="90" t="e">
        <f t="shared" si="1324"/>
        <v>#N/A</v>
      </c>
      <c r="IM68" s="90" t="e">
        <f t="shared" si="1324"/>
        <v>#N/A</v>
      </c>
      <c r="IN68" s="91" t="e">
        <f t="shared" ref="IN68:IN70" si="1325">SUM(IB68:IM68)</f>
        <v>#N/A</v>
      </c>
      <c r="IO68" s="90" t="e">
        <f>IM68*(1+Inputs!$B$7)</f>
        <v>#N/A</v>
      </c>
      <c r="IP68" s="90" t="e">
        <f>IO68</f>
        <v>#N/A</v>
      </c>
      <c r="IQ68" s="90" t="e">
        <f t="shared" ref="IQ68:IZ68" si="1326">IP68</f>
        <v>#N/A</v>
      </c>
      <c r="IR68" s="90" t="e">
        <f t="shared" si="1326"/>
        <v>#N/A</v>
      </c>
      <c r="IS68" s="90" t="e">
        <f t="shared" si="1326"/>
        <v>#N/A</v>
      </c>
      <c r="IT68" s="90" t="e">
        <f t="shared" si="1326"/>
        <v>#N/A</v>
      </c>
      <c r="IU68" s="90" t="e">
        <f t="shared" si="1326"/>
        <v>#N/A</v>
      </c>
      <c r="IV68" s="90" t="e">
        <f t="shared" si="1326"/>
        <v>#N/A</v>
      </c>
      <c r="IW68" s="90" t="e">
        <f t="shared" si="1326"/>
        <v>#N/A</v>
      </c>
      <c r="IX68" s="90" t="e">
        <f t="shared" si="1326"/>
        <v>#N/A</v>
      </c>
      <c r="IY68" s="90" t="e">
        <f t="shared" si="1326"/>
        <v>#N/A</v>
      </c>
      <c r="IZ68" s="90" t="e">
        <f t="shared" si="1326"/>
        <v>#N/A</v>
      </c>
      <c r="JA68" s="91" t="e">
        <f t="shared" ref="JA68:JA70" si="1327">SUM(IO68:IZ68)</f>
        <v>#N/A</v>
      </c>
      <c r="JB68" s="90" t="e">
        <f>IZ68*(1+Inputs!$B$7)</f>
        <v>#N/A</v>
      </c>
      <c r="JC68" s="90" t="e">
        <f>JB68</f>
        <v>#N/A</v>
      </c>
      <c r="JD68" s="90" t="e">
        <f t="shared" ref="JD68:JM68" si="1328">JC68</f>
        <v>#N/A</v>
      </c>
      <c r="JE68" s="90" t="e">
        <f t="shared" si="1328"/>
        <v>#N/A</v>
      </c>
      <c r="JF68" s="90" t="e">
        <f t="shared" si="1328"/>
        <v>#N/A</v>
      </c>
      <c r="JG68" s="90" t="e">
        <f t="shared" si="1328"/>
        <v>#N/A</v>
      </c>
      <c r="JH68" s="90" t="e">
        <f t="shared" si="1328"/>
        <v>#N/A</v>
      </c>
      <c r="JI68" s="90" t="e">
        <f t="shared" si="1328"/>
        <v>#N/A</v>
      </c>
      <c r="JJ68" s="90" t="e">
        <f t="shared" si="1328"/>
        <v>#N/A</v>
      </c>
      <c r="JK68" s="90" t="e">
        <f t="shared" si="1328"/>
        <v>#N/A</v>
      </c>
      <c r="JL68" s="90" t="e">
        <f t="shared" si="1328"/>
        <v>#N/A</v>
      </c>
      <c r="JM68" s="90" t="e">
        <f t="shared" si="1328"/>
        <v>#N/A</v>
      </c>
      <c r="JN68" s="91" t="e">
        <f t="shared" ref="JN68:JN70" si="1329">SUM(JB68:JM68)</f>
        <v>#N/A</v>
      </c>
      <c r="JO68" s="90" t="e">
        <f>JM68*(1+Inputs!$B$7)</f>
        <v>#N/A</v>
      </c>
      <c r="JP68" s="90" t="e">
        <f>JO68</f>
        <v>#N/A</v>
      </c>
      <c r="JQ68" s="90" t="e">
        <f t="shared" ref="JQ68:JZ68" si="1330">JP68</f>
        <v>#N/A</v>
      </c>
      <c r="JR68" s="90" t="e">
        <f t="shared" si="1330"/>
        <v>#N/A</v>
      </c>
      <c r="JS68" s="90" t="e">
        <f t="shared" si="1330"/>
        <v>#N/A</v>
      </c>
      <c r="JT68" s="90" t="e">
        <f t="shared" si="1330"/>
        <v>#N/A</v>
      </c>
      <c r="JU68" s="90" t="e">
        <f t="shared" si="1330"/>
        <v>#N/A</v>
      </c>
      <c r="JV68" s="90" t="e">
        <f t="shared" si="1330"/>
        <v>#N/A</v>
      </c>
      <c r="JW68" s="90" t="e">
        <f t="shared" si="1330"/>
        <v>#N/A</v>
      </c>
      <c r="JX68" s="90" t="e">
        <f t="shared" si="1330"/>
        <v>#N/A</v>
      </c>
      <c r="JY68" s="90" t="e">
        <f t="shared" si="1330"/>
        <v>#N/A</v>
      </c>
      <c r="JZ68" s="90" t="e">
        <f t="shared" si="1330"/>
        <v>#N/A</v>
      </c>
      <c r="KA68" s="91" t="e">
        <f t="shared" ref="KA68:KA70" si="1331">SUM(JO68:JZ68)</f>
        <v>#N/A</v>
      </c>
      <c r="KB68" s="90" t="e">
        <f>JZ68*(1+Inputs!$B$7)</f>
        <v>#N/A</v>
      </c>
      <c r="KC68" s="90" t="e">
        <f>KB68</f>
        <v>#N/A</v>
      </c>
      <c r="KD68" s="90" t="e">
        <f t="shared" ref="KD68:KM68" si="1332">KC68</f>
        <v>#N/A</v>
      </c>
      <c r="KE68" s="90" t="e">
        <f t="shared" si="1332"/>
        <v>#N/A</v>
      </c>
      <c r="KF68" s="90" t="e">
        <f t="shared" si="1332"/>
        <v>#N/A</v>
      </c>
      <c r="KG68" s="90" t="e">
        <f t="shared" si="1332"/>
        <v>#N/A</v>
      </c>
      <c r="KH68" s="90" t="e">
        <f t="shared" si="1332"/>
        <v>#N/A</v>
      </c>
      <c r="KI68" s="90" t="e">
        <f t="shared" si="1332"/>
        <v>#N/A</v>
      </c>
      <c r="KJ68" s="90" t="e">
        <f t="shared" si="1332"/>
        <v>#N/A</v>
      </c>
      <c r="KK68" s="90" t="e">
        <f t="shared" si="1332"/>
        <v>#N/A</v>
      </c>
      <c r="KL68" s="90" t="e">
        <f t="shared" si="1332"/>
        <v>#N/A</v>
      </c>
      <c r="KM68" s="90" t="e">
        <f t="shared" si="1332"/>
        <v>#N/A</v>
      </c>
      <c r="KN68" s="91" t="e">
        <f t="shared" ref="KN68:KN70" si="1333">SUM(KB68:KM68)</f>
        <v>#N/A</v>
      </c>
      <c r="KO68" s="90" t="e">
        <f>KM68*(1+Inputs!$B$7)</f>
        <v>#N/A</v>
      </c>
      <c r="KP68" s="90" t="e">
        <f>KO68</f>
        <v>#N/A</v>
      </c>
      <c r="KQ68" s="90" t="e">
        <f t="shared" ref="KQ68:KZ68" si="1334">KP68</f>
        <v>#N/A</v>
      </c>
      <c r="KR68" s="90" t="e">
        <f t="shared" si="1334"/>
        <v>#N/A</v>
      </c>
      <c r="KS68" s="90" t="e">
        <f t="shared" si="1334"/>
        <v>#N/A</v>
      </c>
      <c r="KT68" s="90" t="e">
        <f t="shared" si="1334"/>
        <v>#N/A</v>
      </c>
      <c r="KU68" s="90" t="e">
        <f t="shared" si="1334"/>
        <v>#N/A</v>
      </c>
      <c r="KV68" s="90" t="e">
        <f t="shared" si="1334"/>
        <v>#N/A</v>
      </c>
      <c r="KW68" s="90" t="e">
        <f t="shared" si="1334"/>
        <v>#N/A</v>
      </c>
      <c r="KX68" s="90" t="e">
        <f t="shared" si="1334"/>
        <v>#N/A</v>
      </c>
      <c r="KY68" s="90" t="e">
        <f t="shared" si="1334"/>
        <v>#N/A</v>
      </c>
      <c r="KZ68" s="90" t="e">
        <f t="shared" si="1334"/>
        <v>#N/A</v>
      </c>
      <c r="LA68" s="91" t="e">
        <f t="shared" ref="LA68:LA70" si="1335">SUM(KO68:KZ68)</f>
        <v>#N/A</v>
      </c>
      <c r="LB68" s="90" t="e">
        <f>KZ68*(1+Inputs!$B$7)</f>
        <v>#N/A</v>
      </c>
      <c r="LC68" s="90" t="e">
        <f>LB68</f>
        <v>#N/A</v>
      </c>
      <c r="LD68" s="90" t="e">
        <f t="shared" ref="LD68:LM68" si="1336">LC68</f>
        <v>#N/A</v>
      </c>
      <c r="LE68" s="90" t="e">
        <f t="shared" si="1336"/>
        <v>#N/A</v>
      </c>
      <c r="LF68" s="90" t="e">
        <f t="shared" si="1336"/>
        <v>#N/A</v>
      </c>
      <c r="LG68" s="90" t="e">
        <f t="shared" si="1336"/>
        <v>#N/A</v>
      </c>
      <c r="LH68" s="90" t="e">
        <f t="shared" si="1336"/>
        <v>#N/A</v>
      </c>
      <c r="LI68" s="90" t="e">
        <f t="shared" si="1336"/>
        <v>#N/A</v>
      </c>
      <c r="LJ68" s="90" t="e">
        <f t="shared" si="1336"/>
        <v>#N/A</v>
      </c>
      <c r="LK68" s="90" t="e">
        <f t="shared" si="1336"/>
        <v>#N/A</v>
      </c>
      <c r="LL68" s="90" t="e">
        <f t="shared" si="1336"/>
        <v>#N/A</v>
      </c>
      <c r="LM68" s="90" t="e">
        <f t="shared" si="1336"/>
        <v>#N/A</v>
      </c>
      <c r="LN68" s="91" t="e">
        <f t="shared" ref="LN68:LN70" si="1337">SUM(LB68:LM68)</f>
        <v>#N/A</v>
      </c>
      <c r="LO68" s="90" t="e">
        <f>LM68*(1+Inputs!$B$7)</f>
        <v>#N/A</v>
      </c>
      <c r="LP68" s="90" t="e">
        <f>LO68</f>
        <v>#N/A</v>
      </c>
      <c r="LQ68" s="90" t="e">
        <f t="shared" ref="LQ68:LZ68" si="1338">LP68</f>
        <v>#N/A</v>
      </c>
      <c r="LR68" s="90" t="e">
        <f t="shared" si="1338"/>
        <v>#N/A</v>
      </c>
      <c r="LS68" s="90" t="e">
        <f t="shared" si="1338"/>
        <v>#N/A</v>
      </c>
      <c r="LT68" s="90" t="e">
        <f t="shared" si="1338"/>
        <v>#N/A</v>
      </c>
      <c r="LU68" s="90" t="e">
        <f t="shared" si="1338"/>
        <v>#N/A</v>
      </c>
      <c r="LV68" s="90" t="e">
        <f t="shared" si="1338"/>
        <v>#N/A</v>
      </c>
      <c r="LW68" s="90" t="e">
        <f t="shared" si="1338"/>
        <v>#N/A</v>
      </c>
      <c r="LX68" s="90" t="e">
        <f t="shared" si="1338"/>
        <v>#N/A</v>
      </c>
      <c r="LY68" s="90" t="e">
        <f t="shared" si="1338"/>
        <v>#N/A</v>
      </c>
      <c r="LZ68" s="90" t="e">
        <f t="shared" si="1338"/>
        <v>#N/A</v>
      </c>
      <c r="MA68" s="91" t="e">
        <f t="shared" ref="MA68:MA70" si="1339">SUM(LO68:LZ68)</f>
        <v>#N/A</v>
      </c>
      <c r="MB68" s="90" t="e">
        <f>LZ68*(1+Inputs!$B$7)</f>
        <v>#N/A</v>
      </c>
      <c r="MC68" s="90" t="e">
        <f>MB68</f>
        <v>#N/A</v>
      </c>
      <c r="MD68" s="90" t="e">
        <f t="shared" ref="MD68:MM68" si="1340">MC68</f>
        <v>#N/A</v>
      </c>
      <c r="ME68" s="90" t="e">
        <f t="shared" si="1340"/>
        <v>#N/A</v>
      </c>
      <c r="MF68" s="90" t="e">
        <f t="shared" si="1340"/>
        <v>#N/A</v>
      </c>
      <c r="MG68" s="90" t="e">
        <f t="shared" si="1340"/>
        <v>#N/A</v>
      </c>
      <c r="MH68" s="90" t="e">
        <f t="shared" si="1340"/>
        <v>#N/A</v>
      </c>
      <c r="MI68" s="90" t="e">
        <f t="shared" si="1340"/>
        <v>#N/A</v>
      </c>
      <c r="MJ68" s="90" t="e">
        <f t="shared" si="1340"/>
        <v>#N/A</v>
      </c>
      <c r="MK68" s="90" t="e">
        <f t="shared" si="1340"/>
        <v>#N/A</v>
      </c>
      <c r="ML68" s="90" t="e">
        <f t="shared" si="1340"/>
        <v>#N/A</v>
      </c>
      <c r="MM68" s="90" t="e">
        <f t="shared" si="1340"/>
        <v>#N/A</v>
      </c>
      <c r="MN68" s="91" t="e">
        <f t="shared" ref="MN68:MN70" si="1341">SUM(MB68:MM68)</f>
        <v>#N/A</v>
      </c>
      <c r="MO68" s="90" t="e">
        <f>MM68*(1+Inputs!$B$7)</f>
        <v>#N/A</v>
      </c>
      <c r="MP68" s="90" t="e">
        <f>MO68</f>
        <v>#N/A</v>
      </c>
      <c r="MQ68" s="90" t="e">
        <f t="shared" ref="MQ68:MZ68" si="1342">MP68</f>
        <v>#N/A</v>
      </c>
      <c r="MR68" s="90" t="e">
        <f t="shared" si="1342"/>
        <v>#N/A</v>
      </c>
      <c r="MS68" s="90" t="e">
        <f t="shared" si="1342"/>
        <v>#N/A</v>
      </c>
      <c r="MT68" s="90" t="e">
        <f t="shared" si="1342"/>
        <v>#N/A</v>
      </c>
      <c r="MU68" s="90" t="e">
        <f t="shared" si="1342"/>
        <v>#N/A</v>
      </c>
      <c r="MV68" s="90" t="e">
        <f t="shared" si="1342"/>
        <v>#N/A</v>
      </c>
      <c r="MW68" s="90" t="e">
        <f t="shared" si="1342"/>
        <v>#N/A</v>
      </c>
      <c r="MX68" s="90" t="e">
        <f t="shared" si="1342"/>
        <v>#N/A</v>
      </c>
      <c r="MY68" s="90" t="e">
        <f t="shared" si="1342"/>
        <v>#N/A</v>
      </c>
      <c r="MZ68" s="90" t="e">
        <f t="shared" si="1342"/>
        <v>#N/A</v>
      </c>
      <c r="NA68" s="91" t="e">
        <f t="shared" ref="NA68:NA70" si="1343">SUM(MO68:MZ68)</f>
        <v>#N/A</v>
      </c>
      <c r="NB68" s="90" t="e">
        <f>MZ68*(1+Inputs!$B$7)</f>
        <v>#N/A</v>
      </c>
      <c r="NC68" s="90" t="e">
        <f>NB68</f>
        <v>#N/A</v>
      </c>
      <c r="ND68" s="90" t="e">
        <f t="shared" ref="ND68:NM68" si="1344">NC68</f>
        <v>#N/A</v>
      </c>
      <c r="NE68" s="90" t="e">
        <f t="shared" si="1344"/>
        <v>#N/A</v>
      </c>
      <c r="NF68" s="90" t="e">
        <f t="shared" si="1344"/>
        <v>#N/A</v>
      </c>
      <c r="NG68" s="90" t="e">
        <f t="shared" si="1344"/>
        <v>#N/A</v>
      </c>
      <c r="NH68" s="90" t="e">
        <f t="shared" si="1344"/>
        <v>#N/A</v>
      </c>
      <c r="NI68" s="90" t="e">
        <f t="shared" si="1344"/>
        <v>#N/A</v>
      </c>
      <c r="NJ68" s="90" t="e">
        <f t="shared" si="1344"/>
        <v>#N/A</v>
      </c>
      <c r="NK68" s="90" t="e">
        <f t="shared" si="1344"/>
        <v>#N/A</v>
      </c>
      <c r="NL68" s="90" t="e">
        <f t="shared" si="1344"/>
        <v>#N/A</v>
      </c>
      <c r="NM68" s="90" t="e">
        <f t="shared" si="1344"/>
        <v>#N/A</v>
      </c>
      <c r="NN68" s="91" t="e">
        <f t="shared" ref="NN68:NN70" si="1345">SUM(NB68:NM68)</f>
        <v>#N/A</v>
      </c>
      <c r="NO68" s="90" t="e">
        <f>NM68*(1+Inputs!$B$7)</f>
        <v>#N/A</v>
      </c>
      <c r="NP68" s="90" t="e">
        <f>NO68</f>
        <v>#N/A</v>
      </c>
      <c r="NQ68" s="90" t="e">
        <f t="shared" ref="NQ68:NZ68" si="1346">NP68</f>
        <v>#N/A</v>
      </c>
      <c r="NR68" s="90" t="e">
        <f t="shared" si="1346"/>
        <v>#N/A</v>
      </c>
      <c r="NS68" s="90" t="e">
        <f t="shared" si="1346"/>
        <v>#N/A</v>
      </c>
      <c r="NT68" s="90" t="e">
        <f t="shared" si="1346"/>
        <v>#N/A</v>
      </c>
      <c r="NU68" s="90" t="e">
        <f t="shared" si="1346"/>
        <v>#N/A</v>
      </c>
      <c r="NV68" s="90" t="e">
        <f t="shared" si="1346"/>
        <v>#N/A</v>
      </c>
      <c r="NW68" s="90" t="e">
        <f t="shared" si="1346"/>
        <v>#N/A</v>
      </c>
      <c r="NX68" s="90" t="e">
        <f t="shared" si="1346"/>
        <v>#N/A</v>
      </c>
      <c r="NY68" s="90" t="e">
        <f t="shared" si="1346"/>
        <v>#N/A</v>
      </c>
      <c r="NZ68" s="90" t="e">
        <f t="shared" si="1346"/>
        <v>#N/A</v>
      </c>
      <c r="OA68" s="91" t="e">
        <f t="shared" ref="OA68:OA70" si="1347">SUM(NO68:NZ68)</f>
        <v>#N/A</v>
      </c>
      <c r="OB68" s="90" t="e">
        <f>NZ68*(1+Inputs!$B$7)</f>
        <v>#N/A</v>
      </c>
      <c r="OC68" s="90" t="e">
        <f>OB68</f>
        <v>#N/A</v>
      </c>
      <c r="OD68" s="90" t="e">
        <f t="shared" ref="OD68:OM68" si="1348">OC68</f>
        <v>#N/A</v>
      </c>
      <c r="OE68" s="90" t="e">
        <f t="shared" si="1348"/>
        <v>#N/A</v>
      </c>
      <c r="OF68" s="90" t="e">
        <f t="shared" si="1348"/>
        <v>#N/A</v>
      </c>
      <c r="OG68" s="90" t="e">
        <f t="shared" si="1348"/>
        <v>#N/A</v>
      </c>
      <c r="OH68" s="90" t="e">
        <f t="shared" si="1348"/>
        <v>#N/A</v>
      </c>
      <c r="OI68" s="90" t="e">
        <f t="shared" si="1348"/>
        <v>#N/A</v>
      </c>
      <c r="OJ68" s="90" t="e">
        <f t="shared" si="1348"/>
        <v>#N/A</v>
      </c>
      <c r="OK68" s="90" t="e">
        <f t="shared" si="1348"/>
        <v>#N/A</v>
      </c>
      <c r="OL68" s="90" t="e">
        <f t="shared" si="1348"/>
        <v>#N/A</v>
      </c>
      <c r="OM68" s="90" t="e">
        <f t="shared" si="1348"/>
        <v>#N/A</v>
      </c>
      <c r="ON68" s="91" t="e">
        <f t="shared" ref="ON68:ON70" si="1349">SUM(OB68:OM68)</f>
        <v>#N/A</v>
      </c>
      <c r="OO68" s="90" t="e">
        <f>OM68*(1+Inputs!$B$7)</f>
        <v>#N/A</v>
      </c>
      <c r="OP68" s="90" t="e">
        <f>OO68</f>
        <v>#N/A</v>
      </c>
      <c r="OQ68" s="90" t="e">
        <f t="shared" ref="OQ68:OZ68" si="1350">OP68</f>
        <v>#N/A</v>
      </c>
      <c r="OR68" s="90" t="e">
        <f t="shared" si="1350"/>
        <v>#N/A</v>
      </c>
      <c r="OS68" s="90" t="e">
        <f t="shared" si="1350"/>
        <v>#N/A</v>
      </c>
      <c r="OT68" s="90" t="e">
        <f t="shared" si="1350"/>
        <v>#N/A</v>
      </c>
      <c r="OU68" s="90" t="e">
        <f t="shared" si="1350"/>
        <v>#N/A</v>
      </c>
      <c r="OV68" s="90" t="e">
        <f t="shared" si="1350"/>
        <v>#N/A</v>
      </c>
      <c r="OW68" s="90" t="e">
        <f t="shared" si="1350"/>
        <v>#N/A</v>
      </c>
      <c r="OX68" s="90" t="e">
        <f t="shared" si="1350"/>
        <v>#N/A</v>
      </c>
      <c r="OY68" s="90" t="e">
        <f t="shared" si="1350"/>
        <v>#N/A</v>
      </c>
      <c r="OZ68" s="90" t="e">
        <f t="shared" si="1350"/>
        <v>#N/A</v>
      </c>
      <c r="PA68" s="91" t="e">
        <f t="shared" ref="PA68:PA70" si="1351">SUM(OO68:OZ68)</f>
        <v>#N/A</v>
      </c>
      <c r="PB68" s="90" t="e">
        <f>OZ68*(1+Inputs!$B$7)</f>
        <v>#N/A</v>
      </c>
      <c r="PC68" s="90" t="e">
        <f>PB68</f>
        <v>#N/A</v>
      </c>
      <c r="PD68" s="90" t="e">
        <f t="shared" ref="PD68:PM68" si="1352">PC68</f>
        <v>#N/A</v>
      </c>
      <c r="PE68" s="90" t="e">
        <f t="shared" si="1352"/>
        <v>#N/A</v>
      </c>
      <c r="PF68" s="90" t="e">
        <f t="shared" si="1352"/>
        <v>#N/A</v>
      </c>
      <c r="PG68" s="90" t="e">
        <f t="shared" si="1352"/>
        <v>#N/A</v>
      </c>
      <c r="PH68" s="90" t="e">
        <f t="shared" si="1352"/>
        <v>#N/A</v>
      </c>
      <c r="PI68" s="90" t="e">
        <f t="shared" si="1352"/>
        <v>#N/A</v>
      </c>
      <c r="PJ68" s="90" t="e">
        <f t="shared" si="1352"/>
        <v>#N/A</v>
      </c>
      <c r="PK68" s="90" t="e">
        <f t="shared" si="1352"/>
        <v>#N/A</v>
      </c>
      <c r="PL68" s="90" t="e">
        <f t="shared" si="1352"/>
        <v>#N/A</v>
      </c>
      <c r="PM68" s="90" t="e">
        <f t="shared" si="1352"/>
        <v>#N/A</v>
      </c>
      <c r="PN68" s="91" t="e">
        <f t="shared" ref="PN68:PN70" si="1353">SUM(PB68:PM68)</f>
        <v>#N/A</v>
      </c>
      <c r="PO68" s="90" t="e">
        <f>PM68*(1+Inputs!$B$7)</f>
        <v>#N/A</v>
      </c>
      <c r="PP68" s="90" t="e">
        <f>PO68</f>
        <v>#N/A</v>
      </c>
      <c r="PQ68" s="90" t="e">
        <f t="shared" ref="PQ68:PZ68" si="1354">PP68</f>
        <v>#N/A</v>
      </c>
      <c r="PR68" s="90" t="e">
        <f t="shared" si="1354"/>
        <v>#N/A</v>
      </c>
      <c r="PS68" s="90" t="e">
        <f t="shared" si="1354"/>
        <v>#N/A</v>
      </c>
      <c r="PT68" s="90" t="e">
        <f t="shared" si="1354"/>
        <v>#N/A</v>
      </c>
      <c r="PU68" s="90" t="e">
        <f t="shared" si="1354"/>
        <v>#N/A</v>
      </c>
      <c r="PV68" s="90" t="e">
        <f t="shared" si="1354"/>
        <v>#N/A</v>
      </c>
      <c r="PW68" s="90" t="e">
        <f t="shared" si="1354"/>
        <v>#N/A</v>
      </c>
      <c r="PX68" s="90" t="e">
        <f t="shared" si="1354"/>
        <v>#N/A</v>
      </c>
      <c r="PY68" s="90" t="e">
        <f t="shared" si="1354"/>
        <v>#N/A</v>
      </c>
      <c r="PZ68" s="90" t="e">
        <f t="shared" si="1354"/>
        <v>#N/A</v>
      </c>
      <c r="QA68" s="91" t="e">
        <f t="shared" ref="QA68:QA70" si="1355">SUM(PO68:PZ68)</f>
        <v>#N/A</v>
      </c>
      <c r="QB68" s="90" t="e">
        <f>PZ68*(1+Inputs!$B$7)</f>
        <v>#N/A</v>
      </c>
      <c r="QC68" s="90" t="e">
        <f>QB68</f>
        <v>#N/A</v>
      </c>
      <c r="QD68" s="90" t="e">
        <f t="shared" ref="QD68:QM68" si="1356">QC68</f>
        <v>#N/A</v>
      </c>
      <c r="QE68" s="90" t="e">
        <f t="shared" si="1356"/>
        <v>#N/A</v>
      </c>
      <c r="QF68" s="90" t="e">
        <f t="shared" si="1356"/>
        <v>#N/A</v>
      </c>
      <c r="QG68" s="90" t="e">
        <f t="shared" si="1356"/>
        <v>#N/A</v>
      </c>
      <c r="QH68" s="90" t="e">
        <f t="shared" si="1356"/>
        <v>#N/A</v>
      </c>
      <c r="QI68" s="90" t="e">
        <f t="shared" si="1356"/>
        <v>#N/A</v>
      </c>
      <c r="QJ68" s="90" t="e">
        <f t="shared" si="1356"/>
        <v>#N/A</v>
      </c>
      <c r="QK68" s="90" t="e">
        <f t="shared" si="1356"/>
        <v>#N/A</v>
      </c>
      <c r="QL68" s="90" t="e">
        <f t="shared" si="1356"/>
        <v>#N/A</v>
      </c>
      <c r="QM68" s="90" t="e">
        <f t="shared" si="1356"/>
        <v>#N/A</v>
      </c>
      <c r="QN68" s="91" t="e">
        <f t="shared" ref="QN68:QN70" si="1357">SUM(QB68:QM68)</f>
        <v>#N/A</v>
      </c>
      <c r="QO68" s="90" t="e">
        <f>QM68*(1+Inputs!$B$7)</f>
        <v>#N/A</v>
      </c>
      <c r="QP68" s="90" t="e">
        <f>QO68</f>
        <v>#N/A</v>
      </c>
      <c r="QQ68" s="90" t="e">
        <f t="shared" ref="QQ68:QZ68" si="1358">QP68</f>
        <v>#N/A</v>
      </c>
      <c r="QR68" s="90" t="e">
        <f t="shared" si="1358"/>
        <v>#N/A</v>
      </c>
      <c r="QS68" s="90" t="e">
        <f t="shared" si="1358"/>
        <v>#N/A</v>
      </c>
      <c r="QT68" s="90" t="e">
        <f t="shared" si="1358"/>
        <v>#N/A</v>
      </c>
      <c r="QU68" s="90" t="e">
        <f t="shared" si="1358"/>
        <v>#N/A</v>
      </c>
      <c r="QV68" s="90" t="e">
        <f t="shared" si="1358"/>
        <v>#N/A</v>
      </c>
      <c r="QW68" s="90" t="e">
        <f t="shared" si="1358"/>
        <v>#N/A</v>
      </c>
      <c r="QX68" s="90" t="e">
        <f t="shared" si="1358"/>
        <v>#N/A</v>
      </c>
      <c r="QY68" s="90" t="e">
        <f t="shared" si="1358"/>
        <v>#N/A</v>
      </c>
      <c r="QZ68" s="90" t="e">
        <f t="shared" si="1358"/>
        <v>#N/A</v>
      </c>
      <c r="RA68" s="91" t="e">
        <f t="shared" ref="RA68:RA70" si="1359">SUM(QO68:QZ68)</f>
        <v>#N/A</v>
      </c>
      <c r="RB68" s="90" t="e">
        <f>QZ68*(1+Inputs!$B$7)</f>
        <v>#N/A</v>
      </c>
      <c r="RC68" s="90" t="e">
        <f>RB68</f>
        <v>#N/A</v>
      </c>
      <c r="RD68" s="90" t="e">
        <f t="shared" ref="RD68:RM68" si="1360">RC68</f>
        <v>#N/A</v>
      </c>
      <c r="RE68" s="90" t="e">
        <f t="shared" si="1360"/>
        <v>#N/A</v>
      </c>
      <c r="RF68" s="90" t="e">
        <f t="shared" si="1360"/>
        <v>#N/A</v>
      </c>
      <c r="RG68" s="90" t="e">
        <f t="shared" si="1360"/>
        <v>#N/A</v>
      </c>
      <c r="RH68" s="90" t="e">
        <f t="shared" si="1360"/>
        <v>#N/A</v>
      </c>
      <c r="RI68" s="90" t="e">
        <f t="shared" si="1360"/>
        <v>#N/A</v>
      </c>
      <c r="RJ68" s="90" t="e">
        <f t="shared" si="1360"/>
        <v>#N/A</v>
      </c>
      <c r="RK68" s="90" t="e">
        <f t="shared" si="1360"/>
        <v>#N/A</v>
      </c>
      <c r="RL68" s="90" t="e">
        <f t="shared" si="1360"/>
        <v>#N/A</v>
      </c>
      <c r="RM68" s="90" t="e">
        <f t="shared" si="1360"/>
        <v>#N/A</v>
      </c>
      <c r="RN68" s="91" t="e">
        <f t="shared" ref="RN68:RN70" si="1361">SUM(RB68:RM68)</f>
        <v>#N/A</v>
      </c>
      <c r="RO68" s="81"/>
      <c r="RP68" s="81"/>
      <c r="RQ68" s="81"/>
      <c r="RR68" s="81"/>
      <c r="RS68" s="81"/>
      <c r="RT68" s="81"/>
      <c r="RU68" s="81"/>
      <c r="RV68" s="81"/>
      <c r="RW68" s="81"/>
      <c r="RX68" s="81"/>
      <c r="RY68" s="81"/>
      <c r="RZ68" s="81"/>
      <c r="SA68" s="81"/>
      <c r="SB68" s="81"/>
      <c r="SC68" s="81"/>
      <c r="SD68" s="81"/>
      <c r="SE68" s="81"/>
      <c r="SF68" s="81"/>
      <c r="SG68" s="81"/>
      <c r="SH68" s="81"/>
      <c r="SI68" s="81"/>
      <c r="SJ68" s="81"/>
      <c r="SK68" s="81"/>
      <c r="SL68" s="81"/>
      <c r="SM68" s="81"/>
      <c r="SN68" s="81"/>
      <c r="SO68" s="81"/>
      <c r="SP68" s="81"/>
      <c r="SQ68" s="81"/>
      <c r="SR68" s="81"/>
      <c r="SS68" s="81"/>
      <c r="ST68" s="81"/>
      <c r="SU68" s="81"/>
      <c r="SV68" s="81"/>
      <c r="SW68" s="81"/>
      <c r="SX68" s="81"/>
      <c r="SY68" s="81"/>
      <c r="SZ68" s="81"/>
      <c r="TA68" s="81"/>
      <c r="TB68" s="81"/>
      <c r="TC68" s="81"/>
      <c r="TD68" s="81"/>
      <c r="TE68" s="81"/>
      <c r="TF68" s="81"/>
      <c r="TG68" s="81"/>
      <c r="TH68" s="81"/>
      <c r="TI68" s="81"/>
      <c r="TJ68" s="81"/>
      <c r="TK68" s="81"/>
      <c r="TL68" s="81"/>
      <c r="TM68" s="81"/>
      <c r="TN68" s="81"/>
      <c r="TO68" s="81"/>
      <c r="TP68" s="81"/>
      <c r="TQ68" s="81"/>
      <c r="TR68" s="81"/>
      <c r="TS68" s="81"/>
      <c r="TT68" s="81"/>
      <c r="TU68" s="81"/>
      <c r="TV68" s="81"/>
      <c r="TW68" s="81"/>
      <c r="TX68" s="81"/>
      <c r="TY68" s="81"/>
      <c r="TZ68" s="81"/>
      <c r="UA68" s="81"/>
      <c r="UB68" s="81"/>
      <c r="UC68" s="81"/>
      <c r="UD68" s="81"/>
      <c r="UE68" s="81"/>
      <c r="UF68" s="81"/>
      <c r="UG68" s="81"/>
      <c r="UH68" s="81"/>
      <c r="UI68" s="81"/>
      <c r="UJ68" s="81"/>
      <c r="UK68" s="81"/>
      <c r="UL68" s="81"/>
      <c r="UM68" s="81"/>
      <c r="UN68" s="81"/>
    </row>
    <row r="69" spans="1:560" outlineLevel="1" x14ac:dyDescent="0.3">
      <c r="A69" s="89" t="s">
        <v>242</v>
      </c>
      <c r="B69" s="86" t="e">
        <f>-Inputs!$B$8*Financials!B68</f>
        <v>#N/A</v>
      </c>
      <c r="C69" s="86" t="e">
        <f>-Inputs!$B$8*Financials!C68</f>
        <v>#N/A</v>
      </c>
      <c r="D69" s="86" t="e">
        <f>-Inputs!$B$8*Financials!D68</f>
        <v>#N/A</v>
      </c>
      <c r="E69" s="86" t="e">
        <f>-Inputs!$B$8*Financials!E68</f>
        <v>#N/A</v>
      </c>
      <c r="F69" s="86" t="e">
        <f>-Inputs!$B$8*Financials!F68</f>
        <v>#N/A</v>
      </c>
      <c r="G69" s="86" t="e">
        <f>-Inputs!$B$8*Financials!G68</f>
        <v>#N/A</v>
      </c>
      <c r="H69" s="86" t="e">
        <f>-Inputs!$B$8*Financials!H68</f>
        <v>#N/A</v>
      </c>
      <c r="I69" s="86" t="e">
        <f>-Inputs!$B$8*Financials!I68</f>
        <v>#N/A</v>
      </c>
      <c r="J69" s="86" t="e">
        <f>-Inputs!$B$8*Financials!J68</f>
        <v>#N/A</v>
      </c>
      <c r="K69" s="86" t="e">
        <f>-Inputs!$B$8*Financials!K68</f>
        <v>#N/A</v>
      </c>
      <c r="L69" s="86" t="e">
        <f>-Inputs!$B$8*Financials!L68</f>
        <v>#N/A</v>
      </c>
      <c r="M69" s="86" t="e">
        <f>-Inputs!$B$8*Financials!M68</f>
        <v>#N/A</v>
      </c>
      <c r="N69" s="87" t="e">
        <f t="shared" si="1289"/>
        <v>#N/A</v>
      </c>
      <c r="O69" s="86" t="e">
        <f>-Inputs!$B$8*Financials!O68</f>
        <v>#N/A</v>
      </c>
      <c r="P69" s="86" t="e">
        <f>-Inputs!$B$8*Financials!P68</f>
        <v>#N/A</v>
      </c>
      <c r="Q69" s="86" t="e">
        <f>-Inputs!$B$8*Financials!Q68</f>
        <v>#N/A</v>
      </c>
      <c r="R69" s="86" t="e">
        <f>-Inputs!$B$8*Financials!R68</f>
        <v>#N/A</v>
      </c>
      <c r="S69" s="86" t="e">
        <f>-Inputs!$B$8*Financials!S68</f>
        <v>#N/A</v>
      </c>
      <c r="T69" s="86" t="e">
        <f>-Inputs!$B$8*Financials!T68</f>
        <v>#N/A</v>
      </c>
      <c r="U69" s="86" t="e">
        <f>-Inputs!$B$8*Financials!U68</f>
        <v>#N/A</v>
      </c>
      <c r="V69" s="86" t="e">
        <f>-Inputs!$B$8*Financials!V68</f>
        <v>#N/A</v>
      </c>
      <c r="W69" s="86" t="e">
        <f>-Inputs!$B$8*Financials!W68</f>
        <v>#N/A</v>
      </c>
      <c r="X69" s="86" t="e">
        <f>-Inputs!$B$8*Financials!X68</f>
        <v>#N/A</v>
      </c>
      <c r="Y69" s="86" t="e">
        <f>-Inputs!$B$8*Financials!Y68</f>
        <v>#N/A</v>
      </c>
      <c r="Z69" s="86" t="e">
        <f>-Inputs!$B$8*Financials!Z68</f>
        <v>#N/A</v>
      </c>
      <c r="AA69" s="87" t="e">
        <f t="shared" si="1291"/>
        <v>#N/A</v>
      </c>
      <c r="AB69" s="86" t="e">
        <f>-Inputs!$B$8*Financials!AB68</f>
        <v>#N/A</v>
      </c>
      <c r="AC69" s="86" t="e">
        <f>-Inputs!$B$8*Financials!AC68</f>
        <v>#N/A</v>
      </c>
      <c r="AD69" s="86" t="e">
        <f>-Inputs!$B$8*Financials!AD68</f>
        <v>#N/A</v>
      </c>
      <c r="AE69" s="86" t="e">
        <f>-Inputs!$B$8*Financials!AE68</f>
        <v>#N/A</v>
      </c>
      <c r="AF69" s="86" t="e">
        <f>-Inputs!$B$8*Financials!AF68</f>
        <v>#N/A</v>
      </c>
      <c r="AG69" s="86" t="e">
        <f>-Inputs!$B$8*Financials!AG68</f>
        <v>#N/A</v>
      </c>
      <c r="AH69" s="86" t="e">
        <f>-Inputs!$B$8*Financials!AH68</f>
        <v>#N/A</v>
      </c>
      <c r="AI69" s="86" t="e">
        <f>-Inputs!$B$8*Financials!AI68</f>
        <v>#N/A</v>
      </c>
      <c r="AJ69" s="86" t="e">
        <f>-Inputs!$B$8*Financials!AJ68</f>
        <v>#N/A</v>
      </c>
      <c r="AK69" s="86" t="e">
        <f>-Inputs!$B$8*Financials!AK68</f>
        <v>#N/A</v>
      </c>
      <c r="AL69" s="86" t="e">
        <f>-Inputs!$B$8*Financials!AL68</f>
        <v>#N/A</v>
      </c>
      <c r="AM69" s="86" t="e">
        <f>-Inputs!$B$8*Financials!AM68</f>
        <v>#N/A</v>
      </c>
      <c r="AN69" s="87" t="e">
        <f t="shared" si="1293"/>
        <v>#N/A</v>
      </c>
      <c r="AO69" s="86" t="e">
        <f>-Inputs!$B$8*Financials!AO68</f>
        <v>#N/A</v>
      </c>
      <c r="AP69" s="86" t="e">
        <f>-Inputs!$B$8*Financials!AP68</f>
        <v>#N/A</v>
      </c>
      <c r="AQ69" s="86" t="e">
        <f>-Inputs!$B$8*Financials!AQ68</f>
        <v>#N/A</v>
      </c>
      <c r="AR69" s="86" t="e">
        <f>-Inputs!$B$8*Financials!AR68</f>
        <v>#N/A</v>
      </c>
      <c r="AS69" s="86" t="e">
        <f>-Inputs!$B$8*Financials!AS68</f>
        <v>#N/A</v>
      </c>
      <c r="AT69" s="86" t="e">
        <f>-Inputs!$B$8*Financials!AT68</f>
        <v>#N/A</v>
      </c>
      <c r="AU69" s="86" t="e">
        <f>-Inputs!$B$8*Financials!AU68</f>
        <v>#N/A</v>
      </c>
      <c r="AV69" s="86" t="e">
        <f>-Inputs!$B$8*Financials!AV68</f>
        <v>#N/A</v>
      </c>
      <c r="AW69" s="86" t="e">
        <f>-Inputs!$B$8*Financials!AW68</f>
        <v>#N/A</v>
      </c>
      <c r="AX69" s="86" t="e">
        <f>-Inputs!$B$8*Financials!AX68</f>
        <v>#N/A</v>
      </c>
      <c r="AY69" s="86" t="e">
        <f>-Inputs!$B$8*Financials!AY68</f>
        <v>#N/A</v>
      </c>
      <c r="AZ69" s="86" t="e">
        <f>-Inputs!$B$8*Financials!AZ68</f>
        <v>#N/A</v>
      </c>
      <c r="BA69" s="87" t="e">
        <f t="shared" si="1295"/>
        <v>#N/A</v>
      </c>
      <c r="BB69" s="86" t="e">
        <f>-Inputs!$B$8*Financials!BB68</f>
        <v>#N/A</v>
      </c>
      <c r="BC69" s="86" t="e">
        <f>-Inputs!$B$8*Financials!BC68</f>
        <v>#N/A</v>
      </c>
      <c r="BD69" s="86" t="e">
        <f>-Inputs!$B$8*Financials!BD68</f>
        <v>#N/A</v>
      </c>
      <c r="BE69" s="86" t="e">
        <f>-Inputs!$B$8*Financials!BE68</f>
        <v>#N/A</v>
      </c>
      <c r="BF69" s="86" t="e">
        <f>-Inputs!$B$8*Financials!BF68</f>
        <v>#N/A</v>
      </c>
      <c r="BG69" s="86" t="e">
        <f>-Inputs!$B$8*Financials!BG68</f>
        <v>#N/A</v>
      </c>
      <c r="BH69" s="86" t="e">
        <f>-Inputs!$B$8*Financials!BH68</f>
        <v>#N/A</v>
      </c>
      <c r="BI69" s="86" t="e">
        <f>-Inputs!$B$8*Financials!BI68</f>
        <v>#N/A</v>
      </c>
      <c r="BJ69" s="86" t="e">
        <f>-Inputs!$B$8*Financials!BJ68</f>
        <v>#N/A</v>
      </c>
      <c r="BK69" s="86" t="e">
        <f>-Inputs!$B$8*Financials!BK68</f>
        <v>#N/A</v>
      </c>
      <c r="BL69" s="86" t="e">
        <f>-Inputs!$B$8*Financials!BL68</f>
        <v>#N/A</v>
      </c>
      <c r="BM69" s="86" t="e">
        <f>-Inputs!$B$8*Financials!BM68</f>
        <v>#N/A</v>
      </c>
      <c r="BN69" s="87" t="e">
        <f t="shared" si="1297"/>
        <v>#N/A</v>
      </c>
      <c r="BO69" s="86" t="e">
        <f>-Inputs!$B$8*Financials!BO68</f>
        <v>#N/A</v>
      </c>
      <c r="BP69" s="86" t="e">
        <f>-Inputs!$B$8*Financials!BP68</f>
        <v>#N/A</v>
      </c>
      <c r="BQ69" s="86" t="e">
        <f>-Inputs!$B$8*Financials!BQ68</f>
        <v>#N/A</v>
      </c>
      <c r="BR69" s="86" t="e">
        <f>-Inputs!$B$8*Financials!BR68</f>
        <v>#N/A</v>
      </c>
      <c r="BS69" s="86" t="e">
        <f>-Inputs!$B$8*Financials!BS68</f>
        <v>#N/A</v>
      </c>
      <c r="BT69" s="86" t="e">
        <f>-Inputs!$B$8*Financials!BT68</f>
        <v>#N/A</v>
      </c>
      <c r="BU69" s="86" t="e">
        <f>-Inputs!$B$8*Financials!BU68</f>
        <v>#N/A</v>
      </c>
      <c r="BV69" s="86" t="e">
        <f>-Inputs!$B$8*Financials!BV68</f>
        <v>#N/A</v>
      </c>
      <c r="BW69" s="86" t="e">
        <f>-Inputs!$B$8*Financials!BW68</f>
        <v>#N/A</v>
      </c>
      <c r="BX69" s="86" t="e">
        <f>-Inputs!$B$8*Financials!BX68</f>
        <v>#N/A</v>
      </c>
      <c r="BY69" s="86" t="e">
        <f>-Inputs!$B$8*Financials!BY68</f>
        <v>#N/A</v>
      </c>
      <c r="BZ69" s="86" t="e">
        <f>-Inputs!$B$8*Financials!BZ68</f>
        <v>#N/A</v>
      </c>
      <c r="CA69" s="87" t="e">
        <f t="shared" si="1299"/>
        <v>#N/A</v>
      </c>
      <c r="CB69" s="86" t="e">
        <f>-Inputs!$B$8*Financials!CB68</f>
        <v>#N/A</v>
      </c>
      <c r="CC69" s="86" t="e">
        <f>-Inputs!$B$8*Financials!CC68</f>
        <v>#N/A</v>
      </c>
      <c r="CD69" s="86" t="e">
        <f>-Inputs!$B$8*Financials!CD68</f>
        <v>#N/A</v>
      </c>
      <c r="CE69" s="86" t="e">
        <f>-Inputs!$B$8*Financials!CE68</f>
        <v>#N/A</v>
      </c>
      <c r="CF69" s="86" t="e">
        <f>-Inputs!$B$8*Financials!CF68</f>
        <v>#N/A</v>
      </c>
      <c r="CG69" s="86" t="e">
        <f>-Inputs!$B$8*Financials!CG68</f>
        <v>#N/A</v>
      </c>
      <c r="CH69" s="86" t="e">
        <f>-Inputs!$B$8*Financials!CH68</f>
        <v>#N/A</v>
      </c>
      <c r="CI69" s="86" t="e">
        <f>-Inputs!$B$8*Financials!CI68</f>
        <v>#N/A</v>
      </c>
      <c r="CJ69" s="86" t="e">
        <f>-Inputs!$B$8*Financials!CJ68</f>
        <v>#N/A</v>
      </c>
      <c r="CK69" s="86" t="e">
        <f>-Inputs!$B$8*Financials!CK68</f>
        <v>#N/A</v>
      </c>
      <c r="CL69" s="86" t="e">
        <f>-Inputs!$B$8*Financials!CL68</f>
        <v>#N/A</v>
      </c>
      <c r="CM69" s="86" t="e">
        <f>-Inputs!$B$8*Financials!CM68</f>
        <v>#N/A</v>
      </c>
      <c r="CN69" s="87" t="e">
        <f t="shared" si="1301"/>
        <v>#N/A</v>
      </c>
      <c r="CO69" s="86" t="e">
        <f>-Inputs!$B$8*Financials!CO68</f>
        <v>#N/A</v>
      </c>
      <c r="CP69" s="86" t="e">
        <f>-Inputs!$B$8*Financials!CP68</f>
        <v>#N/A</v>
      </c>
      <c r="CQ69" s="86" t="e">
        <f>-Inputs!$B$8*Financials!CQ68</f>
        <v>#N/A</v>
      </c>
      <c r="CR69" s="86" t="e">
        <f>-Inputs!$B$8*Financials!CR68</f>
        <v>#N/A</v>
      </c>
      <c r="CS69" s="86" t="e">
        <f>-Inputs!$B$8*Financials!CS68</f>
        <v>#N/A</v>
      </c>
      <c r="CT69" s="86" t="e">
        <f>-Inputs!$B$8*Financials!CT68</f>
        <v>#N/A</v>
      </c>
      <c r="CU69" s="86" t="e">
        <f>-Inputs!$B$8*Financials!CU68</f>
        <v>#N/A</v>
      </c>
      <c r="CV69" s="86" t="e">
        <f>-Inputs!$B$8*Financials!CV68</f>
        <v>#N/A</v>
      </c>
      <c r="CW69" s="86" t="e">
        <f>-Inputs!$B$8*Financials!CW68</f>
        <v>#N/A</v>
      </c>
      <c r="CX69" s="86" t="e">
        <f>-Inputs!$B$8*Financials!CX68</f>
        <v>#N/A</v>
      </c>
      <c r="CY69" s="86" t="e">
        <f>-Inputs!$B$8*Financials!CY68</f>
        <v>#N/A</v>
      </c>
      <c r="CZ69" s="86" t="e">
        <f>-Inputs!$B$8*Financials!CZ68</f>
        <v>#N/A</v>
      </c>
      <c r="DA69" s="87" t="e">
        <f t="shared" si="1303"/>
        <v>#N/A</v>
      </c>
      <c r="DB69" s="86" t="e">
        <f>-Inputs!$B$8*Financials!DB68</f>
        <v>#N/A</v>
      </c>
      <c r="DC69" s="86" t="e">
        <f>-Inputs!$B$8*Financials!DC68</f>
        <v>#N/A</v>
      </c>
      <c r="DD69" s="86" t="e">
        <f>-Inputs!$B$8*Financials!DD68</f>
        <v>#N/A</v>
      </c>
      <c r="DE69" s="86" t="e">
        <f>-Inputs!$B$8*Financials!DE68</f>
        <v>#N/A</v>
      </c>
      <c r="DF69" s="86" t="e">
        <f>-Inputs!$B$8*Financials!DF68</f>
        <v>#N/A</v>
      </c>
      <c r="DG69" s="86" t="e">
        <f>-Inputs!$B$8*Financials!DG68</f>
        <v>#N/A</v>
      </c>
      <c r="DH69" s="86" t="e">
        <f>-Inputs!$B$8*Financials!DH68</f>
        <v>#N/A</v>
      </c>
      <c r="DI69" s="86" t="e">
        <f>-Inputs!$B$8*Financials!DI68</f>
        <v>#N/A</v>
      </c>
      <c r="DJ69" s="86" t="e">
        <f>-Inputs!$B$8*Financials!DJ68</f>
        <v>#N/A</v>
      </c>
      <c r="DK69" s="86" t="e">
        <f>-Inputs!$B$8*Financials!DK68</f>
        <v>#N/A</v>
      </c>
      <c r="DL69" s="86" t="e">
        <f>-Inputs!$B$8*Financials!DL68</f>
        <v>#N/A</v>
      </c>
      <c r="DM69" s="86" t="e">
        <f>-Inputs!$B$8*Financials!DM68</f>
        <v>#N/A</v>
      </c>
      <c r="DN69" s="87" t="e">
        <f t="shared" si="1305"/>
        <v>#N/A</v>
      </c>
      <c r="DO69" s="86" t="e">
        <f>-Inputs!$B$8*Financials!DO68</f>
        <v>#N/A</v>
      </c>
      <c r="DP69" s="86" t="e">
        <f>-Inputs!$B$8*Financials!DP68</f>
        <v>#N/A</v>
      </c>
      <c r="DQ69" s="86" t="e">
        <f>-Inputs!$B$8*Financials!DQ68</f>
        <v>#N/A</v>
      </c>
      <c r="DR69" s="86" t="e">
        <f>-Inputs!$B$8*Financials!DR68</f>
        <v>#N/A</v>
      </c>
      <c r="DS69" s="86" t="e">
        <f>-Inputs!$B$8*Financials!DS68</f>
        <v>#N/A</v>
      </c>
      <c r="DT69" s="86" t="e">
        <f>-Inputs!$B$8*Financials!DT68</f>
        <v>#N/A</v>
      </c>
      <c r="DU69" s="86" t="e">
        <f>-Inputs!$B$8*Financials!DU68</f>
        <v>#N/A</v>
      </c>
      <c r="DV69" s="86" t="e">
        <f>-Inputs!$B$8*Financials!DV68</f>
        <v>#N/A</v>
      </c>
      <c r="DW69" s="86" t="e">
        <f>-Inputs!$B$8*Financials!DW68</f>
        <v>#N/A</v>
      </c>
      <c r="DX69" s="86" t="e">
        <f>-Inputs!$B$8*Financials!DX68</f>
        <v>#N/A</v>
      </c>
      <c r="DY69" s="86" t="e">
        <f>-Inputs!$B$8*Financials!DY68</f>
        <v>#N/A</v>
      </c>
      <c r="DZ69" s="86" t="e">
        <f>-Inputs!$B$8*Financials!DZ68</f>
        <v>#N/A</v>
      </c>
      <c r="EA69" s="87" t="e">
        <f t="shared" si="1307"/>
        <v>#N/A</v>
      </c>
      <c r="EB69" s="86" t="e">
        <f>-Inputs!$B$8*Financials!EB68</f>
        <v>#N/A</v>
      </c>
      <c r="EC69" s="86" t="e">
        <f>-Inputs!$B$8*Financials!EC68</f>
        <v>#N/A</v>
      </c>
      <c r="ED69" s="86" t="e">
        <f>-Inputs!$B$8*Financials!ED68</f>
        <v>#N/A</v>
      </c>
      <c r="EE69" s="86" t="e">
        <f>-Inputs!$B$8*Financials!EE68</f>
        <v>#N/A</v>
      </c>
      <c r="EF69" s="86" t="e">
        <f>-Inputs!$B$8*Financials!EF68</f>
        <v>#N/A</v>
      </c>
      <c r="EG69" s="86" t="e">
        <f>-Inputs!$B$8*Financials!EG68</f>
        <v>#N/A</v>
      </c>
      <c r="EH69" s="86" t="e">
        <f>-Inputs!$B$8*Financials!EH68</f>
        <v>#N/A</v>
      </c>
      <c r="EI69" s="86" t="e">
        <f>-Inputs!$B$8*Financials!EI68</f>
        <v>#N/A</v>
      </c>
      <c r="EJ69" s="86" t="e">
        <f>-Inputs!$B$8*Financials!EJ68</f>
        <v>#N/A</v>
      </c>
      <c r="EK69" s="86" t="e">
        <f>-Inputs!$B$8*Financials!EK68</f>
        <v>#N/A</v>
      </c>
      <c r="EL69" s="86" t="e">
        <f>-Inputs!$B$8*Financials!EL68</f>
        <v>#N/A</v>
      </c>
      <c r="EM69" s="86" t="e">
        <f>-Inputs!$B$8*Financials!EM68</f>
        <v>#N/A</v>
      </c>
      <c r="EN69" s="87" t="e">
        <f t="shared" si="1309"/>
        <v>#N/A</v>
      </c>
      <c r="EO69" s="86" t="e">
        <f>-Inputs!$B$8*Financials!EO68</f>
        <v>#N/A</v>
      </c>
      <c r="EP69" s="86" t="e">
        <f>-Inputs!$B$8*Financials!EP68</f>
        <v>#N/A</v>
      </c>
      <c r="EQ69" s="86" t="e">
        <f>-Inputs!$B$8*Financials!EQ68</f>
        <v>#N/A</v>
      </c>
      <c r="ER69" s="86" t="e">
        <f>-Inputs!$B$8*Financials!ER68</f>
        <v>#N/A</v>
      </c>
      <c r="ES69" s="86" t="e">
        <f>-Inputs!$B$8*Financials!ES68</f>
        <v>#N/A</v>
      </c>
      <c r="ET69" s="86" t="e">
        <f>-Inputs!$B$8*Financials!ET68</f>
        <v>#N/A</v>
      </c>
      <c r="EU69" s="86" t="e">
        <f>-Inputs!$B$8*Financials!EU68</f>
        <v>#N/A</v>
      </c>
      <c r="EV69" s="86" t="e">
        <f>-Inputs!$B$8*Financials!EV68</f>
        <v>#N/A</v>
      </c>
      <c r="EW69" s="86" t="e">
        <f>-Inputs!$B$8*Financials!EW68</f>
        <v>#N/A</v>
      </c>
      <c r="EX69" s="86" t="e">
        <f>-Inputs!$B$8*Financials!EX68</f>
        <v>#N/A</v>
      </c>
      <c r="EY69" s="86" t="e">
        <f>-Inputs!$B$8*Financials!EY68</f>
        <v>#N/A</v>
      </c>
      <c r="EZ69" s="86" t="e">
        <f>-Inputs!$B$8*Financials!EZ68</f>
        <v>#N/A</v>
      </c>
      <c r="FA69" s="87" t="e">
        <f t="shared" si="1311"/>
        <v>#N/A</v>
      </c>
      <c r="FB69" s="86" t="e">
        <f>-Inputs!$B$8*Financials!FB68</f>
        <v>#N/A</v>
      </c>
      <c r="FC69" s="86" t="e">
        <f>-Inputs!$B$8*Financials!FC68</f>
        <v>#N/A</v>
      </c>
      <c r="FD69" s="86" t="e">
        <f>-Inputs!$B$8*Financials!FD68</f>
        <v>#N/A</v>
      </c>
      <c r="FE69" s="86" t="e">
        <f>-Inputs!$B$8*Financials!FE68</f>
        <v>#N/A</v>
      </c>
      <c r="FF69" s="86" t="e">
        <f>-Inputs!$B$8*Financials!FF68</f>
        <v>#N/A</v>
      </c>
      <c r="FG69" s="86" t="e">
        <f>-Inputs!$B$8*Financials!FG68</f>
        <v>#N/A</v>
      </c>
      <c r="FH69" s="86" t="e">
        <f>-Inputs!$B$8*Financials!FH68</f>
        <v>#N/A</v>
      </c>
      <c r="FI69" s="86" t="e">
        <f>-Inputs!$B$8*Financials!FI68</f>
        <v>#N/A</v>
      </c>
      <c r="FJ69" s="86" t="e">
        <f>-Inputs!$B$8*Financials!FJ68</f>
        <v>#N/A</v>
      </c>
      <c r="FK69" s="86" t="e">
        <f>-Inputs!$B$8*Financials!FK68</f>
        <v>#N/A</v>
      </c>
      <c r="FL69" s="86" t="e">
        <f>-Inputs!$B$8*Financials!FL68</f>
        <v>#N/A</v>
      </c>
      <c r="FM69" s="86" t="e">
        <f>-Inputs!$B$8*Financials!FM68</f>
        <v>#N/A</v>
      </c>
      <c r="FN69" s="87" t="e">
        <f t="shared" si="1313"/>
        <v>#N/A</v>
      </c>
      <c r="FO69" s="86" t="e">
        <f>-Inputs!$B$8*Financials!FO68</f>
        <v>#N/A</v>
      </c>
      <c r="FP69" s="86" t="e">
        <f>-Inputs!$B$8*Financials!FP68</f>
        <v>#N/A</v>
      </c>
      <c r="FQ69" s="86" t="e">
        <f>-Inputs!$B$8*Financials!FQ68</f>
        <v>#N/A</v>
      </c>
      <c r="FR69" s="86" t="e">
        <f>-Inputs!$B$8*Financials!FR68</f>
        <v>#N/A</v>
      </c>
      <c r="FS69" s="86" t="e">
        <f>-Inputs!$B$8*Financials!FS68</f>
        <v>#N/A</v>
      </c>
      <c r="FT69" s="86" t="e">
        <f>-Inputs!$B$8*Financials!FT68</f>
        <v>#N/A</v>
      </c>
      <c r="FU69" s="86" t="e">
        <f>-Inputs!$B$8*Financials!FU68</f>
        <v>#N/A</v>
      </c>
      <c r="FV69" s="86" t="e">
        <f>-Inputs!$B$8*Financials!FV68</f>
        <v>#N/A</v>
      </c>
      <c r="FW69" s="86" t="e">
        <f>-Inputs!$B$8*Financials!FW68</f>
        <v>#N/A</v>
      </c>
      <c r="FX69" s="86" t="e">
        <f>-Inputs!$B$8*Financials!FX68</f>
        <v>#N/A</v>
      </c>
      <c r="FY69" s="86" t="e">
        <f>-Inputs!$B$8*Financials!FY68</f>
        <v>#N/A</v>
      </c>
      <c r="FZ69" s="86" t="e">
        <f>-Inputs!$B$8*Financials!FZ68</f>
        <v>#N/A</v>
      </c>
      <c r="GA69" s="87" t="e">
        <f t="shared" si="1315"/>
        <v>#N/A</v>
      </c>
      <c r="GB69" s="86" t="e">
        <f>-Inputs!$B$8*Financials!GB68</f>
        <v>#N/A</v>
      </c>
      <c r="GC69" s="86" t="e">
        <f>-Inputs!$B$8*Financials!GC68</f>
        <v>#N/A</v>
      </c>
      <c r="GD69" s="86" t="e">
        <f>-Inputs!$B$8*Financials!GD68</f>
        <v>#N/A</v>
      </c>
      <c r="GE69" s="86" t="e">
        <f>-Inputs!$B$8*Financials!GE68</f>
        <v>#N/A</v>
      </c>
      <c r="GF69" s="86" t="e">
        <f>-Inputs!$B$8*Financials!GF68</f>
        <v>#N/A</v>
      </c>
      <c r="GG69" s="86" t="e">
        <f>-Inputs!$B$8*Financials!GG68</f>
        <v>#N/A</v>
      </c>
      <c r="GH69" s="86" t="e">
        <f>-Inputs!$B$8*Financials!GH68</f>
        <v>#N/A</v>
      </c>
      <c r="GI69" s="86" t="e">
        <f>-Inputs!$B$8*Financials!GI68</f>
        <v>#N/A</v>
      </c>
      <c r="GJ69" s="86" t="e">
        <f>-Inputs!$B$8*Financials!GJ68</f>
        <v>#N/A</v>
      </c>
      <c r="GK69" s="86" t="e">
        <f>-Inputs!$B$8*Financials!GK68</f>
        <v>#N/A</v>
      </c>
      <c r="GL69" s="86" t="e">
        <f>-Inputs!$B$8*Financials!GL68</f>
        <v>#N/A</v>
      </c>
      <c r="GM69" s="86" t="e">
        <f>-Inputs!$B$8*Financials!GM68</f>
        <v>#N/A</v>
      </c>
      <c r="GN69" s="87" t="e">
        <f t="shared" si="1317"/>
        <v>#N/A</v>
      </c>
      <c r="GO69" s="86" t="e">
        <f>-Inputs!$B$8*Financials!GO68</f>
        <v>#N/A</v>
      </c>
      <c r="GP69" s="86" t="e">
        <f>-Inputs!$B$8*Financials!GP68</f>
        <v>#N/A</v>
      </c>
      <c r="GQ69" s="86" t="e">
        <f>-Inputs!$B$8*Financials!GQ68</f>
        <v>#N/A</v>
      </c>
      <c r="GR69" s="86" t="e">
        <f>-Inputs!$B$8*Financials!GR68</f>
        <v>#N/A</v>
      </c>
      <c r="GS69" s="86" t="e">
        <f>-Inputs!$B$8*Financials!GS68</f>
        <v>#N/A</v>
      </c>
      <c r="GT69" s="86" t="e">
        <f>-Inputs!$B$8*Financials!GT68</f>
        <v>#N/A</v>
      </c>
      <c r="GU69" s="86" t="e">
        <f>-Inputs!$B$8*Financials!GU68</f>
        <v>#N/A</v>
      </c>
      <c r="GV69" s="86" t="e">
        <f>-Inputs!$B$8*Financials!GV68</f>
        <v>#N/A</v>
      </c>
      <c r="GW69" s="86" t="e">
        <f>-Inputs!$B$8*Financials!GW68</f>
        <v>#N/A</v>
      </c>
      <c r="GX69" s="86" t="e">
        <f>-Inputs!$B$8*Financials!GX68</f>
        <v>#N/A</v>
      </c>
      <c r="GY69" s="86" t="e">
        <f>-Inputs!$B$8*Financials!GY68</f>
        <v>#N/A</v>
      </c>
      <c r="GZ69" s="86" t="e">
        <f>-Inputs!$B$8*Financials!GZ68</f>
        <v>#N/A</v>
      </c>
      <c r="HA69" s="87" t="e">
        <f t="shared" si="1319"/>
        <v>#N/A</v>
      </c>
      <c r="HB69" s="86" t="e">
        <f>-Inputs!$B$8*Financials!HB68</f>
        <v>#N/A</v>
      </c>
      <c r="HC69" s="86" t="e">
        <f>-Inputs!$B$8*Financials!HC68</f>
        <v>#N/A</v>
      </c>
      <c r="HD69" s="86" t="e">
        <f>-Inputs!$B$8*Financials!HD68</f>
        <v>#N/A</v>
      </c>
      <c r="HE69" s="86" t="e">
        <f>-Inputs!$B$8*Financials!HE68</f>
        <v>#N/A</v>
      </c>
      <c r="HF69" s="86" t="e">
        <f>-Inputs!$B$8*Financials!HF68</f>
        <v>#N/A</v>
      </c>
      <c r="HG69" s="86" t="e">
        <f>-Inputs!$B$8*Financials!HG68</f>
        <v>#N/A</v>
      </c>
      <c r="HH69" s="86" t="e">
        <f>-Inputs!$B$8*Financials!HH68</f>
        <v>#N/A</v>
      </c>
      <c r="HI69" s="86" t="e">
        <f>-Inputs!$B$8*Financials!HI68</f>
        <v>#N/A</v>
      </c>
      <c r="HJ69" s="86" t="e">
        <f>-Inputs!$B$8*Financials!HJ68</f>
        <v>#N/A</v>
      </c>
      <c r="HK69" s="86" t="e">
        <f>-Inputs!$B$8*Financials!HK68</f>
        <v>#N/A</v>
      </c>
      <c r="HL69" s="86" t="e">
        <f>-Inputs!$B$8*Financials!HL68</f>
        <v>#N/A</v>
      </c>
      <c r="HM69" s="86" t="e">
        <f>-Inputs!$B$8*Financials!HM68</f>
        <v>#N/A</v>
      </c>
      <c r="HN69" s="87" t="e">
        <f t="shared" si="1321"/>
        <v>#N/A</v>
      </c>
      <c r="HO69" s="86" t="e">
        <f>-Inputs!$B$8*Financials!HO68</f>
        <v>#N/A</v>
      </c>
      <c r="HP69" s="86" t="e">
        <f>-Inputs!$B$8*Financials!HP68</f>
        <v>#N/A</v>
      </c>
      <c r="HQ69" s="86" t="e">
        <f>-Inputs!$B$8*Financials!HQ68</f>
        <v>#N/A</v>
      </c>
      <c r="HR69" s="86" t="e">
        <f>-Inputs!$B$8*Financials!HR68</f>
        <v>#N/A</v>
      </c>
      <c r="HS69" s="86" t="e">
        <f>-Inputs!$B$8*Financials!HS68</f>
        <v>#N/A</v>
      </c>
      <c r="HT69" s="86" t="e">
        <f>-Inputs!$B$8*Financials!HT68</f>
        <v>#N/A</v>
      </c>
      <c r="HU69" s="86" t="e">
        <f>-Inputs!$B$8*Financials!HU68</f>
        <v>#N/A</v>
      </c>
      <c r="HV69" s="86" t="e">
        <f>-Inputs!$B$8*Financials!HV68</f>
        <v>#N/A</v>
      </c>
      <c r="HW69" s="86" t="e">
        <f>-Inputs!$B$8*Financials!HW68</f>
        <v>#N/A</v>
      </c>
      <c r="HX69" s="86" t="e">
        <f>-Inputs!$B$8*Financials!HX68</f>
        <v>#N/A</v>
      </c>
      <c r="HY69" s="86" t="e">
        <f>-Inputs!$B$8*Financials!HY68</f>
        <v>#N/A</v>
      </c>
      <c r="HZ69" s="86" t="e">
        <f>-Inputs!$B$8*Financials!HZ68</f>
        <v>#N/A</v>
      </c>
      <c r="IA69" s="87" t="e">
        <f t="shared" si="1323"/>
        <v>#N/A</v>
      </c>
      <c r="IB69" s="86" t="e">
        <f>-Inputs!$B$8*Financials!IB68</f>
        <v>#N/A</v>
      </c>
      <c r="IC69" s="86" t="e">
        <f>-Inputs!$B$8*Financials!IC68</f>
        <v>#N/A</v>
      </c>
      <c r="ID69" s="86" t="e">
        <f>-Inputs!$B$8*Financials!ID68</f>
        <v>#N/A</v>
      </c>
      <c r="IE69" s="86" t="e">
        <f>-Inputs!$B$8*Financials!IE68</f>
        <v>#N/A</v>
      </c>
      <c r="IF69" s="86" t="e">
        <f>-Inputs!$B$8*Financials!IF68</f>
        <v>#N/A</v>
      </c>
      <c r="IG69" s="86" t="e">
        <f>-Inputs!$B$8*Financials!IG68</f>
        <v>#N/A</v>
      </c>
      <c r="IH69" s="86" t="e">
        <f>-Inputs!$B$8*Financials!IH68</f>
        <v>#N/A</v>
      </c>
      <c r="II69" s="86" t="e">
        <f>-Inputs!$B$8*Financials!II68</f>
        <v>#N/A</v>
      </c>
      <c r="IJ69" s="86" t="e">
        <f>-Inputs!$B$8*Financials!IJ68</f>
        <v>#N/A</v>
      </c>
      <c r="IK69" s="86" t="e">
        <f>-Inputs!$B$8*Financials!IK68</f>
        <v>#N/A</v>
      </c>
      <c r="IL69" s="86" t="e">
        <f>-Inputs!$B$8*Financials!IL68</f>
        <v>#N/A</v>
      </c>
      <c r="IM69" s="86" t="e">
        <f>-Inputs!$B$8*Financials!IM68</f>
        <v>#N/A</v>
      </c>
      <c r="IN69" s="87" t="e">
        <f t="shared" si="1325"/>
        <v>#N/A</v>
      </c>
      <c r="IO69" s="86" t="e">
        <f>-Inputs!$B$8*Financials!IO68</f>
        <v>#N/A</v>
      </c>
      <c r="IP69" s="86" t="e">
        <f>-Inputs!$B$8*Financials!IP68</f>
        <v>#N/A</v>
      </c>
      <c r="IQ69" s="86" t="e">
        <f>-Inputs!$B$8*Financials!IQ68</f>
        <v>#N/A</v>
      </c>
      <c r="IR69" s="86" t="e">
        <f>-Inputs!$B$8*Financials!IR68</f>
        <v>#N/A</v>
      </c>
      <c r="IS69" s="86" t="e">
        <f>-Inputs!$B$8*Financials!IS68</f>
        <v>#N/A</v>
      </c>
      <c r="IT69" s="86" t="e">
        <f>-Inputs!$B$8*Financials!IT68</f>
        <v>#N/A</v>
      </c>
      <c r="IU69" s="86" t="e">
        <f>-Inputs!$B$8*Financials!IU68</f>
        <v>#N/A</v>
      </c>
      <c r="IV69" s="86" t="e">
        <f>-Inputs!$B$8*Financials!IV68</f>
        <v>#N/A</v>
      </c>
      <c r="IW69" s="86" t="e">
        <f>-Inputs!$B$8*Financials!IW68</f>
        <v>#N/A</v>
      </c>
      <c r="IX69" s="86" t="e">
        <f>-Inputs!$B$8*Financials!IX68</f>
        <v>#N/A</v>
      </c>
      <c r="IY69" s="86" t="e">
        <f>-Inputs!$B$8*Financials!IY68</f>
        <v>#N/A</v>
      </c>
      <c r="IZ69" s="86" t="e">
        <f>-Inputs!$B$8*Financials!IZ68</f>
        <v>#N/A</v>
      </c>
      <c r="JA69" s="87" t="e">
        <f t="shared" si="1327"/>
        <v>#N/A</v>
      </c>
      <c r="JB69" s="86" t="e">
        <f>-Inputs!$B$8*Financials!JB68</f>
        <v>#N/A</v>
      </c>
      <c r="JC69" s="86" t="e">
        <f>-Inputs!$B$8*Financials!JC68</f>
        <v>#N/A</v>
      </c>
      <c r="JD69" s="86" t="e">
        <f>-Inputs!$B$8*Financials!JD68</f>
        <v>#N/A</v>
      </c>
      <c r="JE69" s="86" t="e">
        <f>-Inputs!$B$8*Financials!JE68</f>
        <v>#N/A</v>
      </c>
      <c r="JF69" s="86" t="e">
        <f>-Inputs!$B$8*Financials!JF68</f>
        <v>#N/A</v>
      </c>
      <c r="JG69" s="86" t="e">
        <f>-Inputs!$B$8*Financials!JG68</f>
        <v>#N/A</v>
      </c>
      <c r="JH69" s="86" t="e">
        <f>-Inputs!$B$8*Financials!JH68</f>
        <v>#N/A</v>
      </c>
      <c r="JI69" s="86" t="e">
        <f>-Inputs!$B$8*Financials!JI68</f>
        <v>#N/A</v>
      </c>
      <c r="JJ69" s="86" t="e">
        <f>-Inputs!$B$8*Financials!JJ68</f>
        <v>#N/A</v>
      </c>
      <c r="JK69" s="86" t="e">
        <f>-Inputs!$B$8*Financials!JK68</f>
        <v>#N/A</v>
      </c>
      <c r="JL69" s="86" t="e">
        <f>-Inputs!$B$8*Financials!JL68</f>
        <v>#N/A</v>
      </c>
      <c r="JM69" s="86" t="e">
        <f>-Inputs!$B$8*Financials!JM68</f>
        <v>#N/A</v>
      </c>
      <c r="JN69" s="87" t="e">
        <f t="shared" si="1329"/>
        <v>#N/A</v>
      </c>
      <c r="JO69" s="86" t="e">
        <f>-Inputs!$B$8*Financials!JO68</f>
        <v>#N/A</v>
      </c>
      <c r="JP69" s="86" t="e">
        <f>-Inputs!$B$8*Financials!JP68</f>
        <v>#N/A</v>
      </c>
      <c r="JQ69" s="86" t="e">
        <f>-Inputs!$B$8*Financials!JQ68</f>
        <v>#N/A</v>
      </c>
      <c r="JR69" s="86" t="e">
        <f>-Inputs!$B$8*Financials!JR68</f>
        <v>#N/A</v>
      </c>
      <c r="JS69" s="86" t="e">
        <f>-Inputs!$B$8*Financials!JS68</f>
        <v>#N/A</v>
      </c>
      <c r="JT69" s="86" t="e">
        <f>-Inputs!$B$8*Financials!JT68</f>
        <v>#N/A</v>
      </c>
      <c r="JU69" s="86" t="e">
        <f>-Inputs!$B$8*Financials!JU68</f>
        <v>#N/A</v>
      </c>
      <c r="JV69" s="86" t="e">
        <f>-Inputs!$B$8*Financials!JV68</f>
        <v>#N/A</v>
      </c>
      <c r="JW69" s="86" t="e">
        <f>-Inputs!$B$8*Financials!JW68</f>
        <v>#N/A</v>
      </c>
      <c r="JX69" s="86" t="e">
        <f>-Inputs!$B$8*Financials!JX68</f>
        <v>#N/A</v>
      </c>
      <c r="JY69" s="86" t="e">
        <f>-Inputs!$B$8*Financials!JY68</f>
        <v>#N/A</v>
      </c>
      <c r="JZ69" s="86" t="e">
        <f>-Inputs!$B$8*Financials!JZ68</f>
        <v>#N/A</v>
      </c>
      <c r="KA69" s="87" t="e">
        <f t="shared" si="1331"/>
        <v>#N/A</v>
      </c>
      <c r="KB69" s="86" t="e">
        <f>-Inputs!$B$8*Financials!KB68</f>
        <v>#N/A</v>
      </c>
      <c r="KC69" s="86" t="e">
        <f>-Inputs!$B$8*Financials!KC68</f>
        <v>#N/A</v>
      </c>
      <c r="KD69" s="86" t="e">
        <f>-Inputs!$B$8*Financials!KD68</f>
        <v>#N/A</v>
      </c>
      <c r="KE69" s="86" t="e">
        <f>-Inputs!$B$8*Financials!KE68</f>
        <v>#N/A</v>
      </c>
      <c r="KF69" s="86" t="e">
        <f>-Inputs!$B$8*Financials!KF68</f>
        <v>#N/A</v>
      </c>
      <c r="KG69" s="86" t="e">
        <f>-Inputs!$B$8*Financials!KG68</f>
        <v>#N/A</v>
      </c>
      <c r="KH69" s="86" t="e">
        <f>-Inputs!$B$8*Financials!KH68</f>
        <v>#N/A</v>
      </c>
      <c r="KI69" s="86" t="e">
        <f>-Inputs!$B$8*Financials!KI68</f>
        <v>#N/A</v>
      </c>
      <c r="KJ69" s="86" t="e">
        <f>-Inputs!$B$8*Financials!KJ68</f>
        <v>#N/A</v>
      </c>
      <c r="KK69" s="86" t="e">
        <f>-Inputs!$B$8*Financials!KK68</f>
        <v>#N/A</v>
      </c>
      <c r="KL69" s="86" t="e">
        <f>-Inputs!$B$8*Financials!KL68</f>
        <v>#N/A</v>
      </c>
      <c r="KM69" s="86" t="e">
        <f>-Inputs!$B$8*Financials!KM68</f>
        <v>#N/A</v>
      </c>
      <c r="KN69" s="87" t="e">
        <f t="shared" si="1333"/>
        <v>#N/A</v>
      </c>
      <c r="KO69" s="86" t="e">
        <f>-Inputs!$B$8*Financials!KO68</f>
        <v>#N/A</v>
      </c>
      <c r="KP69" s="86" t="e">
        <f>-Inputs!$B$8*Financials!KP68</f>
        <v>#N/A</v>
      </c>
      <c r="KQ69" s="86" t="e">
        <f>-Inputs!$B$8*Financials!KQ68</f>
        <v>#N/A</v>
      </c>
      <c r="KR69" s="86" t="e">
        <f>-Inputs!$B$8*Financials!KR68</f>
        <v>#N/A</v>
      </c>
      <c r="KS69" s="86" t="e">
        <f>-Inputs!$B$8*Financials!KS68</f>
        <v>#N/A</v>
      </c>
      <c r="KT69" s="86" t="e">
        <f>-Inputs!$B$8*Financials!KT68</f>
        <v>#N/A</v>
      </c>
      <c r="KU69" s="86" t="e">
        <f>-Inputs!$B$8*Financials!KU68</f>
        <v>#N/A</v>
      </c>
      <c r="KV69" s="86" t="e">
        <f>-Inputs!$B$8*Financials!KV68</f>
        <v>#N/A</v>
      </c>
      <c r="KW69" s="86" t="e">
        <f>-Inputs!$B$8*Financials!KW68</f>
        <v>#N/A</v>
      </c>
      <c r="KX69" s="86" t="e">
        <f>-Inputs!$B$8*Financials!KX68</f>
        <v>#N/A</v>
      </c>
      <c r="KY69" s="86" t="e">
        <f>-Inputs!$B$8*Financials!KY68</f>
        <v>#N/A</v>
      </c>
      <c r="KZ69" s="86" t="e">
        <f>-Inputs!$B$8*Financials!KZ68</f>
        <v>#N/A</v>
      </c>
      <c r="LA69" s="87" t="e">
        <f t="shared" si="1335"/>
        <v>#N/A</v>
      </c>
      <c r="LB69" s="86" t="e">
        <f>-Inputs!$B$8*Financials!LB68</f>
        <v>#N/A</v>
      </c>
      <c r="LC69" s="86" t="e">
        <f>-Inputs!$B$8*Financials!LC68</f>
        <v>#N/A</v>
      </c>
      <c r="LD69" s="86" t="e">
        <f>-Inputs!$B$8*Financials!LD68</f>
        <v>#N/A</v>
      </c>
      <c r="LE69" s="86" t="e">
        <f>-Inputs!$B$8*Financials!LE68</f>
        <v>#N/A</v>
      </c>
      <c r="LF69" s="86" t="e">
        <f>-Inputs!$B$8*Financials!LF68</f>
        <v>#N/A</v>
      </c>
      <c r="LG69" s="86" t="e">
        <f>-Inputs!$B$8*Financials!LG68</f>
        <v>#N/A</v>
      </c>
      <c r="LH69" s="86" t="e">
        <f>-Inputs!$B$8*Financials!LH68</f>
        <v>#N/A</v>
      </c>
      <c r="LI69" s="86" t="e">
        <f>-Inputs!$B$8*Financials!LI68</f>
        <v>#N/A</v>
      </c>
      <c r="LJ69" s="86" t="e">
        <f>-Inputs!$B$8*Financials!LJ68</f>
        <v>#N/A</v>
      </c>
      <c r="LK69" s="86" t="e">
        <f>-Inputs!$B$8*Financials!LK68</f>
        <v>#N/A</v>
      </c>
      <c r="LL69" s="86" t="e">
        <f>-Inputs!$B$8*Financials!LL68</f>
        <v>#N/A</v>
      </c>
      <c r="LM69" s="86" t="e">
        <f>-Inputs!$B$8*Financials!LM68</f>
        <v>#N/A</v>
      </c>
      <c r="LN69" s="87" t="e">
        <f t="shared" si="1337"/>
        <v>#N/A</v>
      </c>
      <c r="LO69" s="86" t="e">
        <f>-Inputs!$B$8*Financials!LO68</f>
        <v>#N/A</v>
      </c>
      <c r="LP69" s="86" t="e">
        <f>-Inputs!$B$8*Financials!LP68</f>
        <v>#N/A</v>
      </c>
      <c r="LQ69" s="86" t="e">
        <f>-Inputs!$B$8*Financials!LQ68</f>
        <v>#N/A</v>
      </c>
      <c r="LR69" s="86" t="e">
        <f>-Inputs!$B$8*Financials!LR68</f>
        <v>#N/A</v>
      </c>
      <c r="LS69" s="86" t="e">
        <f>-Inputs!$B$8*Financials!LS68</f>
        <v>#N/A</v>
      </c>
      <c r="LT69" s="86" t="e">
        <f>-Inputs!$B$8*Financials!LT68</f>
        <v>#N/A</v>
      </c>
      <c r="LU69" s="86" t="e">
        <f>-Inputs!$B$8*Financials!LU68</f>
        <v>#N/A</v>
      </c>
      <c r="LV69" s="86" t="e">
        <f>-Inputs!$B$8*Financials!LV68</f>
        <v>#N/A</v>
      </c>
      <c r="LW69" s="86" t="e">
        <f>-Inputs!$B$8*Financials!LW68</f>
        <v>#N/A</v>
      </c>
      <c r="LX69" s="86" t="e">
        <f>-Inputs!$B$8*Financials!LX68</f>
        <v>#N/A</v>
      </c>
      <c r="LY69" s="86" t="e">
        <f>-Inputs!$B$8*Financials!LY68</f>
        <v>#N/A</v>
      </c>
      <c r="LZ69" s="86" t="e">
        <f>-Inputs!$B$8*Financials!LZ68</f>
        <v>#N/A</v>
      </c>
      <c r="MA69" s="87" t="e">
        <f t="shared" si="1339"/>
        <v>#N/A</v>
      </c>
      <c r="MB69" s="86" t="e">
        <f>-Inputs!$B$8*Financials!MB68</f>
        <v>#N/A</v>
      </c>
      <c r="MC69" s="86" t="e">
        <f>-Inputs!$B$8*Financials!MC68</f>
        <v>#N/A</v>
      </c>
      <c r="MD69" s="86" t="e">
        <f>-Inputs!$B$8*Financials!MD68</f>
        <v>#N/A</v>
      </c>
      <c r="ME69" s="86" t="e">
        <f>-Inputs!$B$8*Financials!ME68</f>
        <v>#N/A</v>
      </c>
      <c r="MF69" s="86" t="e">
        <f>-Inputs!$B$8*Financials!MF68</f>
        <v>#N/A</v>
      </c>
      <c r="MG69" s="86" t="e">
        <f>-Inputs!$B$8*Financials!MG68</f>
        <v>#N/A</v>
      </c>
      <c r="MH69" s="86" t="e">
        <f>-Inputs!$B$8*Financials!MH68</f>
        <v>#N/A</v>
      </c>
      <c r="MI69" s="86" t="e">
        <f>-Inputs!$B$8*Financials!MI68</f>
        <v>#N/A</v>
      </c>
      <c r="MJ69" s="86" t="e">
        <f>-Inputs!$B$8*Financials!MJ68</f>
        <v>#N/A</v>
      </c>
      <c r="MK69" s="86" t="e">
        <f>-Inputs!$B$8*Financials!MK68</f>
        <v>#N/A</v>
      </c>
      <c r="ML69" s="86" t="e">
        <f>-Inputs!$B$8*Financials!ML68</f>
        <v>#N/A</v>
      </c>
      <c r="MM69" s="86" t="e">
        <f>-Inputs!$B$8*Financials!MM68</f>
        <v>#N/A</v>
      </c>
      <c r="MN69" s="87" t="e">
        <f t="shared" si="1341"/>
        <v>#N/A</v>
      </c>
      <c r="MO69" s="86" t="e">
        <f>-Inputs!$B$8*Financials!MO68</f>
        <v>#N/A</v>
      </c>
      <c r="MP69" s="86" t="e">
        <f>-Inputs!$B$8*Financials!MP68</f>
        <v>#N/A</v>
      </c>
      <c r="MQ69" s="86" t="e">
        <f>-Inputs!$B$8*Financials!MQ68</f>
        <v>#N/A</v>
      </c>
      <c r="MR69" s="86" t="e">
        <f>-Inputs!$B$8*Financials!MR68</f>
        <v>#N/A</v>
      </c>
      <c r="MS69" s="86" t="e">
        <f>-Inputs!$B$8*Financials!MS68</f>
        <v>#N/A</v>
      </c>
      <c r="MT69" s="86" t="e">
        <f>-Inputs!$B$8*Financials!MT68</f>
        <v>#N/A</v>
      </c>
      <c r="MU69" s="86" t="e">
        <f>-Inputs!$B$8*Financials!MU68</f>
        <v>#N/A</v>
      </c>
      <c r="MV69" s="86" t="e">
        <f>-Inputs!$B$8*Financials!MV68</f>
        <v>#N/A</v>
      </c>
      <c r="MW69" s="86" t="e">
        <f>-Inputs!$B$8*Financials!MW68</f>
        <v>#N/A</v>
      </c>
      <c r="MX69" s="86" t="e">
        <f>-Inputs!$B$8*Financials!MX68</f>
        <v>#N/A</v>
      </c>
      <c r="MY69" s="86" t="e">
        <f>-Inputs!$B$8*Financials!MY68</f>
        <v>#N/A</v>
      </c>
      <c r="MZ69" s="86" t="e">
        <f>-Inputs!$B$8*Financials!MZ68</f>
        <v>#N/A</v>
      </c>
      <c r="NA69" s="87" t="e">
        <f t="shared" si="1343"/>
        <v>#N/A</v>
      </c>
      <c r="NB69" s="86" t="e">
        <f>-Inputs!$B$8*Financials!NB68</f>
        <v>#N/A</v>
      </c>
      <c r="NC69" s="86" t="e">
        <f>-Inputs!$B$8*Financials!NC68</f>
        <v>#N/A</v>
      </c>
      <c r="ND69" s="86" t="e">
        <f>-Inputs!$B$8*Financials!ND68</f>
        <v>#N/A</v>
      </c>
      <c r="NE69" s="86" t="e">
        <f>-Inputs!$B$8*Financials!NE68</f>
        <v>#N/A</v>
      </c>
      <c r="NF69" s="86" t="e">
        <f>-Inputs!$B$8*Financials!NF68</f>
        <v>#N/A</v>
      </c>
      <c r="NG69" s="86" t="e">
        <f>-Inputs!$B$8*Financials!NG68</f>
        <v>#N/A</v>
      </c>
      <c r="NH69" s="86" t="e">
        <f>-Inputs!$B$8*Financials!NH68</f>
        <v>#N/A</v>
      </c>
      <c r="NI69" s="86" t="e">
        <f>-Inputs!$B$8*Financials!NI68</f>
        <v>#N/A</v>
      </c>
      <c r="NJ69" s="86" t="e">
        <f>-Inputs!$B$8*Financials!NJ68</f>
        <v>#N/A</v>
      </c>
      <c r="NK69" s="86" t="e">
        <f>-Inputs!$B$8*Financials!NK68</f>
        <v>#N/A</v>
      </c>
      <c r="NL69" s="86" t="e">
        <f>-Inputs!$B$8*Financials!NL68</f>
        <v>#N/A</v>
      </c>
      <c r="NM69" s="86" t="e">
        <f>-Inputs!$B$8*Financials!NM68</f>
        <v>#N/A</v>
      </c>
      <c r="NN69" s="87" t="e">
        <f t="shared" si="1345"/>
        <v>#N/A</v>
      </c>
      <c r="NO69" s="86" t="e">
        <f>-Inputs!$B$8*Financials!NO68</f>
        <v>#N/A</v>
      </c>
      <c r="NP69" s="86" t="e">
        <f>-Inputs!$B$8*Financials!NP68</f>
        <v>#N/A</v>
      </c>
      <c r="NQ69" s="86" t="e">
        <f>-Inputs!$B$8*Financials!NQ68</f>
        <v>#N/A</v>
      </c>
      <c r="NR69" s="86" t="e">
        <f>-Inputs!$B$8*Financials!NR68</f>
        <v>#N/A</v>
      </c>
      <c r="NS69" s="86" t="e">
        <f>-Inputs!$B$8*Financials!NS68</f>
        <v>#N/A</v>
      </c>
      <c r="NT69" s="86" t="e">
        <f>-Inputs!$B$8*Financials!NT68</f>
        <v>#N/A</v>
      </c>
      <c r="NU69" s="86" t="e">
        <f>-Inputs!$B$8*Financials!NU68</f>
        <v>#N/A</v>
      </c>
      <c r="NV69" s="86" t="e">
        <f>-Inputs!$B$8*Financials!NV68</f>
        <v>#N/A</v>
      </c>
      <c r="NW69" s="86" t="e">
        <f>-Inputs!$B$8*Financials!NW68</f>
        <v>#N/A</v>
      </c>
      <c r="NX69" s="86" t="e">
        <f>-Inputs!$B$8*Financials!NX68</f>
        <v>#N/A</v>
      </c>
      <c r="NY69" s="86" t="e">
        <f>-Inputs!$B$8*Financials!NY68</f>
        <v>#N/A</v>
      </c>
      <c r="NZ69" s="86" t="e">
        <f>-Inputs!$B$8*Financials!NZ68</f>
        <v>#N/A</v>
      </c>
      <c r="OA69" s="87" t="e">
        <f t="shared" si="1347"/>
        <v>#N/A</v>
      </c>
      <c r="OB69" s="86" t="e">
        <f>-Inputs!$B$8*Financials!OB68</f>
        <v>#N/A</v>
      </c>
      <c r="OC69" s="86" t="e">
        <f>-Inputs!$B$8*Financials!OC68</f>
        <v>#N/A</v>
      </c>
      <c r="OD69" s="86" t="e">
        <f>-Inputs!$B$8*Financials!OD68</f>
        <v>#N/A</v>
      </c>
      <c r="OE69" s="86" t="e">
        <f>-Inputs!$B$8*Financials!OE68</f>
        <v>#N/A</v>
      </c>
      <c r="OF69" s="86" t="e">
        <f>-Inputs!$B$8*Financials!OF68</f>
        <v>#N/A</v>
      </c>
      <c r="OG69" s="86" t="e">
        <f>-Inputs!$B$8*Financials!OG68</f>
        <v>#N/A</v>
      </c>
      <c r="OH69" s="86" t="e">
        <f>-Inputs!$B$8*Financials!OH68</f>
        <v>#N/A</v>
      </c>
      <c r="OI69" s="86" t="e">
        <f>-Inputs!$B$8*Financials!OI68</f>
        <v>#N/A</v>
      </c>
      <c r="OJ69" s="86" t="e">
        <f>-Inputs!$B$8*Financials!OJ68</f>
        <v>#N/A</v>
      </c>
      <c r="OK69" s="86" t="e">
        <f>-Inputs!$B$8*Financials!OK68</f>
        <v>#N/A</v>
      </c>
      <c r="OL69" s="86" t="e">
        <f>-Inputs!$B$8*Financials!OL68</f>
        <v>#N/A</v>
      </c>
      <c r="OM69" s="86" t="e">
        <f>-Inputs!$B$8*Financials!OM68</f>
        <v>#N/A</v>
      </c>
      <c r="ON69" s="87" t="e">
        <f t="shared" si="1349"/>
        <v>#N/A</v>
      </c>
      <c r="OO69" s="86" t="e">
        <f>-Inputs!$B$8*Financials!OO68</f>
        <v>#N/A</v>
      </c>
      <c r="OP69" s="86" t="e">
        <f>-Inputs!$B$8*Financials!OP68</f>
        <v>#N/A</v>
      </c>
      <c r="OQ69" s="86" t="e">
        <f>-Inputs!$B$8*Financials!OQ68</f>
        <v>#N/A</v>
      </c>
      <c r="OR69" s="86" t="e">
        <f>-Inputs!$B$8*Financials!OR68</f>
        <v>#N/A</v>
      </c>
      <c r="OS69" s="86" t="e">
        <f>-Inputs!$B$8*Financials!OS68</f>
        <v>#N/A</v>
      </c>
      <c r="OT69" s="86" t="e">
        <f>-Inputs!$B$8*Financials!OT68</f>
        <v>#N/A</v>
      </c>
      <c r="OU69" s="86" t="e">
        <f>-Inputs!$B$8*Financials!OU68</f>
        <v>#N/A</v>
      </c>
      <c r="OV69" s="86" t="e">
        <f>-Inputs!$B$8*Financials!OV68</f>
        <v>#N/A</v>
      </c>
      <c r="OW69" s="86" t="e">
        <f>-Inputs!$B$8*Financials!OW68</f>
        <v>#N/A</v>
      </c>
      <c r="OX69" s="86" t="e">
        <f>-Inputs!$B$8*Financials!OX68</f>
        <v>#N/A</v>
      </c>
      <c r="OY69" s="86" t="e">
        <f>-Inputs!$B$8*Financials!OY68</f>
        <v>#N/A</v>
      </c>
      <c r="OZ69" s="86" t="e">
        <f>-Inputs!$B$8*Financials!OZ68</f>
        <v>#N/A</v>
      </c>
      <c r="PA69" s="87" t="e">
        <f t="shared" si="1351"/>
        <v>#N/A</v>
      </c>
      <c r="PB69" s="86" t="e">
        <f>-Inputs!$B$8*Financials!PB68</f>
        <v>#N/A</v>
      </c>
      <c r="PC69" s="86" t="e">
        <f>-Inputs!$B$8*Financials!PC68</f>
        <v>#N/A</v>
      </c>
      <c r="PD69" s="86" t="e">
        <f>-Inputs!$B$8*Financials!PD68</f>
        <v>#N/A</v>
      </c>
      <c r="PE69" s="86" t="e">
        <f>-Inputs!$B$8*Financials!PE68</f>
        <v>#N/A</v>
      </c>
      <c r="PF69" s="86" t="e">
        <f>-Inputs!$B$8*Financials!PF68</f>
        <v>#N/A</v>
      </c>
      <c r="PG69" s="86" t="e">
        <f>-Inputs!$B$8*Financials!PG68</f>
        <v>#N/A</v>
      </c>
      <c r="PH69" s="86" t="e">
        <f>-Inputs!$B$8*Financials!PH68</f>
        <v>#N/A</v>
      </c>
      <c r="PI69" s="86" t="e">
        <f>-Inputs!$B$8*Financials!PI68</f>
        <v>#N/A</v>
      </c>
      <c r="PJ69" s="86" t="e">
        <f>-Inputs!$B$8*Financials!PJ68</f>
        <v>#N/A</v>
      </c>
      <c r="PK69" s="86" t="e">
        <f>-Inputs!$B$8*Financials!PK68</f>
        <v>#N/A</v>
      </c>
      <c r="PL69" s="86" t="e">
        <f>-Inputs!$B$8*Financials!PL68</f>
        <v>#N/A</v>
      </c>
      <c r="PM69" s="86" t="e">
        <f>-Inputs!$B$8*Financials!PM68</f>
        <v>#N/A</v>
      </c>
      <c r="PN69" s="87" t="e">
        <f t="shared" si="1353"/>
        <v>#N/A</v>
      </c>
      <c r="PO69" s="86" t="e">
        <f>-Inputs!$B$8*Financials!PO68</f>
        <v>#N/A</v>
      </c>
      <c r="PP69" s="86" t="e">
        <f>-Inputs!$B$8*Financials!PP68</f>
        <v>#N/A</v>
      </c>
      <c r="PQ69" s="86" t="e">
        <f>-Inputs!$B$8*Financials!PQ68</f>
        <v>#N/A</v>
      </c>
      <c r="PR69" s="86" t="e">
        <f>-Inputs!$B$8*Financials!PR68</f>
        <v>#N/A</v>
      </c>
      <c r="PS69" s="86" t="e">
        <f>-Inputs!$B$8*Financials!PS68</f>
        <v>#N/A</v>
      </c>
      <c r="PT69" s="86" t="e">
        <f>-Inputs!$B$8*Financials!PT68</f>
        <v>#N/A</v>
      </c>
      <c r="PU69" s="86" t="e">
        <f>-Inputs!$B$8*Financials!PU68</f>
        <v>#N/A</v>
      </c>
      <c r="PV69" s="86" t="e">
        <f>-Inputs!$B$8*Financials!PV68</f>
        <v>#N/A</v>
      </c>
      <c r="PW69" s="86" t="e">
        <f>-Inputs!$B$8*Financials!PW68</f>
        <v>#N/A</v>
      </c>
      <c r="PX69" s="86" t="e">
        <f>-Inputs!$B$8*Financials!PX68</f>
        <v>#N/A</v>
      </c>
      <c r="PY69" s="86" t="e">
        <f>-Inputs!$B$8*Financials!PY68</f>
        <v>#N/A</v>
      </c>
      <c r="PZ69" s="86" t="e">
        <f>-Inputs!$B$8*Financials!PZ68</f>
        <v>#N/A</v>
      </c>
      <c r="QA69" s="87" t="e">
        <f t="shared" si="1355"/>
        <v>#N/A</v>
      </c>
      <c r="QB69" s="86" t="e">
        <f>-Inputs!$B$8*Financials!QB68</f>
        <v>#N/A</v>
      </c>
      <c r="QC69" s="86" t="e">
        <f>-Inputs!$B$8*Financials!QC68</f>
        <v>#N/A</v>
      </c>
      <c r="QD69" s="86" t="e">
        <f>-Inputs!$B$8*Financials!QD68</f>
        <v>#N/A</v>
      </c>
      <c r="QE69" s="86" t="e">
        <f>-Inputs!$B$8*Financials!QE68</f>
        <v>#N/A</v>
      </c>
      <c r="QF69" s="86" t="e">
        <f>-Inputs!$B$8*Financials!QF68</f>
        <v>#N/A</v>
      </c>
      <c r="QG69" s="86" t="e">
        <f>-Inputs!$B$8*Financials!QG68</f>
        <v>#N/A</v>
      </c>
      <c r="QH69" s="86" t="e">
        <f>-Inputs!$B$8*Financials!QH68</f>
        <v>#N/A</v>
      </c>
      <c r="QI69" s="86" t="e">
        <f>-Inputs!$B$8*Financials!QI68</f>
        <v>#N/A</v>
      </c>
      <c r="QJ69" s="86" t="e">
        <f>-Inputs!$B$8*Financials!QJ68</f>
        <v>#N/A</v>
      </c>
      <c r="QK69" s="86" t="e">
        <f>-Inputs!$B$8*Financials!QK68</f>
        <v>#N/A</v>
      </c>
      <c r="QL69" s="86" t="e">
        <f>-Inputs!$B$8*Financials!QL68</f>
        <v>#N/A</v>
      </c>
      <c r="QM69" s="86" t="e">
        <f>-Inputs!$B$8*Financials!QM68</f>
        <v>#N/A</v>
      </c>
      <c r="QN69" s="87" t="e">
        <f t="shared" si="1357"/>
        <v>#N/A</v>
      </c>
      <c r="QO69" s="86" t="e">
        <f>-Inputs!$B$8*Financials!QO68</f>
        <v>#N/A</v>
      </c>
      <c r="QP69" s="86" t="e">
        <f>-Inputs!$B$8*Financials!QP68</f>
        <v>#N/A</v>
      </c>
      <c r="QQ69" s="86" t="e">
        <f>-Inputs!$B$8*Financials!QQ68</f>
        <v>#N/A</v>
      </c>
      <c r="QR69" s="86" t="e">
        <f>-Inputs!$B$8*Financials!QR68</f>
        <v>#N/A</v>
      </c>
      <c r="QS69" s="86" t="e">
        <f>-Inputs!$B$8*Financials!QS68</f>
        <v>#N/A</v>
      </c>
      <c r="QT69" s="86" t="e">
        <f>-Inputs!$B$8*Financials!QT68</f>
        <v>#N/A</v>
      </c>
      <c r="QU69" s="86" t="e">
        <f>-Inputs!$B$8*Financials!QU68</f>
        <v>#N/A</v>
      </c>
      <c r="QV69" s="86" t="e">
        <f>-Inputs!$B$8*Financials!QV68</f>
        <v>#N/A</v>
      </c>
      <c r="QW69" s="86" t="e">
        <f>-Inputs!$B$8*Financials!QW68</f>
        <v>#N/A</v>
      </c>
      <c r="QX69" s="86" t="e">
        <f>-Inputs!$B$8*Financials!QX68</f>
        <v>#N/A</v>
      </c>
      <c r="QY69" s="86" t="e">
        <f>-Inputs!$B$8*Financials!QY68</f>
        <v>#N/A</v>
      </c>
      <c r="QZ69" s="86" t="e">
        <f>-Inputs!$B$8*Financials!QZ68</f>
        <v>#N/A</v>
      </c>
      <c r="RA69" s="87" t="e">
        <f t="shared" si="1359"/>
        <v>#N/A</v>
      </c>
      <c r="RB69" s="86" t="e">
        <f>-Inputs!$B$8*Financials!RB68</f>
        <v>#N/A</v>
      </c>
      <c r="RC69" s="86" t="e">
        <f>-Inputs!$B$8*Financials!RC68</f>
        <v>#N/A</v>
      </c>
      <c r="RD69" s="86" t="e">
        <f>-Inputs!$B$8*Financials!RD68</f>
        <v>#N/A</v>
      </c>
      <c r="RE69" s="86" t="e">
        <f>-Inputs!$B$8*Financials!RE68</f>
        <v>#N/A</v>
      </c>
      <c r="RF69" s="86" t="e">
        <f>-Inputs!$B$8*Financials!RF68</f>
        <v>#N/A</v>
      </c>
      <c r="RG69" s="86" t="e">
        <f>-Inputs!$B$8*Financials!RG68</f>
        <v>#N/A</v>
      </c>
      <c r="RH69" s="86" t="e">
        <f>-Inputs!$B$8*Financials!RH68</f>
        <v>#N/A</v>
      </c>
      <c r="RI69" s="86" t="e">
        <f>-Inputs!$B$8*Financials!RI68</f>
        <v>#N/A</v>
      </c>
      <c r="RJ69" s="86" t="e">
        <f>-Inputs!$B$8*Financials!RJ68</f>
        <v>#N/A</v>
      </c>
      <c r="RK69" s="86" t="e">
        <f>-Inputs!$B$8*Financials!RK68</f>
        <v>#N/A</v>
      </c>
      <c r="RL69" s="86" t="e">
        <f>-Inputs!$B$8*Financials!RL68</f>
        <v>#N/A</v>
      </c>
      <c r="RM69" s="86" t="e">
        <f>-Inputs!$B$8*Financials!RM68</f>
        <v>#N/A</v>
      </c>
      <c r="RN69" s="87" t="e">
        <f t="shared" si="1361"/>
        <v>#N/A</v>
      </c>
    </row>
    <row r="70" spans="1:560" s="77" customFormat="1" outlineLevel="1" x14ac:dyDescent="0.3">
      <c r="A70" s="74" t="s">
        <v>278</v>
      </c>
      <c r="B70" s="90" t="e">
        <f>SUM(B68:B69)</f>
        <v>#N/A</v>
      </c>
      <c r="C70" s="90" t="e">
        <f t="shared" ref="C70:M70" si="1362">SUM(C68:C69)</f>
        <v>#N/A</v>
      </c>
      <c r="D70" s="90" t="e">
        <f t="shared" si="1362"/>
        <v>#N/A</v>
      </c>
      <c r="E70" s="90" t="e">
        <f t="shared" si="1362"/>
        <v>#N/A</v>
      </c>
      <c r="F70" s="90" t="e">
        <f t="shared" si="1362"/>
        <v>#N/A</v>
      </c>
      <c r="G70" s="90" t="e">
        <f t="shared" si="1362"/>
        <v>#N/A</v>
      </c>
      <c r="H70" s="90" t="e">
        <f t="shared" si="1362"/>
        <v>#N/A</v>
      </c>
      <c r="I70" s="90" t="e">
        <f t="shared" si="1362"/>
        <v>#N/A</v>
      </c>
      <c r="J70" s="90" t="e">
        <f t="shared" si="1362"/>
        <v>#N/A</v>
      </c>
      <c r="K70" s="90" t="e">
        <f t="shared" si="1362"/>
        <v>#N/A</v>
      </c>
      <c r="L70" s="90" t="e">
        <f t="shared" si="1362"/>
        <v>#N/A</v>
      </c>
      <c r="M70" s="90" t="e">
        <f t="shared" si="1362"/>
        <v>#N/A</v>
      </c>
      <c r="N70" s="91" t="e">
        <f t="shared" si="1289"/>
        <v>#N/A</v>
      </c>
      <c r="O70" s="90" t="e">
        <f t="shared" ref="O70:Z70" si="1363">SUM(O68:O69)</f>
        <v>#N/A</v>
      </c>
      <c r="P70" s="90" t="e">
        <f t="shared" si="1363"/>
        <v>#N/A</v>
      </c>
      <c r="Q70" s="90" t="e">
        <f t="shared" si="1363"/>
        <v>#N/A</v>
      </c>
      <c r="R70" s="90" t="e">
        <f t="shared" si="1363"/>
        <v>#N/A</v>
      </c>
      <c r="S70" s="90" t="e">
        <f t="shared" si="1363"/>
        <v>#N/A</v>
      </c>
      <c r="T70" s="90" t="e">
        <f t="shared" si="1363"/>
        <v>#N/A</v>
      </c>
      <c r="U70" s="90" t="e">
        <f t="shared" si="1363"/>
        <v>#N/A</v>
      </c>
      <c r="V70" s="90" t="e">
        <f t="shared" si="1363"/>
        <v>#N/A</v>
      </c>
      <c r="W70" s="90" t="e">
        <f t="shared" si="1363"/>
        <v>#N/A</v>
      </c>
      <c r="X70" s="90" t="e">
        <f t="shared" si="1363"/>
        <v>#N/A</v>
      </c>
      <c r="Y70" s="90" t="e">
        <f t="shared" si="1363"/>
        <v>#N/A</v>
      </c>
      <c r="Z70" s="90" t="e">
        <f t="shared" si="1363"/>
        <v>#N/A</v>
      </c>
      <c r="AA70" s="91" t="e">
        <f t="shared" si="1291"/>
        <v>#N/A</v>
      </c>
      <c r="AB70" s="90" t="e">
        <f t="shared" ref="AB70:AM70" si="1364">SUM(AB68:AB69)</f>
        <v>#N/A</v>
      </c>
      <c r="AC70" s="90" t="e">
        <f t="shared" si="1364"/>
        <v>#N/A</v>
      </c>
      <c r="AD70" s="90" t="e">
        <f t="shared" si="1364"/>
        <v>#N/A</v>
      </c>
      <c r="AE70" s="90" t="e">
        <f t="shared" si="1364"/>
        <v>#N/A</v>
      </c>
      <c r="AF70" s="90" t="e">
        <f t="shared" si="1364"/>
        <v>#N/A</v>
      </c>
      <c r="AG70" s="90" t="e">
        <f t="shared" si="1364"/>
        <v>#N/A</v>
      </c>
      <c r="AH70" s="90" t="e">
        <f t="shared" si="1364"/>
        <v>#N/A</v>
      </c>
      <c r="AI70" s="90" t="e">
        <f t="shared" si="1364"/>
        <v>#N/A</v>
      </c>
      <c r="AJ70" s="90" t="e">
        <f t="shared" si="1364"/>
        <v>#N/A</v>
      </c>
      <c r="AK70" s="90" t="e">
        <f t="shared" si="1364"/>
        <v>#N/A</v>
      </c>
      <c r="AL70" s="90" t="e">
        <f t="shared" si="1364"/>
        <v>#N/A</v>
      </c>
      <c r="AM70" s="90" t="e">
        <f t="shared" si="1364"/>
        <v>#N/A</v>
      </c>
      <c r="AN70" s="91" t="e">
        <f t="shared" si="1293"/>
        <v>#N/A</v>
      </c>
      <c r="AO70" s="90" t="e">
        <f t="shared" ref="AO70:AZ70" si="1365">SUM(AO68:AO69)</f>
        <v>#N/A</v>
      </c>
      <c r="AP70" s="90" t="e">
        <f t="shared" si="1365"/>
        <v>#N/A</v>
      </c>
      <c r="AQ70" s="90" t="e">
        <f t="shared" si="1365"/>
        <v>#N/A</v>
      </c>
      <c r="AR70" s="90" t="e">
        <f t="shared" si="1365"/>
        <v>#N/A</v>
      </c>
      <c r="AS70" s="90" t="e">
        <f t="shared" si="1365"/>
        <v>#N/A</v>
      </c>
      <c r="AT70" s="90" t="e">
        <f t="shared" si="1365"/>
        <v>#N/A</v>
      </c>
      <c r="AU70" s="90" t="e">
        <f t="shared" si="1365"/>
        <v>#N/A</v>
      </c>
      <c r="AV70" s="90" t="e">
        <f t="shared" si="1365"/>
        <v>#N/A</v>
      </c>
      <c r="AW70" s="90" t="e">
        <f t="shared" si="1365"/>
        <v>#N/A</v>
      </c>
      <c r="AX70" s="90" t="e">
        <f t="shared" si="1365"/>
        <v>#N/A</v>
      </c>
      <c r="AY70" s="90" t="e">
        <f t="shared" si="1365"/>
        <v>#N/A</v>
      </c>
      <c r="AZ70" s="90" t="e">
        <f t="shared" si="1365"/>
        <v>#N/A</v>
      </c>
      <c r="BA70" s="91" t="e">
        <f t="shared" si="1295"/>
        <v>#N/A</v>
      </c>
      <c r="BB70" s="90" t="e">
        <f t="shared" ref="BB70:BM70" si="1366">SUM(BB68:BB69)</f>
        <v>#N/A</v>
      </c>
      <c r="BC70" s="90" t="e">
        <f t="shared" si="1366"/>
        <v>#N/A</v>
      </c>
      <c r="BD70" s="90" t="e">
        <f t="shared" si="1366"/>
        <v>#N/A</v>
      </c>
      <c r="BE70" s="90" t="e">
        <f t="shared" si="1366"/>
        <v>#N/A</v>
      </c>
      <c r="BF70" s="90" t="e">
        <f t="shared" si="1366"/>
        <v>#N/A</v>
      </c>
      <c r="BG70" s="90" t="e">
        <f t="shared" si="1366"/>
        <v>#N/A</v>
      </c>
      <c r="BH70" s="90" t="e">
        <f t="shared" si="1366"/>
        <v>#N/A</v>
      </c>
      <c r="BI70" s="90" t="e">
        <f t="shared" si="1366"/>
        <v>#N/A</v>
      </c>
      <c r="BJ70" s="90" t="e">
        <f t="shared" si="1366"/>
        <v>#N/A</v>
      </c>
      <c r="BK70" s="90" t="e">
        <f t="shared" si="1366"/>
        <v>#N/A</v>
      </c>
      <c r="BL70" s="90" t="e">
        <f t="shared" si="1366"/>
        <v>#N/A</v>
      </c>
      <c r="BM70" s="90" t="e">
        <f t="shared" si="1366"/>
        <v>#N/A</v>
      </c>
      <c r="BN70" s="91" t="e">
        <f t="shared" si="1297"/>
        <v>#N/A</v>
      </c>
      <c r="BO70" s="90" t="e">
        <f t="shared" ref="BO70:BZ70" si="1367">SUM(BO68:BO69)</f>
        <v>#N/A</v>
      </c>
      <c r="BP70" s="90" t="e">
        <f t="shared" si="1367"/>
        <v>#N/A</v>
      </c>
      <c r="BQ70" s="90" t="e">
        <f t="shared" si="1367"/>
        <v>#N/A</v>
      </c>
      <c r="BR70" s="90" t="e">
        <f t="shared" si="1367"/>
        <v>#N/A</v>
      </c>
      <c r="BS70" s="90" t="e">
        <f t="shared" si="1367"/>
        <v>#N/A</v>
      </c>
      <c r="BT70" s="90" t="e">
        <f t="shared" si="1367"/>
        <v>#N/A</v>
      </c>
      <c r="BU70" s="90" t="e">
        <f t="shared" si="1367"/>
        <v>#N/A</v>
      </c>
      <c r="BV70" s="90" t="e">
        <f t="shared" si="1367"/>
        <v>#N/A</v>
      </c>
      <c r="BW70" s="90" t="e">
        <f t="shared" si="1367"/>
        <v>#N/A</v>
      </c>
      <c r="BX70" s="90" t="e">
        <f t="shared" si="1367"/>
        <v>#N/A</v>
      </c>
      <c r="BY70" s="90" t="e">
        <f t="shared" si="1367"/>
        <v>#N/A</v>
      </c>
      <c r="BZ70" s="90" t="e">
        <f t="shared" si="1367"/>
        <v>#N/A</v>
      </c>
      <c r="CA70" s="91" t="e">
        <f t="shared" si="1299"/>
        <v>#N/A</v>
      </c>
      <c r="CB70" s="90" t="e">
        <f t="shared" ref="CB70:CM70" si="1368">SUM(CB68:CB69)</f>
        <v>#N/A</v>
      </c>
      <c r="CC70" s="90" t="e">
        <f t="shared" si="1368"/>
        <v>#N/A</v>
      </c>
      <c r="CD70" s="90" t="e">
        <f t="shared" si="1368"/>
        <v>#N/A</v>
      </c>
      <c r="CE70" s="90" t="e">
        <f t="shared" si="1368"/>
        <v>#N/A</v>
      </c>
      <c r="CF70" s="90" t="e">
        <f t="shared" si="1368"/>
        <v>#N/A</v>
      </c>
      <c r="CG70" s="90" t="e">
        <f t="shared" si="1368"/>
        <v>#N/A</v>
      </c>
      <c r="CH70" s="90" t="e">
        <f t="shared" si="1368"/>
        <v>#N/A</v>
      </c>
      <c r="CI70" s="90" t="e">
        <f t="shared" si="1368"/>
        <v>#N/A</v>
      </c>
      <c r="CJ70" s="90" t="e">
        <f t="shared" si="1368"/>
        <v>#N/A</v>
      </c>
      <c r="CK70" s="90" t="e">
        <f t="shared" si="1368"/>
        <v>#N/A</v>
      </c>
      <c r="CL70" s="90" t="e">
        <f t="shared" si="1368"/>
        <v>#N/A</v>
      </c>
      <c r="CM70" s="90" t="e">
        <f t="shared" si="1368"/>
        <v>#N/A</v>
      </c>
      <c r="CN70" s="91" t="e">
        <f t="shared" si="1301"/>
        <v>#N/A</v>
      </c>
      <c r="CO70" s="90" t="e">
        <f t="shared" ref="CO70:CZ70" si="1369">SUM(CO68:CO69)</f>
        <v>#N/A</v>
      </c>
      <c r="CP70" s="90" t="e">
        <f t="shared" si="1369"/>
        <v>#N/A</v>
      </c>
      <c r="CQ70" s="90" t="e">
        <f t="shared" si="1369"/>
        <v>#N/A</v>
      </c>
      <c r="CR70" s="90" t="e">
        <f t="shared" si="1369"/>
        <v>#N/A</v>
      </c>
      <c r="CS70" s="90" t="e">
        <f t="shared" si="1369"/>
        <v>#N/A</v>
      </c>
      <c r="CT70" s="90" t="e">
        <f t="shared" si="1369"/>
        <v>#N/A</v>
      </c>
      <c r="CU70" s="90" t="e">
        <f t="shared" si="1369"/>
        <v>#N/A</v>
      </c>
      <c r="CV70" s="90" t="e">
        <f t="shared" si="1369"/>
        <v>#N/A</v>
      </c>
      <c r="CW70" s="90" t="e">
        <f t="shared" si="1369"/>
        <v>#N/A</v>
      </c>
      <c r="CX70" s="90" t="e">
        <f t="shared" si="1369"/>
        <v>#N/A</v>
      </c>
      <c r="CY70" s="90" t="e">
        <f t="shared" si="1369"/>
        <v>#N/A</v>
      </c>
      <c r="CZ70" s="90" t="e">
        <f t="shared" si="1369"/>
        <v>#N/A</v>
      </c>
      <c r="DA70" s="91" t="e">
        <f t="shared" si="1303"/>
        <v>#N/A</v>
      </c>
      <c r="DB70" s="90" t="e">
        <f t="shared" ref="DB70:DM70" si="1370">SUM(DB68:DB69)</f>
        <v>#N/A</v>
      </c>
      <c r="DC70" s="90" t="e">
        <f t="shared" si="1370"/>
        <v>#N/A</v>
      </c>
      <c r="DD70" s="90" t="e">
        <f t="shared" si="1370"/>
        <v>#N/A</v>
      </c>
      <c r="DE70" s="90" t="e">
        <f t="shared" si="1370"/>
        <v>#N/A</v>
      </c>
      <c r="DF70" s="90" t="e">
        <f t="shared" si="1370"/>
        <v>#N/A</v>
      </c>
      <c r="DG70" s="90" t="e">
        <f t="shared" si="1370"/>
        <v>#N/A</v>
      </c>
      <c r="DH70" s="90" t="e">
        <f t="shared" si="1370"/>
        <v>#N/A</v>
      </c>
      <c r="DI70" s="90" t="e">
        <f t="shared" si="1370"/>
        <v>#N/A</v>
      </c>
      <c r="DJ70" s="90" t="e">
        <f t="shared" si="1370"/>
        <v>#N/A</v>
      </c>
      <c r="DK70" s="90" t="e">
        <f t="shared" si="1370"/>
        <v>#N/A</v>
      </c>
      <c r="DL70" s="90" t="e">
        <f t="shared" si="1370"/>
        <v>#N/A</v>
      </c>
      <c r="DM70" s="90" t="e">
        <f t="shared" si="1370"/>
        <v>#N/A</v>
      </c>
      <c r="DN70" s="91" t="e">
        <f t="shared" si="1305"/>
        <v>#N/A</v>
      </c>
      <c r="DO70" s="90" t="e">
        <f t="shared" ref="DO70:DZ70" si="1371">SUM(DO68:DO69)</f>
        <v>#N/A</v>
      </c>
      <c r="DP70" s="90" t="e">
        <f t="shared" si="1371"/>
        <v>#N/A</v>
      </c>
      <c r="DQ70" s="90" t="e">
        <f t="shared" si="1371"/>
        <v>#N/A</v>
      </c>
      <c r="DR70" s="90" t="e">
        <f t="shared" si="1371"/>
        <v>#N/A</v>
      </c>
      <c r="DS70" s="90" t="e">
        <f t="shared" si="1371"/>
        <v>#N/A</v>
      </c>
      <c r="DT70" s="90" t="e">
        <f t="shared" si="1371"/>
        <v>#N/A</v>
      </c>
      <c r="DU70" s="90" t="e">
        <f t="shared" si="1371"/>
        <v>#N/A</v>
      </c>
      <c r="DV70" s="90" t="e">
        <f t="shared" si="1371"/>
        <v>#N/A</v>
      </c>
      <c r="DW70" s="90" t="e">
        <f t="shared" si="1371"/>
        <v>#N/A</v>
      </c>
      <c r="DX70" s="90" t="e">
        <f t="shared" si="1371"/>
        <v>#N/A</v>
      </c>
      <c r="DY70" s="90" t="e">
        <f t="shared" si="1371"/>
        <v>#N/A</v>
      </c>
      <c r="DZ70" s="90" t="e">
        <f t="shared" si="1371"/>
        <v>#N/A</v>
      </c>
      <c r="EA70" s="91" t="e">
        <f t="shared" si="1307"/>
        <v>#N/A</v>
      </c>
      <c r="EB70" s="90" t="e">
        <f t="shared" ref="EB70:EM70" si="1372">SUM(EB68:EB69)</f>
        <v>#N/A</v>
      </c>
      <c r="EC70" s="90" t="e">
        <f t="shared" si="1372"/>
        <v>#N/A</v>
      </c>
      <c r="ED70" s="90" t="e">
        <f t="shared" si="1372"/>
        <v>#N/A</v>
      </c>
      <c r="EE70" s="90" t="e">
        <f t="shared" si="1372"/>
        <v>#N/A</v>
      </c>
      <c r="EF70" s="90" t="e">
        <f t="shared" si="1372"/>
        <v>#N/A</v>
      </c>
      <c r="EG70" s="90" t="e">
        <f t="shared" si="1372"/>
        <v>#N/A</v>
      </c>
      <c r="EH70" s="90" t="e">
        <f t="shared" si="1372"/>
        <v>#N/A</v>
      </c>
      <c r="EI70" s="90" t="e">
        <f t="shared" si="1372"/>
        <v>#N/A</v>
      </c>
      <c r="EJ70" s="90" t="e">
        <f t="shared" si="1372"/>
        <v>#N/A</v>
      </c>
      <c r="EK70" s="90" t="e">
        <f t="shared" si="1372"/>
        <v>#N/A</v>
      </c>
      <c r="EL70" s="90" t="e">
        <f t="shared" si="1372"/>
        <v>#N/A</v>
      </c>
      <c r="EM70" s="90" t="e">
        <f t="shared" si="1372"/>
        <v>#N/A</v>
      </c>
      <c r="EN70" s="91" t="e">
        <f t="shared" si="1309"/>
        <v>#N/A</v>
      </c>
      <c r="EO70" s="90" t="e">
        <f t="shared" ref="EO70:EZ70" si="1373">SUM(EO68:EO69)</f>
        <v>#N/A</v>
      </c>
      <c r="EP70" s="90" t="e">
        <f t="shared" si="1373"/>
        <v>#N/A</v>
      </c>
      <c r="EQ70" s="90" t="e">
        <f t="shared" si="1373"/>
        <v>#N/A</v>
      </c>
      <c r="ER70" s="90" t="e">
        <f t="shared" si="1373"/>
        <v>#N/A</v>
      </c>
      <c r="ES70" s="90" t="e">
        <f t="shared" si="1373"/>
        <v>#N/A</v>
      </c>
      <c r="ET70" s="90" t="e">
        <f t="shared" si="1373"/>
        <v>#N/A</v>
      </c>
      <c r="EU70" s="90" t="e">
        <f t="shared" si="1373"/>
        <v>#N/A</v>
      </c>
      <c r="EV70" s="90" t="e">
        <f t="shared" si="1373"/>
        <v>#N/A</v>
      </c>
      <c r="EW70" s="90" t="e">
        <f t="shared" si="1373"/>
        <v>#N/A</v>
      </c>
      <c r="EX70" s="90" t="e">
        <f t="shared" si="1373"/>
        <v>#N/A</v>
      </c>
      <c r="EY70" s="90" t="e">
        <f t="shared" si="1373"/>
        <v>#N/A</v>
      </c>
      <c r="EZ70" s="90" t="e">
        <f t="shared" si="1373"/>
        <v>#N/A</v>
      </c>
      <c r="FA70" s="91" t="e">
        <f t="shared" si="1311"/>
        <v>#N/A</v>
      </c>
      <c r="FB70" s="90" t="e">
        <f t="shared" ref="FB70:FM70" si="1374">SUM(FB68:FB69)</f>
        <v>#N/A</v>
      </c>
      <c r="FC70" s="90" t="e">
        <f t="shared" si="1374"/>
        <v>#N/A</v>
      </c>
      <c r="FD70" s="90" t="e">
        <f t="shared" si="1374"/>
        <v>#N/A</v>
      </c>
      <c r="FE70" s="90" t="e">
        <f t="shared" si="1374"/>
        <v>#N/A</v>
      </c>
      <c r="FF70" s="90" t="e">
        <f t="shared" si="1374"/>
        <v>#N/A</v>
      </c>
      <c r="FG70" s="90" t="e">
        <f t="shared" si="1374"/>
        <v>#N/A</v>
      </c>
      <c r="FH70" s="90" t="e">
        <f t="shared" si="1374"/>
        <v>#N/A</v>
      </c>
      <c r="FI70" s="90" t="e">
        <f t="shared" si="1374"/>
        <v>#N/A</v>
      </c>
      <c r="FJ70" s="90" t="e">
        <f t="shared" si="1374"/>
        <v>#N/A</v>
      </c>
      <c r="FK70" s="90" t="e">
        <f t="shared" si="1374"/>
        <v>#N/A</v>
      </c>
      <c r="FL70" s="90" t="e">
        <f t="shared" si="1374"/>
        <v>#N/A</v>
      </c>
      <c r="FM70" s="90" t="e">
        <f t="shared" si="1374"/>
        <v>#N/A</v>
      </c>
      <c r="FN70" s="91" t="e">
        <f t="shared" si="1313"/>
        <v>#N/A</v>
      </c>
      <c r="FO70" s="90" t="e">
        <f t="shared" ref="FO70:FZ70" si="1375">SUM(FO68:FO69)</f>
        <v>#N/A</v>
      </c>
      <c r="FP70" s="90" t="e">
        <f t="shared" si="1375"/>
        <v>#N/A</v>
      </c>
      <c r="FQ70" s="90" t="e">
        <f t="shared" si="1375"/>
        <v>#N/A</v>
      </c>
      <c r="FR70" s="90" t="e">
        <f t="shared" si="1375"/>
        <v>#N/A</v>
      </c>
      <c r="FS70" s="90" t="e">
        <f t="shared" si="1375"/>
        <v>#N/A</v>
      </c>
      <c r="FT70" s="90" t="e">
        <f t="shared" si="1375"/>
        <v>#N/A</v>
      </c>
      <c r="FU70" s="90" t="e">
        <f t="shared" si="1375"/>
        <v>#N/A</v>
      </c>
      <c r="FV70" s="90" t="e">
        <f t="shared" si="1375"/>
        <v>#N/A</v>
      </c>
      <c r="FW70" s="90" t="e">
        <f t="shared" si="1375"/>
        <v>#N/A</v>
      </c>
      <c r="FX70" s="90" t="e">
        <f t="shared" si="1375"/>
        <v>#N/A</v>
      </c>
      <c r="FY70" s="90" t="e">
        <f t="shared" si="1375"/>
        <v>#N/A</v>
      </c>
      <c r="FZ70" s="90" t="e">
        <f t="shared" si="1375"/>
        <v>#N/A</v>
      </c>
      <c r="GA70" s="91" t="e">
        <f t="shared" si="1315"/>
        <v>#N/A</v>
      </c>
      <c r="GB70" s="90" t="e">
        <f t="shared" ref="GB70:GM70" si="1376">SUM(GB68:GB69)</f>
        <v>#N/A</v>
      </c>
      <c r="GC70" s="90" t="e">
        <f t="shared" si="1376"/>
        <v>#N/A</v>
      </c>
      <c r="GD70" s="90" t="e">
        <f t="shared" si="1376"/>
        <v>#N/A</v>
      </c>
      <c r="GE70" s="90" t="e">
        <f t="shared" si="1376"/>
        <v>#N/A</v>
      </c>
      <c r="GF70" s="90" t="e">
        <f t="shared" si="1376"/>
        <v>#N/A</v>
      </c>
      <c r="GG70" s="90" t="e">
        <f t="shared" si="1376"/>
        <v>#N/A</v>
      </c>
      <c r="GH70" s="90" t="e">
        <f t="shared" si="1376"/>
        <v>#N/A</v>
      </c>
      <c r="GI70" s="90" t="e">
        <f t="shared" si="1376"/>
        <v>#N/A</v>
      </c>
      <c r="GJ70" s="90" t="e">
        <f t="shared" si="1376"/>
        <v>#N/A</v>
      </c>
      <c r="GK70" s="90" t="e">
        <f t="shared" si="1376"/>
        <v>#N/A</v>
      </c>
      <c r="GL70" s="90" t="e">
        <f t="shared" si="1376"/>
        <v>#N/A</v>
      </c>
      <c r="GM70" s="90" t="e">
        <f t="shared" si="1376"/>
        <v>#N/A</v>
      </c>
      <c r="GN70" s="91" t="e">
        <f t="shared" si="1317"/>
        <v>#N/A</v>
      </c>
      <c r="GO70" s="90" t="e">
        <f t="shared" ref="GO70:GZ70" si="1377">SUM(GO68:GO69)</f>
        <v>#N/A</v>
      </c>
      <c r="GP70" s="90" t="e">
        <f t="shared" si="1377"/>
        <v>#N/A</v>
      </c>
      <c r="GQ70" s="90" t="e">
        <f t="shared" si="1377"/>
        <v>#N/A</v>
      </c>
      <c r="GR70" s="90" t="e">
        <f t="shared" si="1377"/>
        <v>#N/A</v>
      </c>
      <c r="GS70" s="90" t="e">
        <f t="shared" si="1377"/>
        <v>#N/A</v>
      </c>
      <c r="GT70" s="90" t="e">
        <f t="shared" si="1377"/>
        <v>#N/A</v>
      </c>
      <c r="GU70" s="90" t="e">
        <f t="shared" si="1377"/>
        <v>#N/A</v>
      </c>
      <c r="GV70" s="90" t="e">
        <f t="shared" si="1377"/>
        <v>#N/A</v>
      </c>
      <c r="GW70" s="90" t="e">
        <f t="shared" si="1377"/>
        <v>#N/A</v>
      </c>
      <c r="GX70" s="90" t="e">
        <f t="shared" si="1377"/>
        <v>#N/A</v>
      </c>
      <c r="GY70" s="90" t="e">
        <f t="shared" si="1377"/>
        <v>#N/A</v>
      </c>
      <c r="GZ70" s="90" t="e">
        <f t="shared" si="1377"/>
        <v>#N/A</v>
      </c>
      <c r="HA70" s="91" t="e">
        <f t="shared" si="1319"/>
        <v>#N/A</v>
      </c>
      <c r="HB70" s="90" t="e">
        <f t="shared" ref="HB70:HM70" si="1378">SUM(HB68:HB69)</f>
        <v>#N/A</v>
      </c>
      <c r="HC70" s="90" t="e">
        <f t="shared" si="1378"/>
        <v>#N/A</v>
      </c>
      <c r="HD70" s="90" t="e">
        <f t="shared" si="1378"/>
        <v>#N/A</v>
      </c>
      <c r="HE70" s="90" t="e">
        <f t="shared" si="1378"/>
        <v>#N/A</v>
      </c>
      <c r="HF70" s="90" t="e">
        <f t="shared" si="1378"/>
        <v>#N/A</v>
      </c>
      <c r="HG70" s="90" t="e">
        <f t="shared" si="1378"/>
        <v>#N/A</v>
      </c>
      <c r="HH70" s="90" t="e">
        <f t="shared" si="1378"/>
        <v>#N/A</v>
      </c>
      <c r="HI70" s="90" t="e">
        <f t="shared" si="1378"/>
        <v>#N/A</v>
      </c>
      <c r="HJ70" s="90" t="e">
        <f t="shared" si="1378"/>
        <v>#N/A</v>
      </c>
      <c r="HK70" s="90" t="e">
        <f t="shared" si="1378"/>
        <v>#N/A</v>
      </c>
      <c r="HL70" s="90" t="e">
        <f t="shared" si="1378"/>
        <v>#N/A</v>
      </c>
      <c r="HM70" s="90" t="e">
        <f t="shared" si="1378"/>
        <v>#N/A</v>
      </c>
      <c r="HN70" s="91" t="e">
        <f t="shared" si="1321"/>
        <v>#N/A</v>
      </c>
      <c r="HO70" s="90" t="e">
        <f t="shared" ref="HO70:HZ70" si="1379">SUM(HO68:HO69)</f>
        <v>#N/A</v>
      </c>
      <c r="HP70" s="90" t="e">
        <f t="shared" si="1379"/>
        <v>#N/A</v>
      </c>
      <c r="HQ70" s="90" t="e">
        <f t="shared" si="1379"/>
        <v>#N/A</v>
      </c>
      <c r="HR70" s="90" t="e">
        <f t="shared" si="1379"/>
        <v>#N/A</v>
      </c>
      <c r="HS70" s="90" t="e">
        <f t="shared" si="1379"/>
        <v>#N/A</v>
      </c>
      <c r="HT70" s="90" t="e">
        <f t="shared" si="1379"/>
        <v>#N/A</v>
      </c>
      <c r="HU70" s="90" t="e">
        <f t="shared" si="1379"/>
        <v>#N/A</v>
      </c>
      <c r="HV70" s="90" t="e">
        <f t="shared" si="1379"/>
        <v>#N/A</v>
      </c>
      <c r="HW70" s="90" t="e">
        <f t="shared" si="1379"/>
        <v>#N/A</v>
      </c>
      <c r="HX70" s="90" t="e">
        <f t="shared" si="1379"/>
        <v>#N/A</v>
      </c>
      <c r="HY70" s="90" t="e">
        <f t="shared" si="1379"/>
        <v>#N/A</v>
      </c>
      <c r="HZ70" s="90" t="e">
        <f t="shared" si="1379"/>
        <v>#N/A</v>
      </c>
      <c r="IA70" s="91" t="e">
        <f t="shared" si="1323"/>
        <v>#N/A</v>
      </c>
      <c r="IB70" s="90" t="e">
        <f t="shared" ref="IB70:IM70" si="1380">SUM(IB68:IB69)</f>
        <v>#N/A</v>
      </c>
      <c r="IC70" s="90" t="e">
        <f t="shared" si="1380"/>
        <v>#N/A</v>
      </c>
      <c r="ID70" s="90" t="e">
        <f t="shared" si="1380"/>
        <v>#N/A</v>
      </c>
      <c r="IE70" s="90" t="e">
        <f t="shared" si="1380"/>
        <v>#N/A</v>
      </c>
      <c r="IF70" s="90" t="e">
        <f t="shared" si="1380"/>
        <v>#N/A</v>
      </c>
      <c r="IG70" s="90" t="e">
        <f t="shared" si="1380"/>
        <v>#N/A</v>
      </c>
      <c r="IH70" s="90" t="e">
        <f t="shared" si="1380"/>
        <v>#N/A</v>
      </c>
      <c r="II70" s="90" t="e">
        <f t="shared" si="1380"/>
        <v>#N/A</v>
      </c>
      <c r="IJ70" s="90" t="e">
        <f t="shared" si="1380"/>
        <v>#N/A</v>
      </c>
      <c r="IK70" s="90" t="e">
        <f t="shared" si="1380"/>
        <v>#N/A</v>
      </c>
      <c r="IL70" s="90" t="e">
        <f t="shared" si="1380"/>
        <v>#N/A</v>
      </c>
      <c r="IM70" s="90" t="e">
        <f t="shared" si="1380"/>
        <v>#N/A</v>
      </c>
      <c r="IN70" s="91" t="e">
        <f t="shared" si="1325"/>
        <v>#N/A</v>
      </c>
      <c r="IO70" s="90" t="e">
        <f t="shared" ref="IO70:IZ70" si="1381">SUM(IO68:IO69)</f>
        <v>#N/A</v>
      </c>
      <c r="IP70" s="90" t="e">
        <f t="shared" si="1381"/>
        <v>#N/A</v>
      </c>
      <c r="IQ70" s="90" t="e">
        <f t="shared" si="1381"/>
        <v>#N/A</v>
      </c>
      <c r="IR70" s="90" t="e">
        <f t="shared" si="1381"/>
        <v>#N/A</v>
      </c>
      <c r="IS70" s="90" t="e">
        <f t="shared" si="1381"/>
        <v>#N/A</v>
      </c>
      <c r="IT70" s="90" t="e">
        <f t="shared" si="1381"/>
        <v>#N/A</v>
      </c>
      <c r="IU70" s="90" t="e">
        <f t="shared" si="1381"/>
        <v>#N/A</v>
      </c>
      <c r="IV70" s="90" t="e">
        <f t="shared" si="1381"/>
        <v>#N/A</v>
      </c>
      <c r="IW70" s="90" t="e">
        <f t="shared" si="1381"/>
        <v>#N/A</v>
      </c>
      <c r="IX70" s="90" t="e">
        <f t="shared" si="1381"/>
        <v>#N/A</v>
      </c>
      <c r="IY70" s="90" t="e">
        <f t="shared" si="1381"/>
        <v>#N/A</v>
      </c>
      <c r="IZ70" s="90" t="e">
        <f t="shared" si="1381"/>
        <v>#N/A</v>
      </c>
      <c r="JA70" s="91" t="e">
        <f t="shared" si="1327"/>
        <v>#N/A</v>
      </c>
      <c r="JB70" s="90" t="e">
        <f t="shared" ref="JB70:JM70" si="1382">SUM(JB68:JB69)</f>
        <v>#N/A</v>
      </c>
      <c r="JC70" s="90" t="e">
        <f t="shared" si="1382"/>
        <v>#N/A</v>
      </c>
      <c r="JD70" s="90" t="e">
        <f t="shared" si="1382"/>
        <v>#N/A</v>
      </c>
      <c r="JE70" s="90" t="e">
        <f t="shared" si="1382"/>
        <v>#N/A</v>
      </c>
      <c r="JF70" s="90" t="e">
        <f t="shared" si="1382"/>
        <v>#N/A</v>
      </c>
      <c r="JG70" s="90" t="e">
        <f t="shared" si="1382"/>
        <v>#N/A</v>
      </c>
      <c r="JH70" s="90" t="e">
        <f t="shared" si="1382"/>
        <v>#N/A</v>
      </c>
      <c r="JI70" s="90" t="e">
        <f t="shared" si="1382"/>
        <v>#N/A</v>
      </c>
      <c r="JJ70" s="90" t="e">
        <f t="shared" si="1382"/>
        <v>#N/A</v>
      </c>
      <c r="JK70" s="90" t="e">
        <f t="shared" si="1382"/>
        <v>#N/A</v>
      </c>
      <c r="JL70" s="90" t="e">
        <f t="shared" si="1382"/>
        <v>#N/A</v>
      </c>
      <c r="JM70" s="90" t="e">
        <f t="shared" si="1382"/>
        <v>#N/A</v>
      </c>
      <c r="JN70" s="91" t="e">
        <f t="shared" si="1329"/>
        <v>#N/A</v>
      </c>
      <c r="JO70" s="90" t="e">
        <f t="shared" ref="JO70:JZ70" si="1383">SUM(JO68:JO69)</f>
        <v>#N/A</v>
      </c>
      <c r="JP70" s="90" t="e">
        <f t="shared" si="1383"/>
        <v>#N/A</v>
      </c>
      <c r="JQ70" s="90" t="e">
        <f t="shared" si="1383"/>
        <v>#N/A</v>
      </c>
      <c r="JR70" s="90" t="e">
        <f t="shared" si="1383"/>
        <v>#N/A</v>
      </c>
      <c r="JS70" s="90" t="e">
        <f t="shared" si="1383"/>
        <v>#N/A</v>
      </c>
      <c r="JT70" s="90" t="e">
        <f t="shared" si="1383"/>
        <v>#N/A</v>
      </c>
      <c r="JU70" s="90" t="e">
        <f t="shared" si="1383"/>
        <v>#N/A</v>
      </c>
      <c r="JV70" s="90" t="e">
        <f t="shared" si="1383"/>
        <v>#N/A</v>
      </c>
      <c r="JW70" s="90" t="e">
        <f t="shared" si="1383"/>
        <v>#N/A</v>
      </c>
      <c r="JX70" s="90" t="e">
        <f t="shared" si="1383"/>
        <v>#N/A</v>
      </c>
      <c r="JY70" s="90" t="e">
        <f t="shared" si="1383"/>
        <v>#N/A</v>
      </c>
      <c r="JZ70" s="90" t="e">
        <f t="shared" si="1383"/>
        <v>#N/A</v>
      </c>
      <c r="KA70" s="91" t="e">
        <f t="shared" si="1331"/>
        <v>#N/A</v>
      </c>
      <c r="KB70" s="90" t="e">
        <f t="shared" ref="KB70:KM70" si="1384">SUM(KB68:KB69)</f>
        <v>#N/A</v>
      </c>
      <c r="KC70" s="90" t="e">
        <f t="shared" si="1384"/>
        <v>#N/A</v>
      </c>
      <c r="KD70" s="90" t="e">
        <f t="shared" si="1384"/>
        <v>#N/A</v>
      </c>
      <c r="KE70" s="90" t="e">
        <f t="shared" si="1384"/>
        <v>#N/A</v>
      </c>
      <c r="KF70" s="90" t="e">
        <f t="shared" si="1384"/>
        <v>#N/A</v>
      </c>
      <c r="KG70" s="90" t="e">
        <f t="shared" si="1384"/>
        <v>#N/A</v>
      </c>
      <c r="KH70" s="90" t="e">
        <f t="shared" si="1384"/>
        <v>#N/A</v>
      </c>
      <c r="KI70" s="90" t="e">
        <f t="shared" si="1384"/>
        <v>#N/A</v>
      </c>
      <c r="KJ70" s="90" t="e">
        <f t="shared" si="1384"/>
        <v>#N/A</v>
      </c>
      <c r="KK70" s="90" t="e">
        <f t="shared" si="1384"/>
        <v>#N/A</v>
      </c>
      <c r="KL70" s="90" t="e">
        <f t="shared" si="1384"/>
        <v>#N/A</v>
      </c>
      <c r="KM70" s="90" t="e">
        <f t="shared" si="1384"/>
        <v>#N/A</v>
      </c>
      <c r="KN70" s="91" t="e">
        <f t="shared" si="1333"/>
        <v>#N/A</v>
      </c>
      <c r="KO70" s="90" t="e">
        <f t="shared" ref="KO70:KZ70" si="1385">SUM(KO68:KO69)</f>
        <v>#N/A</v>
      </c>
      <c r="KP70" s="90" t="e">
        <f t="shared" si="1385"/>
        <v>#N/A</v>
      </c>
      <c r="KQ70" s="90" t="e">
        <f t="shared" si="1385"/>
        <v>#N/A</v>
      </c>
      <c r="KR70" s="90" t="e">
        <f t="shared" si="1385"/>
        <v>#N/A</v>
      </c>
      <c r="KS70" s="90" t="e">
        <f t="shared" si="1385"/>
        <v>#N/A</v>
      </c>
      <c r="KT70" s="90" t="e">
        <f t="shared" si="1385"/>
        <v>#N/A</v>
      </c>
      <c r="KU70" s="90" t="e">
        <f t="shared" si="1385"/>
        <v>#N/A</v>
      </c>
      <c r="KV70" s="90" t="e">
        <f t="shared" si="1385"/>
        <v>#N/A</v>
      </c>
      <c r="KW70" s="90" t="e">
        <f t="shared" si="1385"/>
        <v>#N/A</v>
      </c>
      <c r="KX70" s="90" t="e">
        <f t="shared" si="1385"/>
        <v>#N/A</v>
      </c>
      <c r="KY70" s="90" t="e">
        <f t="shared" si="1385"/>
        <v>#N/A</v>
      </c>
      <c r="KZ70" s="90" t="e">
        <f t="shared" si="1385"/>
        <v>#N/A</v>
      </c>
      <c r="LA70" s="91" t="e">
        <f t="shared" si="1335"/>
        <v>#N/A</v>
      </c>
      <c r="LB70" s="90" t="e">
        <f t="shared" ref="LB70:LM70" si="1386">SUM(LB68:LB69)</f>
        <v>#N/A</v>
      </c>
      <c r="LC70" s="90" t="e">
        <f t="shared" si="1386"/>
        <v>#N/A</v>
      </c>
      <c r="LD70" s="90" t="e">
        <f t="shared" si="1386"/>
        <v>#N/A</v>
      </c>
      <c r="LE70" s="90" t="e">
        <f t="shared" si="1386"/>
        <v>#N/A</v>
      </c>
      <c r="LF70" s="90" t="e">
        <f t="shared" si="1386"/>
        <v>#N/A</v>
      </c>
      <c r="LG70" s="90" t="e">
        <f t="shared" si="1386"/>
        <v>#N/A</v>
      </c>
      <c r="LH70" s="90" t="e">
        <f t="shared" si="1386"/>
        <v>#N/A</v>
      </c>
      <c r="LI70" s="90" t="e">
        <f t="shared" si="1386"/>
        <v>#N/A</v>
      </c>
      <c r="LJ70" s="90" t="e">
        <f t="shared" si="1386"/>
        <v>#N/A</v>
      </c>
      <c r="LK70" s="90" t="e">
        <f t="shared" si="1386"/>
        <v>#N/A</v>
      </c>
      <c r="LL70" s="90" t="e">
        <f t="shared" si="1386"/>
        <v>#N/A</v>
      </c>
      <c r="LM70" s="90" t="e">
        <f t="shared" si="1386"/>
        <v>#N/A</v>
      </c>
      <c r="LN70" s="91" t="e">
        <f t="shared" si="1337"/>
        <v>#N/A</v>
      </c>
      <c r="LO70" s="90" t="e">
        <f t="shared" ref="LO70:LZ70" si="1387">SUM(LO68:LO69)</f>
        <v>#N/A</v>
      </c>
      <c r="LP70" s="90" t="e">
        <f t="shared" si="1387"/>
        <v>#N/A</v>
      </c>
      <c r="LQ70" s="90" t="e">
        <f t="shared" si="1387"/>
        <v>#N/A</v>
      </c>
      <c r="LR70" s="90" t="e">
        <f t="shared" si="1387"/>
        <v>#N/A</v>
      </c>
      <c r="LS70" s="90" t="e">
        <f t="shared" si="1387"/>
        <v>#N/A</v>
      </c>
      <c r="LT70" s="90" t="e">
        <f t="shared" si="1387"/>
        <v>#N/A</v>
      </c>
      <c r="LU70" s="90" t="e">
        <f t="shared" si="1387"/>
        <v>#N/A</v>
      </c>
      <c r="LV70" s="90" t="e">
        <f t="shared" si="1387"/>
        <v>#N/A</v>
      </c>
      <c r="LW70" s="90" t="e">
        <f t="shared" si="1387"/>
        <v>#N/A</v>
      </c>
      <c r="LX70" s="90" t="e">
        <f t="shared" si="1387"/>
        <v>#N/A</v>
      </c>
      <c r="LY70" s="90" t="e">
        <f t="shared" si="1387"/>
        <v>#N/A</v>
      </c>
      <c r="LZ70" s="90" t="e">
        <f t="shared" si="1387"/>
        <v>#N/A</v>
      </c>
      <c r="MA70" s="91" t="e">
        <f t="shared" si="1339"/>
        <v>#N/A</v>
      </c>
      <c r="MB70" s="90" t="e">
        <f t="shared" ref="MB70:MM70" si="1388">SUM(MB68:MB69)</f>
        <v>#N/A</v>
      </c>
      <c r="MC70" s="90" t="e">
        <f t="shared" si="1388"/>
        <v>#N/A</v>
      </c>
      <c r="MD70" s="90" t="e">
        <f t="shared" si="1388"/>
        <v>#N/A</v>
      </c>
      <c r="ME70" s="90" t="e">
        <f t="shared" si="1388"/>
        <v>#N/A</v>
      </c>
      <c r="MF70" s="90" t="e">
        <f t="shared" si="1388"/>
        <v>#N/A</v>
      </c>
      <c r="MG70" s="90" t="e">
        <f t="shared" si="1388"/>
        <v>#N/A</v>
      </c>
      <c r="MH70" s="90" t="e">
        <f t="shared" si="1388"/>
        <v>#N/A</v>
      </c>
      <c r="MI70" s="90" t="e">
        <f t="shared" si="1388"/>
        <v>#N/A</v>
      </c>
      <c r="MJ70" s="90" t="e">
        <f t="shared" si="1388"/>
        <v>#N/A</v>
      </c>
      <c r="MK70" s="90" t="e">
        <f t="shared" si="1388"/>
        <v>#N/A</v>
      </c>
      <c r="ML70" s="90" t="e">
        <f t="shared" si="1388"/>
        <v>#N/A</v>
      </c>
      <c r="MM70" s="90" t="e">
        <f t="shared" si="1388"/>
        <v>#N/A</v>
      </c>
      <c r="MN70" s="91" t="e">
        <f t="shared" si="1341"/>
        <v>#N/A</v>
      </c>
      <c r="MO70" s="90" t="e">
        <f t="shared" ref="MO70:MZ70" si="1389">SUM(MO68:MO69)</f>
        <v>#N/A</v>
      </c>
      <c r="MP70" s="90" t="e">
        <f t="shared" si="1389"/>
        <v>#N/A</v>
      </c>
      <c r="MQ70" s="90" t="e">
        <f t="shared" si="1389"/>
        <v>#N/A</v>
      </c>
      <c r="MR70" s="90" t="e">
        <f t="shared" si="1389"/>
        <v>#N/A</v>
      </c>
      <c r="MS70" s="90" t="e">
        <f t="shared" si="1389"/>
        <v>#N/A</v>
      </c>
      <c r="MT70" s="90" t="e">
        <f t="shared" si="1389"/>
        <v>#N/A</v>
      </c>
      <c r="MU70" s="90" t="e">
        <f t="shared" si="1389"/>
        <v>#N/A</v>
      </c>
      <c r="MV70" s="90" t="e">
        <f t="shared" si="1389"/>
        <v>#N/A</v>
      </c>
      <c r="MW70" s="90" t="e">
        <f t="shared" si="1389"/>
        <v>#N/A</v>
      </c>
      <c r="MX70" s="90" t="e">
        <f t="shared" si="1389"/>
        <v>#N/A</v>
      </c>
      <c r="MY70" s="90" t="e">
        <f t="shared" si="1389"/>
        <v>#N/A</v>
      </c>
      <c r="MZ70" s="90" t="e">
        <f t="shared" si="1389"/>
        <v>#N/A</v>
      </c>
      <c r="NA70" s="91" t="e">
        <f t="shared" si="1343"/>
        <v>#N/A</v>
      </c>
      <c r="NB70" s="90" t="e">
        <f t="shared" ref="NB70:NM70" si="1390">SUM(NB68:NB69)</f>
        <v>#N/A</v>
      </c>
      <c r="NC70" s="90" t="e">
        <f t="shared" si="1390"/>
        <v>#N/A</v>
      </c>
      <c r="ND70" s="90" t="e">
        <f t="shared" si="1390"/>
        <v>#N/A</v>
      </c>
      <c r="NE70" s="90" t="e">
        <f t="shared" si="1390"/>
        <v>#N/A</v>
      </c>
      <c r="NF70" s="90" t="e">
        <f t="shared" si="1390"/>
        <v>#N/A</v>
      </c>
      <c r="NG70" s="90" t="e">
        <f t="shared" si="1390"/>
        <v>#N/A</v>
      </c>
      <c r="NH70" s="90" t="e">
        <f t="shared" si="1390"/>
        <v>#N/A</v>
      </c>
      <c r="NI70" s="90" t="e">
        <f t="shared" si="1390"/>
        <v>#N/A</v>
      </c>
      <c r="NJ70" s="90" t="e">
        <f t="shared" si="1390"/>
        <v>#N/A</v>
      </c>
      <c r="NK70" s="90" t="e">
        <f t="shared" si="1390"/>
        <v>#N/A</v>
      </c>
      <c r="NL70" s="90" t="e">
        <f t="shared" si="1390"/>
        <v>#N/A</v>
      </c>
      <c r="NM70" s="90" t="e">
        <f t="shared" si="1390"/>
        <v>#N/A</v>
      </c>
      <c r="NN70" s="91" t="e">
        <f t="shared" si="1345"/>
        <v>#N/A</v>
      </c>
      <c r="NO70" s="90" t="e">
        <f t="shared" ref="NO70:NZ70" si="1391">SUM(NO68:NO69)</f>
        <v>#N/A</v>
      </c>
      <c r="NP70" s="90" t="e">
        <f t="shared" si="1391"/>
        <v>#N/A</v>
      </c>
      <c r="NQ70" s="90" t="e">
        <f t="shared" si="1391"/>
        <v>#N/A</v>
      </c>
      <c r="NR70" s="90" t="e">
        <f t="shared" si="1391"/>
        <v>#N/A</v>
      </c>
      <c r="NS70" s="90" t="e">
        <f t="shared" si="1391"/>
        <v>#N/A</v>
      </c>
      <c r="NT70" s="90" t="e">
        <f t="shared" si="1391"/>
        <v>#N/A</v>
      </c>
      <c r="NU70" s="90" t="e">
        <f t="shared" si="1391"/>
        <v>#N/A</v>
      </c>
      <c r="NV70" s="90" t="e">
        <f t="shared" si="1391"/>
        <v>#N/A</v>
      </c>
      <c r="NW70" s="90" t="e">
        <f t="shared" si="1391"/>
        <v>#N/A</v>
      </c>
      <c r="NX70" s="90" t="e">
        <f t="shared" si="1391"/>
        <v>#N/A</v>
      </c>
      <c r="NY70" s="90" t="e">
        <f t="shared" si="1391"/>
        <v>#N/A</v>
      </c>
      <c r="NZ70" s="90" t="e">
        <f t="shared" si="1391"/>
        <v>#N/A</v>
      </c>
      <c r="OA70" s="91" t="e">
        <f t="shared" si="1347"/>
        <v>#N/A</v>
      </c>
      <c r="OB70" s="90" t="e">
        <f t="shared" ref="OB70:OM70" si="1392">SUM(OB68:OB69)</f>
        <v>#N/A</v>
      </c>
      <c r="OC70" s="90" t="e">
        <f t="shared" si="1392"/>
        <v>#N/A</v>
      </c>
      <c r="OD70" s="90" t="e">
        <f t="shared" si="1392"/>
        <v>#N/A</v>
      </c>
      <c r="OE70" s="90" t="e">
        <f t="shared" si="1392"/>
        <v>#N/A</v>
      </c>
      <c r="OF70" s="90" t="e">
        <f t="shared" si="1392"/>
        <v>#N/A</v>
      </c>
      <c r="OG70" s="90" t="e">
        <f t="shared" si="1392"/>
        <v>#N/A</v>
      </c>
      <c r="OH70" s="90" t="e">
        <f t="shared" si="1392"/>
        <v>#N/A</v>
      </c>
      <c r="OI70" s="90" t="e">
        <f t="shared" si="1392"/>
        <v>#N/A</v>
      </c>
      <c r="OJ70" s="90" t="e">
        <f t="shared" si="1392"/>
        <v>#N/A</v>
      </c>
      <c r="OK70" s="90" t="e">
        <f t="shared" si="1392"/>
        <v>#N/A</v>
      </c>
      <c r="OL70" s="90" t="e">
        <f t="shared" si="1392"/>
        <v>#N/A</v>
      </c>
      <c r="OM70" s="90" t="e">
        <f t="shared" si="1392"/>
        <v>#N/A</v>
      </c>
      <c r="ON70" s="91" t="e">
        <f t="shared" si="1349"/>
        <v>#N/A</v>
      </c>
      <c r="OO70" s="90" t="e">
        <f t="shared" ref="OO70:OZ70" si="1393">SUM(OO68:OO69)</f>
        <v>#N/A</v>
      </c>
      <c r="OP70" s="90" t="e">
        <f t="shared" si="1393"/>
        <v>#N/A</v>
      </c>
      <c r="OQ70" s="90" t="e">
        <f t="shared" si="1393"/>
        <v>#N/A</v>
      </c>
      <c r="OR70" s="90" t="e">
        <f t="shared" si="1393"/>
        <v>#N/A</v>
      </c>
      <c r="OS70" s="90" t="e">
        <f t="shared" si="1393"/>
        <v>#N/A</v>
      </c>
      <c r="OT70" s="90" t="e">
        <f t="shared" si="1393"/>
        <v>#N/A</v>
      </c>
      <c r="OU70" s="90" t="e">
        <f t="shared" si="1393"/>
        <v>#N/A</v>
      </c>
      <c r="OV70" s="90" t="e">
        <f t="shared" si="1393"/>
        <v>#N/A</v>
      </c>
      <c r="OW70" s="90" t="e">
        <f t="shared" si="1393"/>
        <v>#N/A</v>
      </c>
      <c r="OX70" s="90" t="e">
        <f t="shared" si="1393"/>
        <v>#N/A</v>
      </c>
      <c r="OY70" s="90" t="e">
        <f t="shared" si="1393"/>
        <v>#N/A</v>
      </c>
      <c r="OZ70" s="90" t="e">
        <f t="shared" si="1393"/>
        <v>#N/A</v>
      </c>
      <c r="PA70" s="91" t="e">
        <f t="shared" si="1351"/>
        <v>#N/A</v>
      </c>
      <c r="PB70" s="90" t="e">
        <f t="shared" ref="PB70:PM70" si="1394">SUM(PB68:PB69)</f>
        <v>#N/A</v>
      </c>
      <c r="PC70" s="90" t="e">
        <f t="shared" si="1394"/>
        <v>#N/A</v>
      </c>
      <c r="PD70" s="90" t="e">
        <f t="shared" si="1394"/>
        <v>#N/A</v>
      </c>
      <c r="PE70" s="90" t="e">
        <f t="shared" si="1394"/>
        <v>#N/A</v>
      </c>
      <c r="PF70" s="90" t="e">
        <f t="shared" si="1394"/>
        <v>#N/A</v>
      </c>
      <c r="PG70" s="90" t="e">
        <f t="shared" si="1394"/>
        <v>#N/A</v>
      </c>
      <c r="PH70" s="90" t="e">
        <f t="shared" si="1394"/>
        <v>#N/A</v>
      </c>
      <c r="PI70" s="90" t="e">
        <f t="shared" si="1394"/>
        <v>#N/A</v>
      </c>
      <c r="PJ70" s="90" t="e">
        <f t="shared" si="1394"/>
        <v>#N/A</v>
      </c>
      <c r="PK70" s="90" t="e">
        <f t="shared" si="1394"/>
        <v>#N/A</v>
      </c>
      <c r="PL70" s="90" t="e">
        <f t="shared" si="1394"/>
        <v>#N/A</v>
      </c>
      <c r="PM70" s="90" t="e">
        <f t="shared" si="1394"/>
        <v>#N/A</v>
      </c>
      <c r="PN70" s="91" t="e">
        <f t="shared" si="1353"/>
        <v>#N/A</v>
      </c>
      <c r="PO70" s="90" t="e">
        <f t="shared" ref="PO70:PZ70" si="1395">SUM(PO68:PO69)</f>
        <v>#N/A</v>
      </c>
      <c r="PP70" s="90" t="e">
        <f t="shared" si="1395"/>
        <v>#N/A</v>
      </c>
      <c r="PQ70" s="90" t="e">
        <f t="shared" si="1395"/>
        <v>#N/A</v>
      </c>
      <c r="PR70" s="90" t="e">
        <f t="shared" si="1395"/>
        <v>#N/A</v>
      </c>
      <c r="PS70" s="90" t="e">
        <f t="shared" si="1395"/>
        <v>#N/A</v>
      </c>
      <c r="PT70" s="90" t="e">
        <f t="shared" si="1395"/>
        <v>#N/A</v>
      </c>
      <c r="PU70" s="90" t="e">
        <f t="shared" si="1395"/>
        <v>#N/A</v>
      </c>
      <c r="PV70" s="90" t="e">
        <f t="shared" si="1395"/>
        <v>#N/A</v>
      </c>
      <c r="PW70" s="90" t="e">
        <f t="shared" si="1395"/>
        <v>#N/A</v>
      </c>
      <c r="PX70" s="90" t="e">
        <f t="shared" si="1395"/>
        <v>#N/A</v>
      </c>
      <c r="PY70" s="90" t="e">
        <f t="shared" si="1395"/>
        <v>#N/A</v>
      </c>
      <c r="PZ70" s="90" t="e">
        <f t="shared" si="1395"/>
        <v>#N/A</v>
      </c>
      <c r="QA70" s="91" t="e">
        <f t="shared" si="1355"/>
        <v>#N/A</v>
      </c>
      <c r="QB70" s="90" t="e">
        <f t="shared" ref="QB70:QM70" si="1396">SUM(QB68:QB69)</f>
        <v>#N/A</v>
      </c>
      <c r="QC70" s="90" t="e">
        <f t="shared" si="1396"/>
        <v>#N/A</v>
      </c>
      <c r="QD70" s="90" t="e">
        <f t="shared" si="1396"/>
        <v>#N/A</v>
      </c>
      <c r="QE70" s="90" t="e">
        <f t="shared" si="1396"/>
        <v>#N/A</v>
      </c>
      <c r="QF70" s="90" t="e">
        <f t="shared" si="1396"/>
        <v>#N/A</v>
      </c>
      <c r="QG70" s="90" t="e">
        <f t="shared" si="1396"/>
        <v>#N/A</v>
      </c>
      <c r="QH70" s="90" t="e">
        <f t="shared" si="1396"/>
        <v>#N/A</v>
      </c>
      <c r="QI70" s="90" t="e">
        <f t="shared" si="1396"/>
        <v>#N/A</v>
      </c>
      <c r="QJ70" s="90" t="e">
        <f t="shared" si="1396"/>
        <v>#N/A</v>
      </c>
      <c r="QK70" s="90" t="e">
        <f t="shared" si="1396"/>
        <v>#N/A</v>
      </c>
      <c r="QL70" s="90" t="e">
        <f t="shared" si="1396"/>
        <v>#N/A</v>
      </c>
      <c r="QM70" s="90" t="e">
        <f t="shared" si="1396"/>
        <v>#N/A</v>
      </c>
      <c r="QN70" s="91" t="e">
        <f t="shared" si="1357"/>
        <v>#N/A</v>
      </c>
      <c r="QO70" s="90" t="e">
        <f t="shared" ref="QO70:QZ70" si="1397">SUM(QO68:QO69)</f>
        <v>#N/A</v>
      </c>
      <c r="QP70" s="90" t="e">
        <f t="shared" si="1397"/>
        <v>#N/A</v>
      </c>
      <c r="QQ70" s="90" t="e">
        <f t="shared" si="1397"/>
        <v>#N/A</v>
      </c>
      <c r="QR70" s="90" t="e">
        <f t="shared" si="1397"/>
        <v>#N/A</v>
      </c>
      <c r="QS70" s="90" t="e">
        <f t="shared" si="1397"/>
        <v>#N/A</v>
      </c>
      <c r="QT70" s="90" t="e">
        <f t="shared" si="1397"/>
        <v>#N/A</v>
      </c>
      <c r="QU70" s="90" t="e">
        <f t="shared" si="1397"/>
        <v>#N/A</v>
      </c>
      <c r="QV70" s="90" t="e">
        <f t="shared" si="1397"/>
        <v>#N/A</v>
      </c>
      <c r="QW70" s="90" t="e">
        <f t="shared" si="1397"/>
        <v>#N/A</v>
      </c>
      <c r="QX70" s="90" t="e">
        <f t="shared" si="1397"/>
        <v>#N/A</v>
      </c>
      <c r="QY70" s="90" t="e">
        <f t="shared" si="1397"/>
        <v>#N/A</v>
      </c>
      <c r="QZ70" s="90" t="e">
        <f t="shared" si="1397"/>
        <v>#N/A</v>
      </c>
      <c r="RA70" s="91" t="e">
        <f t="shared" si="1359"/>
        <v>#N/A</v>
      </c>
      <c r="RB70" s="90" t="e">
        <f t="shared" ref="RB70:RM70" si="1398">SUM(RB68:RB69)</f>
        <v>#N/A</v>
      </c>
      <c r="RC70" s="90" t="e">
        <f t="shared" si="1398"/>
        <v>#N/A</v>
      </c>
      <c r="RD70" s="90" t="e">
        <f t="shared" si="1398"/>
        <v>#N/A</v>
      </c>
      <c r="RE70" s="90" t="e">
        <f t="shared" si="1398"/>
        <v>#N/A</v>
      </c>
      <c r="RF70" s="90" t="e">
        <f t="shared" si="1398"/>
        <v>#N/A</v>
      </c>
      <c r="RG70" s="90" t="e">
        <f t="shared" si="1398"/>
        <v>#N/A</v>
      </c>
      <c r="RH70" s="90" t="e">
        <f t="shared" si="1398"/>
        <v>#N/A</v>
      </c>
      <c r="RI70" s="90" t="e">
        <f t="shared" si="1398"/>
        <v>#N/A</v>
      </c>
      <c r="RJ70" s="90" t="e">
        <f t="shared" si="1398"/>
        <v>#N/A</v>
      </c>
      <c r="RK70" s="90" t="e">
        <f t="shared" si="1398"/>
        <v>#N/A</v>
      </c>
      <c r="RL70" s="90" t="e">
        <f t="shared" si="1398"/>
        <v>#N/A</v>
      </c>
      <c r="RM70" s="90" t="e">
        <f t="shared" si="1398"/>
        <v>#N/A</v>
      </c>
      <c r="RN70" s="91" t="e">
        <f t="shared" si="1361"/>
        <v>#N/A</v>
      </c>
      <c r="RO70" s="81"/>
      <c r="RP70" s="81"/>
      <c r="RQ70" s="81"/>
      <c r="RR70" s="81"/>
      <c r="RS70" s="81"/>
      <c r="RT70" s="81"/>
      <c r="RU70" s="81"/>
      <c r="RV70" s="81"/>
      <c r="RW70" s="81"/>
      <c r="RX70" s="81"/>
      <c r="RY70" s="81"/>
      <c r="RZ70" s="81"/>
      <c r="SA70" s="81"/>
      <c r="SB70" s="81"/>
      <c r="SC70" s="81"/>
      <c r="SD70" s="81"/>
      <c r="SE70" s="81"/>
      <c r="SF70" s="81"/>
      <c r="SG70" s="81"/>
      <c r="SH70" s="81"/>
      <c r="SI70" s="81"/>
      <c r="SJ70" s="81"/>
      <c r="SK70" s="81"/>
      <c r="SL70" s="81"/>
      <c r="SM70" s="81"/>
      <c r="SN70" s="81"/>
      <c r="SO70" s="81"/>
      <c r="SP70" s="81"/>
      <c r="SQ70" s="81"/>
      <c r="SR70" s="81"/>
      <c r="SS70" s="81"/>
      <c r="ST70" s="81"/>
      <c r="SU70" s="81"/>
      <c r="SV70" s="81"/>
      <c r="SW70" s="81"/>
      <c r="SX70" s="81"/>
      <c r="SY70" s="81"/>
      <c r="SZ70" s="81"/>
      <c r="TA70" s="81"/>
      <c r="TB70" s="81"/>
      <c r="TC70" s="81"/>
      <c r="TD70" s="81"/>
      <c r="TE70" s="81"/>
      <c r="TF70" s="81"/>
      <c r="TG70" s="81"/>
      <c r="TH70" s="81"/>
      <c r="TI70" s="81"/>
      <c r="TJ70" s="81"/>
      <c r="TK70" s="81"/>
      <c r="TL70" s="81"/>
      <c r="TM70" s="81"/>
      <c r="TN70" s="81"/>
      <c r="TO70" s="81"/>
      <c r="TP70" s="81"/>
      <c r="TQ70" s="81"/>
      <c r="TR70" s="81"/>
      <c r="TS70" s="81"/>
      <c r="TT70" s="81"/>
      <c r="TU70" s="81"/>
      <c r="TV70" s="81"/>
      <c r="TW70" s="81"/>
      <c r="TX70" s="81"/>
      <c r="TY70" s="81"/>
      <c r="TZ70" s="81"/>
      <c r="UA70" s="81"/>
      <c r="UB70" s="81"/>
      <c r="UC70" s="81"/>
      <c r="UD70" s="81"/>
      <c r="UE70" s="81"/>
      <c r="UF70" s="81"/>
      <c r="UG70" s="81"/>
      <c r="UH70" s="81"/>
      <c r="UI70" s="81"/>
      <c r="UJ70" s="81"/>
      <c r="UK70" s="81"/>
      <c r="UL70" s="81"/>
      <c r="UM70" s="81"/>
      <c r="UN70" s="81"/>
    </row>
    <row r="71" spans="1:560" outlineLevel="1" x14ac:dyDescent="0.3"/>
    <row r="72" spans="1:560" outlineLevel="1" x14ac:dyDescent="0.3">
      <c r="A72" s="89" t="s">
        <v>279</v>
      </c>
      <c r="B72" s="86" t="e">
        <f>-VLOOKUP(B$1,Amort!$B:$F,5,0)-((IF(B$58/Inputs!$B$11&gt;(1-Inputs!$B$20),Inputs!$B$35,0)+Inputs!$B$38+Inputs!$B$39)*(1+Inputs!$B$23)^(YEAR(Financials!B$1)-YEAR(Financials!$B$1)))/12</f>
        <v>#N/A</v>
      </c>
      <c r="C72" s="86" t="e">
        <f>-VLOOKUP(C$1,Amort!$B:$F,5,0)-((IF(C$58/Inputs!$B$11&gt;(1-Inputs!$B$20),Inputs!$B$35,0)+Inputs!$B$38+Inputs!$B$39)*(1+Inputs!$B$23)^(YEAR(Financials!C$1)-YEAR(Financials!$B$1)))/12</f>
        <v>#N/A</v>
      </c>
      <c r="D72" s="86" t="e">
        <f>-VLOOKUP(D$1,Amort!$B:$F,5,0)-((IF(D$58/Inputs!$B$11&gt;(1-Inputs!$B$20),Inputs!$B$35,0)+Inputs!$B$38+Inputs!$B$39)*(1+Inputs!$B$23)^(YEAR(Financials!D$1)-YEAR(Financials!$B$1)))/12</f>
        <v>#N/A</v>
      </c>
      <c r="E72" s="86" t="e">
        <f>-VLOOKUP(E$1,Amort!$B:$F,5,0)-((IF(E$58/Inputs!$B$11&gt;(1-Inputs!$B$20),Inputs!$B$35,0)+Inputs!$B$38+Inputs!$B$39)*(1+Inputs!$B$23)^(YEAR(Financials!E$1)-YEAR(Financials!$B$1)))/12</f>
        <v>#N/A</v>
      </c>
      <c r="F72" s="86" t="e">
        <f>-VLOOKUP(F$1,Amort!$B:$F,5,0)-((IF(F$58/Inputs!$B$11&gt;(1-Inputs!$B$20),Inputs!$B$35,0)+Inputs!$B$38+Inputs!$B$39)*(1+Inputs!$B$23)^(YEAR(Financials!F$1)-YEAR(Financials!$B$1)))/12</f>
        <v>#N/A</v>
      </c>
      <c r="G72" s="86" t="e">
        <f>-VLOOKUP(G$1,Amort!$B:$F,5,0)-((IF(G$58/Inputs!$B$11&gt;(1-Inputs!$B$20),Inputs!$B$35,0)+Inputs!$B$38+Inputs!$B$39)*(1+Inputs!$B$23)^(YEAR(Financials!G$1)-YEAR(Financials!$B$1)))/12</f>
        <v>#N/A</v>
      </c>
      <c r="H72" s="86" t="e">
        <f>-VLOOKUP(H$1,Amort!$B:$F,5,0)-((IF(H$58/Inputs!$B$11&gt;(1-Inputs!$B$20),Inputs!$B$35,0)+Inputs!$B$38+Inputs!$B$39)*(1+Inputs!$B$23)^(YEAR(Financials!H$1)-YEAR(Financials!$B$1)))/12</f>
        <v>#N/A</v>
      </c>
      <c r="I72" s="86" t="e">
        <f>-VLOOKUP(I$1,Amort!$B:$F,5,0)-((IF(I$58/Inputs!$B$11&gt;(1-Inputs!$B$20),Inputs!$B$35,0)+Inputs!$B$38+Inputs!$B$39)*(1+Inputs!$B$23)^(YEAR(Financials!I$1)-YEAR(Financials!$B$1)))/12</f>
        <v>#N/A</v>
      </c>
      <c r="J72" s="86" t="e">
        <f>-VLOOKUP(J$1,Amort!$B:$F,5,0)-((IF(J$58/Inputs!$B$11&gt;(1-Inputs!$B$20),Inputs!$B$35,0)+Inputs!$B$38+Inputs!$B$39)*(1+Inputs!$B$23)^(YEAR(Financials!J$1)-YEAR(Financials!$B$1)))/12</f>
        <v>#N/A</v>
      </c>
      <c r="K72" s="86" t="e">
        <f>-VLOOKUP(K$1,Amort!$B:$F,5,0)-((IF(K$58/Inputs!$B$11&gt;(1-Inputs!$B$20),Inputs!$B$35,0)+Inputs!$B$38+Inputs!$B$39)*(1+Inputs!$B$23)^(YEAR(Financials!K$1)-YEAR(Financials!$B$1)))/12</f>
        <v>#N/A</v>
      </c>
      <c r="L72" s="86" t="e">
        <f>-VLOOKUP(L$1,Amort!$B:$F,5,0)-((IF(L$58/Inputs!$B$11&gt;(1-Inputs!$B$20),Inputs!$B$35,0)+Inputs!$B$38+Inputs!$B$39)*(1+Inputs!$B$23)^(YEAR(Financials!L$1)-YEAR(Financials!$B$1)))/12</f>
        <v>#N/A</v>
      </c>
      <c r="M72" s="86" t="e">
        <f>-VLOOKUP(M$1,Amort!$B:$F,5,0)-((IF(M$58/Inputs!$B$11&gt;(1-Inputs!$B$20),Inputs!$B$35,0)+Inputs!$B$38+Inputs!$B$39)*(1+Inputs!$B$23)^(YEAR(Financials!M$1)-YEAR(Financials!$B$1)))/12</f>
        <v>#N/A</v>
      </c>
      <c r="N72" s="87" t="e">
        <f t="shared" si="1289"/>
        <v>#N/A</v>
      </c>
      <c r="O72" s="86" t="e">
        <f>-VLOOKUP(O$1,Amort!$B:$F,5,0)-((IF(O$58/Inputs!$B$11&gt;(1-Inputs!$B$20),Inputs!$B$35,0)+Inputs!$B$38+Inputs!$B$39)*(1+Inputs!$B$23)^(YEAR(Financials!O$1)-YEAR(Financials!$B$1)))/12</f>
        <v>#N/A</v>
      </c>
      <c r="P72" s="86" t="e">
        <f>-VLOOKUP(P$1,Amort!$B:$F,5,0)-((IF(P$58/Inputs!$B$11&gt;(1-Inputs!$B$20),Inputs!$B$35,0)+Inputs!$B$38+Inputs!$B$39)*(1+Inputs!$B$23)^(YEAR(Financials!P$1)-YEAR(Financials!$B$1)))/12</f>
        <v>#N/A</v>
      </c>
      <c r="Q72" s="86" t="e">
        <f>-VLOOKUP(Q$1,Amort!$B:$F,5,0)-((IF(Q$58/Inputs!$B$11&gt;(1-Inputs!$B$20),Inputs!$B$35,0)+Inputs!$B$38+Inputs!$B$39)*(1+Inputs!$B$23)^(YEAR(Financials!Q$1)-YEAR(Financials!$B$1)))/12</f>
        <v>#N/A</v>
      </c>
      <c r="R72" s="86" t="e">
        <f>-VLOOKUP(R$1,Amort!$B:$F,5,0)-((IF(R$58/Inputs!$B$11&gt;(1-Inputs!$B$20),Inputs!$B$35,0)+Inputs!$B$38+Inputs!$B$39)*(1+Inputs!$B$23)^(YEAR(Financials!R$1)-YEAR(Financials!$B$1)))/12</f>
        <v>#N/A</v>
      </c>
      <c r="S72" s="86" t="e">
        <f>-VLOOKUP(S$1,Amort!$B:$F,5,0)-((IF(S$58/Inputs!$B$11&gt;(1-Inputs!$B$20),Inputs!$B$35,0)+Inputs!$B$38+Inputs!$B$39)*(1+Inputs!$B$23)^(YEAR(Financials!S$1)-YEAR(Financials!$B$1)))/12</f>
        <v>#N/A</v>
      </c>
      <c r="T72" s="86" t="e">
        <f>-VLOOKUP(T$1,Amort!$B:$F,5,0)-((IF(T$58/Inputs!$B$11&gt;(1-Inputs!$B$20),Inputs!$B$35,0)+Inputs!$B$38+Inputs!$B$39)*(1+Inputs!$B$23)^(YEAR(Financials!T$1)-YEAR(Financials!$B$1)))/12</f>
        <v>#N/A</v>
      </c>
      <c r="U72" s="86" t="e">
        <f>-VLOOKUP(U$1,Amort!$B:$F,5,0)-((IF(U$58/Inputs!$B$11&gt;(1-Inputs!$B$20),Inputs!$B$35,0)+Inputs!$B$38+Inputs!$B$39)*(1+Inputs!$B$23)^(YEAR(Financials!U$1)-YEAR(Financials!$B$1)))/12</f>
        <v>#N/A</v>
      </c>
      <c r="V72" s="86" t="e">
        <f>-VLOOKUP(V$1,Amort!$B:$F,5,0)-((IF(V$58/Inputs!$B$11&gt;(1-Inputs!$B$20),Inputs!$B$35,0)+Inputs!$B$38+Inputs!$B$39)*(1+Inputs!$B$23)^(YEAR(Financials!V$1)-YEAR(Financials!$B$1)))/12</f>
        <v>#N/A</v>
      </c>
      <c r="W72" s="86" t="e">
        <f>-VLOOKUP(W$1,Amort!$B:$F,5,0)-((IF(W$58/Inputs!$B$11&gt;(1-Inputs!$B$20),Inputs!$B$35,0)+Inputs!$B$38+Inputs!$B$39)*(1+Inputs!$B$23)^(YEAR(Financials!W$1)-YEAR(Financials!$B$1)))/12</f>
        <v>#N/A</v>
      </c>
      <c r="X72" s="86" t="e">
        <f>-VLOOKUP(X$1,Amort!$B:$F,5,0)-((IF(X$58/Inputs!$B$11&gt;(1-Inputs!$B$20),Inputs!$B$35,0)+Inputs!$B$38+Inputs!$B$39)*(1+Inputs!$B$23)^(YEAR(Financials!X$1)-YEAR(Financials!$B$1)))/12</f>
        <v>#N/A</v>
      </c>
      <c r="Y72" s="86" t="e">
        <f>-VLOOKUP(Y$1,Amort!$B:$F,5,0)-((IF(Y$58/Inputs!$B$11&gt;(1-Inputs!$B$20),Inputs!$B$35,0)+Inputs!$B$38+Inputs!$B$39)*(1+Inputs!$B$23)^(YEAR(Financials!Y$1)-YEAR(Financials!$B$1)))/12</f>
        <v>#N/A</v>
      </c>
      <c r="Z72" s="86" t="e">
        <f>-VLOOKUP(Z$1,Amort!$B:$F,5,0)-((IF(Z$58/Inputs!$B$11&gt;(1-Inputs!$B$20),Inputs!$B$35,0)+Inputs!$B$38+Inputs!$B$39)*(1+Inputs!$B$23)^(YEAR(Financials!Z$1)-YEAR(Financials!$B$1)))/12</f>
        <v>#N/A</v>
      </c>
      <c r="AA72" s="87" t="e">
        <f t="shared" ref="AA72:AA78" si="1399">SUM(O72:Z72)</f>
        <v>#N/A</v>
      </c>
      <c r="AB72" s="86" t="e">
        <f>-VLOOKUP(AB$1,Amort!$B:$F,5,0)-((IF(AB$58/Inputs!$B$11&gt;(1-Inputs!$B$20),Inputs!$B$35,0)+Inputs!$B$38+Inputs!$B$39)*(1+Inputs!$B$23)^(YEAR(Financials!AB$1)-YEAR(Financials!$B$1)))/12</f>
        <v>#N/A</v>
      </c>
      <c r="AC72" s="86" t="e">
        <f>-VLOOKUP(AC$1,Amort!$B:$F,5,0)-((IF(AC$58/Inputs!$B$11&gt;(1-Inputs!$B$20),Inputs!$B$35,0)+Inputs!$B$38+Inputs!$B$39)*(1+Inputs!$B$23)^(YEAR(Financials!AC$1)-YEAR(Financials!$B$1)))/12</f>
        <v>#N/A</v>
      </c>
      <c r="AD72" s="86" t="e">
        <f>-VLOOKUP(AD$1,Amort!$B:$F,5,0)-((IF(AD$58/Inputs!$B$11&gt;(1-Inputs!$B$20),Inputs!$B$35,0)+Inputs!$B$38+Inputs!$B$39)*(1+Inputs!$B$23)^(YEAR(Financials!AD$1)-YEAR(Financials!$B$1)))/12</f>
        <v>#N/A</v>
      </c>
      <c r="AE72" s="86" t="e">
        <f>-VLOOKUP(AE$1,Amort!$B:$F,5,0)-((IF(AE$58/Inputs!$B$11&gt;(1-Inputs!$B$20),Inputs!$B$35,0)+Inputs!$B$38+Inputs!$B$39)*(1+Inputs!$B$23)^(YEAR(Financials!AE$1)-YEAR(Financials!$B$1)))/12</f>
        <v>#N/A</v>
      </c>
      <c r="AF72" s="86" t="e">
        <f>-VLOOKUP(AF$1,Amort!$B:$F,5,0)-((IF(AF$58/Inputs!$B$11&gt;(1-Inputs!$B$20),Inputs!$B$35,0)+Inputs!$B$38+Inputs!$B$39)*(1+Inputs!$B$23)^(YEAR(Financials!AF$1)-YEAR(Financials!$B$1)))/12</f>
        <v>#N/A</v>
      </c>
      <c r="AG72" s="86" t="e">
        <f>-VLOOKUP(AG$1,Amort!$B:$F,5,0)-((IF(AG$58/Inputs!$B$11&gt;(1-Inputs!$B$20),Inputs!$B$35,0)+Inputs!$B$38+Inputs!$B$39)*(1+Inputs!$B$23)^(YEAR(Financials!AG$1)-YEAR(Financials!$B$1)))/12</f>
        <v>#N/A</v>
      </c>
      <c r="AH72" s="86" t="e">
        <f>-VLOOKUP(AH$1,Amort!$B:$F,5,0)-((IF(AH$58/Inputs!$B$11&gt;(1-Inputs!$B$20),Inputs!$B$35,0)+Inputs!$B$38+Inputs!$B$39)*(1+Inputs!$B$23)^(YEAR(Financials!AH$1)-YEAR(Financials!$B$1)))/12</f>
        <v>#N/A</v>
      </c>
      <c r="AI72" s="86" t="e">
        <f>-VLOOKUP(AI$1,Amort!$B:$F,5,0)-((IF(AI$58/Inputs!$B$11&gt;(1-Inputs!$B$20),Inputs!$B$35,0)+Inputs!$B$38+Inputs!$B$39)*(1+Inputs!$B$23)^(YEAR(Financials!AI$1)-YEAR(Financials!$B$1)))/12</f>
        <v>#N/A</v>
      </c>
      <c r="AJ72" s="86" t="e">
        <f>-VLOOKUP(AJ$1,Amort!$B:$F,5,0)-((IF(AJ$58/Inputs!$B$11&gt;(1-Inputs!$B$20),Inputs!$B$35,0)+Inputs!$B$38+Inputs!$B$39)*(1+Inputs!$B$23)^(YEAR(Financials!AJ$1)-YEAR(Financials!$B$1)))/12</f>
        <v>#N/A</v>
      </c>
      <c r="AK72" s="86" t="e">
        <f>-VLOOKUP(AK$1,Amort!$B:$F,5,0)-((IF(AK$58/Inputs!$B$11&gt;(1-Inputs!$B$20),Inputs!$B$35,0)+Inputs!$B$38+Inputs!$B$39)*(1+Inputs!$B$23)^(YEAR(Financials!AK$1)-YEAR(Financials!$B$1)))/12</f>
        <v>#N/A</v>
      </c>
      <c r="AL72" s="86" t="e">
        <f>-VLOOKUP(AL$1,Amort!$B:$F,5,0)-((IF(AL$58/Inputs!$B$11&gt;(1-Inputs!$B$20),Inputs!$B$35,0)+Inputs!$B$38+Inputs!$B$39)*(1+Inputs!$B$23)^(YEAR(Financials!AL$1)-YEAR(Financials!$B$1)))/12</f>
        <v>#N/A</v>
      </c>
      <c r="AM72" s="86" t="e">
        <f>-VLOOKUP(AM$1,Amort!$B:$F,5,0)-((IF(AM$58/Inputs!$B$11&gt;(1-Inputs!$B$20),Inputs!$B$35,0)+Inputs!$B$38+Inputs!$B$39)*(1+Inputs!$B$23)^(YEAR(Financials!AM$1)-YEAR(Financials!$B$1)))/12</f>
        <v>#N/A</v>
      </c>
      <c r="AN72" s="87" t="e">
        <f t="shared" ref="AN72:AN78" si="1400">SUM(AB72:AM72)</f>
        <v>#N/A</v>
      </c>
      <c r="AO72" s="86" t="e">
        <f>-VLOOKUP(AO$1,Amort!$B:$F,5,0)-((IF(AO$58/Inputs!$B$11&gt;(1-Inputs!$B$20),Inputs!$B$35,0)+Inputs!$B$38+Inputs!$B$39)*(1+Inputs!$B$23)^(YEAR(Financials!AO$1)-YEAR(Financials!$B$1)))/12</f>
        <v>#N/A</v>
      </c>
      <c r="AP72" s="86" t="e">
        <f>-VLOOKUP(AP$1,Amort!$B:$F,5,0)-((IF(AP$58/Inputs!$B$11&gt;(1-Inputs!$B$20),Inputs!$B$35,0)+Inputs!$B$38+Inputs!$B$39)*(1+Inputs!$B$23)^(YEAR(Financials!AP$1)-YEAR(Financials!$B$1)))/12</f>
        <v>#N/A</v>
      </c>
      <c r="AQ72" s="86" t="e">
        <f>-VLOOKUP(AQ$1,Amort!$B:$F,5,0)-((IF(AQ$58/Inputs!$B$11&gt;(1-Inputs!$B$20),Inputs!$B$35,0)+Inputs!$B$38+Inputs!$B$39)*(1+Inputs!$B$23)^(YEAR(Financials!AQ$1)-YEAR(Financials!$B$1)))/12</f>
        <v>#N/A</v>
      </c>
      <c r="AR72" s="86" t="e">
        <f>-VLOOKUP(AR$1,Amort!$B:$F,5,0)-((IF(AR$58/Inputs!$B$11&gt;(1-Inputs!$B$20),Inputs!$B$35,0)+Inputs!$B$38+Inputs!$B$39)*(1+Inputs!$B$23)^(YEAR(Financials!AR$1)-YEAR(Financials!$B$1)))/12</f>
        <v>#N/A</v>
      </c>
      <c r="AS72" s="86" t="e">
        <f>-VLOOKUP(AS$1,Amort!$B:$F,5,0)-((IF(AS$58/Inputs!$B$11&gt;(1-Inputs!$B$20),Inputs!$B$35,0)+Inputs!$B$38+Inputs!$B$39)*(1+Inputs!$B$23)^(YEAR(Financials!AS$1)-YEAR(Financials!$B$1)))/12</f>
        <v>#N/A</v>
      </c>
      <c r="AT72" s="86" t="e">
        <f>-VLOOKUP(AT$1,Amort!$B:$F,5,0)-((IF(AT$58/Inputs!$B$11&gt;(1-Inputs!$B$20),Inputs!$B$35,0)+Inputs!$B$38+Inputs!$B$39)*(1+Inputs!$B$23)^(YEAR(Financials!AT$1)-YEAR(Financials!$B$1)))/12</f>
        <v>#N/A</v>
      </c>
      <c r="AU72" s="86" t="e">
        <f>-VLOOKUP(AU$1,Amort!$B:$F,5,0)-((IF(AU$58/Inputs!$B$11&gt;(1-Inputs!$B$20),Inputs!$B$35,0)+Inputs!$B$38+Inputs!$B$39)*(1+Inputs!$B$23)^(YEAR(Financials!AU$1)-YEAR(Financials!$B$1)))/12</f>
        <v>#N/A</v>
      </c>
      <c r="AV72" s="86" t="e">
        <f>-VLOOKUP(AV$1,Amort!$B:$F,5,0)-((IF(AV$58/Inputs!$B$11&gt;(1-Inputs!$B$20),Inputs!$B$35,0)+Inputs!$B$38+Inputs!$B$39)*(1+Inputs!$B$23)^(YEAR(Financials!AV$1)-YEAR(Financials!$B$1)))/12</f>
        <v>#N/A</v>
      </c>
      <c r="AW72" s="86" t="e">
        <f>-VLOOKUP(AW$1,Amort!$B:$F,5,0)-((IF(AW$58/Inputs!$B$11&gt;(1-Inputs!$B$20),Inputs!$B$35,0)+Inputs!$B$38+Inputs!$B$39)*(1+Inputs!$B$23)^(YEAR(Financials!AW$1)-YEAR(Financials!$B$1)))/12</f>
        <v>#N/A</v>
      </c>
      <c r="AX72" s="86" t="e">
        <f>-VLOOKUP(AX$1,Amort!$B:$F,5,0)-((IF(AX$58/Inputs!$B$11&gt;(1-Inputs!$B$20),Inputs!$B$35,0)+Inputs!$B$38+Inputs!$B$39)*(1+Inputs!$B$23)^(YEAR(Financials!AX$1)-YEAR(Financials!$B$1)))/12</f>
        <v>#N/A</v>
      </c>
      <c r="AY72" s="86" t="e">
        <f>-VLOOKUP(AY$1,Amort!$B:$F,5,0)-((IF(AY$58/Inputs!$B$11&gt;(1-Inputs!$B$20),Inputs!$B$35,0)+Inputs!$B$38+Inputs!$B$39)*(1+Inputs!$B$23)^(YEAR(Financials!AY$1)-YEAR(Financials!$B$1)))/12</f>
        <v>#N/A</v>
      </c>
      <c r="AZ72" s="86" t="e">
        <f>-VLOOKUP(AZ$1,Amort!$B:$F,5,0)-((IF(AZ$58/Inputs!$B$11&gt;(1-Inputs!$B$20),Inputs!$B$35,0)+Inputs!$B$38+Inputs!$B$39)*(1+Inputs!$B$23)^(YEAR(Financials!AZ$1)-YEAR(Financials!$B$1)))/12</f>
        <v>#N/A</v>
      </c>
      <c r="BA72" s="87" t="e">
        <f t="shared" ref="BA72:BA78" si="1401">SUM(AO72:AZ72)</f>
        <v>#N/A</v>
      </c>
      <c r="BB72" s="86" t="e">
        <f>-VLOOKUP(BB$1,Amort!$B:$F,5,0)-((IF(BB$58/Inputs!$B$11&gt;(1-Inputs!$B$20),Inputs!$B$35,0)+Inputs!$B$38+Inputs!$B$39)*(1+Inputs!$B$23)^(YEAR(Financials!BB$1)-YEAR(Financials!$B$1)))/12</f>
        <v>#N/A</v>
      </c>
      <c r="BC72" s="86" t="e">
        <f>-VLOOKUP(BC$1,Amort!$B:$F,5,0)-((IF(BC$58/Inputs!$B$11&gt;(1-Inputs!$B$20),Inputs!$B$35,0)+Inputs!$B$38+Inputs!$B$39)*(1+Inputs!$B$23)^(YEAR(Financials!BC$1)-YEAR(Financials!$B$1)))/12</f>
        <v>#N/A</v>
      </c>
      <c r="BD72" s="86" t="e">
        <f>-VLOOKUP(BD$1,Amort!$B:$F,5,0)-((IF(BD$58/Inputs!$B$11&gt;(1-Inputs!$B$20),Inputs!$B$35,0)+Inputs!$B$38+Inputs!$B$39)*(1+Inputs!$B$23)^(YEAR(Financials!BD$1)-YEAR(Financials!$B$1)))/12</f>
        <v>#N/A</v>
      </c>
      <c r="BE72" s="86" t="e">
        <f>-VLOOKUP(BE$1,Amort!$B:$F,5,0)-((IF(BE$58/Inputs!$B$11&gt;(1-Inputs!$B$20),Inputs!$B$35,0)+Inputs!$B$38+Inputs!$B$39)*(1+Inputs!$B$23)^(YEAR(Financials!BE$1)-YEAR(Financials!$B$1)))/12</f>
        <v>#N/A</v>
      </c>
      <c r="BF72" s="86" t="e">
        <f>-VLOOKUP(BF$1,Amort!$B:$F,5,0)-((IF(BF$58/Inputs!$B$11&gt;(1-Inputs!$B$20),Inputs!$B$35,0)+Inputs!$B$38+Inputs!$B$39)*(1+Inputs!$B$23)^(YEAR(Financials!BF$1)-YEAR(Financials!$B$1)))/12</f>
        <v>#N/A</v>
      </c>
      <c r="BG72" s="86" t="e">
        <f>-VLOOKUP(BG$1,Amort!$B:$F,5,0)-((IF(BG$58/Inputs!$B$11&gt;(1-Inputs!$B$20),Inputs!$B$35,0)+Inputs!$B$38+Inputs!$B$39)*(1+Inputs!$B$23)^(YEAR(Financials!BG$1)-YEAR(Financials!$B$1)))/12</f>
        <v>#N/A</v>
      </c>
      <c r="BH72" s="86" t="e">
        <f>-VLOOKUP(BH$1,Amort!$B:$F,5,0)-((IF(BH$58/Inputs!$B$11&gt;(1-Inputs!$B$20),Inputs!$B$35,0)+Inputs!$B$38+Inputs!$B$39)*(1+Inputs!$B$23)^(YEAR(Financials!BH$1)-YEAR(Financials!$B$1)))/12</f>
        <v>#N/A</v>
      </c>
      <c r="BI72" s="86" t="e">
        <f>-VLOOKUP(BI$1,Amort!$B:$F,5,0)-((IF(BI$58/Inputs!$B$11&gt;(1-Inputs!$B$20),Inputs!$B$35,0)+Inputs!$B$38+Inputs!$B$39)*(1+Inputs!$B$23)^(YEAR(Financials!BI$1)-YEAR(Financials!$B$1)))/12</f>
        <v>#N/A</v>
      </c>
      <c r="BJ72" s="86" t="e">
        <f>-VLOOKUP(BJ$1,Amort!$B:$F,5,0)-((IF(BJ$58/Inputs!$B$11&gt;(1-Inputs!$B$20),Inputs!$B$35,0)+Inputs!$B$38+Inputs!$B$39)*(1+Inputs!$B$23)^(YEAR(Financials!BJ$1)-YEAR(Financials!$B$1)))/12</f>
        <v>#N/A</v>
      </c>
      <c r="BK72" s="86" t="e">
        <f>-VLOOKUP(BK$1,Amort!$B:$F,5,0)-((IF(BK$58/Inputs!$B$11&gt;(1-Inputs!$B$20),Inputs!$B$35,0)+Inputs!$B$38+Inputs!$B$39)*(1+Inputs!$B$23)^(YEAR(Financials!BK$1)-YEAR(Financials!$B$1)))/12</f>
        <v>#N/A</v>
      </c>
      <c r="BL72" s="86" t="e">
        <f>-VLOOKUP(BL$1,Amort!$B:$F,5,0)-((IF(BL$58/Inputs!$B$11&gt;(1-Inputs!$B$20),Inputs!$B$35,0)+Inputs!$B$38+Inputs!$B$39)*(1+Inputs!$B$23)^(YEAR(Financials!BL$1)-YEAR(Financials!$B$1)))/12</f>
        <v>#N/A</v>
      </c>
      <c r="BM72" s="86" t="e">
        <f>-VLOOKUP(BM$1,Amort!$B:$F,5,0)-((IF(BM$58/Inputs!$B$11&gt;(1-Inputs!$B$20),Inputs!$B$35,0)+Inputs!$B$38+Inputs!$B$39)*(1+Inputs!$B$23)^(YEAR(Financials!BM$1)-YEAR(Financials!$B$1)))/12</f>
        <v>#N/A</v>
      </c>
      <c r="BN72" s="87" t="e">
        <f t="shared" ref="BN72:BN78" si="1402">SUM(BB72:BM72)</f>
        <v>#N/A</v>
      </c>
      <c r="BO72" s="86" t="e">
        <f>-VLOOKUP(BO$1,Amort!$B:$F,5,0)-((IF(BO$58/Inputs!$B$11&gt;(1-Inputs!$B$20),Inputs!$B$35,0)+Inputs!$B$38+Inputs!$B$39)*(1+Inputs!$B$23)^(YEAR(Financials!BO$1)-YEAR(Financials!$B$1)))/12</f>
        <v>#N/A</v>
      </c>
      <c r="BP72" s="86" t="e">
        <f>-VLOOKUP(BP$1,Amort!$B:$F,5,0)-((IF(BP$58/Inputs!$B$11&gt;(1-Inputs!$B$20),Inputs!$B$35,0)+Inputs!$B$38+Inputs!$B$39)*(1+Inputs!$B$23)^(YEAR(Financials!BP$1)-YEAR(Financials!$B$1)))/12</f>
        <v>#N/A</v>
      </c>
      <c r="BQ72" s="86" t="e">
        <f>-VLOOKUP(BQ$1,Amort!$B:$F,5,0)-((IF(BQ$58/Inputs!$B$11&gt;(1-Inputs!$B$20),Inputs!$B$35,0)+Inputs!$B$38+Inputs!$B$39)*(1+Inputs!$B$23)^(YEAR(Financials!BQ$1)-YEAR(Financials!$B$1)))/12</f>
        <v>#N/A</v>
      </c>
      <c r="BR72" s="86" t="e">
        <f>-VLOOKUP(BR$1,Amort!$B:$F,5,0)-((IF(BR$58/Inputs!$B$11&gt;(1-Inputs!$B$20),Inputs!$B$35,0)+Inputs!$B$38+Inputs!$B$39)*(1+Inputs!$B$23)^(YEAR(Financials!BR$1)-YEAR(Financials!$B$1)))/12</f>
        <v>#N/A</v>
      </c>
      <c r="BS72" s="86" t="e">
        <f>-VLOOKUP(BS$1,Amort!$B:$F,5,0)-((IF(BS$58/Inputs!$B$11&gt;(1-Inputs!$B$20),Inputs!$B$35,0)+Inputs!$B$38+Inputs!$B$39)*(1+Inputs!$B$23)^(YEAR(Financials!BS$1)-YEAR(Financials!$B$1)))/12</f>
        <v>#N/A</v>
      </c>
      <c r="BT72" s="86" t="e">
        <f>-VLOOKUP(BT$1,Amort!$B:$F,5,0)-((IF(BT$58/Inputs!$B$11&gt;(1-Inputs!$B$20),Inputs!$B$35,0)+Inputs!$B$38+Inputs!$B$39)*(1+Inputs!$B$23)^(YEAR(Financials!BT$1)-YEAR(Financials!$B$1)))/12</f>
        <v>#N/A</v>
      </c>
      <c r="BU72" s="86" t="e">
        <f>-VLOOKUP(BU$1,Amort!$B:$F,5,0)-((IF(BU$58/Inputs!$B$11&gt;(1-Inputs!$B$20),Inputs!$B$35,0)+Inputs!$B$38+Inputs!$B$39)*(1+Inputs!$B$23)^(YEAR(Financials!BU$1)-YEAR(Financials!$B$1)))/12</f>
        <v>#N/A</v>
      </c>
      <c r="BV72" s="86" t="e">
        <f>-VLOOKUP(BV$1,Amort!$B:$F,5,0)-((IF(BV$58/Inputs!$B$11&gt;(1-Inputs!$B$20),Inputs!$B$35,0)+Inputs!$B$38+Inputs!$B$39)*(1+Inputs!$B$23)^(YEAR(Financials!BV$1)-YEAR(Financials!$B$1)))/12</f>
        <v>#N/A</v>
      </c>
      <c r="BW72" s="86" t="e">
        <f>-VLOOKUP(BW$1,Amort!$B:$F,5,0)-((IF(BW$58/Inputs!$B$11&gt;(1-Inputs!$B$20),Inputs!$B$35,0)+Inputs!$B$38+Inputs!$B$39)*(1+Inputs!$B$23)^(YEAR(Financials!BW$1)-YEAR(Financials!$B$1)))/12</f>
        <v>#N/A</v>
      </c>
      <c r="BX72" s="86" t="e">
        <f>-VLOOKUP(BX$1,Amort!$B:$F,5,0)-((IF(BX$58/Inputs!$B$11&gt;(1-Inputs!$B$20),Inputs!$B$35,0)+Inputs!$B$38+Inputs!$B$39)*(1+Inputs!$B$23)^(YEAR(Financials!BX$1)-YEAR(Financials!$B$1)))/12</f>
        <v>#N/A</v>
      </c>
      <c r="BY72" s="86" t="e">
        <f>-VLOOKUP(BY$1,Amort!$B:$F,5,0)-((IF(BY$58/Inputs!$B$11&gt;(1-Inputs!$B$20),Inputs!$B$35,0)+Inputs!$B$38+Inputs!$B$39)*(1+Inputs!$B$23)^(YEAR(Financials!BY$1)-YEAR(Financials!$B$1)))/12</f>
        <v>#N/A</v>
      </c>
      <c r="BZ72" s="86" t="e">
        <f>-VLOOKUP(BZ$1,Amort!$B:$F,5,0)-((IF(BZ$58/Inputs!$B$11&gt;(1-Inputs!$B$20),Inputs!$B$35,0)+Inputs!$B$38+Inputs!$B$39)*(1+Inputs!$B$23)^(YEAR(Financials!BZ$1)-YEAR(Financials!$B$1)))/12</f>
        <v>#N/A</v>
      </c>
      <c r="CA72" s="87" t="e">
        <f t="shared" ref="CA72:CA78" si="1403">SUM(BO72:BZ72)</f>
        <v>#N/A</v>
      </c>
      <c r="CB72" s="86" t="e">
        <f>-VLOOKUP(CB$1,Amort!$B:$F,5,0)-((IF(CB$58/Inputs!$B$11&gt;(1-Inputs!$B$20),Inputs!$B$35,0)+Inputs!$B$38+Inputs!$B$39)*(1+Inputs!$B$23)^(YEAR(Financials!CB$1)-YEAR(Financials!$B$1)))/12</f>
        <v>#N/A</v>
      </c>
      <c r="CC72" s="86" t="e">
        <f>-VLOOKUP(CC$1,Amort!$B:$F,5,0)-((IF(CC$58/Inputs!$B$11&gt;(1-Inputs!$B$20),Inputs!$B$35,0)+Inputs!$B$38+Inputs!$B$39)*(1+Inputs!$B$23)^(YEAR(Financials!CC$1)-YEAR(Financials!$B$1)))/12</f>
        <v>#N/A</v>
      </c>
      <c r="CD72" s="86" t="e">
        <f>-VLOOKUP(CD$1,Amort!$B:$F,5,0)-((IF(CD$58/Inputs!$B$11&gt;(1-Inputs!$B$20),Inputs!$B$35,0)+Inputs!$B$38+Inputs!$B$39)*(1+Inputs!$B$23)^(YEAR(Financials!CD$1)-YEAR(Financials!$B$1)))/12</f>
        <v>#N/A</v>
      </c>
      <c r="CE72" s="86" t="e">
        <f>-VLOOKUP(CE$1,Amort!$B:$F,5,0)-((IF(CE$58/Inputs!$B$11&gt;(1-Inputs!$B$20),Inputs!$B$35,0)+Inputs!$B$38+Inputs!$B$39)*(1+Inputs!$B$23)^(YEAR(Financials!CE$1)-YEAR(Financials!$B$1)))/12</f>
        <v>#N/A</v>
      </c>
      <c r="CF72" s="86" t="e">
        <f>-VLOOKUP(CF$1,Amort!$B:$F,5,0)-((IF(CF$58/Inputs!$B$11&gt;(1-Inputs!$B$20),Inputs!$B$35,0)+Inputs!$B$38+Inputs!$B$39)*(1+Inputs!$B$23)^(YEAR(Financials!CF$1)-YEAR(Financials!$B$1)))/12</f>
        <v>#N/A</v>
      </c>
      <c r="CG72" s="86" t="e">
        <f>-VLOOKUP(CG$1,Amort!$B:$F,5,0)-((IF(CG$58/Inputs!$B$11&gt;(1-Inputs!$B$20),Inputs!$B$35,0)+Inputs!$B$38+Inputs!$B$39)*(1+Inputs!$B$23)^(YEAR(Financials!CG$1)-YEAR(Financials!$B$1)))/12</f>
        <v>#N/A</v>
      </c>
      <c r="CH72" s="86" t="e">
        <f>-VLOOKUP(CH$1,Amort!$B:$F,5,0)-((IF(CH$58/Inputs!$B$11&gt;(1-Inputs!$B$20),Inputs!$B$35,0)+Inputs!$B$38+Inputs!$B$39)*(1+Inputs!$B$23)^(YEAR(Financials!CH$1)-YEAR(Financials!$B$1)))/12</f>
        <v>#N/A</v>
      </c>
      <c r="CI72" s="86" t="e">
        <f>-VLOOKUP(CI$1,Amort!$B:$F,5,0)-((IF(CI$58/Inputs!$B$11&gt;(1-Inputs!$B$20),Inputs!$B$35,0)+Inputs!$B$38+Inputs!$B$39)*(1+Inputs!$B$23)^(YEAR(Financials!CI$1)-YEAR(Financials!$B$1)))/12</f>
        <v>#N/A</v>
      </c>
      <c r="CJ72" s="86" t="e">
        <f>-VLOOKUP(CJ$1,Amort!$B:$F,5,0)-((IF(CJ$58/Inputs!$B$11&gt;(1-Inputs!$B$20),Inputs!$B$35,0)+Inputs!$B$38+Inputs!$B$39)*(1+Inputs!$B$23)^(YEAR(Financials!CJ$1)-YEAR(Financials!$B$1)))/12</f>
        <v>#N/A</v>
      </c>
      <c r="CK72" s="86" t="e">
        <f>-VLOOKUP(CK$1,Amort!$B:$F,5,0)-((IF(CK$58/Inputs!$B$11&gt;(1-Inputs!$B$20),Inputs!$B$35,0)+Inputs!$B$38+Inputs!$B$39)*(1+Inputs!$B$23)^(YEAR(Financials!CK$1)-YEAR(Financials!$B$1)))/12</f>
        <v>#N/A</v>
      </c>
      <c r="CL72" s="86" t="e">
        <f>-VLOOKUP(CL$1,Amort!$B:$F,5,0)-((IF(CL$58/Inputs!$B$11&gt;(1-Inputs!$B$20),Inputs!$B$35,0)+Inputs!$B$38+Inputs!$B$39)*(1+Inputs!$B$23)^(YEAR(Financials!CL$1)-YEAR(Financials!$B$1)))/12</f>
        <v>#N/A</v>
      </c>
      <c r="CM72" s="86" t="e">
        <f>-VLOOKUP(CM$1,Amort!$B:$F,5,0)-((IF(CM$58/Inputs!$B$11&gt;(1-Inputs!$B$20),Inputs!$B$35,0)+Inputs!$B$38+Inputs!$B$39)*(1+Inputs!$B$23)^(YEAR(Financials!CM$1)-YEAR(Financials!$B$1)))/12</f>
        <v>#N/A</v>
      </c>
      <c r="CN72" s="87" t="e">
        <f t="shared" ref="CN72:CN78" si="1404">SUM(CB72:CM72)</f>
        <v>#N/A</v>
      </c>
      <c r="CO72" s="86" t="e">
        <f>-VLOOKUP(CO$1,Amort!$B:$F,5,0)-((IF(CO$58/Inputs!$B$11&gt;(1-Inputs!$B$20),Inputs!$B$35,0)+Inputs!$B$38+Inputs!$B$39)*(1+Inputs!$B$23)^(YEAR(Financials!CO$1)-YEAR(Financials!$B$1)))/12</f>
        <v>#N/A</v>
      </c>
      <c r="CP72" s="86" t="e">
        <f>-VLOOKUP(CP$1,Amort!$B:$F,5,0)-((IF(CP$58/Inputs!$B$11&gt;(1-Inputs!$B$20),Inputs!$B$35,0)+Inputs!$B$38+Inputs!$B$39)*(1+Inputs!$B$23)^(YEAR(Financials!CP$1)-YEAR(Financials!$B$1)))/12</f>
        <v>#N/A</v>
      </c>
      <c r="CQ72" s="86" t="e">
        <f>-VLOOKUP(CQ$1,Amort!$B:$F,5,0)-((IF(CQ$58/Inputs!$B$11&gt;(1-Inputs!$B$20),Inputs!$B$35,0)+Inputs!$B$38+Inputs!$B$39)*(1+Inputs!$B$23)^(YEAR(Financials!CQ$1)-YEAR(Financials!$B$1)))/12</f>
        <v>#N/A</v>
      </c>
      <c r="CR72" s="86" t="e">
        <f>-VLOOKUP(CR$1,Amort!$B:$F,5,0)-((IF(CR$58/Inputs!$B$11&gt;(1-Inputs!$B$20),Inputs!$B$35,0)+Inputs!$B$38+Inputs!$B$39)*(1+Inputs!$B$23)^(YEAR(Financials!CR$1)-YEAR(Financials!$B$1)))/12</f>
        <v>#N/A</v>
      </c>
      <c r="CS72" s="86" t="e">
        <f>-VLOOKUP(CS$1,Amort!$B:$F,5,0)-((IF(CS$58/Inputs!$B$11&gt;(1-Inputs!$B$20),Inputs!$B$35,0)+Inputs!$B$38+Inputs!$B$39)*(1+Inputs!$B$23)^(YEAR(Financials!CS$1)-YEAR(Financials!$B$1)))/12</f>
        <v>#N/A</v>
      </c>
      <c r="CT72" s="86" t="e">
        <f>-VLOOKUP(CT$1,Amort!$B:$F,5,0)-((IF(CT$58/Inputs!$B$11&gt;(1-Inputs!$B$20),Inputs!$B$35,0)+Inputs!$B$38+Inputs!$B$39)*(1+Inputs!$B$23)^(YEAR(Financials!CT$1)-YEAR(Financials!$B$1)))/12</f>
        <v>#N/A</v>
      </c>
      <c r="CU72" s="86" t="e">
        <f>-VLOOKUP(CU$1,Amort!$B:$F,5,0)-((IF(CU$58/Inputs!$B$11&gt;(1-Inputs!$B$20),Inputs!$B$35,0)+Inputs!$B$38+Inputs!$B$39)*(1+Inputs!$B$23)^(YEAR(Financials!CU$1)-YEAR(Financials!$B$1)))/12</f>
        <v>#N/A</v>
      </c>
      <c r="CV72" s="86" t="e">
        <f>-VLOOKUP(CV$1,Amort!$B:$F,5,0)-((IF(CV$58/Inputs!$B$11&gt;(1-Inputs!$B$20),Inputs!$B$35,0)+Inputs!$B$38+Inputs!$B$39)*(1+Inputs!$B$23)^(YEAR(Financials!CV$1)-YEAR(Financials!$B$1)))/12</f>
        <v>#N/A</v>
      </c>
      <c r="CW72" s="86" t="e">
        <f>-VLOOKUP(CW$1,Amort!$B:$F,5,0)-((IF(CW$58/Inputs!$B$11&gt;(1-Inputs!$B$20),Inputs!$B$35,0)+Inputs!$B$38+Inputs!$B$39)*(1+Inputs!$B$23)^(YEAR(Financials!CW$1)-YEAR(Financials!$B$1)))/12</f>
        <v>#N/A</v>
      </c>
      <c r="CX72" s="86" t="e">
        <f>-VLOOKUP(CX$1,Amort!$B:$F,5,0)-((IF(CX$58/Inputs!$B$11&gt;(1-Inputs!$B$20),Inputs!$B$35,0)+Inputs!$B$38+Inputs!$B$39)*(1+Inputs!$B$23)^(YEAR(Financials!CX$1)-YEAR(Financials!$B$1)))/12</f>
        <v>#N/A</v>
      </c>
      <c r="CY72" s="86" t="e">
        <f>-VLOOKUP(CY$1,Amort!$B:$F,5,0)-((IF(CY$58/Inputs!$B$11&gt;(1-Inputs!$B$20),Inputs!$B$35,0)+Inputs!$B$38+Inputs!$B$39)*(1+Inputs!$B$23)^(YEAR(Financials!CY$1)-YEAR(Financials!$B$1)))/12</f>
        <v>#N/A</v>
      </c>
      <c r="CZ72" s="86" t="e">
        <f>-VLOOKUP(CZ$1,Amort!$B:$F,5,0)-((IF(CZ$58/Inputs!$B$11&gt;(1-Inputs!$B$20),Inputs!$B$35,0)+Inputs!$B$38+Inputs!$B$39)*(1+Inputs!$B$23)^(YEAR(Financials!CZ$1)-YEAR(Financials!$B$1)))/12</f>
        <v>#N/A</v>
      </c>
      <c r="DA72" s="87" t="e">
        <f t="shared" ref="DA72:DA78" si="1405">SUM(CO72:CZ72)</f>
        <v>#N/A</v>
      </c>
      <c r="DB72" s="86" t="e">
        <f>-VLOOKUP(DB$1,Amort!$B:$F,5,0)-((IF(DB$58/Inputs!$B$11&gt;(1-Inputs!$B$20),Inputs!$B$35,0)+Inputs!$B$38+Inputs!$B$39)*(1+Inputs!$B$23)^(YEAR(Financials!DB$1)-YEAR(Financials!$B$1)))/12</f>
        <v>#N/A</v>
      </c>
      <c r="DC72" s="86" t="e">
        <f>-VLOOKUP(DC$1,Amort!$B:$F,5,0)-((IF(DC$58/Inputs!$B$11&gt;(1-Inputs!$B$20),Inputs!$B$35,0)+Inputs!$B$38+Inputs!$B$39)*(1+Inputs!$B$23)^(YEAR(Financials!DC$1)-YEAR(Financials!$B$1)))/12</f>
        <v>#N/A</v>
      </c>
      <c r="DD72" s="86" t="e">
        <f>-VLOOKUP(DD$1,Amort!$B:$F,5,0)-((IF(DD$58/Inputs!$B$11&gt;(1-Inputs!$B$20),Inputs!$B$35,0)+Inputs!$B$38+Inputs!$B$39)*(1+Inputs!$B$23)^(YEAR(Financials!DD$1)-YEAR(Financials!$B$1)))/12</f>
        <v>#N/A</v>
      </c>
      <c r="DE72" s="86" t="e">
        <f>-VLOOKUP(DE$1,Amort!$B:$F,5,0)-((IF(DE$58/Inputs!$B$11&gt;(1-Inputs!$B$20),Inputs!$B$35,0)+Inputs!$B$38+Inputs!$B$39)*(1+Inputs!$B$23)^(YEAR(Financials!DE$1)-YEAR(Financials!$B$1)))/12</f>
        <v>#N/A</v>
      </c>
      <c r="DF72" s="86" t="e">
        <f>-VLOOKUP(DF$1,Amort!$B:$F,5,0)-((IF(DF$58/Inputs!$B$11&gt;(1-Inputs!$B$20),Inputs!$B$35,0)+Inputs!$B$38+Inputs!$B$39)*(1+Inputs!$B$23)^(YEAR(Financials!DF$1)-YEAR(Financials!$B$1)))/12</f>
        <v>#N/A</v>
      </c>
      <c r="DG72" s="86" t="e">
        <f>-VLOOKUP(DG$1,Amort!$B:$F,5,0)-((IF(DG$58/Inputs!$B$11&gt;(1-Inputs!$B$20),Inputs!$B$35,0)+Inputs!$B$38+Inputs!$B$39)*(1+Inputs!$B$23)^(YEAR(Financials!DG$1)-YEAR(Financials!$B$1)))/12</f>
        <v>#N/A</v>
      </c>
      <c r="DH72" s="86" t="e">
        <f>-VLOOKUP(DH$1,Amort!$B:$F,5,0)-((IF(DH$58/Inputs!$B$11&gt;(1-Inputs!$B$20),Inputs!$B$35,0)+Inputs!$B$38+Inputs!$B$39)*(1+Inputs!$B$23)^(YEAR(Financials!DH$1)-YEAR(Financials!$B$1)))/12</f>
        <v>#N/A</v>
      </c>
      <c r="DI72" s="86" t="e">
        <f>-VLOOKUP(DI$1,Amort!$B:$F,5,0)-((IF(DI$58/Inputs!$B$11&gt;(1-Inputs!$B$20),Inputs!$B$35,0)+Inputs!$B$38+Inputs!$B$39)*(1+Inputs!$B$23)^(YEAR(Financials!DI$1)-YEAR(Financials!$B$1)))/12</f>
        <v>#N/A</v>
      </c>
      <c r="DJ72" s="86" t="e">
        <f>-VLOOKUP(DJ$1,Amort!$B:$F,5,0)-((IF(DJ$58/Inputs!$B$11&gt;(1-Inputs!$B$20),Inputs!$B$35,0)+Inputs!$B$38+Inputs!$B$39)*(1+Inputs!$B$23)^(YEAR(Financials!DJ$1)-YEAR(Financials!$B$1)))/12</f>
        <v>#N/A</v>
      </c>
      <c r="DK72" s="86" t="e">
        <f>-VLOOKUP(DK$1,Amort!$B:$F,5,0)-((IF(DK$58/Inputs!$B$11&gt;(1-Inputs!$B$20),Inputs!$B$35,0)+Inputs!$B$38+Inputs!$B$39)*(1+Inputs!$B$23)^(YEAR(Financials!DK$1)-YEAR(Financials!$B$1)))/12</f>
        <v>#N/A</v>
      </c>
      <c r="DL72" s="86" t="e">
        <f>-VLOOKUP(DL$1,Amort!$B:$F,5,0)-((IF(DL$58/Inputs!$B$11&gt;(1-Inputs!$B$20),Inputs!$B$35,0)+Inputs!$B$38+Inputs!$B$39)*(1+Inputs!$B$23)^(YEAR(Financials!DL$1)-YEAR(Financials!$B$1)))/12</f>
        <v>#N/A</v>
      </c>
      <c r="DM72" s="86" t="e">
        <f>-VLOOKUP(DM$1,Amort!$B:$F,5,0)-((IF(DM$58/Inputs!$B$11&gt;(1-Inputs!$B$20),Inputs!$B$35,0)+Inputs!$B$38+Inputs!$B$39)*(1+Inputs!$B$23)^(YEAR(Financials!DM$1)-YEAR(Financials!$B$1)))/12</f>
        <v>#N/A</v>
      </c>
      <c r="DN72" s="87" t="e">
        <f t="shared" ref="DN72:DN78" si="1406">SUM(DB72:DM72)</f>
        <v>#N/A</v>
      </c>
      <c r="DO72" s="86" t="e">
        <f>-VLOOKUP(DO$1,Amort!$B:$F,5,0)-((IF(DO$58/Inputs!$B$11&gt;(1-Inputs!$B$20),Inputs!$B$35,0)+Inputs!$B$38+Inputs!$B$39)*(1+Inputs!$B$23)^(YEAR(Financials!DO$1)-YEAR(Financials!$B$1)))/12</f>
        <v>#N/A</v>
      </c>
      <c r="DP72" s="86" t="e">
        <f>-VLOOKUP(DP$1,Amort!$B:$F,5,0)-((IF(DP$58/Inputs!$B$11&gt;(1-Inputs!$B$20),Inputs!$B$35,0)+Inputs!$B$38+Inputs!$B$39)*(1+Inputs!$B$23)^(YEAR(Financials!DP$1)-YEAR(Financials!$B$1)))/12</f>
        <v>#N/A</v>
      </c>
      <c r="DQ72" s="86" t="e">
        <f>-VLOOKUP(DQ$1,Amort!$B:$F,5,0)-((IF(DQ$58/Inputs!$B$11&gt;(1-Inputs!$B$20),Inputs!$B$35,0)+Inputs!$B$38+Inputs!$B$39)*(1+Inputs!$B$23)^(YEAR(Financials!DQ$1)-YEAR(Financials!$B$1)))/12</f>
        <v>#N/A</v>
      </c>
      <c r="DR72" s="86" t="e">
        <f>-VLOOKUP(DR$1,Amort!$B:$F,5,0)-((IF(DR$58/Inputs!$B$11&gt;(1-Inputs!$B$20),Inputs!$B$35,0)+Inputs!$B$38+Inputs!$B$39)*(1+Inputs!$B$23)^(YEAR(Financials!DR$1)-YEAR(Financials!$B$1)))/12</f>
        <v>#N/A</v>
      </c>
      <c r="DS72" s="86" t="e">
        <f>-VLOOKUP(DS$1,Amort!$B:$F,5,0)-((IF(DS$58/Inputs!$B$11&gt;(1-Inputs!$B$20),Inputs!$B$35,0)+Inputs!$B$38+Inputs!$B$39)*(1+Inputs!$B$23)^(YEAR(Financials!DS$1)-YEAR(Financials!$B$1)))/12</f>
        <v>#N/A</v>
      </c>
      <c r="DT72" s="86" t="e">
        <f>-VLOOKUP(DT$1,Amort!$B:$F,5,0)-((IF(DT$58/Inputs!$B$11&gt;(1-Inputs!$B$20),Inputs!$B$35,0)+Inputs!$B$38+Inputs!$B$39)*(1+Inputs!$B$23)^(YEAR(Financials!DT$1)-YEAR(Financials!$B$1)))/12</f>
        <v>#N/A</v>
      </c>
      <c r="DU72" s="86" t="e">
        <f>-VLOOKUP(DU$1,Amort!$B:$F,5,0)-((IF(DU$58/Inputs!$B$11&gt;(1-Inputs!$B$20),Inputs!$B$35,0)+Inputs!$B$38+Inputs!$B$39)*(1+Inputs!$B$23)^(YEAR(Financials!DU$1)-YEAR(Financials!$B$1)))/12</f>
        <v>#N/A</v>
      </c>
      <c r="DV72" s="86" t="e">
        <f>-VLOOKUP(DV$1,Amort!$B:$F,5,0)-((IF(DV$58/Inputs!$B$11&gt;(1-Inputs!$B$20),Inputs!$B$35,0)+Inputs!$B$38+Inputs!$B$39)*(1+Inputs!$B$23)^(YEAR(Financials!DV$1)-YEAR(Financials!$B$1)))/12</f>
        <v>#N/A</v>
      </c>
      <c r="DW72" s="86" t="e">
        <f>-VLOOKUP(DW$1,Amort!$B:$F,5,0)-((IF(DW$58/Inputs!$B$11&gt;(1-Inputs!$B$20),Inputs!$B$35,0)+Inputs!$B$38+Inputs!$B$39)*(1+Inputs!$B$23)^(YEAR(Financials!DW$1)-YEAR(Financials!$B$1)))/12</f>
        <v>#N/A</v>
      </c>
      <c r="DX72" s="86" t="e">
        <f>-VLOOKUP(DX$1,Amort!$B:$F,5,0)-((IF(DX$58/Inputs!$B$11&gt;(1-Inputs!$B$20),Inputs!$B$35,0)+Inputs!$B$38+Inputs!$B$39)*(1+Inputs!$B$23)^(YEAR(Financials!DX$1)-YEAR(Financials!$B$1)))/12</f>
        <v>#N/A</v>
      </c>
      <c r="DY72" s="86" t="e">
        <f>-VLOOKUP(DY$1,Amort!$B:$F,5,0)-((IF(DY$58/Inputs!$B$11&gt;(1-Inputs!$B$20),Inputs!$B$35,0)+Inputs!$B$38+Inputs!$B$39)*(1+Inputs!$B$23)^(YEAR(Financials!DY$1)-YEAR(Financials!$B$1)))/12</f>
        <v>#N/A</v>
      </c>
      <c r="DZ72" s="86" t="e">
        <f>-VLOOKUP(DZ$1,Amort!$B:$F,5,0)-((IF(DZ$58/Inputs!$B$11&gt;(1-Inputs!$B$20),Inputs!$B$35,0)+Inputs!$B$38+Inputs!$B$39)*(1+Inputs!$B$23)^(YEAR(Financials!DZ$1)-YEAR(Financials!$B$1)))/12</f>
        <v>#N/A</v>
      </c>
      <c r="EA72" s="87" t="e">
        <f t="shared" ref="EA72:EA78" si="1407">SUM(DO72:DZ72)</f>
        <v>#N/A</v>
      </c>
      <c r="EB72" s="86" t="e">
        <f>-VLOOKUP(EB$1,Amort!$B:$F,5,0)-((IF(EB$58/Inputs!$B$11&gt;(1-Inputs!$B$20),Inputs!$B$35,0)+Inputs!$B$38+Inputs!$B$39)*(1+Inputs!$B$23)^(YEAR(Financials!EB$1)-YEAR(Financials!$B$1)))/12</f>
        <v>#N/A</v>
      </c>
      <c r="EC72" s="86" t="e">
        <f>-VLOOKUP(EC$1,Amort!$B:$F,5,0)-((IF(EC$58/Inputs!$B$11&gt;(1-Inputs!$B$20),Inputs!$B$35,0)+Inputs!$B$38+Inputs!$B$39)*(1+Inputs!$B$23)^(YEAR(Financials!EC$1)-YEAR(Financials!$B$1)))/12</f>
        <v>#N/A</v>
      </c>
      <c r="ED72" s="86" t="e">
        <f>-VLOOKUP(ED$1,Amort!$B:$F,5,0)-((IF(ED$58/Inputs!$B$11&gt;(1-Inputs!$B$20),Inputs!$B$35,0)+Inputs!$B$38+Inputs!$B$39)*(1+Inputs!$B$23)^(YEAR(Financials!ED$1)-YEAR(Financials!$B$1)))/12</f>
        <v>#N/A</v>
      </c>
      <c r="EE72" s="86" t="e">
        <f>-VLOOKUP(EE$1,Amort!$B:$F,5,0)-((IF(EE$58/Inputs!$B$11&gt;(1-Inputs!$B$20),Inputs!$B$35,0)+Inputs!$B$38+Inputs!$B$39)*(1+Inputs!$B$23)^(YEAR(Financials!EE$1)-YEAR(Financials!$B$1)))/12</f>
        <v>#N/A</v>
      </c>
      <c r="EF72" s="86" t="e">
        <f>-VLOOKUP(EF$1,Amort!$B:$F,5,0)-((IF(EF$58/Inputs!$B$11&gt;(1-Inputs!$B$20),Inputs!$B$35,0)+Inputs!$B$38+Inputs!$B$39)*(1+Inputs!$B$23)^(YEAR(Financials!EF$1)-YEAR(Financials!$B$1)))/12</f>
        <v>#N/A</v>
      </c>
      <c r="EG72" s="86" t="e">
        <f>-VLOOKUP(EG$1,Amort!$B:$F,5,0)-((IF(EG$58/Inputs!$B$11&gt;(1-Inputs!$B$20),Inputs!$B$35,0)+Inputs!$B$38+Inputs!$B$39)*(1+Inputs!$B$23)^(YEAR(Financials!EG$1)-YEAR(Financials!$B$1)))/12</f>
        <v>#N/A</v>
      </c>
      <c r="EH72" s="86" t="e">
        <f>-VLOOKUP(EH$1,Amort!$B:$F,5,0)-((IF(EH$58/Inputs!$B$11&gt;(1-Inputs!$B$20),Inputs!$B$35,0)+Inputs!$B$38+Inputs!$B$39)*(1+Inputs!$B$23)^(YEAR(Financials!EH$1)-YEAR(Financials!$B$1)))/12</f>
        <v>#N/A</v>
      </c>
      <c r="EI72" s="86" t="e">
        <f>-VLOOKUP(EI$1,Amort!$B:$F,5,0)-((IF(EI$58/Inputs!$B$11&gt;(1-Inputs!$B$20),Inputs!$B$35,0)+Inputs!$B$38+Inputs!$B$39)*(1+Inputs!$B$23)^(YEAR(Financials!EI$1)-YEAR(Financials!$B$1)))/12</f>
        <v>#N/A</v>
      </c>
      <c r="EJ72" s="86" t="e">
        <f>-VLOOKUP(EJ$1,Amort!$B:$F,5,0)-((IF(EJ$58/Inputs!$B$11&gt;(1-Inputs!$B$20),Inputs!$B$35,0)+Inputs!$B$38+Inputs!$B$39)*(1+Inputs!$B$23)^(YEAR(Financials!EJ$1)-YEAR(Financials!$B$1)))/12</f>
        <v>#N/A</v>
      </c>
      <c r="EK72" s="86" t="e">
        <f>-VLOOKUP(EK$1,Amort!$B:$F,5,0)-((IF(EK$58/Inputs!$B$11&gt;(1-Inputs!$B$20),Inputs!$B$35,0)+Inputs!$B$38+Inputs!$B$39)*(1+Inputs!$B$23)^(YEAR(Financials!EK$1)-YEAR(Financials!$B$1)))/12</f>
        <v>#N/A</v>
      </c>
      <c r="EL72" s="86" t="e">
        <f>-VLOOKUP(EL$1,Amort!$B:$F,5,0)-((IF(EL$58/Inputs!$B$11&gt;(1-Inputs!$B$20),Inputs!$B$35,0)+Inputs!$B$38+Inputs!$B$39)*(1+Inputs!$B$23)^(YEAR(Financials!EL$1)-YEAR(Financials!$B$1)))/12</f>
        <v>#N/A</v>
      </c>
      <c r="EM72" s="86" t="e">
        <f>-VLOOKUP(EM$1,Amort!$B:$F,5,0)-((IF(EM$58/Inputs!$B$11&gt;(1-Inputs!$B$20),Inputs!$B$35,0)+Inputs!$B$38+Inputs!$B$39)*(1+Inputs!$B$23)^(YEAR(Financials!EM$1)-YEAR(Financials!$B$1)))/12</f>
        <v>#N/A</v>
      </c>
      <c r="EN72" s="87" t="e">
        <f t="shared" ref="EN72:EN78" si="1408">SUM(EB72:EM72)</f>
        <v>#N/A</v>
      </c>
      <c r="EO72" s="86" t="e">
        <f>-VLOOKUP(EO$1,Amort!$B:$F,5,0)-((IF(EO$58/Inputs!$B$11&gt;(1-Inputs!$B$20),Inputs!$B$35,0)+Inputs!$B$38+Inputs!$B$39)*(1+Inputs!$B$23)^(YEAR(Financials!EO$1)-YEAR(Financials!$B$1)))/12</f>
        <v>#N/A</v>
      </c>
      <c r="EP72" s="86" t="e">
        <f>-VLOOKUP(EP$1,Amort!$B:$F,5,0)-((IF(EP$58/Inputs!$B$11&gt;(1-Inputs!$B$20),Inputs!$B$35,0)+Inputs!$B$38+Inputs!$B$39)*(1+Inputs!$B$23)^(YEAR(Financials!EP$1)-YEAR(Financials!$B$1)))/12</f>
        <v>#N/A</v>
      </c>
      <c r="EQ72" s="86" t="e">
        <f>-VLOOKUP(EQ$1,Amort!$B:$F,5,0)-((IF(EQ$58/Inputs!$B$11&gt;(1-Inputs!$B$20),Inputs!$B$35,0)+Inputs!$B$38+Inputs!$B$39)*(1+Inputs!$B$23)^(YEAR(Financials!EQ$1)-YEAR(Financials!$B$1)))/12</f>
        <v>#N/A</v>
      </c>
      <c r="ER72" s="86" t="e">
        <f>-VLOOKUP(ER$1,Amort!$B:$F,5,0)-((IF(ER$58/Inputs!$B$11&gt;(1-Inputs!$B$20),Inputs!$B$35,0)+Inputs!$B$38+Inputs!$B$39)*(1+Inputs!$B$23)^(YEAR(Financials!ER$1)-YEAR(Financials!$B$1)))/12</f>
        <v>#N/A</v>
      </c>
      <c r="ES72" s="86" t="e">
        <f>-VLOOKUP(ES$1,Amort!$B:$F,5,0)-((IF(ES$58/Inputs!$B$11&gt;(1-Inputs!$B$20),Inputs!$B$35,0)+Inputs!$B$38+Inputs!$B$39)*(1+Inputs!$B$23)^(YEAR(Financials!ES$1)-YEAR(Financials!$B$1)))/12</f>
        <v>#N/A</v>
      </c>
      <c r="ET72" s="86" t="e">
        <f>-VLOOKUP(ET$1,Amort!$B:$F,5,0)-((IF(ET$58/Inputs!$B$11&gt;(1-Inputs!$B$20),Inputs!$B$35,0)+Inputs!$B$38+Inputs!$B$39)*(1+Inputs!$B$23)^(YEAR(Financials!ET$1)-YEAR(Financials!$B$1)))/12</f>
        <v>#N/A</v>
      </c>
      <c r="EU72" s="86" t="e">
        <f>-VLOOKUP(EU$1,Amort!$B:$F,5,0)-((IF(EU$58/Inputs!$B$11&gt;(1-Inputs!$B$20),Inputs!$B$35,0)+Inputs!$B$38+Inputs!$B$39)*(1+Inputs!$B$23)^(YEAR(Financials!EU$1)-YEAR(Financials!$B$1)))/12</f>
        <v>#N/A</v>
      </c>
      <c r="EV72" s="86" t="e">
        <f>-VLOOKUP(EV$1,Amort!$B:$F,5,0)-((IF(EV$58/Inputs!$B$11&gt;(1-Inputs!$B$20),Inputs!$B$35,0)+Inputs!$B$38+Inputs!$B$39)*(1+Inputs!$B$23)^(YEAR(Financials!EV$1)-YEAR(Financials!$B$1)))/12</f>
        <v>#N/A</v>
      </c>
      <c r="EW72" s="86" t="e">
        <f>-VLOOKUP(EW$1,Amort!$B:$F,5,0)-((IF(EW$58/Inputs!$B$11&gt;(1-Inputs!$B$20),Inputs!$B$35,0)+Inputs!$B$38+Inputs!$B$39)*(1+Inputs!$B$23)^(YEAR(Financials!EW$1)-YEAR(Financials!$B$1)))/12</f>
        <v>#N/A</v>
      </c>
      <c r="EX72" s="86" t="e">
        <f>-VLOOKUP(EX$1,Amort!$B:$F,5,0)-((IF(EX$58/Inputs!$B$11&gt;(1-Inputs!$B$20),Inputs!$B$35,0)+Inputs!$B$38+Inputs!$B$39)*(1+Inputs!$B$23)^(YEAR(Financials!EX$1)-YEAR(Financials!$B$1)))/12</f>
        <v>#N/A</v>
      </c>
      <c r="EY72" s="86" t="e">
        <f>-VLOOKUP(EY$1,Amort!$B:$F,5,0)-((IF(EY$58/Inputs!$B$11&gt;(1-Inputs!$B$20),Inputs!$B$35,0)+Inputs!$B$38+Inputs!$B$39)*(1+Inputs!$B$23)^(YEAR(Financials!EY$1)-YEAR(Financials!$B$1)))/12</f>
        <v>#N/A</v>
      </c>
      <c r="EZ72" s="86" t="e">
        <f>-VLOOKUP(EZ$1,Amort!$B:$F,5,0)-((IF(EZ$58/Inputs!$B$11&gt;(1-Inputs!$B$20),Inputs!$B$35,0)+Inputs!$B$38+Inputs!$B$39)*(1+Inputs!$B$23)^(YEAR(Financials!EZ$1)-YEAR(Financials!$B$1)))/12</f>
        <v>#N/A</v>
      </c>
      <c r="FA72" s="87" t="e">
        <f t="shared" ref="FA72:FA78" si="1409">SUM(EO72:EZ72)</f>
        <v>#N/A</v>
      </c>
      <c r="FB72" s="86" t="e">
        <f>-VLOOKUP(FB$1,Amort!$B:$F,5,0)-((IF(FB$58/Inputs!$B$11&gt;(1-Inputs!$B$20),Inputs!$B$35,0)+Inputs!$B$38+Inputs!$B$39)*(1+Inputs!$B$23)^(YEAR(Financials!FB$1)-YEAR(Financials!$B$1)))/12</f>
        <v>#N/A</v>
      </c>
      <c r="FC72" s="86" t="e">
        <f>-VLOOKUP(FC$1,Amort!$B:$F,5,0)-((IF(FC$58/Inputs!$B$11&gt;(1-Inputs!$B$20),Inputs!$B$35,0)+Inputs!$B$38+Inputs!$B$39)*(1+Inputs!$B$23)^(YEAR(Financials!FC$1)-YEAR(Financials!$B$1)))/12</f>
        <v>#N/A</v>
      </c>
      <c r="FD72" s="86" t="e">
        <f>-VLOOKUP(FD$1,Amort!$B:$F,5,0)-((IF(FD$58/Inputs!$B$11&gt;(1-Inputs!$B$20),Inputs!$B$35,0)+Inputs!$B$38+Inputs!$B$39)*(1+Inputs!$B$23)^(YEAR(Financials!FD$1)-YEAR(Financials!$B$1)))/12</f>
        <v>#N/A</v>
      </c>
      <c r="FE72" s="86" t="e">
        <f>-VLOOKUP(FE$1,Amort!$B:$F,5,0)-((IF(FE$58/Inputs!$B$11&gt;(1-Inputs!$B$20),Inputs!$B$35,0)+Inputs!$B$38+Inputs!$B$39)*(1+Inputs!$B$23)^(YEAR(Financials!FE$1)-YEAR(Financials!$B$1)))/12</f>
        <v>#N/A</v>
      </c>
      <c r="FF72" s="86" t="e">
        <f>-VLOOKUP(FF$1,Amort!$B:$F,5,0)-((IF(FF$58/Inputs!$B$11&gt;(1-Inputs!$B$20),Inputs!$B$35,0)+Inputs!$B$38+Inputs!$B$39)*(1+Inputs!$B$23)^(YEAR(Financials!FF$1)-YEAR(Financials!$B$1)))/12</f>
        <v>#N/A</v>
      </c>
      <c r="FG72" s="86" t="e">
        <f>-VLOOKUP(FG$1,Amort!$B:$F,5,0)-((IF(FG$58/Inputs!$B$11&gt;(1-Inputs!$B$20),Inputs!$B$35,0)+Inputs!$B$38+Inputs!$B$39)*(1+Inputs!$B$23)^(YEAR(Financials!FG$1)-YEAR(Financials!$B$1)))/12</f>
        <v>#N/A</v>
      </c>
      <c r="FH72" s="86" t="e">
        <f>-VLOOKUP(FH$1,Amort!$B:$F,5,0)-((IF(FH$58/Inputs!$B$11&gt;(1-Inputs!$B$20),Inputs!$B$35,0)+Inputs!$B$38+Inputs!$B$39)*(1+Inputs!$B$23)^(YEAR(Financials!FH$1)-YEAR(Financials!$B$1)))/12</f>
        <v>#N/A</v>
      </c>
      <c r="FI72" s="86" t="e">
        <f>-VLOOKUP(FI$1,Amort!$B:$F,5,0)-((IF(FI$58/Inputs!$B$11&gt;(1-Inputs!$B$20),Inputs!$B$35,0)+Inputs!$B$38+Inputs!$B$39)*(1+Inputs!$B$23)^(YEAR(Financials!FI$1)-YEAR(Financials!$B$1)))/12</f>
        <v>#N/A</v>
      </c>
      <c r="FJ72" s="86" t="e">
        <f>-VLOOKUP(FJ$1,Amort!$B:$F,5,0)-((IF(FJ$58/Inputs!$B$11&gt;(1-Inputs!$B$20),Inputs!$B$35,0)+Inputs!$B$38+Inputs!$B$39)*(1+Inputs!$B$23)^(YEAR(Financials!FJ$1)-YEAR(Financials!$B$1)))/12</f>
        <v>#N/A</v>
      </c>
      <c r="FK72" s="86" t="e">
        <f>-VLOOKUP(FK$1,Amort!$B:$F,5,0)-((IF(FK$58/Inputs!$B$11&gt;(1-Inputs!$B$20),Inputs!$B$35,0)+Inputs!$B$38+Inputs!$B$39)*(1+Inputs!$B$23)^(YEAR(Financials!FK$1)-YEAR(Financials!$B$1)))/12</f>
        <v>#N/A</v>
      </c>
      <c r="FL72" s="86" t="e">
        <f>-VLOOKUP(FL$1,Amort!$B:$F,5,0)-((IF(FL$58/Inputs!$B$11&gt;(1-Inputs!$B$20),Inputs!$B$35,0)+Inputs!$B$38+Inputs!$B$39)*(1+Inputs!$B$23)^(YEAR(Financials!FL$1)-YEAR(Financials!$B$1)))/12</f>
        <v>#N/A</v>
      </c>
      <c r="FM72" s="86" t="e">
        <f>-VLOOKUP(FM$1,Amort!$B:$F,5,0)-((IF(FM$58/Inputs!$B$11&gt;(1-Inputs!$B$20),Inputs!$B$35,0)+Inputs!$B$38+Inputs!$B$39)*(1+Inputs!$B$23)^(YEAR(Financials!FM$1)-YEAR(Financials!$B$1)))/12</f>
        <v>#N/A</v>
      </c>
      <c r="FN72" s="87" t="e">
        <f t="shared" ref="FN72:FN78" si="1410">SUM(FB72:FM72)</f>
        <v>#N/A</v>
      </c>
      <c r="FO72" s="86" t="e">
        <f>-VLOOKUP(FO$1,Amort!$B:$F,5,0)-((IF(FO$58/Inputs!$B$11&gt;(1-Inputs!$B$20),Inputs!$B$35,0)+Inputs!$B$38+Inputs!$B$39)*(1+Inputs!$B$23)^(YEAR(Financials!FO$1)-YEAR(Financials!$B$1)))/12</f>
        <v>#N/A</v>
      </c>
      <c r="FP72" s="86" t="e">
        <f>-VLOOKUP(FP$1,Amort!$B:$F,5,0)-((IF(FP$58/Inputs!$B$11&gt;(1-Inputs!$B$20),Inputs!$B$35,0)+Inputs!$B$38+Inputs!$B$39)*(1+Inputs!$B$23)^(YEAR(Financials!FP$1)-YEAR(Financials!$B$1)))/12</f>
        <v>#N/A</v>
      </c>
      <c r="FQ72" s="86" t="e">
        <f>-VLOOKUP(FQ$1,Amort!$B:$F,5,0)-((IF(FQ$58/Inputs!$B$11&gt;(1-Inputs!$B$20),Inputs!$B$35,0)+Inputs!$B$38+Inputs!$B$39)*(1+Inputs!$B$23)^(YEAR(Financials!FQ$1)-YEAR(Financials!$B$1)))/12</f>
        <v>#N/A</v>
      </c>
      <c r="FR72" s="86" t="e">
        <f>-VLOOKUP(FR$1,Amort!$B:$F,5,0)-((IF(FR$58/Inputs!$B$11&gt;(1-Inputs!$B$20),Inputs!$B$35,0)+Inputs!$B$38+Inputs!$B$39)*(1+Inputs!$B$23)^(YEAR(Financials!FR$1)-YEAR(Financials!$B$1)))/12</f>
        <v>#N/A</v>
      </c>
      <c r="FS72" s="86" t="e">
        <f>-VLOOKUP(FS$1,Amort!$B:$F,5,0)-((IF(FS$58/Inputs!$B$11&gt;(1-Inputs!$B$20),Inputs!$B$35,0)+Inputs!$B$38+Inputs!$B$39)*(1+Inputs!$B$23)^(YEAR(Financials!FS$1)-YEAR(Financials!$B$1)))/12</f>
        <v>#N/A</v>
      </c>
      <c r="FT72" s="86" t="e">
        <f>-VLOOKUP(FT$1,Amort!$B:$F,5,0)-((IF(FT$58/Inputs!$B$11&gt;(1-Inputs!$B$20),Inputs!$B$35,0)+Inputs!$B$38+Inputs!$B$39)*(1+Inputs!$B$23)^(YEAR(Financials!FT$1)-YEAR(Financials!$B$1)))/12</f>
        <v>#N/A</v>
      </c>
      <c r="FU72" s="86" t="e">
        <f>-VLOOKUP(FU$1,Amort!$B:$F,5,0)-((IF(FU$58/Inputs!$B$11&gt;(1-Inputs!$B$20),Inputs!$B$35,0)+Inputs!$B$38+Inputs!$B$39)*(1+Inputs!$B$23)^(YEAR(Financials!FU$1)-YEAR(Financials!$B$1)))/12</f>
        <v>#N/A</v>
      </c>
      <c r="FV72" s="86" t="e">
        <f>-VLOOKUP(FV$1,Amort!$B:$F,5,0)-((IF(FV$58/Inputs!$B$11&gt;(1-Inputs!$B$20),Inputs!$B$35,0)+Inputs!$B$38+Inputs!$B$39)*(1+Inputs!$B$23)^(YEAR(Financials!FV$1)-YEAR(Financials!$B$1)))/12</f>
        <v>#N/A</v>
      </c>
      <c r="FW72" s="86" t="e">
        <f>-VLOOKUP(FW$1,Amort!$B:$F,5,0)-((IF(FW$58/Inputs!$B$11&gt;(1-Inputs!$B$20),Inputs!$B$35,0)+Inputs!$B$38+Inputs!$B$39)*(1+Inputs!$B$23)^(YEAR(Financials!FW$1)-YEAR(Financials!$B$1)))/12</f>
        <v>#N/A</v>
      </c>
      <c r="FX72" s="86" t="e">
        <f>-VLOOKUP(FX$1,Amort!$B:$F,5,0)-((IF(FX$58/Inputs!$B$11&gt;(1-Inputs!$B$20),Inputs!$B$35,0)+Inputs!$B$38+Inputs!$B$39)*(1+Inputs!$B$23)^(YEAR(Financials!FX$1)-YEAR(Financials!$B$1)))/12</f>
        <v>#N/A</v>
      </c>
      <c r="FY72" s="86" t="e">
        <f>-VLOOKUP(FY$1,Amort!$B:$F,5,0)-((IF(FY$58/Inputs!$B$11&gt;(1-Inputs!$B$20),Inputs!$B$35,0)+Inputs!$B$38+Inputs!$B$39)*(1+Inputs!$B$23)^(YEAR(Financials!FY$1)-YEAR(Financials!$B$1)))/12</f>
        <v>#N/A</v>
      </c>
      <c r="FZ72" s="86" t="e">
        <f>-VLOOKUP(FZ$1,Amort!$B:$F,5,0)-((IF(FZ$58/Inputs!$B$11&gt;(1-Inputs!$B$20),Inputs!$B$35,0)+Inputs!$B$38+Inputs!$B$39)*(1+Inputs!$B$23)^(YEAR(Financials!FZ$1)-YEAR(Financials!$B$1)))/12</f>
        <v>#N/A</v>
      </c>
      <c r="GA72" s="87" t="e">
        <f t="shared" ref="GA72:GA78" si="1411">SUM(FO72:FZ72)</f>
        <v>#N/A</v>
      </c>
      <c r="GB72" s="86" t="e">
        <f>-VLOOKUP(GB$1,Amort!$B:$F,5,0)-((IF(GB$58/Inputs!$B$11&gt;(1-Inputs!$B$20),Inputs!$B$35,0)+Inputs!$B$38+Inputs!$B$39)*(1+Inputs!$B$23)^(YEAR(Financials!GB$1)-YEAR(Financials!$B$1)))/12</f>
        <v>#N/A</v>
      </c>
      <c r="GC72" s="86" t="e">
        <f>-VLOOKUP(GC$1,Amort!$B:$F,5,0)-((IF(GC$58/Inputs!$B$11&gt;(1-Inputs!$B$20),Inputs!$B$35,0)+Inputs!$B$38+Inputs!$B$39)*(1+Inputs!$B$23)^(YEAR(Financials!GC$1)-YEAR(Financials!$B$1)))/12</f>
        <v>#N/A</v>
      </c>
      <c r="GD72" s="86" t="e">
        <f>-VLOOKUP(GD$1,Amort!$B:$F,5,0)-((IF(GD$58/Inputs!$B$11&gt;(1-Inputs!$B$20),Inputs!$B$35,0)+Inputs!$B$38+Inputs!$B$39)*(1+Inputs!$B$23)^(YEAR(Financials!GD$1)-YEAR(Financials!$B$1)))/12</f>
        <v>#N/A</v>
      </c>
      <c r="GE72" s="86" t="e">
        <f>-VLOOKUP(GE$1,Amort!$B:$F,5,0)-((IF(GE$58/Inputs!$B$11&gt;(1-Inputs!$B$20),Inputs!$B$35,0)+Inputs!$B$38+Inputs!$B$39)*(1+Inputs!$B$23)^(YEAR(Financials!GE$1)-YEAR(Financials!$B$1)))/12</f>
        <v>#N/A</v>
      </c>
      <c r="GF72" s="86" t="e">
        <f>-VLOOKUP(GF$1,Amort!$B:$F,5,0)-((IF(GF$58/Inputs!$B$11&gt;(1-Inputs!$B$20),Inputs!$B$35,0)+Inputs!$B$38+Inputs!$B$39)*(1+Inputs!$B$23)^(YEAR(Financials!GF$1)-YEAR(Financials!$B$1)))/12</f>
        <v>#N/A</v>
      </c>
      <c r="GG72" s="86" t="e">
        <f>-VLOOKUP(GG$1,Amort!$B:$F,5,0)-((IF(GG$58/Inputs!$B$11&gt;(1-Inputs!$B$20),Inputs!$B$35,0)+Inputs!$B$38+Inputs!$B$39)*(1+Inputs!$B$23)^(YEAR(Financials!GG$1)-YEAR(Financials!$B$1)))/12</f>
        <v>#N/A</v>
      </c>
      <c r="GH72" s="86" t="e">
        <f>-VLOOKUP(GH$1,Amort!$B:$F,5,0)-((IF(GH$58/Inputs!$B$11&gt;(1-Inputs!$B$20),Inputs!$B$35,0)+Inputs!$B$38+Inputs!$B$39)*(1+Inputs!$B$23)^(YEAR(Financials!GH$1)-YEAR(Financials!$B$1)))/12</f>
        <v>#N/A</v>
      </c>
      <c r="GI72" s="86" t="e">
        <f>-VLOOKUP(GI$1,Amort!$B:$F,5,0)-((IF(GI$58/Inputs!$B$11&gt;(1-Inputs!$B$20),Inputs!$B$35,0)+Inputs!$B$38+Inputs!$B$39)*(1+Inputs!$B$23)^(YEAR(Financials!GI$1)-YEAR(Financials!$B$1)))/12</f>
        <v>#N/A</v>
      </c>
      <c r="GJ72" s="86" t="e">
        <f>-VLOOKUP(GJ$1,Amort!$B:$F,5,0)-((IF(GJ$58/Inputs!$B$11&gt;(1-Inputs!$B$20),Inputs!$B$35,0)+Inputs!$B$38+Inputs!$B$39)*(1+Inputs!$B$23)^(YEAR(Financials!GJ$1)-YEAR(Financials!$B$1)))/12</f>
        <v>#N/A</v>
      </c>
      <c r="GK72" s="86" t="e">
        <f>-VLOOKUP(GK$1,Amort!$B:$F,5,0)-((IF(GK$58/Inputs!$B$11&gt;(1-Inputs!$B$20),Inputs!$B$35,0)+Inputs!$B$38+Inputs!$B$39)*(1+Inputs!$B$23)^(YEAR(Financials!GK$1)-YEAR(Financials!$B$1)))/12</f>
        <v>#N/A</v>
      </c>
      <c r="GL72" s="86" t="e">
        <f>-VLOOKUP(GL$1,Amort!$B:$F,5,0)-((IF(GL$58/Inputs!$B$11&gt;(1-Inputs!$B$20),Inputs!$B$35,0)+Inputs!$B$38+Inputs!$B$39)*(1+Inputs!$B$23)^(YEAR(Financials!GL$1)-YEAR(Financials!$B$1)))/12</f>
        <v>#N/A</v>
      </c>
      <c r="GM72" s="86" t="e">
        <f>-VLOOKUP(GM$1,Amort!$B:$F,5,0)-((IF(GM$58/Inputs!$B$11&gt;(1-Inputs!$B$20),Inputs!$B$35,0)+Inputs!$B$38+Inputs!$B$39)*(1+Inputs!$B$23)^(YEAR(Financials!GM$1)-YEAR(Financials!$B$1)))/12</f>
        <v>#N/A</v>
      </c>
      <c r="GN72" s="87" t="e">
        <f t="shared" ref="GN72:GN78" si="1412">SUM(GB72:GM72)</f>
        <v>#N/A</v>
      </c>
      <c r="GO72" s="86" t="e">
        <f>-VLOOKUP(GO$1,Amort!$B:$F,5,0)-((IF(GO$58/Inputs!$B$11&gt;(1-Inputs!$B$20),Inputs!$B$35,0)+Inputs!$B$38+Inputs!$B$39)*(1+Inputs!$B$23)^(YEAR(Financials!GO$1)-YEAR(Financials!$B$1)))/12</f>
        <v>#N/A</v>
      </c>
      <c r="GP72" s="86" t="e">
        <f>-VLOOKUP(GP$1,Amort!$B:$F,5,0)-((IF(GP$58/Inputs!$B$11&gt;(1-Inputs!$B$20),Inputs!$B$35,0)+Inputs!$B$38+Inputs!$B$39)*(1+Inputs!$B$23)^(YEAR(Financials!GP$1)-YEAR(Financials!$B$1)))/12</f>
        <v>#N/A</v>
      </c>
      <c r="GQ72" s="86" t="e">
        <f>-VLOOKUP(GQ$1,Amort!$B:$F,5,0)-((IF(GQ$58/Inputs!$B$11&gt;(1-Inputs!$B$20),Inputs!$B$35,0)+Inputs!$B$38+Inputs!$B$39)*(1+Inputs!$B$23)^(YEAR(Financials!GQ$1)-YEAR(Financials!$B$1)))/12</f>
        <v>#N/A</v>
      </c>
      <c r="GR72" s="86" t="e">
        <f>-VLOOKUP(GR$1,Amort!$B:$F,5,0)-((IF(GR$58/Inputs!$B$11&gt;(1-Inputs!$B$20),Inputs!$B$35,0)+Inputs!$B$38+Inputs!$B$39)*(1+Inputs!$B$23)^(YEAR(Financials!GR$1)-YEAR(Financials!$B$1)))/12</f>
        <v>#N/A</v>
      </c>
      <c r="GS72" s="86" t="e">
        <f>-VLOOKUP(GS$1,Amort!$B:$F,5,0)-((IF(GS$58/Inputs!$B$11&gt;(1-Inputs!$B$20),Inputs!$B$35,0)+Inputs!$B$38+Inputs!$B$39)*(1+Inputs!$B$23)^(YEAR(Financials!GS$1)-YEAR(Financials!$B$1)))/12</f>
        <v>#N/A</v>
      </c>
      <c r="GT72" s="86" t="e">
        <f>-VLOOKUP(GT$1,Amort!$B:$F,5,0)-((IF(GT$58/Inputs!$B$11&gt;(1-Inputs!$B$20),Inputs!$B$35,0)+Inputs!$B$38+Inputs!$B$39)*(1+Inputs!$B$23)^(YEAR(Financials!GT$1)-YEAR(Financials!$B$1)))/12</f>
        <v>#N/A</v>
      </c>
      <c r="GU72" s="86" t="e">
        <f>-VLOOKUP(GU$1,Amort!$B:$F,5,0)-((IF(GU$58/Inputs!$B$11&gt;(1-Inputs!$B$20),Inputs!$B$35,0)+Inputs!$B$38+Inputs!$B$39)*(1+Inputs!$B$23)^(YEAR(Financials!GU$1)-YEAR(Financials!$B$1)))/12</f>
        <v>#N/A</v>
      </c>
      <c r="GV72" s="86" t="e">
        <f>-VLOOKUP(GV$1,Amort!$B:$F,5,0)-((IF(GV$58/Inputs!$B$11&gt;(1-Inputs!$B$20),Inputs!$B$35,0)+Inputs!$B$38+Inputs!$B$39)*(1+Inputs!$B$23)^(YEAR(Financials!GV$1)-YEAR(Financials!$B$1)))/12</f>
        <v>#N/A</v>
      </c>
      <c r="GW72" s="86" t="e">
        <f>-VLOOKUP(GW$1,Amort!$B:$F,5,0)-((IF(GW$58/Inputs!$B$11&gt;(1-Inputs!$B$20),Inputs!$B$35,0)+Inputs!$B$38+Inputs!$B$39)*(1+Inputs!$B$23)^(YEAR(Financials!GW$1)-YEAR(Financials!$B$1)))/12</f>
        <v>#N/A</v>
      </c>
      <c r="GX72" s="86" t="e">
        <f>-VLOOKUP(GX$1,Amort!$B:$F,5,0)-((IF(GX$58/Inputs!$B$11&gt;(1-Inputs!$B$20),Inputs!$B$35,0)+Inputs!$B$38+Inputs!$B$39)*(1+Inputs!$B$23)^(YEAR(Financials!GX$1)-YEAR(Financials!$B$1)))/12</f>
        <v>#N/A</v>
      </c>
      <c r="GY72" s="86" t="e">
        <f>-VLOOKUP(GY$1,Amort!$B:$F,5,0)-((IF(GY$58/Inputs!$B$11&gt;(1-Inputs!$B$20),Inputs!$B$35,0)+Inputs!$B$38+Inputs!$B$39)*(1+Inputs!$B$23)^(YEAR(Financials!GY$1)-YEAR(Financials!$B$1)))/12</f>
        <v>#N/A</v>
      </c>
      <c r="GZ72" s="86" t="e">
        <f>-VLOOKUP(GZ$1,Amort!$B:$F,5,0)-((IF(GZ$58/Inputs!$B$11&gt;(1-Inputs!$B$20),Inputs!$B$35,0)+Inputs!$B$38+Inputs!$B$39)*(1+Inputs!$B$23)^(YEAR(Financials!GZ$1)-YEAR(Financials!$B$1)))/12</f>
        <v>#N/A</v>
      </c>
      <c r="HA72" s="87" t="e">
        <f t="shared" ref="HA72:HA78" si="1413">SUM(GO72:GZ72)</f>
        <v>#N/A</v>
      </c>
      <c r="HB72" s="86" t="e">
        <f>-VLOOKUP(HB$1,Amort!$B:$F,5,0)-((IF(HB$58/Inputs!$B$11&gt;(1-Inputs!$B$20),Inputs!$B$35,0)+Inputs!$B$38+Inputs!$B$39)*(1+Inputs!$B$23)^(YEAR(Financials!HB$1)-YEAR(Financials!$B$1)))/12</f>
        <v>#N/A</v>
      </c>
      <c r="HC72" s="86" t="e">
        <f>-VLOOKUP(HC$1,Amort!$B:$F,5,0)-((IF(HC$58/Inputs!$B$11&gt;(1-Inputs!$B$20),Inputs!$B$35,0)+Inputs!$B$38+Inputs!$B$39)*(1+Inputs!$B$23)^(YEAR(Financials!HC$1)-YEAR(Financials!$B$1)))/12</f>
        <v>#N/A</v>
      </c>
      <c r="HD72" s="86" t="e">
        <f>-VLOOKUP(HD$1,Amort!$B:$F,5,0)-((IF(HD$58/Inputs!$B$11&gt;(1-Inputs!$B$20),Inputs!$B$35,0)+Inputs!$B$38+Inputs!$B$39)*(1+Inputs!$B$23)^(YEAR(Financials!HD$1)-YEAR(Financials!$B$1)))/12</f>
        <v>#N/A</v>
      </c>
      <c r="HE72" s="86" t="e">
        <f>-VLOOKUP(HE$1,Amort!$B:$F,5,0)-((IF(HE$58/Inputs!$B$11&gt;(1-Inputs!$B$20),Inputs!$B$35,0)+Inputs!$B$38+Inputs!$B$39)*(1+Inputs!$B$23)^(YEAR(Financials!HE$1)-YEAR(Financials!$B$1)))/12</f>
        <v>#N/A</v>
      </c>
      <c r="HF72" s="86" t="e">
        <f>-VLOOKUP(HF$1,Amort!$B:$F,5,0)-((IF(HF$58/Inputs!$B$11&gt;(1-Inputs!$B$20),Inputs!$B$35,0)+Inputs!$B$38+Inputs!$B$39)*(1+Inputs!$B$23)^(YEAR(Financials!HF$1)-YEAR(Financials!$B$1)))/12</f>
        <v>#N/A</v>
      </c>
      <c r="HG72" s="86" t="e">
        <f>-VLOOKUP(HG$1,Amort!$B:$F,5,0)-((IF(HG$58/Inputs!$B$11&gt;(1-Inputs!$B$20),Inputs!$B$35,0)+Inputs!$B$38+Inputs!$B$39)*(1+Inputs!$B$23)^(YEAR(Financials!HG$1)-YEAR(Financials!$B$1)))/12</f>
        <v>#N/A</v>
      </c>
      <c r="HH72" s="86" t="e">
        <f>-VLOOKUP(HH$1,Amort!$B:$F,5,0)-((IF(HH$58/Inputs!$B$11&gt;(1-Inputs!$B$20),Inputs!$B$35,0)+Inputs!$B$38+Inputs!$B$39)*(1+Inputs!$B$23)^(YEAR(Financials!HH$1)-YEAR(Financials!$B$1)))/12</f>
        <v>#N/A</v>
      </c>
      <c r="HI72" s="86" t="e">
        <f>-VLOOKUP(HI$1,Amort!$B:$F,5,0)-((IF(HI$58/Inputs!$B$11&gt;(1-Inputs!$B$20),Inputs!$B$35,0)+Inputs!$B$38+Inputs!$B$39)*(1+Inputs!$B$23)^(YEAR(Financials!HI$1)-YEAR(Financials!$B$1)))/12</f>
        <v>#N/A</v>
      </c>
      <c r="HJ72" s="86" t="e">
        <f>-VLOOKUP(HJ$1,Amort!$B:$F,5,0)-((IF(HJ$58/Inputs!$B$11&gt;(1-Inputs!$B$20),Inputs!$B$35,0)+Inputs!$B$38+Inputs!$B$39)*(1+Inputs!$B$23)^(YEAR(Financials!HJ$1)-YEAR(Financials!$B$1)))/12</f>
        <v>#N/A</v>
      </c>
      <c r="HK72" s="86" t="e">
        <f>-VLOOKUP(HK$1,Amort!$B:$F,5,0)-((IF(HK$58/Inputs!$B$11&gt;(1-Inputs!$B$20),Inputs!$B$35,0)+Inputs!$B$38+Inputs!$B$39)*(1+Inputs!$B$23)^(YEAR(Financials!HK$1)-YEAR(Financials!$B$1)))/12</f>
        <v>#N/A</v>
      </c>
      <c r="HL72" s="86" t="e">
        <f>-VLOOKUP(HL$1,Amort!$B:$F,5,0)-((IF(HL$58/Inputs!$B$11&gt;(1-Inputs!$B$20),Inputs!$B$35,0)+Inputs!$B$38+Inputs!$B$39)*(1+Inputs!$B$23)^(YEAR(Financials!HL$1)-YEAR(Financials!$B$1)))/12</f>
        <v>#N/A</v>
      </c>
      <c r="HM72" s="86" t="e">
        <f>-VLOOKUP(HM$1,Amort!$B:$F,5,0)-((IF(HM$58/Inputs!$B$11&gt;(1-Inputs!$B$20),Inputs!$B$35,0)+Inputs!$B$38+Inputs!$B$39)*(1+Inputs!$B$23)^(YEAR(Financials!HM$1)-YEAR(Financials!$B$1)))/12</f>
        <v>#N/A</v>
      </c>
      <c r="HN72" s="87" t="e">
        <f t="shared" ref="HN72:HN78" si="1414">SUM(HB72:HM72)</f>
        <v>#N/A</v>
      </c>
      <c r="HO72" s="86" t="e">
        <f>-VLOOKUP(HO$1,Amort!$B:$F,5,0)-((IF(HO$58/Inputs!$B$11&gt;(1-Inputs!$B$20),Inputs!$B$35,0)+Inputs!$B$38+Inputs!$B$39)*(1+Inputs!$B$23)^(YEAR(Financials!HO$1)-YEAR(Financials!$B$1)))/12</f>
        <v>#N/A</v>
      </c>
      <c r="HP72" s="86" t="e">
        <f>-VLOOKUP(HP$1,Amort!$B:$F,5,0)-((IF(HP$58/Inputs!$B$11&gt;(1-Inputs!$B$20),Inputs!$B$35,0)+Inputs!$B$38+Inputs!$B$39)*(1+Inputs!$B$23)^(YEAR(Financials!HP$1)-YEAR(Financials!$B$1)))/12</f>
        <v>#N/A</v>
      </c>
      <c r="HQ72" s="86" t="e">
        <f>-VLOOKUP(HQ$1,Amort!$B:$F,5,0)-((IF(HQ$58/Inputs!$B$11&gt;(1-Inputs!$B$20),Inputs!$B$35,0)+Inputs!$B$38+Inputs!$B$39)*(1+Inputs!$B$23)^(YEAR(Financials!HQ$1)-YEAR(Financials!$B$1)))/12</f>
        <v>#N/A</v>
      </c>
      <c r="HR72" s="86" t="e">
        <f>-VLOOKUP(HR$1,Amort!$B:$F,5,0)-((IF(HR$58/Inputs!$B$11&gt;(1-Inputs!$B$20),Inputs!$B$35,0)+Inputs!$B$38+Inputs!$B$39)*(1+Inputs!$B$23)^(YEAR(Financials!HR$1)-YEAR(Financials!$B$1)))/12</f>
        <v>#N/A</v>
      </c>
      <c r="HS72" s="86" t="e">
        <f>-VLOOKUP(HS$1,Amort!$B:$F,5,0)-((IF(HS$58/Inputs!$B$11&gt;(1-Inputs!$B$20),Inputs!$B$35,0)+Inputs!$B$38+Inputs!$B$39)*(1+Inputs!$B$23)^(YEAR(Financials!HS$1)-YEAR(Financials!$B$1)))/12</f>
        <v>#N/A</v>
      </c>
      <c r="HT72" s="86" t="e">
        <f>-VLOOKUP(HT$1,Amort!$B:$F,5,0)-((IF(HT$58/Inputs!$B$11&gt;(1-Inputs!$B$20),Inputs!$B$35,0)+Inputs!$B$38+Inputs!$B$39)*(1+Inputs!$B$23)^(YEAR(Financials!HT$1)-YEAR(Financials!$B$1)))/12</f>
        <v>#N/A</v>
      </c>
      <c r="HU72" s="86" t="e">
        <f>-VLOOKUP(HU$1,Amort!$B:$F,5,0)-((IF(HU$58/Inputs!$B$11&gt;(1-Inputs!$B$20),Inputs!$B$35,0)+Inputs!$B$38+Inputs!$B$39)*(1+Inputs!$B$23)^(YEAR(Financials!HU$1)-YEAR(Financials!$B$1)))/12</f>
        <v>#N/A</v>
      </c>
      <c r="HV72" s="86" t="e">
        <f>-VLOOKUP(HV$1,Amort!$B:$F,5,0)-((IF(HV$58/Inputs!$B$11&gt;(1-Inputs!$B$20),Inputs!$B$35,0)+Inputs!$B$38+Inputs!$B$39)*(1+Inputs!$B$23)^(YEAR(Financials!HV$1)-YEAR(Financials!$B$1)))/12</f>
        <v>#N/A</v>
      </c>
      <c r="HW72" s="86" t="e">
        <f>-VLOOKUP(HW$1,Amort!$B:$F,5,0)-((IF(HW$58/Inputs!$B$11&gt;(1-Inputs!$B$20),Inputs!$B$35,0)+Inputs!$B$38+Inputs!$B$39)*(1+Inputs!$B$23)^(YEAR(Financials!HW$1)-YEAR(Financials!$B$1)))/12</f>
        <v>#N/A</v>
      </c>
      <c r="HX72" s="86" t="e">
        <f>-VLOOKUP(HX$1,Amort!$B:$F,5,0)-((IF(HX$58/Inputs!$B$11&gt;(1-Inputs!$B$20),Inputs!$B$35,0)+Inputs!$B$38+Inputs!$B$39)*(1+Inputs!$B$23)^(YEAR(Financials!HX$1)-YEAR(Financials!$B$1)))/12</f>
        <v>#N/A</v>
      </c>
      <c r="HY72" s="86" t="e">
        <f>-VLOOKUP(HY$1,Amort!$B:$F,5,0)-((IF(HY$58/Inputs!$B$11&gt;(1-Inputs!$B$20),Inputs!$B$35,0)+Inputs!$B$38+Inputs!$B$39)*(1+Inputs!$B$23)^(YEAR(Financials!HY$1)-YEAR(Financials!$B$1)))/12</f>
        <v>#N/A</v>
      </c>
      <c r="HZ72" s="86" t="e">
        <f>-VLOOKUP(HZ$1,Amort!$B:$F,5,0)-((IF(HZ$58/Inputs!$B$11&gt;(1-Inputs!$B$20),Inputs!$B$35,0)+Inputs!$B$38+Inputs!$B$39)*(1+Inputs!$B$23)^(YEAR(Financials!HZ$1)-YEAR(Financials!$B$1)))/12</f>
        <v>#N/A</v>
      </c>
      <c r="IA72" s="87" t="e">
        <f t="shared" ref="IA72:IA78" si="1415">SUM(HO72:HZ72)</f>
        <v>#N/A</v>
      </c>
      <c r="IB72" s="86" t="e">
        <f>-VLOOKUP(IB$1,Amort!$B:$F,5,0)-((IF(IB$58/Inputs!$B$11&gt;(1-Inputs!$B$20),Inputs!$B$35,0)+Inputs!$B$38+Inputs!$B$39)*(1+Inputs!$B$23)^(YEAR(Financials!IB$1)-YEAR(Financials!$B$1)))/12</f>
        <v>#N/A</v>
      </c>
      <c r="IC72" s="86" t="e">
        <f>-VLOOKUP(IC$1,Amort!$B:$F,5,0)-((IF(IC$58/Inputs!$B$11&gt;(1-Inputs!$B$20),Inputs!$B$35,0)+Inputs!$B$38+Inputs!$B$39)*(1+Inputs!$B$23)^(YEAR(Financials!IC$1)-YEAR(Financials!$B$1)))/12</f>
        <v>#N/A</v>
      </c>
      <c r="ID72" s="86" t="e">
        <f>-VLOOKUP(ID$1,Amort!$B:$F,5,0)-((IF(ID$58/Inputs!$B$11&gt;(1-Inputs!$B$20),Inputs!$B$35,0)+Inputs!$B$38+Inputs!$B$39)*(1+Inputs!$B$23)^(YEAR(Financials!ID$1)-YEAR(Financials!$B$1)))/12</f>
        <v>#N/A</v>
      </c>
      <c r="IE72" s="86" t="e">
        <f>-VLOOKUP(IE$1,Amort!$B:$F,5,0)-((IF(IE$58/Inputs!$B$11&gt;(1-Inputs!$B$20),Inputs!$B$35,0)+Inputs!$B$38+Inputs!$B$39)*(1+Inputs!$B$23)^(YEAR(Financials!IE$1)-YEAR(Financials!$B$1)))/12</f>
        <v>#N/A</v>
      </c>
      <c r="IF72" s="86" t="e">
        <f>-VLOOKUP(IF$1,Amort!$B:$F,5,0)-((IF(IF$58/Inputs!$B$11&gt;(1-Inputs!$B$20),Inputs!$B$35,0)+Inputs!$B$38+Inputs!$B$39)*(1+Inputs!$B$23)^(YEAR(Financials!IF$1)-YEAR(Financials!$B$1)))/12</f>
        <v>#N/A</v>
      </c>
      <c r="IG72" s="86" t="e">
        <f>-VLOOKUP(IG$1,Amort!$B:$F,5,0)-((IF(IG$58/Inputs!$B$11&gt;(1-Inputs!$B$20),Inputs!$B$35,0)+Inputs!$B$38+Inputs!$B$39)*(1+Inputs!$B$23)^(YEAR(Financials!IG$1)-YEAR(Financials!$B$1)))/12</f>
        <v>#N/A</v>
      </c>
      <c r="IH72" s="86" t="e">
        <f>-VLOOKUP(IH$1,Amort!$B:$F,5,0)-((IF(IH$58/Inputs!$B$11&gt;(1-Inputs!$B$20),Inputs!$B$35,0)+Inputs!$B$38+Inputs!$B$39)*(1+Inputs!$B$23)^(YEAR(Financials!IH$1)-YEAR(Financials!$B$1)))/12</f>
        <v>#N/A</v>
      </c>
      <c r="II72" s="86" t="e">
        <f>-VLOOKUP(II$1,Amort!$B:$F,5,0)-((IF(II$58/Inputs!$B$11&gt;(1-Inputs!$B$20),Inputs!$B$35,0)+Inputs!$B$38+Inputs!$B$39)*(1+Inputs!$B$23)^(YEAR(Financials!II$1)-YEAR(Financials!$B$1)))/12</f>
        <v>#N/A</v>
      </c>
      <c r="IJ72" s="86" t="e">
        <f>-VLOOKUP(IJ$1,Amort!$B:$F,5,0)-((IF(IJ$58/Inputs!$B$11&gt;(1-Inputs!$B$20),Inputs!$B$35,0)+Inputs!$B$38+Inputs!$B$39)*(1+Inputs!$B$23)^(YEAR(Financials!IJ$1)-YEAR(Financials!$B$1)))/12</f>
        <v>#N/A</v>
      </c>
      <c r="IK72" s="86" t="e">
        <f>-VLOOKUP(IK$1,Amort!$B:$F,5,0)-((IF(IK$58/Inputs!$B$11&gt;(1-Inputs!$B$20),Inputs!$B$35,0)+Inputs!$B$38+Inputs!$B$39)*(1+Inputs!$B$23)^(YEAR(Financials!IK$1)-YEAR(Financials!$B$1)))/12</f>
        <v>#N/A</v>
      </c>
      <c r="IL72" s="86" t="e">
        <f>-VLOOKUP(IL$1,Amort!$B:$F,5,0)-((IF(IL$58/Inputs!$B$11&gt;(1-Inputs!$B$20),Inputs!$B$35,0)+Inputs!$B$38+Inputs!$B$39)*(1+Inputs!$B$23)^(YEAR(Financials!IL$1)-YEAR(Financials!$B$1)))/12</f>
        <v>#N/A</v>
      </c>
      <c r="IM72" s="86" t="e">
        <f>-VLOOKUP(IM$1,Amort!$B:$F,5,0)-((IF(IM$58/Inputs!$B$11&gt;(1-Inputs!$B$20),Inputs!$B$35,0)+Inputs!$B$38+Inputs!$B$39)*(1+Inputs!$B$23)^(YEAR(Financials!IM$1)-YEAR(Financials!$B$1)))/12</f>
        <v>#N/A</v>
      </c>
      <c r="IN72" s="87" t="e">
        <f t="shared" ref="IN72:IN78" si="1416">SUM(IB72:IM72)</f>
        <v>#N/A</v>
      </c>
      <c r="IO72" s="86" t="e">
        <f>-VLOOKUP(IO$1,Amort!$B:$F,5,0)-((IF(IO$58/Inputs!$B$11&gt;(1-Inputs!$B$20),Inputs!$B$35,0)+Inputs!$B$38+Inputs!$B$39)*(1+Inputs!$B$23)^(YEAR(Financials!IO$1)-YEAR(Financials!$B$1)))/12</f>
        <v>#N/A</v>
      </c>
      <c r="IP72" s="86" t="e">
        <f>-VLOOKUP(IP$1,Amort!$B:$F,5,0)-((IF(IP$58/Inputs!$B$11&gt;(1-Inputs!$B$20),Inputs!$B$35,0)+Inputs!$B$38+Inputs!$B$39)*(1+Inputs!$B$23)^(YEAR(Financials!IP$1)-YEAR(Financials!$B$1)))/12</f>
        <v>#N/A</v>
      </c>
      <c r="IQ72" s="86" t="e">
        <f>-VLOOKUP(IQ$1,Amort!$B:$F,5,0)-((IF(IQ$58/Inputs!$B$11&gt;(1-Inputs!$B$20),Inputs!$B$35,0)+Inputs!$B$38+Inputs!$B$39)*(1+Inputs!$B$23)^(YEAR(Financials!IQ$1)-YEAR(Financials!$B$1)))/12</f>
        <v>#N/A</v>
      </c>
      <c r="IR72" s="86" t="e">
        <f>-VLOOKUP(IR$1,Amort!$B:$F,5,0)-((IF(IR$58/Inputs!$B$11&gt;(1-Inputs!$B$20),Inputs!$B$35,0)+Inputs!$B$38+Inputs!$B$39)*(1+Inputs!$B$23)^(YEAR(Financials!IR$1)-YEAR(Financials!$B$1)))/12</f>
        <v>#N/A</v>
      </c>
      <c r="IS72" s="86" t="e">
        <f>-VLOOKUP(IS$1,Amort!$B:$F,5,0)-((IF(IS$58/Inputs!$B$11&gt;(1-Inputs!$B$20),Inputs!$B$35,0)+Inputs!$B$38+Inputs!$B$39)*(1+Inputs!$B$23)^(YEAR(Financials!IS$1)-YEAR(Financials!$B$1)))/12</f>
        <v>#N/A</v>
      </c>
      <c r="IT72" s="86" t="e">
        <f>-VLOOKUP(IT$1,Amort!$B:$F,5,0)-((IF(IT$58/Inputs!$B$11&gt;(1-Inputs!$B$20),Inputs!$B$35,0)+Inputs!$B$38+Inputs!$B$39)*(1+Inputs!$B$23)^(YEAR(Financials!IT$1)-YEAR(Financials!$B$1)))/12</f>
        <v>#N/A</v>
      </c>
      <c r="IU72" s="86" t="e">
        <f>-VLOOKUP(IU$1,Amort!$B:$F,5,0)-((IF(IU$58/Inputs!$B$11&gt;(1-Inputs!$B$20),Inputs!$B$35,0)+Inputs!$B$38+Inputs!$B$39)*(1+Inputs!$B$23)^(YEAR(Financials!IU$1)-YEAR(Financials!$B$1)))/12</f>
        <v>#N/A</v>
      </c>
      <c r="IV72" s="86" t="e">
        <f>-VLOOKUP(IV$1,Amort!$B:$F,5,0)-((IF(IV$58/Inputs!$B$11&gt;(1-Inputs!$B$20),Inputs!$B$35,0)+Inputs!$B$38+Inputs!$B$39)*(1+Inputs!$B$23)^(YEAR(Financials!IV$1)-YEAR(Financials!$B$1)))/12</f>
        <v>#N/A</v>
      </c>
      <c r="IW72" s="86" t="e">
        <f>-VLOOKUP(IW$1,Amort!$B:$F,5,0)-((IF(IW$58/Inputs!$B$11&gt;(1-Inputs!$B$20),Inputs!$B$35,0)+Inputs!$B$38+Inputs!$B$39)*(1+Inputs!$B$23)^(YEAR(Financials!IW$1)-YEAR(Financials!$B$1)))/12</f>
        <v>#N/A</v>
      </c>
      <c r="IX72" s="86" t="e">
        <f>-VLOOKUP(IX$1,Amort!$B:$F,5,0)-((IF(IX$58/Inputs!$B$11&gt;(1-Inputs!$B$20),Inputs!$B$35,0)+Inputs!$B$38+Inputs!$B$39)*(1+Inputs!$B$23)^(YEAR(Financials!IX$1)-YEAR(Financials!$B$1)))/12</f>
        <v>#N/A</v>
      </c>
      <c r="IY72" s="86" t="e">
        <f>-VLOOKUP(IY$1,Amort!$B:$F,5,0)-((IF(IY$58/Inputs!$B$11&gt;(1-Inputs!$B$20),Inputs!$B$35,0)+Inputs!$B$38+Inputs!$B$39)*(1+Inputs!$B$23)^(YEAR(Financials!IY$1)-YEAR(Financials!$B$1)))/12</f>
        <v>#N/A</v>
      </c>
      <c r="IZ72" s="86" t="e">
        <f>-VLOOKUP(IZ$1,Amort!$B:$F,5,0)-((IF(IZ$58/Inputs!$B$11&gt;(1-Inputs!$B$20),Inputs!$B$35,0)+Inputs!$B$38+Inputs!$B$39)*(1+Inputs!$B$23)^(YEAR(Financials!IZ$1)-YEAR(Financials!$B$1)))/12</f>
        <v>#N/A</v>
      </c>
      <c r="JA72" s="87" t="e">
        <f t="shared" ref="JA72:JA78" si="1417">SUM(IO72:IZ72)</f>
        <v>#N/A</v>
      </c>
      <c r="JB72" s="86" t="e">
        <f>-VLOOKUP(JB$1,Amort!$B:$F,5,0)-((IF(JB$58/Inputs!$B$11&gt;(1-Inputs!$B$20),Inputs!$B$35,0)+Inputs!$B$38+Inputs!$B$39)*(1+Inputs!$B$23)^(YEAR(Financials!JB$1)-YEAR(Financials!$B$1)))/12</f>
        <v>#N/A</v>
      </c>
      <c r="JC72" s="86" t="e">
        <f>-VLOOKUP(JC$1,Amort!$B:$F,5,0)-((IF(JC$58/Inputs!$B$11&gt;(1-Inputs!$B$20),Inputs!$B$35,0)+Inputs!$B$38+Inputs!$B$39)*(1+Inputs!$B$23)^(YEAR(Financials!JC$1)-YEAR(Financials!$B$1)))/12</f>
        <v>#N/A</v>
      </c>
      <c r="JD72" s="86" t="e">
        <f>-VLOOKUP(JD$1,Amort!$B:$F,5,0)-((IF(JD$58/Inputs!$B$11&gt;(1-Inputs!$B$20),Inputs!$B$35,0)+Inputs!$B$38+Inputs!$B$39)*(1+Inputs!$B$23)^(YEAR(Financials!JD$1)-YEAR(Financials!$B$1)))/12</f>
        <v>#N/A</v>
      </c>
      <c r="JE72" s="86" t="e">
        <f>-VLOOKUP(JE$1,Amort!$B:$F,5,0)-((IF(JE$58/Inputs!$B$11&gt;(1-Inputs!$B$20),Inputs!$B$35,0)+Inputs!$B$38+Inputs!$B$39)*(1+Inputs!$B$23)^(YEAR(Financials!JE$1)-YEAR(Financials!$B$1)))/12</f>
        <v>#N/A</v>
      </c>
      <c r="JF72" s="86" t="e">
        <f>-VLOOKUP(JF$1,Amort!$B:$F,5,0)-((IF(JF$58/Inputs!$B$11&gt;(1-Inputs!$B$20),Inputs!$B$35,0)+Inputs!$B$38+Inputs!$B$39)*(1+Inputs!$B$23)^(YEAR(Financials!JF$1)-YEAR(Financials!$B$1)))/12</f>
        <v>#N/A</v>
      </c>
      <c r="JG72" s="86" t="e">
        <f>-VLOOKUP(JG$1,Amort!$B:$F,5,0)-((IF(JG$58/Inputs!$B$11&gt;(1-Inputs!$B$20),Inputs!$B$35,0)+Inputs!$B$38+Inputs!$B$39)*(1+Inputs!$B$23)^(YEAR(Financials!JG$1)-YEAR(Financials!$B$1)))/12</f>
        <v>#N/A</v>
      </c>
      <c r="JH72" s="86" t="e">
        <f>-VLOOKUP(JH$1,Amort!$B:$F,5,0)-((IF(JH$58/Inputs!$B$11&gt;(1-Inputs!$B$20),Inputs!$B$35,0)+Inputs!$B$38+Inputs!$B$39)*(1+Inputs!$B$23)^(YEAR(Financials!JH$1)-YEAR(Financials!$B$1)))/12</f>
        <v>#N/A</v>
      </c>
      <c r="JI72" s="86" t="e">
        <f>-VLOOKUP(JI$1,Amort!$B:$F,5,0)-((IF(JI$58/Inputs!$B$11&gt;(1-Inputs!$B$20),Inputs!$B$35,0)+Inputs!$B$38+Inputs!$B$39)*(1+Inputs!$B$23)^(YEAR(Financials!JI$1)-YEAR(Financials!$B$1)))/12</f>
        <v>#N/A</v>
      </c>
      <c r="JJ72" s="86" t="e">
        <f>-VLOOKUP(JJ$1,Amort!$B:$F,5,0)-((IF(JJ$58/Inputs!$B$11&gt;(1-Inputs!$B$20),Inputs!$B$35,0)+Inputs!$B$38+Inputs!$B$39)*(1+Inputs!$B$23)^(YEAR(Financials!JJ$1)-YEAR(Financials!$B$1)))/12</f>
        <v>#N/A</v>
      </c>
      <c r="JK72" s="86" t="e">
        <f>-VLOOKUP(JK$1,Amort!$B:$F,5,0)-((IF(JK$58/Inputs!$B$11&gt;(1-Inputs!$B$20),Inputs!$B$35,0)+Inputs!$B$38+Inputs!$B$39)*(1+Inputs!$B$23)^(YEAR(Financials!JK$1)-YEAR(Financials!$B$1)))/12</f>
        <v>#N/A</v>
      </c>
      <c r="JL72" s="86" t="e">
        <f>-VLOOKUP(JL$1,Amort!$B:$F,5,0)-((IF(JL$58/Inputs!$B$11&gt;(1-Inputs!$B$20),Inputs!$B$35,0)+Inputs!$B$38+Inputs!$B$39)*(1+Inputs!$B$23)^(YEAR(Financials!JL$1)-YEAR(Financials!$B$1)))/12</f>
        <v>#N/A</v>
      </c>
      <c r="JM72" s="86" t="e">
        <f>-VLOOKUP(JM$1,Amort!$B:$F,5,0)-((IF(JM$58/Inputs!$B$11&gt;(1-Inputs!$B$20),Inputs!$B$35,0)+Inputs!$B$38+Inputs!$B$39)*(1+Inputs!$B$23)^(YEAR(Financials!JM$1)-YEAR(Financials!$B$1)))/12</f>
        <v>#N/A</v>
      </c>
      <c r="JN72" s="87" t="e">
        <f t="shared" ref="JN72:JN78" si="1418">SUM(JB72:JM72)</f>
        <v>#N/A</v>
      </c>
      <c r="JO72" s="86" t="e">
        <f>-VLOOKUP(JO$1,Amort!$B:$F,5,0)-((IF(JO$58/Inputs!$B$11&gt;(1-Inputs!$B$20),Inputs!$B$35,0)+Inputs!$B$38+Inputs!$B$39)*(1+Inputs!$B$23)^(YEAR(Financials!JO$1)-YEAR(Financials!$B$1)))/12</f>
        <v>#N/A</v>
      </c>
      <c r="JP72" s="86" t="e">
        <f>-VLOOKUP(JP$1,Amort!$B:$F,5,0)-((IF(JP$58/Inputs!$B$11&gt;(1-Inputs!$B$20),Inputs!$B$35,0)+Inputs!$B$38+Inputs!$B$39)*(1+Inputs!$B$23)^(YEAR(Financials!JP$1)-YEAR(Financials!$B$1)))/12</f>
        <v>#N/A</v>
      </c>
      <c r="JQ72" s="86" t="e">
        <f>-VLOOKUP(JQ$1,Amort!$B:$F,5,0)-((IF(JQ$58/Inputs!$B$11&gt;(1-Inputs!$B$20),Inputs!$B$35,0)+Inputs!$B$38+Inputs!$B$39)*(1+Inputs!$B$23)^(YEAR(Financials!JQ$1)-YEAR(Financials!$B$1)))/12</f>
        <v>#N/A</v>
      </c>
      <c r="JR72" s="86" t="e">
        <f>-VLOOKUP(JR$1,Amort!$B:$F,5,0)-((IF(JR$58/Inputs!$B$11&gt;(1-Inputs!$B$20),Inputs!$B$35,0)+Inputs!$B$38+Inputs!$B$39)*(1+Inputs!$B$23)^(YEAR(Financials!JR$1)-YEAR(Financials!$B$1)))/12</f>
        <v>#N/A</v>
      </c>
      <c r="JS72" s="86" t="e">
        <f>-VLOOKUP(JS$1,Amort!$B:$F,5,0)-((IF(JS$58/Inputs!$B$11&gt;(1-Inputs!$B$20),Inputs!$B$35,0)+Inputs!$B$38+Inputs!$B$39)*(1+Inputs!$B$23)^(YEAR(Financials!JS$1)-YEAR(Financials!$B$1)))/12</f>
        <v>#N/A</v>
      </c>
      <c r="JT72" s="86" t="e">
        <f>-VLOOKUP(JT$1,Amort!$B:$F,5,0)-((IF(JT$58/Inputs!$B$11&gt;(1-Inputs!$B$20),Inputs!$B$35,0)+Inputs!$B$38+Inputs!$B$39)*(1+Inputs!$B$23)^(YEAR(Financials!JT$1)-YEAR(Financials!$B$1)))/12</f>
        <v>#N/A</v>
      </c>
      <c r="JU72" s="86" t="e">
        <f>-VLOOKUP(JU$1,Amort!$B:$F,5,0)-((IF(JU$58/Inputs!$B$11&gt;(1-Inputs!$B$20),Inputs!$B$35,0)+Inputs!$B$38+Inputs!$B$39)*(1+Inputs!$B$23)^(YEAR(Financials!JU$1)-YEAR(Financials!$B$1)))/12</f>
        <v>#N/A</v>
      </c>
      <c r="JV72" s="86" t="e">
        <f>-VLOOKUP(JV$1,Amort!$B:$F,5,0)-((IF(JV$58/Inputs!$B$11&gt;(1-Inputs!$B$20),Inputs!$B$35,0)+Inputs!$B$38+Inputs!$B$39)*(1+Inputs!$B$23)^(YEAR(Financials!JV$1)-YEAR(Financials!$B$1)))/12</f>
        <v>#N/A</v>
      </c>
      <c r="JW72" s="86" t="e">
        <f>-VLOOKUP(JW$1,Amort!$B:$F,5,0)-((IF(JW$58/Inputs!$B$11&gt;(1-Inputs!$B$20),Inputs!$B$35,0)+Inputs!$B$38+Inputs!$B$39)*(1+Inputs!$B$23)^(YEAR(Financials!JW$1)-YEAR(Financials!$B$1)))/12</f>
        <v>#N/A</v>
      </c>
      <c r="JX72" s="86" t="e">
        <f>-VLOOKUP(JX$1,Amort!$B:$F,5,0)-((IF(JX$58/Inputs!$B$11&gt;(1-Inputs!$B$20),Inputs!$B$35,0)+Inputs!$B$38+Inputs!$B$39)*(1+Inputs!$B$23)^(YEAR(Financials!JX$1)-YEAR(Financials!$B$1)))/12</f>
        <v>#N/A</v>
      </c>
      <c r="JY72" s="86" t="e">
        <f>-VLOOKUP(JY$1,Amort!$B:$F,5,0)-((IF(JY$58/Inputs!$B$11&gt;(1-Inputs!$B$20),Inputs!$B$35,0)+Inputs!$B$38+Inputs!$B$39)*(1+Inputs!$B$23)^(YEAR(Financials!JY$1)-YEAR(Financials!$B$1)))/12</f>
        <v>#N/A</v>
      </c>
      <c r="JZ72" s="86" t="e">
        <f>-VLOOKUP(JZ$1,Amort!$B:$F,5,0)-((IF(JZ$58/Inputs!$B$11&gt;(1-Inputs!$B$20),Inputs!$B$35,0)+Inputs!$B$38+Inputs!$B$39)*(1+Inputs!$B$23)^(YEAR(Financials!JZ$1)-YEAR(Financials!$B$1)))/12</f>
        <v>#N/A</v>
      </c>
      <c r="KA72" s="87" t="e">
        <f t="shared" ref="KA72:KA78" si="1419">SUM(JO72:JZ72)</f>
        <v>#N/A</v>
      </c>
      <c r="KB72" s="86" t="e">
        <f>-VLOOKUP(KB$1,Amort!$B:$F,5,0)-((IF(KB$58/Inputs!$B$11&gt;(1-Inputs!$B$20),Inputs!$B$35,0)+Inputs!$B$38+Inputs!$B$39)*(1+Inputs!$B$23)^(YEAR(Financials!KB$1)-YEAR(Financials!$B$1)))/12</f>
        <v>#N/A</v>
      </c>
      <c r="KC72" s="86" t="e">
        <f>-VLOOKUP(KC$1,Amort!$B:$F,5,0)-((IF(KC$58/Inputs!$B$11&gt;(1-Inputs!$B$20),Inputs!$B$35,0)+Inputs!$B$38+Inputs!$B$39)*(1+Inputs!$B$23)^(YEAR(Financials!KC$1)-YEAR(Financials!$B$1)))/12</f>
        <v>#N/A</v>
      </c>
      <c r="KD72" s="86" t="e">
        <f>-VLOOKUP(KD$1,Amort!$B:$F,5,0)-((IF(KD$58/Inputs!$B$11&gt;(1-Inputs!$B$20),Inputs!$B$35,0)+Inputs!$B$38+Inputs!$B$39)*(1+Inputs!$B$23)^(YEAR(Financials!KD$1)-YEAR(Financials!$B$1)))/12</f>
        <v>#N/A</v>
      </c>
      <c r="KE72" s="86" t="e">
        <f>-VLOOKUP(KE$1,Amort!$B:$F,5,0)-((IF(KE$58/Inputs!$B$11&gt;(1-Inputs!$B$20),Inputs!$B$35,0)+Inputs!$B$38+Inputs!$B$39)*(1+Inputs!$B$23)^(YEAR(Financials!KE$1)-YEAR(Financials!$B$1)))/12</f>
        <v>#N/A</v>
      </c>
      <c r="KF72" s="86" t="e">
        <f>-VLOOKUP(KF$1,Amort!$B:$F,5,0)-((IF(KF$58/Inputs!$B$11&gt;(1-Inputs!$B$20),Inputs!$B$35,0)+Inputs!$B$38+Inputs!$B$39)*(1+Inputs!$B$23)^(YEAR(Financials!KF$1)-YEAR(Financials!$B$1)))/12</f>
        <v>#N/A</v>
      </c>
      <c r="KG72" s="86" t="e">
        <f>-VLOOKUP(KG$1,Amort!$B:$F,5,0)-((IF(KG$58/Inputs!$B$11&gt;(1-Inputs!$B$20),Inputs!$B$35,0)+Inputs!$B$38+Inputs!$B$39)*(1+Inputs!$B$23)^(YEAR(Financials!KG$1)-YEAR(Financials!$B$1)))/12</f>
        <v>#N/A</v>
      </c>
      <c r="KH72" s="86" t="e">
        <f>-VLOOKUP(KH$1,Amort!$B:$F,5,0)-((IF(KH$58/Inputs!$B$11&gt;(1-Inputs!$B$20),Inputs!$B$35,0)+Inputs!$B$38+Inputs!$B$39)*(1+Inputs!$B$23)^(YEAR(Financials!KH$1)-YEAR(Financials!$B$1)))/12</f>
        <v>#N/A</v>
      </c>
      <c r="KI72" s="86" t="e">
        <f>-VLOOKUP(KI$1,Amort!$B:$F,5,0)-((IF(KI$58/Inputs!$B$11&gt;(1-Inputs!$B$20),Inputs!$B$35,0)+Inputs!$B$38+Inputs!$B$39)*(1+Inputs!$B$23)^(YEAR(Financials!KI$1)-YEAR(Financials!$B$1)))/12</f>
        <v>#N/A</v>
      </c>
      <c r="KJ72" s="86" t="e">
        <f>-VLOOKUP(KJ$1,Amort!$B:$F,5,0)-((IF(KJ$58/Inputs!$B$11&gt;(1-Inputs!$B$20),Inputs!$B$35,0)+Inputs!$B$38+Inputs!$B$39)*(1+Inputs!$B$23)^(YEAR(Financials!KJ$1)-YEAR(Financials!$B$1)))/12</f>
        <v>#N/A</v>
      </c>
      <c r="KK72" s="86" t="e">
        <f>-VLOOKUP(KK$1,Amort!$B:$F,5,0)-((IF(KK$58/Inputs!$B$11&gt;(1-Inputs!$B$20),Inputs!$B$35,0)+Inputs!$B$38+Inputs!$B$39)*(1+Inputs!$B$23)^(YEAR(Financials!KK$1)-YEAR(Financials!$B$1)))/12</f>
        <v>#N/A</v>
      </c>
      <c r="KL72" s="86" t="e">
        <f>-VLOOKUP(KL$1,Amort!$B:$F,5,0)-((IF(KL$58/Inputs!$B$11&gt;(1-Inputs!$B$20),Inputs!$B$35,0)+Inputs!$B$38+Inputs!$B$39)*(1+Inputs!$B$23)^(YEAR(Financials!KL$1)-YEAR(Financials!$B$1)))/12</f>
        <v>#N/A</v>
      </c>
      <c r="KM72" s="86" t="e">
        <f>-VLOOKUP(KM$1,Amort!$B:$F,5,0)-((IF(KM$58/Inputs!$B$11&gt;(1-Inputs!$B$20),Inputs!$B$35,0)+Inputs!$B$38+Inputs!$B$39)*(1+Inputs!$B$23)^(YEAR(Financials!KM$1)-YEAR(Financials!$B$1)))/12</f>
        <v>#N/A</v>
      </c>
      <c r="KN72" s="87" t="e">
        <f t="shared" ref="KN72:KN73" si="1420">SUM(KB72:KM72)</f>
        <v>#N/A</v>
      </c>
      <c r="KO72" s="86" t="e">
        <f>-VLOOKUP(KO$1,Amort!$B:$F,5,0)-((IF(KO$58/Inputs!$B$11&gt;(1-Inputs!$B$20),Inputs!$B$35,0)+Inputs!$B$38+Inputs!$B$39)*(1+Inputs!$B$23)^(YEAR(Financials!KO$1)-YEAR(Financials!$B$1)))/12</f>
        <v>#N/A</v>
      </c>
      <c r="KP72" s="86" t="e">
        <f>-VLOOKUP(KP$1,Amort!$B:$F,5,0)-((IF(KP$58/Inputs!$B$11&gt;(1-Inputs!$B$20),Inputs!$B$35,0)+Inputs!$B$38+Inputs!$B$39)*(1+Inputs!$B$23)^(YEAR(Financials!KP$1)-YEAR(Financials!$B$1)))/12</f>
        <v>#N/A</v>
      </c>
      <c r="KQ72" s="86" t="e">
        <f>-VLOOKUP(KQ$1,Amort!$B:$F,5,0)-((IF(KQ$58/Inputs!$B$11&gt;(1-Inputs!$B$20),Inputs!$B$35,0)+Inputs!$B$38+Inputs!$B$39)*(1+Inputs!$B$23)^(YEAR(Financials!KQ$1)-YEAR(Financials!$B$1)))/12</f>
        <v>#N/A</v>
      </c>
      <c r="KR72" s="86" t="e">
        <f>-VLOOKUP(KR$1,Amort!$B:$F,5,0)-((IF(KR$58/Inputs!$B$11&gt;(1-Inputs!$B$20),Inputs!$B$35,0)+Inputs!$B$38+Inputs!$B$39)*(1+Inputs!$B$23)^(YEAR(Financials!KR$1)-YEAR(Financials!$B$1)))/12</f>
        <v>#N/A</v>
      </c>
      <c r="KS72" s="86" t="e">
        <f>-VLOOKUP(KS$1,Amort!$B:$F,5,0)-((IF(KS$58/Inputs!$B$11&gt;(1-Inputs!$B$20),Inputs!$B$35,0)+Inputs!$B$38+Inputs!$B$39)*(1+Inputs!$B$23)^(YEAR(Financials!KS$1)-YEAR(Financials!$B$1)))/12</f>
        <v>#N/A</v>
      </c>
      <c r="KT72" s="86" t="e">
        <f>-VLOOKUP(KT$1,Amort!$B:$F,5,0)-((IF(KT$58/Inputs!$B$11&gt;(1-Inputs!$B$20),Inputs!$B$35,0)+Inputs!$B$38+Inputs!$B$39)*(1+Inputs!$B$23)^(YEAR(Financials!KT$1)-YEAR(Financials!$B$1)))/12</f>
        <v>#N/A</v>
      </c>
      <c r="KU72" s="86" t="e">
        <f>-VLOOKUP(KU$1,Amort!$B:$F,5,0)-((IF(KU$58/Inputs!$B$11&gt;(1-Inputs!$B$20),Inputs!$B$35,0)+Inputs!$B$38+Inputs!$B$39)*(1+Inputs!$B$23)^(YEAR(Financials!KU$1)-YEAR(Financials!$B$1)))/12</f>
        <v>#N/A</v>
      </c>
      <c r="KV72" s="86" t="e">
        <f>-VLOOKUP(KV$1,Amort!$B:$F,5,0)-((IF(KV$58/Inputs!$B$11&gt;(1-Inputs!$B$20),Inputs!$B$35,0)+Inputs!$B$38+Inputs!$B$39)*(1+Inputs!$B$23)^(YEAR(Financials!KV$1)-YEAR(Financials!$B$1)))/12</f>
        <v>#N/A</v>
      </c>
      <c r="KW72" s="86" t="e">
        <f>-VLOOKUP(KW$1,Amort!$B:$F,5,0)-((IF(KW$58/Inputs!$B$11&gt;(1-Inputs!$B$20),Inputs!$B$35,0)+Inputs!$B$38+Inputs!$B$39)*(1+Inputs!$B$23)^(YEAR(Financials!KW$1)-YEAR(Financials!$B$1)))/12</f>
        <v>#N/A</v>
      </c>
      <c r="KX72" s="86" t="e">
        <f>-VLOOKUP(KX$1,Amort!$B:$F,5,0)-((IF(KX$58/Inputs!$B$11&gt;(1-Inputs!$B$20),Inputs!$B$35,0)+Inputs!$B$38+Inputs!$B$39)*(1+Inputs!$B$23)^(YEAR(Financials!KX$1)-YEAR(Financials!$B$1)))/12</f>
        <v>#N/A</v>
      </c>
      <c r="KY72" s="86" t="e">
        <f>-VLOOKUP(KY$1,Amort!$B:$F,5,0)-((IF(KY$58/Inputs!$B$11&gt;(1-Inputs!$B$20),Inputs!$B$35,0)+Inputs!$B$38+Inputs!$B$39)*(1+Inputs!$B$23)^(YEAR(Financials!KY$1)-YEAR(Financials!$B$1)))/12</f>
        <v>#N/A</v>
      </c>
      <c r="KZ72" s="86" t="e">
        <f>-VLOOKUP(KZ$1,Amort!$B:$F,5,0)-((IF(KZ$58/Inputs!$B$11&gt;(1-Inputs!$B$20),Inputs!$B$35,0)+Inputs!$B$38+Inputs!$B$39)*(1+Inputs!$B$23)^(YEAR(Financials!KZ$1)-YEAR(Financials!$B$1)))/12</f>
        <v>#N/A</v>
      </c>
      <c r="LA72" s="87" t="e">
        <f t="shared" ref="LA72:LA78" si="1421">SUM(KO72:KZ72)</f>
        <v>#N/A</v>
      </c>
      <c r="LB72" s="86" t="e">
        <f>-VLOOKUP(LB$1,Amort!$B:$F,5,0)-((IF(LB$58/Inputs!$B$11&gt;(1-Inputs!$B$20),Inputs!$B$35,0)+Inputs!$B$38+Inputs!$B$39)*(1+Inputs!$B$23)^(YEAR(Financials!LB$1)-YEAR(Financials!$B$1)))/12</f>
        <v>#N/A</v>
      </c>
      <c r="LC72" s="86" t="e">
        <f>-VLOOKUP(LC$1,Amort!$B:$F,5,0)-((IF(LC$58/Inputs!$B$11&gt;(1-Inputs!$B$20),Inputs!$B$35,0)+Inputs!$B$38+Inputs!$B$39)*(1+Inputs!$B$23)^(YEAR(Financials!LC$1)-YEAR(Financials!$B$1)))/12</f>
        <v>#N/A</v>
      </c>
      <c r="LD72" s="86" t="e">
        <f>-VLOOKUP(LD$1,Amort!$B:$F,5,0)-((IF(LD$58/Inputs!$B$11&gt;(1-Inputs!$B$20),Inputs!$B$35,0)+Inputs!$B$38+Inputs!$B$39)*(1+Inputs!$B$23)^(YEAR(Financials!LD$1)-YEAR(Financials!$B$1)))/12</f>
        <v>#N/A</v>
      </c>
      <c r="LE72" s="86" t="e">
        <f>-VLOOKUP(LE$1,Amort!$B:$F,5,0)-((IF(LE$58/Inputs!$B$11&gt;(1-Inputs!$B$20),Inputs!$B$35,0)+Inputs!$B$38+Inputs!$B$39)*(1+Inputs!$B$23)^(YEAR(Financials!LE$1)-YEAR(Financials!$B$1)))/12</f>
        <v>#N/A</v>
      </c>
      <c r="LF72" s="86" t="e">
        <f>-VLOOKUP(LF$1,Amort!$B:$F,5,0)-((IF(LF$58/Inputs!$B$11&gt;(1-Inputs!$B$20),Inputs!$B$35,0)+Inputs!$B$38+Inputs!$B$39)*(1+Inputs!$B$23)^(YEAR(Financials!LF$1)-YEAR(Financials!$B$1)))/12</f>
        <v>#N/A</v>
      </c>
      <c r="LG72" s="86" t="e">
        <f>-VLOOKUP(LG$1,Amort!$B:$F,5,0)-((IF(LG$58/Inputs!$B$11&gt;(1-Inputs!$B$20),Inputs!$B$35,0)+Inputs!$B$38+Inputs!$B$39)*(1+Inputs!$B$23)^(YEAR(Financials!LG$1)-YEAR(Financials!$B$1)))/12</f>
        <v>#N/A</v>
      </c>
      <c r="LH72" s="86" t="e">
        <f>-VLOOKUP(LH$1,Amort!$B:$F,5,0)-((IF(LH$58/Inputs!$B$11&gt;(1-Inputs!$B$20),Inputs!$B$35,0)+Inputs!$B$38+Inputs!$B$39)*(1+Inputs!$B$23)^(YEAR(Financials!LH$1)-YEAR(Financials!$B$1)))/12</f>
        <v>#N/A</v>
      </c>
      <c r="LI72" s="86" t="e">
        <f>-VLOOKUP(LI$1,Amort!$B:$F,5,0)-((IF(LI$58/Inputs!$B$11&gt;(1-Inputs!$B$20),Inputs!$B$35,0)+Inputs!$B$38+Inputs!$B$39)*(1+Inputs!$B$23)^(YEAR(Financials!LI$1)-YEAR(Financials!$B$1)))/12</f>
        <v>#N/A</v>
      </c>
      <c r="LJ72" s="86" t="e">
        <f>-VLOOKUP(LJ$1,Amort!$B:$F,5,0)-((IF(LJ$58/Inputs!$B$11&gt;(1-Inputs!$B$20),Inputs!$B$35,0)+Inputs!$B$38+Inputs!$B$39)*(1+Inputs!$B$23)^(YEAR(Financials!LJ$1)-YEAR(Financials!$B$1)))/12</f>
        <v>#N/A</v>
      </c>
      <c r="LK72" s="86" t="e">
        <f>-VLOOKUP(LK$1,Amort!$B:$F,5,0)-((IF(LK$58/Inputs!$B$11&gt;(1-Inputs!$B$20),Inputs!$B$35,0)+Inputs!$B$38+Inputs!$B$39)*(1+Inputs!$B$23)^(YEAR(Financials!LK$1)-YEAR(Financials!$B$1)))/12</f>
        <v>#N/A</v>
      </c>
      <c r="LL72" s="86" t="e">
        <f>-VLOOKUP(LL$1,Amort!$B:$F,5,0)-((IF(LL$58/Inputs!$B$11&gt;(1-Inputs!$B$20),Inputs!$B$35,0)+Inputs!$B$38+Inputs!$B$39)*(1+Inputs!$B$23)^(YEAR(Financials!LL$1)-YEAR(Financials!$B$1)))/12</f>
        <v>#N/A</v>
      </c>
      <c r="LM72" s="86" t="e">
        <f>-VLOOKUP(LM$1,Amort!$B:$F,5,0)-((IF(LM$58/Inputs!$B$11&gt;(1-Inputs!$B$20),Inputs!$B$35,0)+Inputs!$B$38+Inputs!$B$39)*(1+Inputs!$B$23)^(YEAR(Financials!LM$1)-YEAR(Financials!$B$1)))/12</f>
        <v>#N/A</v>
      </c>
      <c r="LN72" s="87" t="e">
        <f t="shared" ref="LN72:LN78" si="1422">SUM(LB72:LM72)</f>
        <v>#N/A</v>
      </c>
      <c r="LO72" s="86" t="e">
        <f>-VLOOKUP(LO$1,Amort!$B:$F,5,0)-((IF(LO$58/Inputs!$B$11&gt;(1-Inputs!$B$20),Inputs!$B$35,0)+Inputs!$B$38+Inputs!$B$39)*(1+Inputs!$B$23)^(YEAR(Financials!LO$1)-YEAR(Financials!$B$1)))/12</f>
        <v>#N/A</v>
      </c>
      <c r="LP72" s="86" t="e">
        <f>-VLOOKUP(LP$1,Amort!$B:$F,5,0)-((IF(LP$58/Inputs!$B$11&gt;(1-Inputs!$B$20),Inputs!$B$35,0)+Inputs!$B$38+Inputs!$B$39)*(1+Inputs!$B$23)^(YEAR(Financials!LP$1)-YEAR(Financials!$B$1)))/12</f>
        <v>#N/A</v>
      </c>
      <c r="LQ72" s="86" t="e">
        <f>-VLOOKUP(LQ$1,Amort!$B:$F,5,0)-((IF(LQ$58/Inputs!$B$11&gt;(1-Inputs!$B$20),Inputs!$B$35,0)+Inputs!$B$38+Inputs!$B$39)*(1+Inputs!$B$23)^(YEAR(Financials!LQ$1)-YEAR(Financials!$B$1)))/12</f>
        <v>#N/A</v>
      </c>
      <c r="LR72" s="86" t="e">
        <f>-VLOOKUP(LR$1,Amort!$B:$F,5,0)-((IF(LR$58/Inputs!$B$11&gt;(1-Inputs!$B$20),Inputs!$B$35,0)+Inputs!$B$38+Inputs!$B$39)*(1+Inputs!$B$23)^(YEAR(Financials!LR$1)-YEAR(Financials!$B$1)))/12</f>
        <v>#N/A</v>
      </c>
      <c r="LS72" s="86" t="e">
        <f>-VLOOKUP(LS$1,Amort!$B:$F,5,0)-((IF(LS$58/Inputs!$B$11&gt;(1-Inputs!$B$20),Inputs!$B$35,0)+Inputs!$B$38+Inputs!$B$39)*(1+Inputs!$B$23)^(YEAR(Financials!LS$1)-YEAR(Financials!$B$1)))/12</f>
        <v>#N/A</v>
      </c>
      <c r="LT72" s="86" t="e">
        <f>-VLOOKUP(LT$1,Amort!$B:$F,5,0)-((IF(LT$58/Inputs!$B$11&gt;(1-Inputs!$B$20),Inputs!$B$35,0)+Inputs!$B$38+Inputs!$B$39)*(1+Inputs!$B$23)^(YEAR(Financials!LT$1)-YEAR(Financials!$B$1)))/12</f>
        <v>#N/A</v>
      </c>
      <c r="LU72" s="86" t="e">
        <f>-VLOOKUP(LU$1,Amort!$B:$F,5,0)-((IF(LU$58/Inputs!$B$11&gt;(1-Inputs!$B$20),Inputs!$B$35,0)+Inputs!$B$38+Inputs!$B$39)*(1+Inputs!$B$23)^(YEAR(Financials!LU$1)-YEAR(Financials!$B$1)))/12</f>
        <v>#N/A</v>
      </c>
      <c r="LV72" s="86" t="e">
        <f>-VLOOKUP(LV$1,Amort!$B:$F,5,0)-((IF(LV$58/Inputs!$B$11&gt;(1-Inputs!$B$20),Inputs!$B$35,0)+Inputs!$B$38+Inputs!$B$39)*(1+Inputs!$B$23)^(YEAR(Financials!LV$1)-YEAR(Financials!$B$1)))/12</f>
        <v>#N/A</v>
      </c>
      <c r="LW72" s="86" t="e">
        <f>-VLOOKUP(LW$1,Amort!$B:$F,5,0)-((IF(LW$58/Inputs!$B$11&gt;(1-Inputs!$B$20),Inputs!$B$35,0)+Inputs!$B$38+Inputs!$B$39)*(1+Inputs!$B$23)^(YEAR(Financials!LW$1)-YEAR(Financials!$B$1)))/12</f>
        <v>#N/A</v>
      </c>
      <c r="LX72" s="86" t="e">
        <f>-VLOOKUP(LX$1,Amort!$B:$F,5,0)-((IF(LX$58/Inputs!$B$11&gt;(1-Inputs!$B$20),Inputs!$B$35,0)+Inputs!$B$38+Inputs!$B$39)*(1+Inputs!$B$23)^(YEAR(Financials!LX$1)-YEAR(Financials!$B$1)))/12</f>
        <v>#N/A</v>
      </c>
      <c r="LY72" s="86" t="e">
        <f>-VLOOKUP(LY$1,Amort!$B:$F,5,0)-((IF(LY$58/Inputs!$B$11&gt;(1-Inputs!$B$20),Inputs!$B$35,0)+Inputs!$B$38+Inputs!$B$39)*(1+Inputs!$B$23)^(YEAR(Financials!LY$1)-YEAR(Financials!$B$1)))/12</f>
        <v>#N/A</v>
      </c>
      <c r="LZ72" s="86" t="e">
        <f>-VLOOKUP(LZ$1,Amort!$B:$F,5,0)-((IF(LZ$58/Inputs!$B$11&gt;(1-Inputs!$B$20),Inputs!$B$35,0)+Inputs!$B$38+Inputs!$B$39)*(1+Inputs!$B$23)^(YEAR(Financials!LZ$1)-YEAR(Financials!$B$1)))/12</f>
        <v>#N/A</v>
      </c>
      <c r="MA72" s="87" t="e">
        <f t="shared" ref="MA72:MA78" si="1423">SUM(LO72:LZ72)</f>
        <v>#N/A</v>
      </c>
      <c r="MB72" s="86" t="e">
        <f>-VLOOKUP(MB$1,Amort!$B:$F,5,0)-((IF(MB$58/Inputs!$B$11&gt;(1-Inputs!$B$20),Inputs!$B$35,0)+Inputs!$B$38+Inputs!$B$39)*(1+Inputs!$B$23)^(YEAR(Financials!MB$1)-YEAR(Financials!$B$1)))/12</f>
        <v>#N/A</v>
      </c>
      <c r="MC72" s="86" t="e">
        <f>-VLOOKUP(MC$1,Amort!$B:$F,5,0)-((IF(MC$58/Inputs!$B$11&gt;(1-Inputs!$B$20),Inputs!$B$35,0)+Inputs!$B$38+Inputs!$B$39)*(1+Inputs!$B$23)^(YEAR(Financials!MC$1)-YEAR(Financials!$B$1)))/12</f>
        <v>#N/A</v>
      </c>
      <c r="MD72" s="86" t="e">
        <f>-VLOOKUP(MD$1,Amort!$B:$F,5,0)-((IF(MD$58/Inputs!$B$11&gt;(1-Inputs!$B$20),Inputs!$B$35,0)+Inputs!$B$38+Inputs!$B$39)*(1+Inputs!$B$23)^(YEAR(Financials!MD$1)-YEAR(Financials!$B$1)))/12</f>
        <v>#N/A</v>
      </c>
      <c r="ME72" s="86" t="e">
        <f>-VLOOKUP(ME$1,Amort!$B:$F,5,0)-((IF(ME$58/Inputs!$B$11&gt;(1-Inputs!$B$20),Inputs!$B$35,0)+Inputs!$B$38+Inputs!$B$39)*(1+Inputs!$B$23)^(YEAR(Financials!ME$1)-YEAR(Financials!$B$1)))/12</f>
        <v>#N/A</v>
      </c>
      <c r="MF72" s="86" t="e">
        <f>-VLOOKUP(MF$1,Amort!$B:$F,5,0)-((IF(MF$58/Inputs!$B$11&gt;(1-Inputs!$B$20),Inputs!$B$35,0)+Inputs!$B$38+Inputs!$B$39)*(1+Inputs!$B$23)^(YEAR(Financials!MF$1)-YEAR(Financials!$B$1)))/12</f>
        <v>#N/A</v>
      </c>
      <c r="MG72" s="86" t="e">
        <f>-VLOOKUP(MG$1,Amort!$B:$F,5,0)-((IF(MG$58/Inputs!$B$11&gt;(1-Inputs!$B$20),Inputs!$B$35,0)+Inputs!$B$38+Inputs!$B$39)*(1+Inputs!$B$23)^(YEAR(Financials!MG$1)-YEAR(Financials!$B$1)))/12</f>
        <v>#N/A</v>
      </c>
      <c r="MH72" s="86" t="e">
        <f>-VLOOKUP(MH$1,Amort!$B:$F,5,0)-((IF(MH$58/Inputs!$B$11&gt;(1-Inputs!$B$20),Inputs!$B$35,0)+Inputs!$B$38+Inputs!$B$39)*(1+Inputs!$B$23)^(YEAR(Financials!MH$1)-YEAR(Financials!$B$1)))/12</f>
        <v>#N/A</v>
      </c>
      <c r="MI72" s="86" t="e">
        <f>-VLOOKUP(MI$1,Amort!$B:$F,5,0)-((IF(MI$58/Inputs!$B$11&gt;(1-Inputs!$B$20),Inputs!$B$35,0)+Inputs!$B$38+Inputs!$B$39)*(1+Inputs!$B$23)^(YEAR(Financials!MI$1)-YEAR(Financials!$B$1)))/12</f>
        <v>#N/A</v>
      </c>
      <c r="MJ72" s="86" t="e">
        <f>-VLOOKUP(MJ$1,Amort!$B:$F,5,0)-((IF(MJ$58/Inputs!$B$11&gt;(1-Inputs!$B$20),Inputs!$B$35,0)+Inputs!$B$38+Inputs!$B$39)*(1+Inputs!$B$23)^(YEAR(Financials!MJ$1)-YEAR(Financials!$B$1)))/12</f>
        <v>#N/A</v>
      </c>
      <c r="MK72" s="86" t="e">
        <f>-VLOOKUP(MK$1,Amort!$B:$F,5,0)-((IF(MK$58/Inputs!$B$11&gt;(1-Inputs!$B$20),Inputs!$B$35,0)+Inputs!$B$38+Inputs!$B$39)*(1+Inputs!$B$23)^(YEAR(Financials!MK$1)-YEAR(Financials!$B$1)))/12</f>
        <v>#N/A</v>
      </c>
      <c r="ML72" s="86" t="e">
        <f>-VLOOKUP(ML$1,Amort!$B:$F,5,0)-((IF(ML$58/Inputs!$B$11&gt;(1-Inputs!$B$20),Inputs!$B$35,0)+Inputs!$B$38+Inputs!$B$39)*(1+Inputs!$B$23)^(YEAR(Financials!ML$1)-YEAR(Financials!$B$1)))/12</f>
        <v>#N/A</v>
      </c>
      <c r="MM72" s="86" t="e">
        <f>-VLOOKUP(MM$1,Amort!$B:$F,5,0)-((IF(MM$58/Inputs!$B$11&gt;(1-Inputs!$B$20),Inputs!$B$35,0)+Inputs!$B$38+Inputs!$B$39)*(1+Inputs!$B$23)^(YEAR(Financials!MM$1)-YEAR(Financials!$B$1)))/12</f>
        <v>#N/A</v>
      </c>
      <c r="MN72" s="87" t="e">
        <f t="shared" ref="MN72:MN78" si="1424">SUM(MB72:MM72)</f>
        <v>#N/A</v>
      </c>
      <c r="MO72" s="86" t="e">
        <f>-VLOOKUP(MO$1,Amort!$B:$F,5,0)-((IF(MO$58/Inputs!$B$11&gt;(1-Inputs!$B$20),Inputs!$B$35,0)+Inputs!$B$38+Inputs!$B$39)*(1+Inputs!$B$23)^(YEAR(Financials!MO$1)-YEAR(Financials!$B$1)))/12</f>
        <v>#N/A</v>
      </c>
      <c r="MP72" s="86" t="e">
        <f>-VLOOKUP(MP$1,Amort!$B:$F,5,0)-((IF(MP$58/Inputs!$B$11&gt;(1-Inputs!$B$20),Inputs!$B$35,0)+Inputs!$B$38+Inputs!$B$39)*(1+Inputs!$B$23)^(YEAR(Financials!MP$1)-YEAR(Financials!$B$1)))/12</f>
        <v>#N/A</v>
      </c>
      <c r="MQ72" s="86" t="e">
        <f>-VLOOKUP(MQ$1,Amort!$B:$F,5,0)-((IF(MQ$58/Inputs!$B$11&gt;(1-Inputs!$B$20),Inputs!$B$35,0)+Inputs!$B$38+Inputs!$B$39)*(1+Inputs!$B$23)^(YEAR(Financials!MQ$1)-YEAR(Financials!$B$1)))/12</f>
        <v>#N/A</v>
      </c>
      <c r="MR72" s="86" t="e">
        <f>-VLOOKUP(MR$1,Amort!$B:$F,5,0)-((IF(MR$58/Inputs!$B$11&gt;(1-Inputs!$B$20),Inputs!$B$35,0)+Inputs!$B$38+Inputs!$B$39)*(1+Inputs!$B$23)^(YEAR(Financials!MR$1)-YEAR(Financials!$B$1)))/12</f>
        <v>#N/A</v>
      </c>
      <c r="MS72" s="86" t="e">
        <f>-VLOOKUP(MS$1,Amort!$B:$F,5,0)-((IF(MS$58/Inputs!$B$11&gt;(1-Inputs!$B$20),Inputs!$B$35,0)+Inputs!$B$38+Inputs!$B$39)*(1+Inputs!$B$23)^(YEAR(Financials!MS$1)-YEAR(Financials!$B$1)))/12</f>
        <v>#N/A</v>
      </c>
      <c r="MT72" s="86" t="e">
        <f>-VLOOKUP(MT$1,Amort!$B:$F,5,0)-((IF(MT$58/Inputs!$B$11&gt;(1-Inputs!$B$20),Inputs!$B$35,0)+Inputs!$B$38+Inputs!$B$39)*(1+Inputs!$B$23)^(YEAR(Financials!MT$1)-YEAR(Financials!$B$1)))/12</f>
        <v>#N/A</v>
      </c>
      <c r="MU72" s="86" t="e">
        <f>-VLOOKUP(MU$1,Amort!$B:$F,5,0)-((IF(MU$58/Inputs!$B$11&gt;(1-Inputs!$B$20),Inputs!$B$35,0)+Inputs!$B$38+Inputs!$B$39)*(1+Inputs!$B$23)^(YEAR(Financials!MU$1)-YEAR(Financials!$B$1)))/12</f>
        <v>#N/A</v>
      </c>
      <c r="MV72" s="86" t="e">
        <f>-VLOOKUP(MV$1,Amort!$B:$F,5,0)-((IF(MV$58/Inputs!$B$11&gt;(1-Inputs!$B$20),Inputs!$B$35,0)+Inputs!$B$38+Inputs!$B$39)*(1+Inputs!$B$23)^(YEAR(Financials!MV$1)-YEAR(Financials!$B$1)))/12</f>
        <v>#N/A</v>
      </c>
      <c r="MW72" s="86" t="e">
        <f>-VLOOKUP(MW$1,Amort!$B:$F,5,0)-((IF(MW$58/Inputs!$B$11&gt;(1-Inputs!$B$20),Inputs!$B$35,0)+Inputs!$B$38+Inputs!$B$39)*(1+Inputs!$B$23)^(YEAR(Financials!MW$1)-YEAR(Financials!$B$1)))/12</f>
        <v>#N/A</v>
      </c>
      <c r="MX72" s="86" t="e">
        <f>-VLOOKUP(MX$1,Amort!$B:$F,5,0)-((IF(MX$58/Inputs!$B$11&gt;(1-Inputs!$B$20),Inputs!$B$35,0)+Inputs!$B$38+Inputs!$B$39)*(1+Inputs!$B$23)^(YEAR(Financials!MX$1)-YEAR(Financials!$B$1)))/12</f>
        <v>#N/A</v>
      </c>
      <c r="MY72" s="86" t="e">
        <f>-VLOOKUP(MY$1,Amort!$B:$F,5,0)-((IF(MY$58/Inputs!$B$11&gt;(1-Inputs!$B$20),Inputs!$B$35,0)+Inputs!$B$38+Inputs!$B$39)*(1+Inputs!$B$23)^(YEAR(Financials!MY$1)-YEAR(Financials!$B$1)))/12</f>
        <v>#N/A</v>
      </c>
      <c r="MZ72" s="86" t="e">
        <f>-VLOOKUP(MZ$1,Amort!$B:$F,5,0)-((IF(MZ$58/Inputs!$B$11&gt;(1-Inputs!$B$20),Inputs!$B$35,0)+Inputs!$B$38+Inputs!$B$39)*(1+Inputs!$B$23)^(YEAR(Financials!MZ$1)-YEAR(Financials!$B$1)))/12</f>
        <v>#N/A</v>
      </c>
      <c r="NA72" s="87" t="e">
        <f t="shared" ref="NA72:NA78" si="1425">SUM(MO72:MZ72)</f>
        <v>#N/A</v>
      </c>
      <c r="NB72" s="86" t="e">
        <f>-VLOOKUP(NB$1,Amort!$B:$F,5,0)-((IF(NB$58/Inputs!$B$11&gt;(1-Inputs!$B$20),Inputs!$B$35,0)+Inputs!$B$38+Inputs!$B$39)*(1+Inputs!$B$23)^(YEAR(Financials!NB$1)-YEAR(Financials!$B$1)))/12</f>
        <v>#N/A</v>
      </c>
      <c r="NC72" s="86" t="e">
        <f>-VLOOKUP(NC$1,Amort!$B:$F,5,0)-((IF(NC$58/Inputs!$B$11&gt;(1-Inputs!$B$20),Inputs!$B$35,0)+Inputs!$B$38+Inputs!$B$39)*(1+Inputs!$B$23)^(YEAR(Financials!NC$1)-YEAR(Financials!$B$1)))/12</f>
        <v>#N/A</v>
      </c>
      <c r="ND72" s="86" t="e">
        <f>-VLOOKUP(ND$1,Amort!$B:$F,5,0)-((IF(ND$58/Inputs!$B$11&gt;(1-Inputs!$B$20),Inputs!$B$35,0)+Inputs!$B$38+Inputs!$B$39)*(1+Inputs!$B$23)^(YEAR(Financials!ND$1)-YEAR(Financials!$B$1)))/12</f>
        <v>#N/A</v>
      </c>
      <c r="NE72" s="86" t="e">
        <f>-VLOOKUP(NE$1,Amort!$B:$F,5,0)-((IF(NE$58/Inputs!$B$11&gt;(1-Inputs!$B$20),Inputs!$B$35,0)+Inputs!$B$38+Inputs!$B$39)*(1+Inputs!$B$23)^(YEAR(Financials!NE$1)-YEAR(Financials!$B$1)))/12</f>
        <v>#N/A</v>
      </c>
      <c r="NF72" s="86" t="e">
        <f>-VLOOKUP(NF$1,Amort!$B:$F,5,0)-((IF(NF$58/Inputs!$B$11&gt;(1-Inputs!$B$20),Inputs!$B$35,0)+Inputs!$B$38+Inputs!$B$39)*(1+Inputs!$B$23)^(YEAR(Financials!NF$1)-YEAR(Financials!$B$1)))/12</f>
        <v>#N/A</v>
      </c>
      <c r="NG72" s="86" t="e">
        <f>-VLOOKUP(NG$1,Amort!$B:$F,5,0)-((IF(NG$58/Inputs!$B$11&gt;(1-Inputs!$B$20),Inputs!$B$35,0)+Inputs!$B$38+Inputs!$B$39)*(1+Inputs!$B$23)^(YEAR(Financials!NG$1)-YEAR(Financials!$B$1)))/12</f>
        <v>#N/A</v>
      </c>
      <c r="NH72" s="86" t="e">
        <f>-VLOOKUP(NH$1,Amort!$B:$F,5,0)-((IF(NH$58/Inputs!$B$11&gt;(1-Inputs!$B$20),Inputs!$B$35,0)+Inputs!$B$38+Inputs!$B$39)*(1+Inputs!$B$23)^(YEAR(Financials!NH$1)-YEAR(Financials!$B$1)))/12</f>
        <v>#N/A</v>
      </c>
      <c r="NI72" s="86" t="e">
        <f>-VLOOKUP(NI$1,Amort!$B:$F,5,0)-((IF(NI$58/Inputs!$B$11&gt;(1-Inputs!$B$20),Inputs!$B$35,0)+Inputs!$B$38+Inputs!$B$39)*(1+Inputs!$B$23)^(YEAR(Financials!NI$1)-YEAR(Financials!$B$1)))/12</f>
        <v>#N/A</v>
      </c>
      <c r="NJ72" s="86" t="e">
        <f>-VLOOKUP(NJ$1,Amort!$B:$F,5,0)-((IF(NJ$58/Inputs!$B$11&gt;(1-Inputs!$B$20),Inputs!$B$35,0)+Inputs!$B$38+Inputs!$B$39)*(1+Inputs!$B$23)^(YEAR(Financials!NJ$1)-YEAR(Financials!$B$1)))/12</f>
        <v>#N/A</v>
      </c>
      <c r="NK72" s="86" t="e">
        <f>-VLOOKUP(NK$1,Amort!$B:$F,5,0)-((IF(NK$58/Inputs!$B$11&gt;(1-Inputs!$B$20),Inputs!$B$35,0)+Inputs!$B$38+Inputs!$B$39)*(1+Inputs!$B$23)^(YEAR(Financials!NK$1)-YEAR(Financials!$B$1)))/12</f>
        <v>#N/A</v>
      </c>
      <c r="NL72" s="86" t="e">
        <f>-VLOOKUP(NL$1,Amort!$B:$F,5,0)-((IF(NL$58/Inputs!$B$11&gt;(1-Inputs!$B$20),Inputs!$B$35,0)+Inputs!$B$38+Inputs!$B$39)*(1+Inputs!$B$23)^(YEAR(Financials!NL$1)-YEAR(Financials!$B$1)))/12</f>
        <v>#N/A</v>
      </c>
      <c r="NM72" s="86" t="e">
        <f>-VLOOKUP(NM$1,Amort!$B:$F,5,0)-((IF(NM$58/Inputs!$B$11&gt;(1-Inputs!$B$20),Inputs!$B$35,0)+Inputs!$B$38+Inputs!$B$39)*(1+Inputs!$B$23)^(YEAR(Financials!NM$1)-YEAR(Financials!$B$1)))/12</f>
        <v>#N/A</v>
      </c>
      <c r="NN72" s="87" t="e">
        <f t="shared" ref="NN72:NN78" si="1426">SUM(NB72:NM72)</f>
        <v>#N/A</v>
      </c>
      <c r="NO72" s="86" t="e">
        <f>-VLOOKUP(NO$1,Amort!$B:$F,5,0)-((IF(NO$58/Inputs!$B$11&gt;(1-Inputs!$B$20),Inputs!$B$35,0)+Inputs!$B$38+Inputs!$B$39)*(1+Inputs!$B$23)^(YEAR(Financials!NO$1)-YEAR(Financials!$B$1)))/12</f>
        <v>#N/A</v>
      </c>
      <c r="NP72" s="86" t="e">
        <f>-VLOOKUP(NP$1,Amort!$B:$F,5,0)-((IF(NP$58/Inputs!$B$11&gt;(1-Inputs!$B$20),Inputs!$B$35,0)+Inputs!$B$38+Inputs!$B$39)*(1+Inputs!$B$23)^(YEAR(Financials!NP$1)-YEAR(Financials!$B$1)))/12</f>
        <v>#N/A</v>
      </c>
      <c r="NQ72" s="86" t="e">
        <f>-VLOOKUP(NQ$1,Amort!$B:$F,5,0)-((IF(NQ$58/Inputs!$B$11&gt;(1-Inputs!$B$20),Inputs!$B$35,0)+Inputs!$B$38+Inputs!$B$39)*(1+Inputs!$B$23)^(YEAR(Financials!NQ$1)-YEAR(Financials!$B$1)))/12</f>
        <v>#N/A</v>
      </c>
      <c r="NR72" s="86" t="e">
        <f>-VLOOKUP(NR$1,Amort!$B:$F,5,0)-((IF(NR$58/Inputs!$B$11&gt;(1-Inputs!$B$20),Inputs!$B$35,0)+Inputs!$B$38+Inputs!$B$39)*(1+Inputs!$B$23)^(YEAR(Financials!NR$1)-YEAR(Financials!$B$1)))/12</f>
        <v>#N/A</v>
      </c>
      <c r="NS72" s="86" t="e">
        <f>-VLOOKUP(NS$1,Amort!$B:$F,5,0)-((IF(NS$58/Inputs!$B$11&gt;(1-Inputs!$B$20),Inputs!$B$35,0)+Inputs!$B$38+Inputs!$B$39)*(1+Inputs!$B$23)^(YEAR(Financials!NS$1)-YEAR(Financials!$B$1)))/12</f>
        <v>#N/A</v>
      </c>
      <c r="NT72" s="86" t="e">
        <f>-VLOOKUP(NT$1,Amort!$B:$F,5,0)-((IF(NT$58/Inputs!$B$11&gt;(1-Inputs!$B$20),Inputs!$B$35,0)+Inputs!$B$38+Inputs!$B$39)*(1+Inputs!$B$23)^(YEAR(Financials!NT$1)-YEAR(Financials!$B$1)))/12</f>
        <v>#N/A</v>
      </c>
      <c r="NU72" s="86" t="e">
        <f>-VLOOKUP(NU$1,Amort!$B:$F,5,0)-((IF(NU$58/Inputs!$B$11&gt;(1-Inputs!$B$20),Inputs!$B$35,0)+Inputs!$B$38+Inputs!$B$39)*(1+Inputs!$B$23)^(YEAR(Financials!NU$1)-YEAR(Financials!$B$1)))/12</f>
        <v>#N/A</v>
      </c>
      <c r="NV72" s="86" t="e">
        <f>-VLOOKUP(NV$1,Amort!$B:$F,5,0)-((IF(NV$58/Inputs!$B$11&gt;(1-Inputs!$B$20),Inputs!$B$35,0)+Inputs!$B$38+Inputs!$B$39)*(1+Inputs!$B$23)^(YEAR(Financials!NV$1)-YEAR(Financials!$B$1)))/12</f>
        <v>#N/A</v>
      </c>
      <c r="NW72" s="86" t="e">
        <f>-VLOOKUP(NW$1,Amort!$B:$F,5,0)-((IF(NW$58/Inputs!$B$11&gt;(1-Inputs!$B$20),Inputs!$B$35,0)+Inputs!$B$38+Inputs!$B$39)*(1+Inputs!$B$23)^(YEAR(Financials!NW$1)-YEAR(Financials!$B$1)))/12</f>
        <v>#N/A</v>
      </c>
      <c r="NX72" s="86" t="e">
        <f>-VLOOKUP(NX$1,Amort!$B:$F,5,0)-((IF(NX$58/Inputs!$B$11&gt;(1-Inputs!$B$20),Inputs!$B$35,0)+Inputs!$B$38+Inputs!$B$39)*(1+Inputs!$B$23)^(YEAR(Financials!NX$1)-YEAR(Financials!$B$1)))/12</f>
        <v>#N/A</v>
      </c>
      <c r="NY72" s="86" t="e">
        <f>-VLOOKUP(NY$1,Amort!$B:$F,5,0)-((IF(NY$58/Inputs!$B$11&gt;(1-Inputs!$B$20),Inputs!$B$35,0)+Inputs!$B$38+Inputs!$B$39)*(1+Inputs!$B$23)^(YEAR(Financials!NY$1)-YEAR(Financials!$B$1)))/12</f>
        <v>#N/A</v>
      </c>
      <c r="NZ72" s="86" t="e">
        <f>-VLOOKUP(NZ$1,Amort!$B:$F,5,0)-((IF(NZ$58/Inputs!$B$11&gt;(1-Inputs!$B$20),Inputs!$B$35,0)+Inputs!$B$38+Inputs!$B$39)*(1+Inputs!$B$23)^(YEAR(Financials!NZ$1)-YEAR(Financials!$B$1)))/12</f>
        <v>#N/A</v>
      </c>
      <c r="OA72" s="87" t="e">
        <f t="shared" ref="OA72:OA78" si="1427">SUM(NO72:NZ72)</f>
        <v>#N/A</v>
      </c>
      <c r="OB72" s="86" t="e">
        <f>-VLOOKUP(OB$1,Amort!$B:$F,5,0)-((IF(OB$58/Inputs!$B$11&gt;(1-Inputs!$B$20),Inputs!$B$35,0)+Inputs!$B$38+Inputs!$B$39)*(1+Inputs!$B$23)^(YEAR(Financials!OB$1)-YEAR(Financials!$B$1)))/12</f>
        <v>#N/A</v>
      </c>
      <c r="OC72" s="86" t="e">
        <f>-VLOOKUP(OC$1,Amort!$B:$F,5,0)-((IF(OC$58/Inputs!$B$11&gt;(1-Inputs!$B$20),Inputs!$B$35,0)+Inputs!$B$38+Inputs!$B$39)*(1+Inputs!$B$23)^(YEAR(Financials!OC$1)-YEAR(Financials!$B$1)))/12</f>
        <v>#N/A</v>
      </c>
      <c r="OD72" s="86" t="e">
        <f>-VLOOKUP(OD$1,Amort!$B:$F,5,0)-((IF(OD$58/Inputs!$B$11&gt;(1-Inputs!$B$20),Inputs!$B$35,0)+Inputs!$B$38+Inputs!$B$39)*(1+Inputs!$B$23)^(YEAR(Financials!OD$1)-YEAR(Financials!$B$1)))/12</f>
        <v>#N/A</v>
      </c>
      <c r="OE72" s="86" t="e">
        <f>-VLOOKUP(OE$1,Amort!$B:$F,5,0)-((IF(OE$58/Inputs!$B$11&gt;(1-Inputs!$B$20),Inputs!$B$35,0)+Inputs!$B$38+Inputs!$B$39)*(1+Inputs!$B$23)^(YEAR(Financials!OE$1)-YEAR(Financials!$B$1)))/12</f>
        <v>#N/A</v>
      </c>
      <c r="OF72" s="86" t="e">
        <f>-VLOOKUP(OF$1,Amort!$B:$F,5,0)-((IF(OF$58/Inputs!$B$11&gt;(1-Inputs!$B$20),Inputs!$B$35,0)+Inputs!$B$38+Inputs!$B$39)*(1+Inputs!$B$23)^(YEAR(Financials!OF$1)-YEAR(Financials!$B$1)))/12</f>
        <v>#N/A</v>
      </c>
      <c r="OG72" s="86" t="e">
        <f>-VLOOKUP(OG$1,Amort!$B:$F,5,0)-((IF(OG$58/Inputs!$B$11&gt;(1-Inputs!$B$20),Inputs!$B$35,0)+Inputs!$B$38+Inputs!$B$39)*(1+Inputs!$B$23)^(YEAR(Financials!OG$1)-YEAR(Financials!$B$1)))/12</f>
        <v>#N/A</v>
      </c>
      <c r="OH72" s="86" t="e">
        <f>-VLOOKUP(OH$1,Amort!$B:$F,5,0)-((IF(OH$58/Inputs!$B$11&gt;(1-Inputs!$B$20),Inputs!$B$35,0)+Inputs!$B$38+Inputs!$B$39)*(1+Inputs!$B$23)^(YEAR(Financials!OH$1)-YEAR(Financials!$B$1)))/12</f>
        <v>#N/A</v>
      </c>
      <c r="OI72" s="86" t="e">
        <f>-VLOOKUP(OI$1,Amort!$B:$F,5,0)-((IF(OI$58/Inputs!$B$11&gt;(1-Inputs!$B$20),Inputs!$B$35,0)+Inputs!$B$38+Inputs!$B$39)*(1+Inputs!$B$23)^(YEAR(Financials!OI$1)-YEAR(Financials!$B$1)))/12</f>
        <v>#N/A</v>
      </c>
      <c r="OJ72" s="86" t="e">
        <f>-VLOOKUP(OJ$1,Amort!$B:$F,5,0)-((IF(OJ$58/Inputs!$B$11&gt;(1-Inputs!$B$20),Inputs!$B$35,0)+Inputs!$B$38+Inputs!$B$39)*(1+Inputs!$B$23)^(YEAR(Financials!OJ$1)-YEAR(Financials!$B$1)))/12</f>
        <v>#N/A</v>
      </c>
      <c r="OK72" s="86" t="e">
        <f>-VLOOKUP(OK$1,Amort!$B:$F,5,0)-((IF(OK$58/Inputs!$B$11&gt;(1-Inputs!$B$20),Inputs!$B$35,0)+Inputs!$B$38+Inputs!$B$39)*(1+Inputs!$B$23)^(YEAR(Financials!OK$1)-YEAR(Financials!$B$1)))/12</f>
        <v>#N/A</v>
      </c>
      <c r="OL72" s="86" t="e">
        <f>-VLOOKUP(OL$1,Amort!$B:$F,5,0)-((IF(OL$58/Inputs!$B$11&gt;(1-Inputs!$B$20),Inputs!$B$35,0)+Inputs!$B$38+Inputs!$B$39)*(1+Inputs!$B$23)^(YEAR(Financials!OL$1)-YEAR(Financials!$B$1)))/12</f>
        <v>#N/A</v>
      </c>
      <c r="OM72" s="86" t="e">
        <f>-VLOOKUP(OM$1,Amort!$B:$F,5,0)-((IF(OM$58/Inputs!$B$11&gt;(1-Inputs!$B$20),Inputs!$B$35,0)+Inputs!$B$38+Inputs!$B$39)*(1+Inputs!$B$23)^(YEAR(Financials!OM$1)-YEAR(Financials!$B$1)))/12</f>
        <v>#N/A</v>
      </c>
      <c r="ON72" s="87" t="e">
        <f t="shared" ref="ON72:ON78" si="1428">SUM(OB72:OM72)</f>
        <v>#N/A</v>
      </c>
      <c r="OO72" s="86" t="e">
        <f>-VLOOKUP(OO$1,Amort!$B:$F,5,0)-((IF(OO$58/Inputs!$B$11&gt;(1-Inputs!$B$20),Inputs!$B$35,0)+Inputs!$B$38+Inputs!$B$39)*(1+Inputs!$B$23)^(YEAR(Financials!OO$1)-YEAR(Financials!$B$1)))/12</f>
        <v>#N/A</v>
      </c>
      <c r="OP72" s="86" t="e">
        <f>-VLOOKUP(OP$1,Amort!$B:$F,5,0)-((IF(OP$58/Inputs!$B$11&gt;(1-Inputs!$B$20),Inputs!$B$35,0)+Inputs!$B$38+Inputs!$B$39)*(1+Inputs!$B$23)^(YEAR(Financials!OP$1)-YEAR(Financials!$B$1)))/12</f>
        <v>#N/A</v>
      </c>
      <c r="OQ72" s="86" t="e">
        <f>-VLOOKUP(OQ$1,Amort!$B:$F,5,0)-((IF(OQ$58/Inputs!$B$11&gt;(1-Inputs!$B$20),Inputs!$B$35,0)+Inputs!$B$38+Inputs!$B$39)*(1+Inputs!$B$23)^(YEAR(Financials!OQ$1)-YEAR(Financials!$B$1)))/12</f>
        <v>#N/A</v>
      </c>
      <c r="OR72" s="86" t="e">
        <f>-VLOOKUP(OR$1,Amort!$B:$F,5,0)-((IF(OR$58/Inputs!$B$11&gt;(1-Inputs!$B$20),Inputs!$B$35,0)+Inputs!$B$38+Inputs!$B$39)*(1+Inputs!$B$23)^(YEAR(Financials!OR$1)-YEAR(Financials!$B$1)))/12</f>
        <v>#N/A</v>
      </c>
      <c r="OS72" s="86" t="e">
        <f>-VLOOKUP(OS$1,Amort!$B:$F,5,0)-((IF(OS$58/Inputs!$B$11&gt;(1-Inputs!$B$20),Inputs!$B$35,0)+Inputs!$B$38+Inputs!$B$39)*(1+Inputs!$B$23)^(YEAR(Financials!OS$1)-YEAR(Financials!$B$1)))/12</f>
        <v>#N/A</v>
      </c>
      <c r="OT72" s="86" t="e">
        <f>-VLOOKUP(OT$1,Amort!$B:$F,5,0)-((IF(OT$58/Inputs!$B$11&gt;(1-Inputs!$B$20),Inputs!$B$35,0)+Inputs!$B$38+Inputs!$B$39)*(1+Inputs!$B$23)^(YEAR(Financials!OT$1)-YEAR(Financials!$B$1)))/12</f>
        <v>#N/A</v>
      </c>
      <c r="OU72" s="86" t="e">
        <f>-VLOOKUP(OU$1,Amort!$B:$F,5,0)-((IF(OU$58/Inputs!$B$11&gt;(1-Inputs!$B$20),Inputs!$B$35,0)+Inputs!$B$38+Inputs!$B$39)*(1+Inputs!$B$23)^(YEAR(Financials!OU$1)-YEAR(Financials!$B$1)))/12</f>
        <v>#N/A</v>
      </c>
      <c r="OV72" s="86" t="e">
        <f>-VLOOKUP(OV$1,Amort!$B:$F,5,0)-((IF(OV$58/Inputs!$B$11&gt;(1-Inputs!$B$20),Inputs!$B$35,0)+Inputs!$B$38+Inputs!$B$39)*(1+Inputs!$B$23)^(YEAR(Financials!OV$1)-YEAR(Financials!$B$1)))/12</f>
        <v>#N/A</v>
      </c>
      <c r="OW72" s="86" t="e">
        <f>-VLOOKUP(OW$1,Amort!$B:$F,5,0)-((IF(OW$58/Inputs!$B$11&gt;(1-Inputs!$B$20),Inputs!$B$35,0)+Inputs!$B$38+Inputs!$B$39)*(1+Inputs!$B$23)^(YEAR(Financials!OW$1)-YEAR(Financials!$B$1)))/12</f>
        <v>#N/A</v>
      </c>
      <c r="OX72" s="86" t="e">
        <f>-VLOOKUP(OX$1,Amort!$B:$F,5,0)-((IF(OX$58/Inputs!$B$11&gt;(1-Inputs!$B$20),Inputs!$B$35,0)+Inputs!$B$38+Inputs!$B$39)*(1+Inputs!$B$23)^(YEAR(Financials!OX$1)-YEAR(Financials!$B$1)))/12</f>
        <v>#N/A</v>
      </c>
      <c r="OY72" s="86" t="e">
        <f>-VLOOKUP(OY$1,Amort!$B:$F,5,0)-((IF(OY$58/Inputs!$B$11&gt;(1-Inputs!$B$20),Inputs!$B$35,0)+Inputs!$B$38+Inputs!$B$39)*(1+Inputs!$B$23)^(YEAR(Financials!OY$1)-YEAR(Financials!$B$1)))/12</f>
        <v>#N/A</v>
      </c>
      <c r="OZ72" s="86" t="e">
        <f>-VLOOKUP(OZ$1,Amort!$B:$F,5,0)-((IF(OZ$58/Inputs!$B$11&gt;(1-Inputs!$B$20),Inputs!$B$35,0)+Inputs!$B$38+Inputs!$B$39)*(1+Inputs!$B$23)^(YEAR(Financials!OZ$1)-YEAR(Financials!$B$1)))/12</f>
        <v>#N/A</v>
      </c>
      <c r="PA72" s="87" t="e">
        <f t="shared" ref="PA72:PA78" si="1429">SUM(OO72:OZ72)</f>
        <v>#N/A</v>
      </c>
      <c r="PB72" s="86" t="e">
        <f>-VLOOKUP(PB$1,Amort!$B:$F,5,0)-((IF(PB$58/Inputs!$B$11&gt;(1-Inputs!$B$20),Inputs!$B$35,0)+Inputs!$B$38+Inputs!$B$39)*(1+Inputs!$B$23)^(YEAR(Financials!PB$1)-YEAR(Financials!$B$1)))/12</f>
        <v>#N/A</v>
      </c>
      <c r="PC72" s="86" t="e">
        <f>-VLOOKUP(PC$1,Amort!$B:$F,5,0)-((IF(PC$58/Inputs!$B$11&gt;(1-Inputs!$B$20),Inputs!$B$35,0)+Inputs!$B$38+Inputs!$B$39)*(1+Inputs!$B$23)^(YEAR(Financials!PC$1)-YEAR(Financials!$B$1)))/12</f>
        <v>#N/A</v>
      </c>
      <c r="PD72" s="86" t="e">
        <f>-VLOOKUP(PD$1,Amort!$B:$F,5,0)-((IF(PD$58/Inputs!$B$11&gt;(1-Inputs!$B$20),Inputs!$B$35,0)+Inputs!$B$38+Inputs!$B$39)*(1+Inputs!$B$23)^(YEAR(Financials!PD$1)-YEAR(Financials!$B$1)))/12</f>
        <v>#N/A</v>
      </c>
      <c r="PE72" s="86" t="e">
        <f>-VLOOKUP(PE$1,Amort!$B:$F,5,0)-((IF(PE$58/Inputs!$B$11&gt;(1-Inputs!$B$20),Inputs!$B$35,0)+Inputs!$B$38+Inputs!$B$39)*(1+Inputs!$B$23)^(YEAR(Financials!PE$1)-YEAR(Financials!$B$1)))/12</f>
        <v>#N/A</v>
      </c>
      <c r="PF72" s="86" t="e">
        <f>-VLOOKUP(PF$1,Amort!$B:$F,5,0)-((IF(PF$58/Inputs!$B$11&gt;(1-Inputs!$B$20),Inputs!$B$35,0)+Inputs!$B$38+Inputs!$B$39)*(1+Inputs!$B$23)^(YEAR(Financials!PF$1)-YEAR(Financials!$B$1)))/12</f>
        <v>#N/A</v>
      </c>
      <c r="PG72" s="86" t="e">
        <f>-VLOOKUP(PG$1,Amort!$B:$F,5,0)-((IF(PG$58/Inputs!$B$11&gt;(1-Inputs!$B$20),Inputs!$B$35,0)+Inputs!$B$38+Inputs!$B$39)*(1+Inputs!$B$23)^(YEAR(Financials!PG$1)-YEAR(Financials!$B$1)))/12</f>
        <v>#N/A</v>
      </c>
      <c r="PH72" s="86" t="e">
        <f>-VLOOKUP(PH$1,Amort!$B:$F,5,0)-((IF(PH$58/Inputs!$B$11&gt;(1-Inputs!$B$20),Inputs!$B$35,0)+Inputs!$B$38+Inputs!$B$39)*(1+Inputs!$B$23)^(YEAR(Financials!PH$1)-YEAR(Financials!$B$1)))/12</f>
        <v>#N/A</v>
      </c>
      <c r="PI72" s="86" t="e">
        <f>-VLOOKUP(PI$1,Amort!$B:$F,5,0)-((IF(PI$58/Inputs!$B$11&gt;(1-Inputs!$B$20),Inputs!$B$35,0)+Inputs!$B$38+Inputs!$B$39)*(1+Inputs!$B$23)^(YEAR(Financials!PI$1)-YEAR(Financials!$B$1)))/12</f>
        <v>#N/A</v>
      </c>
      <c r="PJ72" s="86" t="e">
        <f>-VLOOKUP(PJ$1,Amort!$B:$F,5,0)-((IF(PJ$58/Inputs!$B$11&gt;(1-Inputs!$B$20),Inputs!$B$35,0)+Inputs!$B$38+Inputs!$B$39)*(1+Inputs!$B$23)^(YEAR(Financials!PJ$1)-YEAR(Financials!$B$1)))/12</f>
        <v>#N/A</v>
      </c>
      <c r="PK72" s="86" t="e">
        <f>-VLOOKUP(PK$1,Amort!$B:$F,5,0)-((IF(PK$58/Inputs!$B$11&gt;(1-Inputs!$B$20),Inputs!$B$35,0)+Inputs!$B$38+Inputs!$B$39)*(1+Inputs!$B$23)^(YEAR(Financials!PK$1)-YEAR(Financials!$B$1)))/12</f>
        <v>#N/A</v>
      </c>
      <c r="PL72" s="86" t="e">
        <f>-VLOOKUP(PL$1,Amort!$B:$F,5,0)-((IF(PL$58/Inputs!$B$11&gt;(1-Inputs!$B$20),Inputs!$B$35,0)+Inputs!$B$38+Inputs!$B$39)*(1+Inputs!$B$23)^(YEAR(Financials!PL$1)-YEAR(Financials!$B$1)))/12</f>
        <v>#N/A</v>
      </c>
      <c r="PM72" s="86" t="e">
        <f>-VLOOKUP(PM$1,Amort!$B:$F,5,0)-((IF(PM$58/Inputs!$B$11&gt;(1-Inputs!$B$20),Inputs!$B$35,0)+Inputs!$B$38+Inputs!$B$39)*(1+Inputs!$B$23)^(YEAR(Financials!PM$1)-YEAR(Financials!$B$1)))/12</f>
        <v>#N/A</v>
      </c>
      <c r="PN72" s="87" t="e">
        <f t="shared" ref="PN72:PN78" si="1430">SUM(PB72:PM72)</f>
        <v>#N/A</v>
      </c>
      <c r="PO72" s="86" t="e">
        <f>-VLOOKUP(PO$1,Amort!$B:$F,5,0)-((IF(PO$58/Inputs!$B$11&gt;(1-Inputs!$B$20),Inputs!$B$35,0)+Inputs!$B$38+Inputs!$B$39)*(1+Inputs!$B$23)^(YEAR(Financials!PO$1)-YEAR(Financials!$B$1)))/12</f>
        <v>#N/A</v>
      </c>
      <c r="PP72" s="86" t="e">
        <f>-VLOOKUP(PP$1,Amort!$B:$F,5,0)-((IF(PP$58/Inputs!$B$11&gt;(1-Inputs!$B$20),Inputs!$B$35,0)+Inputs!$B$38+Inputs!$B$39)*(1+Inputs!$B$23)^(YEAR(Financials!PP$1)-YEAR(Financials!$B$1)))/12</f>
        <v>#N/A</v>
      </c>
      <c r="PQ72" s="86" t="e">
        <f>-VLOOKUP(PQ$1,Amort!$B:$F,5,0)-((IF(PQ$58/Inputs!$B$11&gt;(1-Inputs!$B$20),Inputs!$B$35,0)+Inputs!$B$38+Inputs!$B$39)*(1+Inputs!$B$23)^(YEAR(Financials!PQ$1)-YEAR(Financials!$B$1)))/12</f>
        <v>#N/A</v>
      </c>
      <c r="PR72" s="86" t="e">
        <f>-VLOOKUP(PR$1,Amort!$B:$F,5,0)-((IF(PR$58/Inputs!$B$11&gt;(1-Inputs!$B$20),Inputs!$B$35,0)+Inputs!$B$38+Inputs!$B$39)*(1+Inputs!$B$23)^(YEAR(Financials!PR$1)-YEAR(Financials!$B$1)))/12</f>
        <v>#N/A</v>
      </c>
      <c r="PS72" s="86" t="e">
        <f>-VLOOKUP(PS$1,Amort!$B:$F,5,0)-((IF(PS$58/Inputs!$B$11&gt;(1-Inputs!$B$20),Inputs!$B$35,0)+Inputs!$B$38+Inputs!$B$39)*(1+Inputs!$B$23)^(YEAR(Financials!PS$1)-YEAR(Financials!$B$1)))/12</f>
        <v>#N/A</v>
      </c>
      <c r="PT72" s="86" t="e">
        <f>-VLOOKUP(PT$1,Amort!$B:$F,5,0)-((IF(PT$58/Inputs!$B$11&gt;(1-Inputs!$B$20),Inputs!$B$35,0)+Inputs!$B$38+Inputs!$B$39)*(1+Inputs!$B$23)^(YEAR(Financials!PT$1)-YEAR(Financials!$B$1)))/12</f>
        <v>#N/A</v>
      </c>
      <c r="PU72" s="86" t="e">
        <f>-VLOOKUP(PU$1,Amort!$B:$F,5,0)-((IF(PU$58/Inputs!$B$11&gt;(1-Inputs!$B$20),Inputs!$B$35,0)+Inputs!$B$38+Inputs!$B$39)*(1+Inputs!$B$23)^(YEAR(Financials!PU$1)-YEAR(Financials!$B$1)))/12</f>
        <v>#N/A</v>
      </c>
      <c r="PV72" s="86" t="e">
        <f>-VLOOKUP(PV$1,Amort!$B:$F,5,0)-((IF(PV$58/Inputs!$B$11&gt;(1-Inputs!$B$20),Inputs!$B$35,0)+Inputs!$B$38+Inputs!$B$39)*(1+Inputs!$B$23)^(YEAR(Financials!PV$1)-YEAR(Financials!$B$1)))/12</f>
        <v>#N/A</v>
      </c>
      <c r="PW72" s="86" t="e">
        <f>-VLOOKUP(PW$1,Amort!$B:$F,5,0)-((IF(PW$58/Inputs!$B$11&gt;(1-Inputs!$B$20),Inputs!$B$35,0)+Inputs!$B$38+Inputs!$B$39)*(1+Inputs!$B$23)^(YEAR(Financials!PW$1)-YEAR(Financials!$B$1)))/12</f>
        <v>#N/A</v>
      </c>
      <c r="PX72" s="86" t="e">
        <f>-VLOOKUP(PX$1,Amort!$B:$F,5,0)-((IF(PX$58/Inputs!$B$11&gt;(1-Inputs!$B$20),Inputs!$B$35,0)+Inputs!$B$38+Inputs!$B$39)*(1+Inputs!$B$23)^(YEAR(Financials!PX$1)-YEAR(Financials!$B$1)))/12</f>
        <v>#N/A</v>
      </c>
      <c r="PY72" s="86" t="e">
        <f>-VLOOKUP(PY$1,Amort!$B:$F,5,0)-((IF(PY$58/Inputs!$B$11&gt;(1-Inputs!$B$20),Inputs!$B$35,0)+Inputs!$B$38+Inputs!$B$39)*(1+Inputs!$B$23)^(YEAR(Financials!PY$1)-YEAR(Financials!$B$1)))/12</f>
        <v>#N/A</v>
      </c>
      <c r="PZ72" s="86" t="e">
        <f>-VLOOKUP(PZ$1,Amort!$B:$F,5,0)-((IF(PZ$58/Inputs!$B$11&gt;(1-Inputs!$B$20),Inputs!$B$35,0)+Inputs!$B$38+Inputs!$B$39)*(1+Inputs!$B$23)^(YEAR(Financials!PZ$1)-YEAR(Financials!$B$1)))/12</f>
        <v>#N/A</v>
      </c>
      <c r="QA72" s="87" t="e">
        <f t="shared" ref="QA72:QA78" si="1431">SUM(PO72:PZ72)</f>
        <v>#N/A</v>
      </c>
      <c r="QB72" s="86" t="e">
        <f>-VLOOKUP(QB$1,Amort!$B:$F,5,0)-((IF(QB$58/Inputs!$B$11&gt;(1-Inputs!$B$20),Inputs!$B$35,0)+Inputs!$B$38+Inputs!$B$39)*(1+Inputs!$B$23)^(YEAR(Financials!QB$1)-YEAR(Financials!$B$1)))/12</f>
        <v>#N/A</v>
      </c>
      <c r="QC72" s="86" t="e">
        <f>-VLOOKUP(QC$1,Amort!$B:$F,5,0)-((IF(QC$58/Inputs!$B$11&gt;(1-Inputs!$B$20),Inputs!$B$35,0)+Inputs!$B$38+Inputs!$B$39)*(1+Inputs!$B$23)^(YEAR(Financials!QC$1)-YEAR(Financials!$B$1)))/12</f>
        <v>#N/A</v>
      </c>
      <c r="QD72" s="86" t="e">
        <f>-VLOOKUP(QD$1,Amort!$B:$F,5,0)-((IF(QD$58/Inputs!$B$11&gt;(1-Inputs!$B$20),Inputs!$B$35,0)+Inputs!$B$38+Inputs!$B$39)*(1+Inputs!$B$23)^(YEAR(Financials!QD$1)-YEAR(Financials!$B$1)))/12</f>
        <v>#N/A</v>
      </c>
      <c r="QE72" s="86" t="e">
        <f>-VLOOKUP(QE$1,Amort!$B:$F,5,0)-((IF(QE$58/Inputs!$B$11&gt;(1-Inputs!$B$20),Inputs!$B$35,0)+Inputs!$B$38+Inputs!$B$39)*(1+Inputs!$B$23)^(YEAR(Financials!QE$1)-YEAR(Financials!$B$1)))/12</f>
        <v>#N/A</v>
      </c>
      <c r="QF72" s="86" t="e">
        <f>-VLOOKUP(QF$1,Amort!$B:$F,5,0)-((IF(QF$58/Inputs!$B$11&gt;(1-Inputs!$B$20),Inputs!$B$35,0)+Inputs!$B$38+Inputs!$B$39)*(1+Inputs!$B$23)^(YEAR(Financials!QF$1)-YEAR(Financials!$B$1)))/12</f>
        <v>#N/A</v>
      </c>
      <c r="QG72" s="86" t="e">
        <f>-VLOOKUP(QG$1,Amort!$B:$F,5,0)-((IF(QG$58/Inputs!$B$11&gt;(1-Inputs!$B$20),Inputs!$B$35,0)+Inputs!$B$38+Inputs!$B$39)*(1+Inputs!$B$23)^(YEAR(Financials!QG$1)-YEAR(Financials!$B$1)))/12</f>
        <v>#N/A</v>
      </c>
      <c r="QH72" s="86" t="e">
        <f>-VLOOKUP(QH$1,Amort!$B:$F,5,0)-((IF(QH$58/Inputs!$B$11&gt;(1-Inputs!$B$20),Inputs!$B$35,0)+Inputs!$B$38+Inputs!$B$39)*(1+Inputs!$B$23)^(YEAR(Financials!QH$1)-YEAR(Financials!$B$1)))/12</f>
        <v>#N/A</v>
      </c>
      <c r="QI72" s="86" t="e">
        <f>-VLOOKUP(QI$1,Amort!$B:$F,5,0)-((IF(QI$58/Inputs!$B$11&gt;(1-Inputs!$B$20),Inputs!$B$35,0)+Inputs!$B$38+Inputs!$B$39)*(1+Inputs!$B$23)^(YEAR(Financials!QI$1)-YEAR(Financials!$B$1)))/12</f>
        <v>#N/A</v>
      </c>
      <c r="QJ72" s="86" t="e">
        <f>-VLOOKUP(QJ$1,Amort!$B:$F,5,0)-((IF(QJ$58/Inputs!$B$11&gt;(1-Inputs!$B$20),Inputs!$B$35,0)+Inputs!$B$38+Inputs!$B$39)*(1+Inputs!$B$23)^(YEAR(Financials!QJ$1)-YEAR(Financials!$B$1)))/12</f>
        <v>#N/A</v>
      </c>
      <c r="QK72" s="86" t="e">
        <f>-VLOOKUP(QK$1,Amort!$B:$F,5,0)-((IF(QK$58/Inputs!$B$11&gt;(1-Inputs!$B$20),Inputs!$B$35,0)+Inputs!$B$38+Inputs!$B$39)*(1+Inputs!$B$23)^(YEAR(Financials!QK$1)-YEAR(Financials!$B$1)))/12</f>
        <v>#N/A</v>
      </c>
      <c r="QL72" s="86" t="e">
        <f>-VLOOKUP(QL$1,Amort!$B:$F,5,0)-((IF(QL$58/Inputs!$B$11&gt;(1-Inputs!$B$20),Inputs!$B$35,0)+Inputs!$B$38+Inputs!$B$39)*(1+Inputs!$B$23)^(YEAR(Financials!QL$1)-YEAR(Financials!$B$1)))/12</f>
        <v>#N/A</v>
      </c>
      <c r="QM72" s="86" t="e">
        <f>-VLOOKUP(QM$1,Amort!$B:$F,5,0)-((IF(QM$58/Inputs!$B$11&gt;(1-Inputs!$B$20),Inputs!$B$35,0)+Inputs!$B$38+Inputs!$B$39)*(1+Inputs!$B$23)^(YEAR(Financials!QM$1)-YEAR(Financials!$B$1)))/12</f>
        <v>#N/A</v>
      </c>
      <c r="QN72" s="87" t="e">
        <f t="shared" ref="QN72:QN78" si="1432">SUM(QB72:QM72)</f>
        <v>#N/A</v>
      </c>
      <c r="QO72" s="86" t="e">
        <f>-VLOOKUP(QO$1,Amort!$B:$F,5,0)-((IF(QO$58/Inputs!$B$11&gt;(1-Inputs!$B$20),Inputs!$B$35,0)+Inputs!$B$38+Inputs!$B$39)*(1+Inputs!$B$23)^(YEAR(Financials!QO$1)-YEAR(Financials!$B$1)))/12</f>
        <v>#N/A</v>
      </c>
      <c r="QP72" s="86" t="e">
        <f>-VLOOKUP(QP$1,Amort!$B:$F,5,0)-((IF(QP$58/Inputs!$B$11&gt;(1-Inputs!$B$20),Inputs!$B$35,0)+Inputs!$B$38+Inputs!$B$39)*(1+Inputs!$B$23)^(YEAR(Financials!QP$1)-YEAR(Financials!$B$1)))/12</f>
        <v>#N/A</v>
      </c>
      <c r="QQ72" s="86" t="e">
        <f>-VLOOKUP(QQ$1,Amort!$B:$F,5,0)-((IF(QQ$58/Inputs!$B$11&gt;(1-Inputs!$B$20),Inputs!$B$35,0)+Inputs!$B$38+Inputs!$B$39)*(1+Inputs!$B$23)^(YEAR(Financials!QQ$1)-YEAR(Financials!$B$1)))/12</f>
        <v>#N/A</v>
      </c>
      <c r="QR72" s="86" t="e">
        <f>-VLOOKUP(QR$1,Amort!$B:$F,5,0)-((IF(QR$58/Inputs!$B$11&gt;(1-Inputs!$B$20),Inputs!$B$35,0)+Inputs!$B$38+Inputs!$B$39)*(1+Inputs!$B$23)^(YEAR(Financials!QR$1)-YEAR(Financials!$B$1)))/12</f>
        <v>#N/A</v>
      </c>
      <c r="QS72" s="86" t="e">
        <f>-VLOOKUP(QS$1,Amort!$B:$F,5,0)-((IF(QS$58/Inputs!$B$11&gt;(1-Inputs!$B$20),Inputs!$B$35,0)+Inputs!$B$38+Inputs!$B$39)*(1+Inputs!$B$23)^(YEAR(Financials!QS$1)-YEAR(Financials!$B$1)))/12</f>
        <v>#N/A</v>
      </c>
      <c r="QT72" s="86" t="e">
        <f>-VLOOKUP(QT$1,Amort!$B:$F,5,0)-((IF(QT$58/Inputs!$B$11&gt;(1-Inputs!$B$20),Inputs!$B$35,0)+Inputs!$B$38+Inputs!$B$39)*(1+Inputs!$B$23)^(YEAR(Financials!QT$1)-YEAR(Financials!$B$1)))/12</f>
        <v>#N/A</v>
      </c>
      <c r="QU72" s="86" t="e">
        <f>-VLOOKUP(QU$1,Amort!$B:$F,5,0)-((IF(QU$58/Inputs!$B$11&gt;(1-Inputs!$B$20),Inputs!$B$35,0)+Inputs!$B$38+Inputs!$B$39)*(1+Inputs!$B$23)^(YEAR(Financials!QU$1)-YEAR(Financials!$B$1)))/12</f>
        <v>#N/A</v>
      </c>
      <c r="QV72" s="86" t="e">
        <f>-VLOOKUP(QV$1,Amort!$B:$F,5,0)-((IF(QV$58/Inputs!$B$11&gt;(1-Inputs!$B$20),Inputs!$B$35,0)+Inputs!$B$38+Inputs!$B$39)*(1+Inputs!$B$23)^(YEAR(Financials!QV$1)-YEAR(Financials!$B$1)))/12</f>
        <v>#N/A</v>
      </c>
      <c r="QW72" s="86" t="e">
        <f>-VLOOKUP(QW$1,Amort!$B:$F,5,0)-((IF(QW$58/Inputs!$B$11&gt;(1-Inputs!$B$20),Inputs!$B$35,0)+Inputs!$B$38+Inputs!$B$39)*(1+Inputs!$B$23)^(YEAR(Financials!QW$1)-YEAR(Financials!$B$1)))/12</f>
        <v>#N/A</v>
      </c>
      <c r="QX72" s="86" t="e">
        <f>-VLOOKUP(QX$1,Amort!$B:$F,5,0)-((IF(QX$58/Inputs!$B$11&gt;(1-Inputs!$B$20),Inputs!$B$35,0)+Inputs!$B$38+Inputs!$B$39)*(1+Inputs!$B$23)^(YEAR(Financials!QX$1)-YEAR(Financials!$B$1)))/12</f>
        <v>#N/A</v>
      </c>
      <c r="QY72" s="86" t="e">
        <f>-VLOOKUP(QY$1,Amort!$B:$F,5,0)-((IF(QY$58/Inputs!$B$11&gt;(1-Inputs!$B$20),Inputs!$B$35,0)+Inputs!$B$38+Inputs!$B$39)*(1+Inputs!$B$23)^(YEAR(Financials!QY$1)-YEAR(Financials!$B$1)))/12</f>
        <v>#N/A</v>
      </c>
      <c r="QZ72" s="86" t="e">
        <f>-VLOOKUP(QZ$1,Amort!$B:$F,5,0)-((IF(QZ$58/Inputs!$B$11&gt;(1-Inputs!$B$20),Inputs!$B$35,0)+Inputs!$B$38+Inputs!$B$39)*(1+Inputs!$B$23)^(YEAR(Financials!QZ$1)-YEAR(Financials!$B$1)))/12</f>
        <v>#N/A</v>
      </c>
      <c r="RA72" s="87" t="e">
        <f t="shared" ref="RA72:RA78" si="1433">SUM(QO72:QZ72)</f>
        <v>#N/A</v>
      </c>
      <c r="RB72" s="86" t="e">
        <f>-VLOOKUP(RB$1,Amort!$B:$F,5,0)-((IF(RB$58/Inputs!$B$11&gt;(1-Inputs!$B$20),Inputs!$B$35,0)+Inputs!$B$38+Inputs!$B$39)*(1+Inputs!$B$23)^(YEAR(Financials!RB$1)-YEAR(Financials!$B$1)))/12</f>
        <v>#N/A</v>
      </c>
      <c r="RC72" s="86" t="e">
        <f>-VLOOKUP(RC$1,Amort!$B:$F,5,0)-((IF(RC$58/Inputs!$B$11&gt;(1-Inputs!$B$20),Inputs!$B$35,0)+Inputs!$B$38+Inputs!$B$39)*(1+Inputs!$B$23)^(YEAR(Financials!RC$1)-YEAR(Financials!$B$1)))/12</f>
        <v>#N/A</v>
      </c>
      <c r="RD72" s="86" t="e">
        <f>-VLOOKUP(RD$1,Amort!$B:$F,5,0)-((IF(RD$58/Inputs!$B$11&gt;(1-Inputs!$B$20),Inputs!$B$35,0)+Inputs!$B$38+Inputs!$B$39)*(1+Inputs!$B$23)^(YEAR(Financials!RD$1)-YEAR(Financials!$B$1)))/12</f>
        <v>#N/A</v>
      </c>
      <c r="RE72" s="86" t="e">
        <f>-VLOOKUP(RE$1,Amort!$B:$F,5,0)-((IF(RE$58/Inputs!$B$11&gt;(1-Inputs!$B$20),Inputs!$B$35,0)+Inputs!$B$38+Inputs!$B$39)*(1+Inputs!$B$23)^(YEAR(Financials!RE$1)-YEAR(Financials!$B$1)))/12</f>
        <v>#N/A</v>
      </c>
      <c r="RF72" s="86" t="e">
        <f>-VLOOKUP(RF$1,Amort!$B:$F,5,0)-((IF(RF$58/Inputs!$B$11&gt;(1-Inputs!$B$20),Inputs!$B$35,0)+Inputs!$B$38+Inputs!$B$39)*(1+Inputs!$B$23)^(YEAR(Financials!RF$1)-YEAR(Financials!$B$1)))/12</f>
        <v>#N/A</v>
      </c>
      <c r="RG72" s="86" t="e">
        <f>-VLOOKUP(RG$1,Amort!$B:$F,5,0)-((IF(RG$58/Inputs!$B$11&gt;(1-Inputs!$B$20),Inputs!$B$35,0)+Inputs!$B$38+Inputs!$B$39)*(1+Inputs!$B$23)^(YEAR(Financials!RG$1)-YEAR(Financials!$B$1)))/12</f>
        <v>#N/A</v>
      </c>
      <c r="RH72" s="86" t="e">
        <f>-VLOOKUP(RH$1,Amort!$B:$F,5,0)-((IF(RH$58/Inputs!$B$11&gt;(1-Inputs!$B$20),Inputs!$B$35,0)+Inputs!$B$38+Inputs!$B$39)*(1+Inputs!$B$23)^(YEAR(Financials!RH$1)-YEAR(Financials!$B$1)))/12</f>
        <v>#N/A</v>
      </c>
      <c r="RI72" s="86" t="e">
        <f>-VLOOKUP(RI$1,Amort!$B:$F,5,0)-((IF(RI$58/Inputs!$B$11&gt;(1-Inputs!$B$20),Inputs!$B$35,0)+Inputs!$B$38+Inputs!$B$39)*(1+Inputs!$B$23)^(YEAR(Financials!RI$1)-YEAR(Financials!$B$1)))/12</f>
        <v>#N/A</v>
      </c>
      <c r="RJ72" s="86" t="e">
        <f>-VLOOKUP(RJ$1,Amort!$B:$F,5,0)-((IF(RJ$58/Inputs!$B$11&gt;(1-Inputs!$B$20),Inputs!$B$35,0)+Inputs!$B$38+Inputs!$B$39)*(1+Inputs!$B$23)^(YEAR(Financials!RJ$1)-YEAR(Financials!$B$1)))/12</f>
        <v>#N/A</v>
      </c>
      <c r="RK72" s="86" t="e">
        <f>-VLOOKUP(RK$1,Amort!$B:$F,5,0)-((IF(RK$58/Inputs!$B$11&gt;(1-Inputs!$B$20),Inputs!$B$35,0)+Inputs!$B$38+Inputs!$B$39)*(1+Inputs!$B$23)^(YEAR(Financials!RK$1)-YEAR(Financials!$B$1)))/12</f>
        <v>#N/A</v>
      </c>
      <c r="RL72" s="86" t="e">
        <f>-VLOOKUP(RL$1,Amort!$B:$F,5,0)-((IF(RL$58/Inputs!$B$11&gt;(1-Inputs!$B$20),Inputs!$B$35,0)+Inputs!$B$38+Inputs!$B$39)*(1+Inputs!$B$23)^(YEAR(Financials!RL$1)-YEAR(Financials!$B$1)))/12</f>
        <v>#N/A</v>
      </c>
      <c r="RM72" s="86" t="e">
        <f>-VLOOKUP(RM$1,Amort!$B:$F,5,0)-((IF(RM$58/Inputs!$B$11&gt;(1-Inputs!$B$20),Inputs!$B$35,0)+Inputs!$B$38+Inputs!$B$39)*(1+Inputs!$B$23)^(YEAR(Financials!RM$1)-YEAR(Financials!$B$1)))/12</f>
        <v>#N/A</v>
      </c>
      <c r="RN72" s="87" t="e">
        <f t="shared" ref="RN72:RN78" si="1434">SUM(RB72:RM72)</f>
        <v>#N/A</v>
      </c>
    </row>
    <row r="73" spans="1:560" outlineLevel="1" x14ac:dyDescent="0.3">
      <c r="A73" s="89" t="s">
        <v>280</v>
      </c>
      <c r="B73" s="86">
        <f>-VLOOKUP(B$1,Amort!$B:$K,10,0)</f>
        <v>0</v>
      </c>
      <c r="C73" s="86">
        <f>-VLOOKUP(C$1,Amort!$B:$K,10,0)</f>
        <v>0</v>
      </c>
      <c r="D73" s="86">
        <f>-VLOOKUP(D$1,Amort!$B:$K,10,0)</f>
        <v>0</v>
      </c>
      <c r="E73" s="86">
        <f>-VLOOKUP(E$1,Amort!$B:$K,10,0)</f>
        <v>0</v>
      </c>
      <c r="F73" s="86">
        <f>-VLOOKUP(F$1,Amort!$B:$K,10,0)</f>
        <v>0</v>
      </c>
      <c r="G73" s="86">
        <f>-VLOOKUP(G$1,Amort!$B:$K,10,0)</f>
        <v>0</v>
      </c>
      <c r="H73" s="86">
        <f>-VLOOKUP(H$1,Amort!$B:$K,10,0)</f>
        <v>0</v>
      </c>
      <c r="I73" s="86">
        <f>-VLOOKUP(I$1,Amort!$B:$K,10,0)</f>
        <v>0</v>
      </c>
      <c r="J73" s="86">
        <f>-VLOOKUP(J$1,Amort!$B:$K,10,0)</f>
        <v>0</v>
      </c>
      <c r="K73" s="86">
        <f>-VLOOKUP(K$1,Amort!$B:$K,10,0)</f>
        <v>0</v>
      </c>
      <c r="L73" s="86">
        <f>-VLOOKUP(L$1,Amort!$B:$K,10,0)</f>
        <v>0</v>
      </c>
      <c r="M73" s="86">
        <f>-VLOOKUP(M$1,Amort!$B:$K,10,0)</f>
        <v>0</v>
      </c>
      <c r="N73" s="87">
        <f t="shared" si="1289"/>
        <v>0</v>
      </c>
      <c r="O73" s="86">
        <f>-VLOOKUP(O$1,Amort!$B:$K,10,0)</f>
        <v>0</v>
      </c>
      <c r="P73" s="86">
        <f>-VLOOKUP(P$1,Amort!$B:$K,10,0)</f>
        <v>0</v>
      </c>
      <c r="Q73" s="86">
        <f>-VLOOKUP(Q$1,Amort!$B:$K,10,0)</f>
        <v>0</v>
      </c>
      <c r="R73" s="86">
        <f>-VLOOKUP(R$1,Amort!$B:$K,10,0)</f>
        <v>0</v>
      </c>
      <c r="S73" s="86">
        <f>-VLOOKUP(S$1,Amort!$B:$K,10,0)</f>
        <v>0</v>
      </c>
      <c r="T73" s="86">
        <f>-VLOOKUP(T$1,Amort!$B:$K,10,0)</f>
        <v>0</v>
      </c>
      <c r="U73" s="86">
        <f>-VLOOKUP(U$1,Amort!$B:$K,10,0)</f>
        <v>0</v>
      </c>
      <c r="V73" s="86">
        <f>-VLOOKUP(V$1,Amort!$B:$K,10,0)</f>
        <v>0</v>
      </c>
      <c r="W73" s="86">
        <f>-VLOOKUP(W$1,Amort!$B:$K,10,0)</f>
        <v>0</v>
      </c>
      <c r="X73" s="86">
        <f>-VLOOKUP(X$1,Amort!$B:$K,10,0)</f>
        <v>0</v>
      </c>
      <c r="Y73" s="86">
        <f>-VLOOKUP(Y$1,Amort!$B:$K,10,0)</f>
        <v>0</v>
      </c>
      <c r="Z73" s="86">
        <f>-VLOOKUP(Z$1,Amort!$B:$K,10,0)</f>
        <v>0</v>
      </c>
      <c r="AA73" s="87">
        <f t="shared" si="1399"/>
        <v>0</v>
      </c>
      <c r="AB73" s="86">
        <f>-VLOOKUP(AB$1,Amort!$B:$K,10,0)</f>
        <v>0</v>
      </c>
      <c r="AC73" s="86">
        <f>-VLOOKUP(AC$1,Amort!$B:$K,10,0)</f>
        <v>0</v>
      </c>
      <c r="AD73" s="86">
        <f>-VLOOKUP(AD$1,Amort!$B:$K,10,0)</f>
        <v>0</v>
      </c>
      <c r="AE73" s="86">
        <f>-VLOOKUP(AE$1,Amort!$B:$K,10,0)</f>
        <v>0</v>
      </c>
      <c r="AF73" s="86">
        <f>-VLOOKUP(AF$1,Amort!$B:$K,10,0)</f>
        <v>0</v>
      </c>
      <c r="AG73" s="86">
        <f>-VLOOKUP(AG$1,Amort!$B:$K,10,0)</f>
        <v>0</v>
      </c>
      <c r="AH73" s="86">
        <f>-VLOOKUP(AH$1,Amort!$B:$K,10,0)</f>
        <v>0</v>
      </c>
      <c r="AI73" s="86">
        <f>-VLOOKUP(AI$1,Amort!$B:$K,10,0)</f>
        <v>0</v>
      </c>
      <c r="AJ73" s="86">
        <f>-VLOOKUP(AJ$1,Amort!$B:$K,10,0)</f>
        <v>0</v>
      </c>
      <c r="AK73" s="86">
        <f>-VLOOKUP(AK$1,Amort!$B:$K,10,0)</f>
        <v>0</v>
      </c>
      <c r="AL73" s="86">
        <f>-VLOOKUP(AL$1,Amort!$B:$K,10,0)</f>
        <v>0</v>
      </c>
      <c r="AM73" s="86">
        <f>-VLOOKUP(AM$1,Amort!$B:$K,10,0)</f>
        <v>0</v>
      </c>
      <c r="AN73" s="87">
        <f t="shared" si="1400"/>
        <v>0</v>
      </c>
      <c r="AO73" s="86">
        <f>-VLOOKUP(AO$1,Amort!$B:$K,10,0)</f>
        <v>0</v>
      </c>
      <c r="AP73" s="86">
        <f>-VLOOKUP(AP$1,Amort!$B:$K,10,0)</f>
        <v>0</v>
      </c>
      <c r="AQ73" s="86">
        <f>-VLOOKUP(AQ$1,Amort!$B:$K,10,0)</f>
        <v>0</v>
      </c>
      <c r="AR73" s="86">
        <f>-VLOOKUP(AR$1,Amort!$B:$K,10,0)</f>
        <v>0</v>
      </c>
      <c r="AS73" s="86">
        <f>-VLOOKUP(AS$1,Amort!$B:$K,10,0)</f>
        <v>0</v>
      </c>
      <c r="AT73" s="86">
        <f>-VLOOKUP(AT$1,Amort!$B:$K,10,0)</f>
        <v>0</v>
      </c>
      <c r="AU73" s="86">
        <f>-VLOOKUP(AU$1,Amort!$B:$K,10,0)</f>
        <v>0</v>
      </c>
      <c r="AV73" s="86">
        <f>-VLOOKUP(AV$1,Amort!$B:$K,10,0)</f>
        <v>0</v>
      </c>
      <c r="AW73" s="86">
        <f>-VLOOKUP(AW$1,Amort!$B:$K,10,0)</f>
        <v>0</v>
      </c>
      <c r="AX73" s="86">
        <f>-VLOOKUP(AX$1,Amort!$B:$K,10,0)</f>
        <v>0</v>
      </c>
      <c r="AY73" s="86">
        <f>-VLOOKUP(AY$1,Amort!$B:$K,10,0)</f>
        <v>0</v>
      </c>
      <c r="AZ73" s="86">
        <f>-VLOOKUP(AZ$1,Amort!$B:$K,10,0)</f>
        <v>0</v>
      </c>
      <c r="BA73" s="87">
        <f t="shared" si="1401"/>
        <v>0</v>
      </c>
      <c r="BB73" s="86">
        <f>-VLOOKUP(BB$1,Amort!$B:$K,10,0)</f>
        <v>0</v>
      </c>
      <c r="BC73" s="86">
        <f>-VLOOKUP(BC$1,Amort!$B:$K,10,0)</f>
        <v>0</v>
      </c>
      <c r="BD73" s="86">
        <f>-VLOOKUP(BD$1,Amort!$B:$K,10,0)</f>
        <v>0</v>
      </c>
      <c r="BE73" s="86">
        <f>-VLOOKUP(BE$1,Amort!$B:$K,10,0)</f>
        <v>0</v>
      </c>
      <c r="BF73" s="86">
        <f>-VLOOKUP(BF$1,Amort!$B:$K,10,0)</f>
        <v>0</v>
      </c>
      <c r="BG73" s="86">
        <f>-VLOOKUP(BG$1,Amort!$B:$K,10,0)</f>
        <v>0</v>
      </c>
      <c r="BH73" s="86">
        <f>-VLOOKUP(BH$1,Amort!$B:$K,10,0)</f>
        <v>0</v>
      </c>
      <c r="BI73" s="86">
        <f>-VLOOKUP(BI$1,Amort!$B:$K,10,0)</f>
        <v>0</v>
      </c>
      <c r="BJ73" s="86">
        <f>-VLOOKUP(BJ$1,Amort!$B:$K,10,0)</f>
        <v>0</v>
      </c>
      <c r="BK73" s="86">
        <f>-VLOOKUP(BK$1,Amort!$B:$K,10,0)</f>
        <v>0</v>
      </c>
      <c r="BL73" s="86">
        <f>-VLOOKUP(BL$1,Amort!$B:$K,10,0)</f>
        <v>0</v>
      </c>
      <c r="BM73" s="86">
        <f>-VLOOKUP(BM$1,Amort!$B:$K,10,0)</f>
        <v>0</v>
      </c>
      <c r="BN73" s="87">
        <f t="shared" si="1402"/>
        <v>0</v>
      </c>
      <c r="BO73" s="86">
        <f>-VLOOKUP(BO$1,Amort!$B:$K,10,0)</f>
        <v>0</v>
      </c>
      <c r="BP73" s="86">
        <f>-VLOOKUP(BP$1,Amort!$B:$K,10,0)</f>
        <v>0</v>
      </c>
      <c r="BQ73" s="86">
        <f>-VLOOKUP(BQ$1,Amort!$B:$K,10,0)</f>
        <v>0</v>
      </c>
      <c r="BR73" s="86">
        <f>-VLOOKUP(BR$1,Amort!$B:$K,10,0)</f>
        <v>0</v>
      </c>
      <c r="BS73" s="86">
        <f>-VLOOKUP(BS$1,Amort!$B:$K,10,0)</f>
        <v>0</v>
      </c>
      <c r="BT73" s="86">
        <f>-VLOOKUP(BT$1,Amort!$B:$K,10,0)</f>
        <v>0</v>
      </c>
      <c r="BU73" s="86">
        <f>-VLOOKUP(BU$1,Amort!$B:$K,10,0)</f>
        <v>0</v>
      </c>
      <c r="BV73" s="86">
        <f>-VLOOKUP(BV$1,Amort!$B:$K,10,0)</f>
        <v>0</v>
      </c>
      <c r="BW73" s="86">
        <f>-VLOOKUP(BW$1,Amort!$B:$K,10,0)</f>
        <v>0</v>
      </c>
      <c r="BX73" s="86">
        <f>-VLOOKUP(BX$1,Amort!$B:$K,10,0)</f>
        <v>0</v>
      </c>
      <c r="BY73" s="86">
        <f>-VLOOKUP(BY$1,Amort!$B:$K,10,0)</f>
        <v>0</v>
      </c>
      <c r="BZ73" s="86">
        <f>-VLOOKUP(BZ$1,Amort!$B:$K,10,0)</f>
        <v>0</v>
      </c>
      <c r="CA73" s="87">
        <f t="shared" si="1403"/>
        <v>0</v>
      </c>
      <c r="CB73" s="86">
        <f>-VLOOKUP(CB$1,Amort!$B:$K,10,0)</f>
        <v>0</v>
      </c>
      <c r="CC73" s="86">
        <f>-VLOOKUP(CC$1,Amort!$B:$K,10,0)</f>
        <v>0</v>
      </c>
      <c r="CD73" s="86">
        <f>-VLOOKUP(CD$1,Amort!$B:$K,10,0)</f>
        <v>0</v>
      </c>
      <c r="CE73" s="86">
        <f>-VLOOKUP(CE$1,Amort!$B:$K,10,0)</f>
        <v>0</v>
      </c>
      <c r="CF73" s="86">
        <f>-VLOOKUP(CF$1,Amort!$B:$K,10,0)</f>
        <v>0</v>
      </c>
      <c r="CG73" s="86">
        <f>-VLOOKUP(CG$1,Amort!$B:$K,10,0)</f>
        <v>0</v>
      </c>
      <c r="CH73" s="86">
        <f>-VLOOKUP(CH$1,Amort!$B:$K,10,0)</f>
        <v>0</v>
      </c>
      <c r="CI73" s="86">
        <f>-VLOOKUP(CI$1,Amort!$B:$K,10,0)</f>
        <v>0</v>
      </c>
      <c r="CJ73" s="86">
        <f>-VLOOKUP(CJ$1,Amort!$B:$K,10,0)</f>
        <v>0</v>
      </c>
      <c r="CK73" s="86">
        <f>-VLOOKUP(CK$1,Amort!$B:$K,10,0)</f>
        <v>0</v>
      </c>
      <c r="CL73" s="86">
        <f>-VLOOKUP(CL$1,Amort!$B:$K,10,0)</f>
        <v>0</v>
      </c>
      <c r="CM73" s="86">
        <f>-VLOOKUP(CM$1,Amort!$B:$K,10,0)</f>
        <v>0</v>
      </c>
      <c r="CN73" s="87">
        <f t="shared" si="1404"/>
        <v>0</v>
      </c>
      <c r="CO73" s="86">
        <f>-VLOOKUP(CO$1,Amort!$B:$K,10,0)</f>
        <v>0</v>
      </c>
      <c r="CP73" s="86">
        <f>-VLOOKUP(CP$1,Amort!$B:$K,10,0)</f>
        <v>0</v>
      </c>
      <c r="CQ73" s="86">
        <f>-VLOOKUP(CQ$1,Amort!$B:$K,10,0)</f>
        <v>0</v>
      </c>
      <c r="CR73" s="86">
        <f>-VLOOKUP(CR$1,Amort!$B:$K,10,0)</f>
        <v>0</v>
      </c>
      <c r="CS73" s="86">
        <f>-VLOOKUP(CS$1,Amort!$B:$K,10,0)</f>
        <v>0</v>
      </c>
      <c r="CT73" s="86">
        <f>-VLOOKUP(CT$1,Amort!$B:$K,10,0)</f>
        <v>0</v>
      </c>
      <c r="CU73" s="86">
        <f>-VLOOKUP(CU$1,Amort!$B:$K,10,0)</f>
        <v>0</v>
      </c>
      <c r="CV73" s="86">
        <f>-VLOOKUP(CV$1,Amort!$B:$K,10,0)</f>
        <v>0</v>
      </c>
      <c r="CW73" s="86">
        <f>-VLOOKUP(CW$1,Amort!$B:$K,10,0)</f>
        <v>0</v>
      </c>
      <c r="CX73" s="86">
        <f>-VLOOKUP(CX$1,Amort!$B:$K,10,0)</f>
        <v>0</v>
      </c>
      <c r="CY73" s="86">
        <f>-VLOOKUP(CY$1,Amort!$B:$K,10,0)</f>
        <v>0</v>
      </c>
      <c r="CZ73" s="86">
        <f>-VLOOKUP(CZ$1,Amort!$B:$K,10,0)</f>
        <v>0</v>
      </c>
      <c r="DA73" s="87">
        <f t="shared" si="1405"/>
        <v>0</v>
      </c>
      <c r="DB73" s="86">
        <f>-VLOOKUP(DB$1,Amort!$B:$K,10,0)</f>
        <v>0</v>
      </c>
      <c r="DC73" s="86">
        <f>-VLOOKUP(DC$1,Amort!$B:$K,10,0)</f>
        <v>0</v>
      </c>
      <c r="DD73" s="86">
        <f>-VLOOKUP(DD$1,Amort!$B:$K,10,0)</f>
        <v>0</v>
      </c>
      <c r="DE73" s="86">
        <f>-VLOOKUP(DE$1,Amort!$B:$K,10,0)</f>
        <v>0</v>
      </c>
      <c r="DF73" s="86">
        <f>-VLOOKUP(DF$1,Amort!$B:$K,10,0)</f>
        <v>0</v>
      </c>
      <c r="DG73" s="86">
        <f>-VLOOKUP(DG$1,Amort!$B:$K,10,0)</f>
        <v>0</v>
      </c>
      <c r="DH73" s="86">
        <f>-VLOOKUP(DH$1,Amort!$B:$K,10,0)</f>
        <v>0</v>
      </c>
      <c r="DI73" s="86">
        <f>-VLOOKUP(DI$1,Amort!$B:$K,10,0)</f>
        <v>0</v>
      </c>
      <c r="DJ73" s="86">
        <f>-VLOOKUP(DJ$1,Amort!$B:$K,10,0)</f>
        <v>0</v>
      </c>
      <c r="DK73" s="86">
        <f>-VLOOKUP(DK$1,Amort!$B:$K,10,0)</f>
        <v>0</v>
      </c>
      <c r="DL73" s="86">
        <f>-VLOOKUP(DL$1,Amort!$B:$K,10,0)</f>
        <v>0</v>
      </c>
      <c r="DM73" s="86">
        <f>-VLOOKUP(DM$1,Amort!$B:$K,10,0)</f>
        <v>0</v>
      </c>
      <c r="DN73" s="87">
        <f t="shared" si="1406"/>
        <v>0</v>
      </c>
      <c r="DO73" s="86">
        <f>-VLOOKUP(DO$1,Amort!$B:$K,10,0)</f>
        <v>0</v>
      </c>
      <c r="DP73" s="86">
        <f>-VLOOKUP(DP$1,Amort!$B:$K,10,0)</f>
        <v>0</v>
      </c>
      <c r="DQ73" s="86">
        <f>-VLOOKUP(DQ$1,Amort!$B:$K,10,0)</f>
        <v>0</v>
      </c>
      <c r="DR73" s="86">
        <f>-VLOOKUP(DR$1,Amort!$B:$K,10,0)</f>
        <v>0</v>
      </c>
      <c r="DS73" s="86">
        <f>-VLOOKUP(DS$1,Amort!$B:$K,10,0)</f>
        <v>0</v>
      </c>
      <c r="DT73" s="86">
        <f>-VLOOKUP(DT$1,Amort!$B:$K,10,0)</f>
        <v>0</v>
      </c>
      <c r="DU73" s="86">
        <f>-VLOOKUP(DU$1,Amort!$B:$K,10,0)</f>
        <v>0</v>
      </c>
      <c r="DV73" s="86">
        <f>-VLOOKUP(DV$1,Amort!$B:$K,10,0)</f>
        <v>0</v>
      </c>
      <c r="DW73" s="86">
        <f>-VLOOKUP(DW$1,Amort!$B:$K,10,0)</f>
        <v>0</v>
      </c>
      <c r="DX73" s="86">
        <f>-VLOOKUP(DX$1,Amort!$B:$K,10,0)</f>
        <v>0</v>
      </c>
      <c r="DY73" s="86">
        <f>-VLOOKUP(DY$1,Amort!$B:$K,10,0)</f>
        <v>0</v>
      </c>
      <c r="DZ73" s="86">
        <f>-VLOOKUP(DZ$1,Amort!$B:$K,10,0)</f>
        <v>0</v>
      </c>
      <c r="EA73" s="87">
        <f t="shared" si="1407"/>
        <v>0</v>
      </c>
      <c r="EB73" s="86">
        <f>-VLOOKUP(EB$1,Amort!$B:$K,10,0)</f>
        <v>0</v>
      </c>
      <c r="EC73" s="86">
        <f>-VLOOKUP(EC$1,Amort!$B:$K,10,0)</f>
        <v>0</v>
      </c>
      <c r="ED73" s="86">
        <f>-VLOOKUP(ED$1,Amort!$B:$K,10,0)</f>
        <v>0</v>
      </c>
      <c r="EE73" s="86">
        <f>-VLOOKUP(EE$1,Amort!$B:$K,10,0)</f>
        <v>0</v>
      </c>
      <c r="EF73" s="86">
        <f>-VLOOKUP(EF$1,Amort!$B:$K,10,0)</f>
        <v>0</v>
      </c>
      <c r="EG73" s="86">
        <f>-VLOOKUP(EG$1,Amort!$B:$K,10,0)</f>
        <v>0</v>
      </c>
      <c r="EH73" s="86">
        <f>-VLOOKUP(EH$1,Amort!$B:$K,10,0)</f>
        <v>0</v>
      </c>
      <c r="EI73" s="86">
        <f>-VLOOKUP(EI$1,Amort!$B:$K,10,0)</f>
        <v>0</v>
      </c>
      <c r="EJ73" s="86">
        <f>-VLOOKUP(EJ$1,Amort!$B:$K,10,0)</f>
        <v>0</v>
      </c>
      <c r="EK73" s="86">
        <f>-VLOOKUP(EK$1,Amort!$B:$K,10,0)</f>
        <v>0</v>
      </c>
      <c r="EL73" s="86">
        <f>-VLOOKUP(EL$1,Amort!$B:$K,10,0)</f>
        <v>0</v>
      </c>
      <c r="EM73" s="86">
        <f>-VLOOKUP(EM$1,Amort!$B:$K,10,0)</f>
        <v>0</v>
      </c>
      <c r="EN73" s="87">
        <f t="shared" si="1408"/>
        <v>0</v>
      </c>
      <c r="EO73" s="86">
        <f>-VLOOKUP(EO$1,Amort!$B:$K,10,0)</f>
        <v>0</v>
      </c>
      <c r="EP73" s="86">
        <f>-VLOOKUP(EP$1,Amort!$B:$K,10,0)</f>
        <v>0</v>
      </c>
      <c r="EQ73" s="86">
        <f>-VLOOKUP(EQ$1,Amort!$B:$K,10,0)</f>
        <v>0</v>
      </c>
      <c r="ER73" s="86">
        <f>-VLOOKUP(ER$1,Amort!$B:$K,10,0)</f>
        <v>0</v>
      </c>
      <c r="ES73" s="86">
        <f>-VLOOKUP(ES$1,Amort!$B:$K,10,0)</f>
        <v>0</v>
      </c>
      <c r="ET73" s="86">
        <f>-VLOOKUP(ET$1,Amort!$B:$K,10,0)</f>
        <v>0</v>
      </c>
      <c r="EU73" s="86">
        <f>-VLOOKUP(EU$1,Amort!$B:$K,10,0)</f>
        <v>0</v>
      </c>
      <c r="EV73" s="86">
        <f>-VLOOKUP(EV$1,Amort!$B:$K,10,0)</f>
        <v>0</v>
      </c>
      <c r="EW73" s="86">
        <f>-VLOOKUP(EW$1,Amort!$B:$K,10,0)</f>
        <v>0</v>
      </c>
      <c r="EX73" s="86">
        <f>-VLOOKUP(EX$1,Amort!$B:$K,10,0)</f>
        <v>0</v>
      </c>
      <c r="EY73" s="86">
        <f>-VLOOKUP(EY$1,Amort!$B:$K,10,0)</f>
        <v>0</v>
      </c>
      <c r="EZ73" s="86">
        <f>-VLOOKUP(EZ$1,Amort!$B:$K,10,0)</f>
        <v>0</v>
      </c>
      <c r="FA73" s="87">
        <f t="shared" si="1409"/>
        <v>0</v>
      </c>
      <c r="FB73" s="86">
        <f>-VLOOKUP(FB$1,Amort!$B:$K,10,0)</f>
        <v>0</v>
      </c>
      <c r="FC73" s="86">
        <f>-VLOOKUP(FC$1,Amort!$B:$K,10,0)</f>
        <v>0</v>
      </c>
      <c r="FD73" s="86">
        <f>-VLOOKUP(FD$1,Amort!$B:$K,10,0)</f>
        <v>0</v>
      </c>
      <c r="FE73" s="86">
        <f>-VLOOKUP(FE$1,Amort!$B:$K,10,0)</f>
        <v>0</v>
      </c>
      <c r="FF73" s="86">
        <f>-VLOOKUP(FF$1,Amort!$B:$K,10,0)</f>
        <v>0</v>
      </c>
      <c r="FG73" s="86">
        <f>-VLOOKUP(FG$1,Amort!$B:$K,10,0)</f>
        <v>0</v>
      </c>
      <c r="FH73" s="86">
        <f>-VLOOKUP(FH$1,Amort!$B:$K,10,0)</f>
        <v>0</v>
      </c>
      <c r="FI73" s="86">
        <f>-VLOOKUP(FI$1,Amort!$B:$K,10,0)</f>
        <v>0</v>
      </c>
      <c r="FJ73" s="86">
        <f>-VLOOKUP(FJ$1,Amort!$B:$K,10,0)</f>
        <v>0</v>
      </c>
      <c r="FK73" s="86">
        <f>-VLOOKUP(FK$1,Amort!$B:$K,10,0)</f>
        <v>0</v>
      </c>
      <c r="FL73" s="86">
        <f>-VLOOKUP(FL$1,Amort!$B:$K,10,0)</f>
        <v>0</v>
      </c>
      <c r="FM73" s="86">
        <f>-VLOOKUP(FM$1,Amort!$B:$K,10,0)</f>
        <v>0</v>
      </c>
      <c r="FN73" s="87">
        <f t="shared" si="1410"/>
        <v>0</v>
      </c>
      <c r="FO73" s="86">
        <f>-VLOOKUP(FO$1,Amort!$B:$K,10,0)</f>
        <v>0</v>
      </c>
      <c r="FP73" s="86">
        <f>-VLOOKUP(FP$1,Amort!$B:$K,10,0)</f>
        <v>0</v>
      </c>
      <c r="FQ73" s="86">
        <f>-VLOOKUP(FQ$1,Amort!$B:$K,10,0)</f>
        <v>0</v>
      </c>
      <c r="FR73" s="86">
        <f>-VLOOKUP(FR$1,Amort!$B:$K,10,0)</f>
        <v>0</v>
      </c>
      <c r="FS73" s="86">
        <f>-VLOOKUP(FS$1,Amort!$B:$K,10,0)</f>
        <v>0</v>
      </c>
      <c r="FT73" s="86">
        <f>-VLOOKUP(FT$1,Amort!$B:$K,10,0)</f>
        <v>0</v>
      </c>
      <c r="FU73" s="86">
        <f>-VLOOKUP(FU$1,Amort!$B:$K,10,0)</f>
        <v>0</v>
      </c>
      <c r="FV73" s="86">
        <f>-VLOOKUP(FV$1,Amort!$B:$K,10,0)</f>
        <v>0</v>
      </c>
      <c r="FW73" s="86">
        <f>-VLOOKUP(FW$1,Amort!$B:$K,10,0)</f>
        <v>0</v>
      </c>
      <c r="FX73" s="86">
        <f>-VLOOKUP(FX$1,Amort!$B:$K,10,0)</f>
        <v>0</v>
      </c>
      <c r="FY73" s="86">
        <f>-VLOOKUP(FY$1,Amort!$B:$K,10,0)</f>
        <v>0</v>
      </c>
      <c r="FZ73" s="86">
        <f>-VLOOKUP(FZ$1,Amort!$B:$K,10,0)</f>
        <v>0</v>
      </c>
      <c r="GA73" s="87">
        <f t="shared" si="1411"/>
        <v>0</v>
      </c>
      <c r="GB73" s="86">
        <f>-VLOOKUP(GB$1,Amort!$B:$K,10,0)</f>
        <v>0</v>
      </c>
      <c r="GC73" s="86">
        <f>-VLOOKUP(GC$1,Amort!$B:$K,10,0)</f>
        <v>0</v>
      </c>
      <c r="GD73" s="86">
        <f>-VLOOKUP(GD$1,Amort!$B:$K,10,0)</f>
        <v>0</v>
      </c>
      <c r="GE73" s="86">
        <f>-VLOOKUP(GE$1,Amort!$B:$K,10,0)</f>
        <v>0</v>
      </c>
      <c r="GF73" s="86">
        <f>-VLOOKUP(GF$1,Amort!$B:$K,10,0)</f>
        <v>0</v>
      </c>
      <c r="GG73" s="86">
        <f>-VLOOKUP(GG$1,Amort!$B:$K,10,0)</f>
        <v>0</v>
      </c>
      <c r="GH73" s="86">
        <f>-VLOOKUP(GH$1,Amort!$B:$K,10,0)</f>
        <v>0</v>
      </c>
      <c r="GI73" s="86">
        <f>-VLOOKUP(GI$1,Amort!$B:$K,10,0)</f>
        <v>0</v>
      </c>
      <c r="GJ73" s="86">
        <f>-VLOOKUP(GJ$1,Amort!$B:$K,10,0)</f>
        <v>0</v>
      </c>
      <c r="GK73" s="86">
        <f>-VLOOKUP(GK$1,Amort!$B:$K,10,0)</f>
        <v>0</v>
      </c>
      <c r="GL73" s="86">
        <f>-VLOOKUP(GL$1,Amort!$B:$K,10,0)</f>
        <v>0</v>
      </c>
      <c r="GM73" s="86">
        <f>-VLOOKUP(GM$1,Amort!$B:$K,10,0)</f>
        <v>0</v>
      </c>
      <c r="GN73" s="87">
        <f t="shared" si="1412"/>
        <v>0</v>
      </c>
      <c r="GO73" s="86">
        <f>-VLOOKUP(GO$1,Amort!$B:$K,10,0)</f>
        <v>0</v>
      </c>
      <c r="GP73" s="86">
        <f>-VLOOKUP(GP$1,Amort!$B:$K,10,0)</f>
        <v>0</v>
      </c>
      <c r="GQ73" s="86">
        <f>-VLOOKUP(GQ$1,Amort!$B:$K,10,0)</f>
        <v>0</v>
      </c>
      <c r="GR73" s="86">
        <f>-VLOOKUP(GR$1,Amort!$B:$K,10,0)</f>
        <v>0</v>
      </c>
      <c r="GS73" s="86">
        <f>-VLOOKUP(GS$1,Amort!$B:$K,10,0)</f>
        <v>0</v>
      </c>
      <c r="GT73" s="86">
        <f>-VLOOKUP(GT$1,Amort!$B:$K,10,0)</f>
        <v>0</v>
      </c>
      <c r="GU73" s="86">
        <f>-VLOOKUP(GU$1,Amort!$B:$K,10,0)</f>
        <v>0</v>
      </c>
      <c r="GV73" s="86">
        <f>-VLOOKUP(GV$1,Amort!$B:$K,10,0)</f>
        <v>0</v>
      </c>
      <c r="GW73" s="86">
        <f>-VLOOKUP(GW$1,Amort!$B:$K,10,0)</f>
        <v>0</v>
      </c>
      <c r="GX73" s="86">
        <f>-VLOOKUP(GX$1,Amort!$B:$K,10,0)</f>
        <v>0</v>
      </c>
      <c r="GY73" s="86">
        <f>-VLOOKUP(GY$1,Amort!$B:$K,10,0)</f>
        <v>0</v>
      </c>
      <c r="GZ73" s="86">
        <f>-VLOOKUP(GZ$1,Amort!$B:$K,10,0)</f>
        <v>0</v>
      </c>
      <c r="HA73" s="87">
        <f t="shared" si="1413"/>
        <v>0</v>
      </c>
      <c r="HB73" s="86">
        <f>-VLOOKUP(HB$1,Amort!$B:$K,10,0)</f>
        <v>0</v>
      </c>
      <c r="HC73" s="86">
        <f>-VLOOKUP(HC$1,Amort!$B:$K,10,0)</f>
        <v>0</v>
      </c>
      <c r="HD73" s="86">
        <f>-VLOOKUP(HD$1,Amort!$B:$K,10,0)</f>
        <v>0</v>
      </c>
      <c r="HE73" s="86">
        <f>-VLOOKUP(HE$1,Amort!$B:$K,10,0)</f>
        <v>0</v>
      </c>
      <c r="HF73" s="86">
        <f>-VLOOKUP(HF$1,Amort!$B:$K,10,0)</f>
        <v>0</v>
      </c>
      <c r="HG73" s="86">
        <f>-VLOOKUP(HG$1,Amort!$B:$K,10,0)</f>
        <v>0</v>
      </c>
      <c r="HH73" s="86">
        <f>-VLOOKUP(HH$1,Amort!$B:$K,10,0)</f>
        <v>0</v>
      </c>
      <c r="HI73" s="86">
        <f>-VLOOKUP(HI$1,Amort!$B:$K,10,0)</f>
        <v>0</v>
      </c>
      <c r="HJ73" s="86">
        <f>-VLOOKUP(HJ$1,Amort!$B:$K,10,0)</f>
        <v>0</v>
      </c>
      <c r="HK73" s="86">
        <f>-VLOOKUP(HK$1,Amort!$B:$K,10,0)</f>
        <v>0</v>
      </c>
      <c r="HL73" s="86">
        <f>-VLOOKUP(HL$1,Amort!$B:$K,10,0)</f>
        <v>0</v>
      </c>
      <c r="HM73" s="86">
        <f>-VLOOKUP(HM$1,Amort!$B:$K,10,0)</f>
        <v>0</v>
      </c>
      <c r="HN73" s="87">
        <f t="shared" si="1414"/>
        <v>0</v>
      </c>
      <c r="HO73" s="86">
        <f>-VLOOKUP(HO$1,Amort!$B:$K,10,0)</f>
        <v>0</v>
      </c>
      <c r="HP73" s="86">
        <f>-VLOOKUP(HP$1,Amort!$B:$K,10,0)</f>
        <v>0</v>
      </c>
      <c r="HQ73" s="86">
        <f>-VLOOKUP(HQ$1,Amort!$B:$K,10,0)</f>
        <v>0</v>
      </c>
      <c r="HR73" s="86">
        <f>-VLOOKUP(HR$1,Amort!$B:$K,10,0)</f>
        <v>0</v>
      </c>
      <c r="HS73" s="86">
        <f>-VLOOKUP(HS$1,Amort!$B:$K,10,0)</f>
        <v>0</v>
      </c>
      <c r="HT73" s="86">
        <f>-VLOOKUP(HT$1,Amort!$B:$K,10,0)</f>
        <v>0</v>
      </c>
      <c r="HU73" s="86">
        <f>-VLOOKUP(HU$1,Amort!$B:$K,10,0)</f>
        <v>0</v>
      </c>
      <c r="HV73" s="86">
        <f>-VLOOKUP(HV$1,Amort!$B:$K,10,0)</f>
        <v>0</v>
      </c>
      <c r="HW73" s="86">
        <f>-VLOOKUP(HW$1,Amort!$B:$K,10,0)</f>
        <v>0</v>
      </c>
      <c r="HX73" s="86">
        <f>-VLOOKUP(HX$1,Amort!$B:$K,10,0)</f>
        <v>0</v>
      </c>
      <c r="HY73" s="86">
        <f>-VLOOKUP(HY$1,Amort!$B:$K,10,0)</f>
        <v>0</v>
      </c>
      <c r="HZ73" s="86">
        <f>-VLOOKUP(HZ$1,Amort!$B:$K,10,0)</f>
        <v>0</v>
      </c>
      <c r="IA73" s="87">
        <f t="shared" si="1415"/>
        <v>0</v>
      </c>
      <c r="IB73" s="86">
        <f>-VLOOKUP(IB$1,Amort!$B:$K,10,0)</f>
        <v>0</v>
      </c>
      <c r="IC73" s="86">
        <f>-VLOOKUP(IC$1,Amort!$B:$K,10,0)</f>
        <v>0</v>
      </c>
      <c r="ID73" s="86">
        <f>-VLOOKUP(ID$1,Amort!$B:$K,10,0)</f>
        <v>0</v>
      </c>
      <c r="IE73" s="86">
        <f>-VLOOKUP(IE$1,Amort!$B:$K,10,0)</f>
        <v>0</v>
      </c>
      <c r="IF73" s="86">
        <f>-VLOOKUP(IF$1,Amort!$B:$K,10,0)</f>
        <v>0</v>
      </c>
      <c r="IG73" s="86">
        <f>-VLOOKUP(IG$1,Amort!$B:$K,10,0)</f>
        <v>0</v>
      </c>
      <c r="IH73" s="86">
        <f>-VLOOKUP(IH$1,Amort!$B:$K,10,0)</f>
        <v>0</v>
      </c>
      <c r="II73" s="86">
        <f>-VLOOKUP(II$1,Amort!$B:$K,10,0)</f>
        <v>0</v>
      </c>
      <c r="IJ73" s="86">
        <f>-VLOOKUP(IJ$1,Amort!$B:$K,10,0)</f>
        <v>0</v>
      </c>
      <c r="IK73" s="86">
        <f>-VLOOKUP(IK$1,Amort!$B:$K,10,0)</f>
        <v>0</v>
      </c>
      <c r="IL73" s="86">
        <f>-VLOOKUP(IL$1,Amort!$B:$K,10,0)</f>
        <v>0</v>
      </c>
      <c r="IM73" s="86">
        <f>-VLOOKUP(IM$1,Amort!$B:$K,10,0)</f>
        <v>0</v>
      </c>
      <c r="IN73" s="87">
        <f t="shared" si="1416"/>
        <v>0</v>
      </c>
      <c r="IO73" s="86">
        <f>-VLOOKUP(IO$1,Amort!$B:$K,10,0)</f>
        <v>0</v>
      </c>
      <c r="IP73" s="86">
        <f>-VLOOKUP(IP$1,Amort!$B:$K,10,0)</f>
        <v>0</v>
      </c>
      <c r="IQ73" s="86">
        <f>-VLOOKUP(IQ$1,Amort!$B:$K,10,0)</f>
        <v>0</v>
      </c>
      <c r="IR73" s="86">
        <f>-VLOOKUP(IR$1,Amort!$B:$K,10,0)</f>
        <v>0</v>
      </c>
      <c r="IS73" s="86">
        <f>-VLOOKUP(IS$1,Amort!$B:$K,10,0)</f>
        <v>0</v>
      </c>
      <c r="IT73" s="86">
        <f>-VLOOKUP(IT$1,Amort!$B:$K,10,0)</f>
        <v>0</v>
      </c>
      <c r="IU73" s="86">
        <f>-VLOOKUP(IU$1,Amort!$B:$K,10,0)</f>
        <v>0</v>
      </c>
      <c r="IV73" s="86">
        <f>-VLOOKUP(IV$1,Amort!$B:$K,10,0)</f>
        <v>0</v>
      </c>
      <c r="IW73" s="86">
        <f>-VLOOKUP(IW$1,Amort!$B:$K,10,0)</f>
        <v>0</v>
      </c>
      <c r="IX73" s="86">
        <f>-VLOOKUP(IX$1,Amort!$B:$K,10,0)</f>
        <v>0</v>
      </c>
      <c r="IY73" s="86">
        <f>-VLOOKUP(IY$1,Amort!$B:$K,10,0)</f>
        <v>0</v>
      </c>
      <c r="IZ73" s="86">
        <f>-VLOOKUP(IZ$1,Amort!$B:$K,10,0)</f>
        <v>0</v>
      </c>
      <c r="JA73" s="87">
        <f t="shared" si="1417"/>
        <v>0</v>
      </c>
      <c r="JB73" s="86">
        <f>-VLOOKUP(JB$1,Amort!$B:$K,10,0)</f>
        <v>0</v>
      </c>
      <c r="JC73" s="86">
        <f>-VLOOKUP(JC$1,Amort!$B:$K,10,0)</f>
        <v>0</v>
      </c>
      <c r="JD73" s="86">
        <f>-VLOOKUP(JD$1,Amort!$B:$K,10,0)</f>
        <v>0</v>
      </c>
      <c r="JE73" s="86">
        <f>-VLOOKUP(JE$1,Amort!$B:$K,10,0)</f>
        <v>0</v>
      </c>
      <c r="JF73" s="86">
        <f>-VLOOKUP(JF$1,Amort!$B:$K,10,0)</f>
        <v>0</v>
      </c>
      <c r="JG73" s="86">
        <f>-VLOOKUP(JG$1,Amort!$B:$K,10,0)</f>
        <v>0</v>
      </c>
      <c r="JH73" s="86">
        <f>-VLOOKUP(JH$1,Amort!$B:$K,10,0)</f>
        <v>0</v>
      </c>
      <c r="JI73" s="86">
        <f>-VLOOKUP(JI$1,Amort!$B:$K,10,0)</f>
        <v>0</v>
      </c>
      <c r="JJ73" s="86">
        <f>-VLOOKUP(JJ$1,Amort!$B:$K,10,0)</f>
        <v>0</v>
      </c>
      <c r="JK73" s="86">
        <f>-VLOOKUP(JK$1,Amort!$B:$K,10,0)</f>
        <v>0</v>
      </c>
      <c r="JL73" s="86">
        <f>-VLOOKUP(JL$1,Amort!$B:$K,10,0)</f>
        <v>0</v>
      </c>
      <c r="JM73" s="86">
        <f>-VLOOKUP(JM$1,Amort!$B:$K,10,0)</f>
        <v>0</v>
      </c>
      <c r="JN73" s="87">
        <f t="shared" si="1418"/>
        <v>0</v>
      </c>
      <c r="JO73" s="86">
        <f>-VLOOKUP(JO$1,Amort!$B:$K,10,0)</f>
        <v>0</v>
      </c>
      <c r="JP73" s="86">
        <f>-VLOOKUP(JP$1,Amort!$B:$K,10,0)</f>
        <v>0</v>
      </c>
      <c r="JQ73" s="86">
        <f>-VLOOKUP(JQ$1,Amort!$B:$K,10,0)</f>
        <v>0</v>
      </c>
      <c r="JR73" s="86">
        <f>-VLOOKUP(JR$1,Amort!$B:$K,10,0)</f>
        <v>0</v>
      </c>
      <c r="JS73" s="86">
        <f>-VLOOKUP(JS$1,Amort!$B:$K,10,0)</f>
        <v>0</v>
      </c>
      <c r="JT73" s="86">
        <f>-VLOOKUP(JT$1,Amort!$B:$K,10,0)</f>
        <v>0</v>
      </c>
      <c r="JU73" s="86">
        <f>-VLOOKUP(JU$1,Amort!$B:$K,10,0)</f>
        <v>0</v>
      </c>
      <c r="JV73" s="86">
        <f>-VLOOKUP(JV$1,Amort!$B:$K,10,0)</f>
        <v>0</v>
      </c>
      <c r="JW73" s="86">
        <f>-VLOOKUP(JW$1,Amort!$B:$K,10,0)</f>
        <v>0</v>
      </c>
      <c r="JX73" s="86">
        <f>-VLOOKUP(JX$1,Amort!$B:$K,10,0)</f>
        <v>0</v>
      </c>
      <c r="JY73" s="86">
        <f>-VLOOKUP(JY$1,Amort!$B:$K,10,0)</f>
        <v>0</v>
      </c>
      <c r="JZ73" s="86">
        <f>-VLOOKUP(JZ$1,Amort!$B:$K,10,0)</f>
        <v>0</v>
      </c>
      <c r="KA73" s="87">
        <f t="shared" si="1419"/>
        <v>0</v>
      </c>
      <c r="KB73" s="86">
        <f>-VLOOKUP(KB$1,Amort!$B:$K,10,0)</f>
        <v>0</v>
      </c>
      <c r="KC73" s="86">
        <f>-VLOOKUP(KC$1,Amort!$B:$K,10,0)</f>
        <v>0</v>
      </c>
      <c r="KD73" s="86">
        <f>-VLOOKUP(KD$1,Amort!$B:$K,10,0)</f>
        <v>0</v>
      </c>
      <c r="KE73" s="86">
        <f>-VLOOKUP(KE$1,Amort!$B:$K,10,0)</f>
        <v>0</v>
      </c>
      <c r="KF73" s="86">
        <f>-VLOOKUP(KF$1,Amort!$B:$K,10,0)</f>
        <v>0</v>
      </c>
      <c r="KG73" s="86">
        <f>-VLOOKUP(KG$1,Amort!$B:$K,10,0)</f>
        <v>0</v>
      </c>
      <c r="KH73" s="86">
        <f>-VLOOKUP(KH$1,Amort!$B:$K,10,0)</f>
        <v>0</v>
      </c>
      <c r="KI73" s="86">
        <f>-VLOOKUP(KI$1,Amort!$B:$K,10,0)</f>
        <v>0</v>
      </c>
      <c r="KJ73" s="86">
        <f>-VLOOKUP(KJ$1,Amort!$B:$K,10,0)</f>
        <v>0</v>
      </c>
      <c r="KK73" s="86">
        <f>-VLOOKUP(KK$1,Amort!$B:$K,10,0)</f>
        <v>0</v>
      </c>
      <c r="KL73" s="86">
        <f>-VLOOKUP(KL$1,Amort!$B:$K,10,0)</f>
        <v>0</v>
      </c>
      <c r="KM73" s="86">
        <f>-VLOOKUP(KM$1,Amort!$B:$K,10,0)</f>
        <v>0</v>
      </c>
      <c r="KN73" s="87">
        <f t="shared" si="1420"/>
        <v>0</v>
      </c>
      <c r="KO73" s="86">
        <f>-VLOOKUP(KO$1,Amort!$B:$K,10,0)</f>
        <v>0</v>
      </c>
      <c r="KP73" s="86">
        <f>-VLOOKUP(KP$1,Amort!$B:$K,10,0)</f>
        <v>0</v>
      </c>
      <c r="KQ73" s="86">
        <f>-VLOOKUP(KQ$1,Amort!$B:$K,10,0)</f>
        <v>0</v>
      </c>
      <c r="KR73" s="86">
        <f>-VLOOKUP(KR$1,Amort!$B:$K,10,0)</f>
        <v>0</v>
      </c>
      <c r="KS73" s="86">
        <f>-VLOOKUP(KS$1,Amort!$B:$K,10,0)</f>
        <v>0</v>
      </c>
      <c r="KT73" s="86">
        <f>-VLOOKUP(KT$1,Amort!$B:$K,10,0)</f>
        <v>0</v>
      </c>
      <c r="KU73" s="86">
        <f>-VLOOKUP(KU$1,Amort!$B:$K,10,0)</f>
        <v>0</v>
      </c>
      <c r="KV73" s="86">
        <f>-VLOOKUP(KV$1,Amort!$B:$K,10,0)</f>
        <v>0</v>
      </c>
      <c r="KW73" s="86">
        <f>-VLOOKUP(KW$1,Amort!$B:$K,10,0)</f>
        <v>0</v>
      </c>
      <c r="KX73" s="86">
        <f>-VLOOKUP(KX$1,Amort!$B:$K,10,0)</f>
        <v>0</v>
      </c>
      <c r="KY73" s="86">
        <f>-VLOOKUP(KY$1,Amort!$B:$K,10,0)</f>
        <v>0</v>
      </c>
      <c r="KZ73" s="86">
        <f>-VLOOKUP(KZ$1,Amort!$B:$K,10,0)</f>
        <v>0</v>
      </c>
      <c r="LA73" s="87">
        <f t="shared" si="1421"/>
        <v>0</v>
      </c>
      <c r="LB73" s="86">
        <f>-VLOOKUP(LB$1,Amort!$B:$K,10,0)</f>
        <v>0</v>
      </c>
      <c r="LC73" s="86">
        <f>-VLOOKUP(LC$1,Amort!$B:$K,10,0)</f>
        <v>0</v>
      </c>
      <c r="LD73" s="86">
        <f>-VLOOKUP(LD$1,Amort!$B:$K,10,0)</f>
        <v>0</v>
      </c>
      <c r="LE73" s="86">
        <f>-VLOOKUP(LE$1,Amort!$B:$K,10,0)</f>
        <v>0</v>
      </c>
      <c r="LF73" s="86">
        <f>-VLOOKUP(LF$1,Amort!$B:$K,10,0)</f>
        <v>0</v>
      </c>
      <c r="LG73" s="86">
        <f>-VLOOKUP(LG$1,Amort!$B:$K,10,0)</f>
        <v>0</v>
      </c>
      <c r="LH73" s="86">
        <f>-VLOOKUP(LH$1,Amort!$B:$K,10,0)</f>
        <v>0</v>
      </c>
      <c r="LI73" s="86">
        <f>-VLOOKUP(LI$1,Amort!$B:$K,10,0)</f>
        <v>0</v>
      </c>
      <c r="LJ73" s="86">
        <f>-VLOOKUP(LJ$1,Amort!$B:$K,10,0)</f>
        <v>0</v>
      </c>
      <c r="LK73" s="86">
        <f>-VLOOKUP(LK$1,Amort!$B:$K,10,0)</f>
        <v>0</v>
      </c>
      <c r="LL73" s="86">
        <f>-VLOOKUP(LL$1,Amort!$B:$K,10,0)</f>
        <v>0</v>
      </c>
      <c r="LM73" s="86">
        <f>-VLOOKUP(LM$1,Amort!$B:$K,10,0)</f>
        <v>0</v>
      </c>
      <c r="LN73" s="87">
        <f t="shared" si="1422"/>
        <v>0</v>
      </c>
      <c r="LO73" s="86">
        <f>-VLOOKUP(LO$1,Amort!$B:$K,10,0)</f>
        <v>0</v>
      </c>
      <c r="LP73" s="86">
        <f>-VLOOKUP(LP$1,Amort!$B:$K,10,0)</f>
        <v>0</v>
      </c>
      <c r="LQ73" s="86">
        <f>-VLOOKUP(LQ$1,Amort!$B:$K,10,0)</f>
        <v>0</v>
      </c>
      <c r="LR73" s="86">
        <f>-VLOOKUP(LR$1,Amort!$B:$K,10,0)</f>
        <v>0</v>
      </c>
      <c r="LS73" s="86">
        <f>-VLOOKUP(LS$1,Amort!$B:$K,10,0)</f>
        <v>0</v>
      </c>
      <c r="LT73" s="86">
        <f>-VLOOKUP(LT$1,Amort!$B:$K,10,0)</f>
        <v>0</v>
      </c>
      <c r="LU73" s="86">
        <f>-VLOOKUP(LU$1,Amort!$B:$K,10,0)</f>
        <v>0</v>
      </c>
      <c r="LV73" s="86">
        <f>-VLOOKUP(LV$1,Amort!$B:$K,10,0)</f>
        <v>0</v>
      </c>
      <c r="LW73" s="86">
        <f>-VLOOKUP(LW$1,Amort!$B:$K,10,0)</f>
        <v>0</v>
      </c>
      <c r="LX73" s="86">
        <f>-VLOOKUP(LX$1,Amort!$B:$K,10,0)</f>
        <v>0</v>
      </c>
      <c r="LY73" s="86">
        <f>-VLOOKUP(LY$1,Amort!$B:$K,10,0)</f>
        <v>0</v>
      </c>
      <c r="LZ73" s="86">
        <f>-VLOOKUP(LZ$1,Amort!$B:$K,10,0)</f>
        <v>0</v>
      </c>
      <c r="MA73" s="87">
        <f t="shared" si="1423"/>
        <v>0</v>
      </c>
      <c r="MB73" s="86">
        <f>-VLOOKUP(MB$1,Amort!$B:$K,10,0)</f>
        <v>0</v>
      </c>
      <c r="MC73" s="86">
        <f>-VLOOKUP(MC$1,Amort!$B:$K,10,0)</f>
        <v>0</v>
      </c>
      <c r="MD73" s="86">
        <f>-VLOOKUP(MD$1,Amort!$B:$K,10,0)</f>
        <v>0</v>
      </c>
      <c r="ME73" s="86">
        <f>-VLOOKUP(ME$1,Amort!$B:$K,10,0)</f>
        <v>0</v>
      </c>
      <c r="MF73" s="86">
        <f>-VLOOKUP(MF$1,Amort!$B:$K,10,0)</f>
        <v>0</v>
      </c>
      <c r="MG73" s="86">
        <f>-VLOOKUP(MG$1,Amort!$B:$K,10,0)</f>
        <v>0</v>
      </c>
      <c r="MH73" s="86">
        <f>-VLOOKUP(MH$1,Amort!$B:$K,10,0)</f>
        <v>0</v>
      </c>
      <c r="MI73" s="86">
        <f>-VLOOKUP(MI$1,Amort!$B:$K,10,0)</f>
        <v>0</v>
      </c>
      <c r="MJ73" s="86">
        <f>-VLOOKUP(MJ$1,Amort!$B:$K,10,0)</f>
        <v>0</v>
      </c>
      <c r="MK73" s="86">
        <f>-VLOOKUP(MK$1,Amort!$B:$K,10,0)</f>
        <v>0</v>
      </c>
      <c r="ML73" s="86">
        <f>-VLOOKUP(ML$1,Amort!$B:$K,10,0)</f>
        <v>0</v>
      </c>
      <c r="MM73" s="86">
        <f>-VLOOKUP(MM$1,Amort!$B:$K,10,0)</f>
        <v>0</v>
      </c>
      <c r="MN73" s="87">
        <f t="shared" si="1424"/>
        <v>0</v>
      </c>
      <c r="MO73" s="86">
        <f>-VLOOKUP(MO$1,Amort!$B:$K,10,0)</f>
        <v>0</v>
      </c>
      <c r="MP73" s="86">
        <f>-VLOOKUP(MP$1,Amort!$B:$K,10,0)</f>
        <v>0</v>
      </c>
      <c r="MQ73" s="86">
        <f>-VLOOKUP(MQ$1,Amort!$B:$K,10,0)</f>
        <v>0</v>
      </c>
      <c r="MR73" s="86">
        <f>-VLOOKUP(MR$1,Amort!$B:$K,10,0)</f>
        <v>0</v>
      </c>
      <c r="MS73" s="86">
        <f>-VLOOKUP(MS$1,Amort!$B:$K,10,0)</f>
        <v>0</v>
      </c>
      <c r="MT73" s="86">
        <f>-VLOOKUP(MT$1,Amort!$B:$K,10,0)</f>
        <v>0</v>
      </c>
      <c r="MU73" s="86">
        <f>-VLOOKUP(MU$1,Amort!$B:$K,10,0)</f>
        <v>0</v>
      </c>
      <c r="MV73" s="86">
        <f>-VLOOKUP(MV$1,Amort!$B:$K,10,0)</f>
        <v>0</v>
      </c>
      <c r="MW73" s="86">
        <f>-VLOOKUP(MW$1,Amort!$B:$K,10,0)</f>
        <v>0</v>
      </c>
      <c r="MX73" s="86">
        <f>-VLOOKUP(MX$1,Amort!$B:$K,10,0)</f>
        <v>0</v>
      </c>
      <c r="MY73" s="86">
        <f>-VLOOKUP(MY$1,Amort!$B:$K,10,0)</f>
        <v>0</v>
      </c>
      <c r="MZ73" s="86">
        <f>-VLOOKUP(MZ$1,Amort!$B:$K,10,0)</f>
        <v>0</v>
      </c>
      <c r="NA73" s="87">
        <f t="shared" si="1425"/>
        <v>0</v>
      </c>
      <c r="NB73" s="86">
        <f>-VLOOKUP(NB$1,Amort!$B:$K,10,0)</f>
        <v>0</v>
      </c>
      <c r="NC73" s="86">
        <f>-VLOOKUP(NC$1,Amort!$B:$K,10,0)</f>
        <v>0</v>
      </c>
      <c r="ND73" s="86">
        <f>-VLOOKUP(ND$1,Amort!$B:$K,10,0)</f>
        <v>0</v>
      </c>
      <c r="NE73" s="86">
        <f>-VLOOKUP(NE$1,Amort!$B:$K,10,0)</f>
        <v>0</v>
      </c>
      <c r="NF73" s="86">
        <f>-VLOOKUP(NF$1,Amort!$B:$K,10,0)</f>
        <v>0</v>
      </c>
      <c r="NG73" s="86">
        <f>-VLOOKUP(NG$1,Amort!$B:$K,10,0)</f>
        <v>0</v>
      </c>
      <c r="NH73" s="86">
        <f>-VLOOKUP(NH$1,Amort!$B:$K,10,0)</f>
        <v>0</v>
      </c>
      <c r="NI73" s="86">
        <f>-VLOOKUP(NI$1,Amort!$B:$K,10,0)</f>
        <v>0</v>
      </c>
      <c r="NJ73" s="86">
        <f>-VLOOKUP(NJ$1,Amort!$B:$K,10,0)</f>
        <v>0</v>
      </c>
      <c r="NK73" s="86">
        <f>-VLOOKUP(NK$1,Amort!$B:$K,10,0)</f>
        <v>0</v>
      </c>
      <c r="NL73" s="86">
        <f>-VLOOKUP(NL$1,Amort!$B:$K,10,0)</f>
        <v>0</v>
      </c>
      <c r="NM73" s="86">
        <f>-VLOOKUP(NM$1,Amort!$B:$K,10,0)</f>
        <v>0</v>
      </c>
      <c r="NN73" s="87">
        <f t="shared" si="1426"/>
        <v>0</v>
      </c>
      <c r="NO73" s="86">
        <f>-VLOOKUP(NO$1,Amort!$B:$K,10,0)</f>
        <v>0</v>
      </c>
      <c r="NP73" s="86">
        <f>-VLOOKUP(NP$1,Amort!$B:$K,10,0)</f>
        <v>0</v>
      </c>
      <c r="NQ73" s="86">
        <f>-VLOOKUP(NQ$1,Amort!$B:$K,10,0)</f>
        <v>0</v>
      </c>
      <c r="NR73" s="86">
        <f>-VLOOKUP(NR$1,Amort!$B:$K,10,0)</f>
        <v>0</v>
      </c>
      <c r="NS73" s="86">
        <f>-VLOOKUP(NS$1,Amort!$B:$K,10,0)</f>
        <v>0</v>
      </c>
      <c r="NT73" s="86">
        <f>-VLOOKUP(NT$1,Amort!$B:$K,10,0)</f>
        <v>0</v>
      </c>
      <c r="NU73" s="86">
        <f>-VLOOKUP(NU$1,Amort!$B:$K,10,0)</f>
        <v>0</v>
      </c>
      <c r="NV73" s="86">
        <f>-VLOOKUP(NV$1,Amort!$B:$K,10,0)</f>
        <v>0</v>
      </c>
      <c r="NW73" s="86">
        <f>-VLOOKUP(NW$1,Amort!$B:$K,10,0)</f>
        <v>0</v>
      </c>
      <c r="NX73" s="86">
        <f>-VLOOKUP(NX$1,Amort!$B:$K,10,0)</f>
        <v>0</v>
      </c>
      <c r="NY73" s="86">
        <f>-VLOOKUP(NY$1,Amort!$B:$K,10,0)</f>
        <v>0</v>
      </c>
      <c r="NZ73" s="86">
        <f>-VLOOKUP(NZ$1,Amort!$B:$K,10,0)</f>
        <v>0</v>
      </c>
      <c r="OA73" s="87">
        <f t="shared" si="1427"/>
        <v>0</v>
      </c>
      <c r="OB73" s="86">
        <f>-VLOOKUP(OB$1,Amort!$B:$K,10,0)</f>
        <v>0</v>
      </c>
      <c r="OC73" s="86">
        <f>-VLOOKUP(OC$1,Amort!$B:$K,10,0)</f>
        <v>0</v>
      </c>
      <c r="OD73" s="86">
        <f>-VLOOKUP(OD$1,Amort!$B:$K,10,0)</f>
        <v>0</v>
      </c>
      <c r="OE73" s="86">
        <f>-VLOOKUP(OE$1,Amort!$B:$K,10,0)</f>
        <v>0</v>
      </c>
      <c r="OF73" s="86">
        <f>-VLOOKUP(OF$1,Amort!$B:$K,10,0)</f>
        <v>0</v>
      </c>
      <c r="OG73" s="86">
        <f>-VLOOKUP(OG$1,Amort!$B:$K,10,0)</f>
        <v>0</v>
      </c>
      <c r="OH73" s="86">
        <f>-VLOOKUP(OH$1,Amort!$B:$K,10,0)</f>
        <v>0</v>
      </c>
      <c r="OI73" s="86">
        <f>-VLOOKUP(OI$1,Amort!$B:$K,10,0)</f>
        <v>0</v>
      </c>
      <c r="OJ73" s="86">
        <f>-VLOOKUP(OJ$1,Amort!$B:$K,10,0)</f>
        <v>0</v>
      </c>
      <c r="OK73" s="86">
        <f>-VLOOKUP(OK$1,Amort!$B:$K,10,0)</f>
        <v>0</v>
      </c>
      <c r="OL73" s="86">
        <f>-VLOOKUP(OL$1,Amort!$B:$K,10,0)</f>
        <v>0</v>
      </c>
      <c r="OM73" s="86">
        <f>-VLOOKUP(OM$1,Amort!$B:$K,10,0)</f>
        <v>0</v>
      </c>
      <c r="ON73" s="87">
        <f t="shared" si="1428"/>
        <v>0</v>
      </c>
      <c r="OO73" s="86">
        <f>-VLOOKUP(OO$1,Amort!$B:$K,10,0)</f>
        <v>0</v>
      </c>
      <c r="OP73" s="86">
        <f>-VLOOKUP(OP$1,Amort!$B:$K,10,0)</f>
        <v>0</v>
      </c>
      <c r="OQ73" s="86">
        <f>-VLOOKUP(OQ$1,Amort!$B:$K,10,0)</f>
        <v>0</v>
      </c>
      <c r="OR73" s="86">
        <f>-VLOOKUP(OR$1,Amort!$B:$K,10,0)</f>
        <v>0</v>
      </c>
      <c r="OS73" s="86">
        <f>-VLOOKUP(OS$1,Amort!$B:$K,10,0)</f>
        <v>0</v>
      </c>
      <c r="OT73" s="86">
        <f>-VLOOKUP(OT$1,Amort!$B:$K,10,0)</f>
        <v>0</v>
      </c>
      <c r="OU73" s="86">
        <f>-VLOOKUP(OU$1,Amort!$B:$K,10,0)</f>
        <v>0</v>
      </c>
      <c r="OV73" s="86">
        <f>-VLOOKUP(OV$1,Amort!$B:$K,10,0)</f>
        <v>0</v>
      </c>
      <c r="OW73" s="86">
        <f>-VLOOKUP(OW$1,Amort!$B:$K,10,0)</f>
        <v>0</v>
      </c>
      <c r="OX73" s="86">
        <f>-VLOOKUP(OX$1,Amort!$B:$K,10,0)</f>
        <v>0</v>
      </c>
      <c r="OY73" s="86">
        <f>-VLOOKUP(OY$1,Amort!$B:$K,10,0)</f>
        <v>0</v>
      </c>
      <c r="OZ73" s="86">
        <f>-VLOOKUP(OZ$1,Amort!$B:$K,10,0)</f>
        <v>0</v>
      </c>
      <c r="PA73" s="87">
        <f t="shared" si="1429"/>
        <v>0</v>
      </c>
      <c r="PB73" s="86">
        <f>-VLOOKUP(PB$1,Amort!$B:$K,10,0)</f>
        <v>0</v>
      </c>
      <c r="PC73" s="86">
        <f>-VLOOKUP(PC$1,Amort!$B:$K,10,0)</f>
        <v>0</v>
      </c>
      <c r="PD73" s="86">
        <f>-VLOOKUP(PD$1,Amort!$B:$K,10,0)</f>
        <v>0</v>
      </c>
      <c r="PE73" s="86">
        <f>-VLOOKUP(PE$1,Amort!$B:$K,10,0)</f>
        <v>0</v>
      </c>
      <c r="PF73" s="86">
        <f>-VLOOKUP(PF$1,Amort!$B:$K,10,0)</f>
        <v>0</v>
      </c>
      <c r="PG73" s="86">
        <f>-VLOOKUP(PG$1,Amort!$B:$K,10,0)</f>
        <v>0</v>
      </c>
      <c r="PH73" s="86">
        <f>-VLOOKUP(PH$1,Amort!$B:$K,10,0)</f>
        <v>0</v>
      </c>
      <c r="PI73" s="86">
        <f>-VLOOKUP(PI$1,Amort!$B:$K,10,0)</f>
        <v>0</v>
      </c>
      <c r="PJ73" s="86">
        <f>-VLOOKUP(PJ$1,Amort!$B:$K,10,0)</f>
        <v>0</v>
      </c>
      <c r="PK73" s="86">
        <f>-VLOOKUP(PK$1,Amort!$B:$K,10,0)</f>
        <v>0</v>
      </c>
      <c r="PL73" s="86">
        <f>-VLOOKUP(PL$1,Amort!$B:$K,10,0)</f>
        <v>0</v>
      </c>
      <c r="PM73" s="86">
        <f>-VLOOKUP(PM$1,Amort!$B:$K,10,0)</f>
        <v>0</v>
      </c>
      <c r="PN73" s="87">
        <f t="shared" si="1430"/>
        <v>0</v>
      </c>
      <c r="PO73" s="86">
        <f>-VLOOKUP(PO$1,Amort!$B:$K,10,0)</f>
        <v>0</v>
      </c>
      <c r="PP73" s="86">
        <f>-VLOOKUP(PP$1,Amort!$B:$K,10,0)</f>
        <v>0</v>
      </c>
      <c r="PQ73" s="86">
        <f>-VLOOKUP(PQ$1,Amort!$B:$K,10,0)</f>
        <v>0</v>
      </c>
      <c r="PR73" s="86">
        <f>-VLOOKUP(PR$1,Amort!$B:$K,10,0)</f>
        <v>0</v>
      </c>
      <c r="PS73" s="86">
        <f>-VLOOKUP(PS$1,Amort!$B:$K,10,0)</f>
        <v>0</v>
      </c>
      <c r="PT73" s="86">
        <f>-VLOOKUP(PT$1,Amort!$B:$K,10,0)</f>
        <v>0</v>
      </c>
      <c r="PU73" s="86">
        <f>-VLOOKUP(PU$1,Amort!$B:$K,10,0)</f>
        <v>0</v>
      </c>
      <c r="PV73" s="86">
        <f>-VLOOKUP(PV$1,Amort!$B:$K,10,0)</f>
        <v>0</v>
      </c>
      <c r="PW73" s="86">
        <f>-VLOOKUP(PW$1,Amort!$B:$K,10,0)</f>
        <v>0</v>
      </c>
      <c r="PX73" s="86">
        <f>-VLOOKUP(PX$1,Amort!$B:$K,10,0)</f>
        <v>0</v>
      </c>
      <c r="PY73" s="86">
        <f>-VLOOKUP(PY$1,Amort!$B:$K,10,0)</f>
        <v>0</v>
      </c>
      <c r="PZ73" s="86">
        <f>-VLOOKUP(PZ$1,Amort!$B:$K,10,0)</f>
        <v>0</v>
      </c>
      <c r="QA73" s="87">
        <f t="shared" si="1431"/>
        <v>0</v>
      </c>
      <c r="QB73" s="86">
        <f>-VLOOKUP(QB$1,Amort!$B:$K,10,0)</f>
        <v>0</v>
      </c>
      <c r="QC73" s="86">
        <f>-VLOOKUP(QC$1,Amort!$B:$K,10,0)</f>
        <v>0</v>
      </c>
      <c r="QD73" s="86">
        <f>-VLOOKUP(QD$1,Amort!$B:$K,10,0)</f>
        <v>0</v>
      </c>
      <c r="QE73" s="86">
        <f>-VLOOKUP(QE$1,Amort!$B:$K,10,0)</f>
        <v>0</v>
      </c>
      <c r="QF73" s="86">
        <f>-VLOOKUP(QF$1,Amort!$B:$K,10,0)</f>
        <v>0</v>
      </c>
      <c r="QG73" s="86">
        <f>-VLOOKUP(QG$1,Amort!$B:$K,10,0)</f>
        <v>0</v>
      </c>
      <c r="QH73" s="86">
        <f>-VLOOKUP(QH$1,Amort!$B:$K,10,0)</f>
        <v>0</v>
      </c>
      <c r="QI73" s="86">
        <f>-VLOOKUP(QI$1,Amort!$B:$K,10,0)</f>
        <v>0</v>
      </c>
      <c r="QJ73" s="86">
        <f>-VLOOKUP(QJ$1,Amort!$B:$K,10,0)</f>
        <v>0</v>
      </c>
      <c r="QK73" s="86">
        <f>-VLOOKUP(QK$1,Amort!$B:$K,10,0)</f>
        <v>0</v>
      </c>
      <c r="QL73" s="86">
        <f>-VLOOKUP(QL$1,Amort!$B:$K,10,0)</f>
        <v>0</v>
      </c>
      <c r="QM73" s="86">
        <f>-VLOOKUP(QM$1,Amort!$B:$K,10,0)</f>
        <v>0</v>
      </c>
      <c r="QN73" s="87">
        <f t="shared" si="1432"/>
        <v>0</v>
      </c>
      <c r="QO73" s="86">
        <f>-VLOOKUP(QO$1,Amort!$B:$K,10,0)</f>
        <v>0</v>
      </c>
      <c r="QP73" s="86">
        <f>-VLOOKUP(QP$1,Amort!$B:$K,10,0)</f>
        <v>0</v>
      </c>
      <c r="QQ73" s="86">
        <f>-VLOOKUP(QQ$1,Amort!$B:$K,10,0)</f>
        <v>0</v>
      </c>
      <c r="QR73" s="86">
        <f>-VLOOKUP(QR$1,Amort!$B:$K,10,0)</f>
        <v>0</v>
      </c>
      <c r="QS73" s="86">
        <f>-VLOOKUP(QS$1,Amort!$B:$K,10,0)</f>
        <v>0</v>
      </c>
      <c r="QT73" s="86">
        <f>-VLOOKUP(QT$1,Amort!$B:$K,10,0)</f>
        <v>0</v>
      </c>
      <c r="QU73" s="86">
        <f>-VLOOKUP(QU$1,Amort!$B:$K,10,0)</f>
        <v>0</v>
      </c>
      <c r="QV73" s="86">
        <f>-VLOOKUP(QV$1,Amort!$B:$K,10,0)</f>
        <v>0</v>
      </c>
      <c r="QW73" s="86">
        <f>-VLOOKUP(QW$1,Amort!$B:$K,10,0)</f>
        <v>0</v>
      </c>
      <c r="QX73" s="86">
        <f>-VLOOKUP(QX$1,Amort!$B:$K,10,0)</f>
        <v>0</v>
      </c>
      <c r="QY73" s="86">
        <f>-VLOOKUP(QY$1,Amort!$B:$K,10,0)</f>
        <v>0</v>
      </c>
      <c r="QZ73" s="86">
        <f>-VLOOKUP(QZ$1,Amort!$B:$K,10,0)</f>
        <v>0</v>
      </c>
      <c r="RA73" s="87">
        <f t="shared" si="1433"/>
        <v>0</v>
      </c>
      <c r="RB73" s="86">
        <f>-VLOOKUP(RB$1,Amort!$B:$K,10,0)</f>
        <v>0</v>
      </c>
      <c r="RC73" s="86">
        <f>-VLOOKUP(RC$1,Amort!$B:$K,10,0)</f>
        <v>0</v>
      </c>
      <c r="RD73" s="86">
        <f>-VLOOKUP(RD$1,Amort!$B:$K,10,0)</f>
        <v>0</v>
      </c>
      <c r="RE73" s="86">
        <f>-VLOOKUP(RE$1,Amort!$B:$K,10,0)</f>
        <v>0</v>
      </c>
      <c r="RF73" s="86">
        <f>-VLOOKUP(RF$1,Amort!$B:$K,10,0)</f>
        <v>0</v>
      </c>
      <c r="RG73" s="86">
        <f>-VLOOKUP(RG$1,Amort!$B:$K,10,0)</f>
        <v>0</v>
      </c>
      <c r="RH73" s="86">
        <f>-VLOOKUP(RH$1,Amort!$B:$K,10,0)</f>
        <v>0</v>
      </c>
      <c r="RI73" s="86">
        <f>-VLOOKUP(RI$1,Amort!$B:$K,10,0)</f>
        <v>0</v>
      </c>
      <c r="RJ73" s="86">
        <f>-VLOOKUP(RJ$1,Amort!$B:$K,10,0)</f>
        <v>0</v>
      </c>
      <c r="RK73" s="86">
        <f>-VLOOKUP(RK$1,Amort!$B:$K,10,0)</f>
        <v>0</v>
      </c>
      <c r="RL73" s="86">
        <f>-VLOOKUP(RL$1,Amort!$B:$K,10,0)</f>
        <v>0</v>
      </c>
      <c r="RM73" s="86">
        <f>-VLOOKUP(RM$1,Amort!$B:$K,10,0)</f>
        <v>0</v>
      </c>
      <c r="RN73" s="87">
        <f t="shared" si="1434"/>
        <v>0</v>
      </c>
    </row>
    <row r="74" spans="1:560" outlineLevel="1" x14ac:dyDescent="0.3">
      <c r="A74" s="89" t="s">
        <v>208</v>
      </c>
      <c r="B74" s="86" t="e">
        <f>-Inputs!$B$36/12</f>
        <v>#N/A</v>
      </c>
      <c r="C74" s="86" t="e">
        <f>-Inputs!$B$36/12</f>
        <v>#N/A</v>
      </c>
      <c r="D74" s="86" t="e">
        <f>-Inputs!$B$36/12</f>
        <v>#N/A</v>
      </c>
      <c r="E74" s="86" t="e">
        <f>-Inputs!$B$36/12</f>
        <v>#N/A</v>
      </c>
      <c r="F74" s="86" t="e">
        <f>-Inputs!$B$36/12</f>
        <v>#N/A</v>
      </c>
      <c r="G74" s="86" t="e">
        <f>-Inputs!$B$36/12</f>
        <v>#N/A</v>
      </c>
      <c r="H74" s="86" t="e">
        <f>-Inputs!$B$36/12</f>
        <v>#N/A</v>
      </c>
      <c r="I74" s="86" t="e">
        <f>-Inputs!$B$36/12</f>
        <v>#N/A</v>
      </c>
      <c r="J74" s="86" t="e">
        <f>-Inputs!$B$36/12</f>
        <v>#N/A</v>
      </c>
      <c r="K74" s="86" t="e">
        <f>-Inputs!$B$36/12</f>
        <v>#N/A</v>
      </c>
      <c r="L74" s="86" t="e">
        <f>-Inputs!$B$36/12</f>
        <v>#N/A</v>
      </c>
      <c r="M74" s="86" t="e">
        <f>-Inputs!$B$36/12</f>
        <v>#N/A</v>
      </c>
      <c r="N74" s="87" t="e">
        <f t="shared" si="1289"/>
        <v>#N/A</v>
      </c>
      <c r="O74" s="86" t="e">
        <f>M74*(1+Inputs!$B$10)</f>
        <v>#N/A</v>
      </c>
      <c r="P74" s="86" t="e">
        <f t="shared" ref="P74:Z77" si="1435">O74</f>
        <v>#N/A</v>
      </c>
      <c r="Q74" s="86" t="e">
        <f t="shared" si="1435"/>
        <v>#N/A</v>
      </c>
      <c r="R74" s="86" t="e">
        <f t="shared" si="1435"/>
        <v>#N/A</v>
      </c>
      <c r="S74" s="86" t="e">
        <f t="shared" si="1435"/>
        <v>#N/A</v>
      </c>
      <c r="T74" s="86" t="e">
        <f t="shared" si="1435"/>
        <v>#N/A</v>
      </c>
      <c r="U74" s="86" t="e">
        <f t="shared" si="1435"/>
        <v>#N/A</v>
      </c>
      <c r="V74" s="86" t="e">
        <f t="shared" si="1435"/>
        <v>#N/A</v>
      </c>
      <c r="W74" s="86" t="e">
        <f t="shared" si="1435"/>
        <v>#N/A</v>
      </c>
      <c r="X74" s="86" t="e">
        <f t="shared" si="1435"/>
        <v>#N/A</v>
      </c>
      <c r="Y74" s="86" t="e">
        <f t="shared" si="1435"/>
        <v>#N/A</v>
      </c>
      <c r="Z74" s="86" t="e">
        <f t="shared" si="1435"/>
        <v>#N/A</v>
      </c>
      <c r="AA74" s="87" t="e">
        <f t="shared" si="1399"/>
        <v>#N/A</v>
      </c>
      <c r="AB74" s="86" t="e">
        <f>Z74*(1+Inputs!$B$10)</f>
        <v>#N/A</v>
      </c>
      <c r="AC74" s="86" t="e">
        <f t="shared" ref="AC74:AM77" si="1436">AB74</f>
        <v>#N/A</v>
      </c>
      <c r="AD74" s="86" t="e">
        <f t="shared" si="1436"/>
        <v>#N/A</v>
      </c>
      <c r="AE74" s="86" t="e">
        <f t="shared" si="1436"/>
        <v>#N/A</v>
      </c>
      <c r="AF74" s="86" t="e">
        <f t="shared" si="1436"/>
        <v>#N/A</v>
      </c>
      <c r="AG74" s="86" t="e">
        <f t="shared" si="1436"/>
        <v>#N/A</v>
      </c>
      <c r="AH74" s="86" t="e">
        <f t="shared" si="1436"/>
        <v>#N/A</v>
      </c>
      <c r="AI74" s="86" t="e">
        <f t="shared" si="1436"/>
        <v>#N/A</v>
      </c>
      <c r="AJ74" s="86" t="e">
        <f t="shared" si="1436"/>
        <v>#N/A</v>
      </c>
      <c r="AK74" s="86" t="e">
        <f t="shared" si="1436"/>
        <v>#N/A</v>
      </c>
      <c r="AL74" s="86" t="e">
        <f t="shared" si="1436"/>
        <v>#N/A</v>
      </c>
      <c r="AM74" s="86" t="e">
        <f t="shared" si="1436"/>
        <v>#N/A</v>
      </c>
      <c r="AN74" s="87" t="e">
        <f t="shared" si="1400"/>
        <v>#N/A</v>
      </c>
      <c r="AO74" s="86" t="e">
        <f>AM74*(1+Inputs!$B$10)</f>
        <v>#N/A</v>
      </c>
      <c r="AP74" s="86" t="e">
        <f t="shared" ref="AP74:AZ77" si="1437">AO74</f>
        <v>#N/A</v>
      </c>
      <c r="AQ74" s="86" t="e">
        <f t="shared" si="1437"/>
        <v>#N/A</v>
      </c>
      <c r="AR74" s="86" t="e">
        <f t="shared" si="1437"/>
        <v>#N/A</v>
      </c>
      <c r="AS74" s="86" t="e">
        <f t="shared" si="1437"/>
        <v>#N/A</v>
      </c>
      <c r="AT74" s="86" t="e">
        <f t="shared" si="1437"/>
        <v>#N/A</v>
      </c>
      <c r="AU74" s="86" t="e">
        <f t="shared" si="1437"/>
        <v>#N/A</v>
      </c>
      <c r="AV74" s="86" t="e">
        <f t="shared" si="1437"/>
        <v>#N/A</v>
      </c>
      <c r="AW74" s="86" t="e">
        <f t="shared" si="1437"/>
        <v>#N/A</v>
      </c>
      <c r="AX74" s="86" t="e">
        <f t="shared" si="1437"/>
        <v>#N/A</v>
      </c>
      <c r="AY74" s="86" t="e">
        <f t="shared" si="1437"/>
        <v>#N/A</v>
      </c>
      <c r="AZ74" s="86" t="e">
        <f t="shared" si="1437"/>
        <v>#N/A</v>
      </c>
      <c r="BA74" s="87" t="e">
        <f t="shared" si="1401"/>
        <v>#N/A</v>
      </c>
      <c r="BB74" s="86" t="e">
        <f>AZ74*(1+Inputs!$B$10)</f>
        <v>#N/A</v>
      </c>
      <c r="BC74" s="86" t="e">
        <f t="shared" ref="BC74:BM77" si="1438">BB74</f>
        <v>#N/A</v>
      </c>
      <c r="BD74" s="86" t="e">
        <f t="shared" si="1438"/>
        <v>#N/A</v>
      </c>
      <c r="BE74" s="86" t="e">
        <f t="shared" si="1438"/>
        <v>#N/A</v>
      </c>
      <c r="BF74" s="86" t="e">
        <f t="shared" si="1438"/>
        <v>#N/A</v>
      </c>
      <c r="BG74" s="86" t="e">
        <f t="shared" si="1438"/>
        <v>#N/A</v>
      </c>
      <c r="BH74" s="86" t="e">
        <f t="shared" si="1438"/>
        <v>#N/A</v>
      </c>
      <c r="BI74" s="86" t="e">
        <f t="shared" si="1438"/>
        <v>#N/A</v>
      </c>
      <c r="BJ74" s="86" t="e">
        <f t="shared" si="1438"/>
        <v>#N/A</v>
      </c>
      <c r="BK74" s="86" t="e">
        <f t="shared" si="1438"/>
        <v>#N/A</v>
      </c>
      <c r="BL74" s="86" t="e">
        <f t="shared" si="1438"/>
        <v>#N/A</v>
      </c>
      <c r="BM74" s="86" t="e">
        <f t="shared" si="1438"/>
        <v>#N/A</v>
      </c>
      <c r="BN74" s="87" t="e">
        <f t="shared" si="1402"/>
        <v>#N/A</v>
      </c>
      <c r="BO74" s="86" t="e">
        <f>BM74*(1+Inputs!$B$10)</f>
        <v>#N/A</v>
      </c>
      <c r="BP74" s="86" t="e">
        <f t="shared" ref="BP74:BZ77" si="1439">BO74</f>
        <v>#N/A</v>
      </c>
      <c r="BQ74" s="86" t="e">
        <f t="shared" si="1439"/>
        <v>#N/A</v>
      </c>
      <c r="BR74" s="86" t="e">
        <f t="shared" si="1439"/>
        <v>#N/A</v>
      </c>
      <c r="BS74" s="86" t="e">
        <f t="shared" si="1439"/>
        <v>#N/A</v>
      </c>
      <c r="BT74" s="86" t="e">
        <f t="shared" si="1439"/>
        <v>#N/A</v>
      </c>
      <c r="BU74" s="86" t="e">
        <f t="shared" si="1439"/>
        <v>#N/A</v>
      </c>
      <c r="BV74" s="86" t="e">
        <f t="shared" si="1439"/>
        <v>#N/A</v>
      </c>
      <c r="BW74" s="86" t="e">
        <f t="shared" si="1439"/>
        <v>#N/A</v>
      </c>
      <c r="BX74" s="86" t="e">
        <f t="shared" si="1439"/>
        <v>#N/A</v>
      </c>
      <c r="BY74" s="86" t="e">
        <f t="shared" si="1439"/>
        <v>#N/A</v>
      </c>
      <c r="BZ74" s="86" t="e">
        <f t="shared" si="1439"/>
        <v>#N/A</v>
      </c>
      <c r="CA74" s="87" t="e">
        <f t="shared" si="1403"/>
        <v>#N/A</v>
      </c>
      <c r="CB74" s="86" t="e">
        <f>BZ74*(1+Inputs!$B$10)</f>
        <v>#N/A</v>
      </c>
      <c r="CC74" s="86" t="e">
        <f t="shared" ref="CC74:CM77" si="1440">CB74</f>
        <v>#N/A</v>
      </c>
      <c r="CD74" s="86" t="e">
        <f t="shared" si="1440"/>
        <v>#N/A</v>
      </c>
      <c r="CE74" s="86" t="e">
        <f t="shared" si="1440"/>
        <v>#N/A</v>
      </c>
      <c r="CF74" s="86" t="e">
        <f t="shared" si="1440"/>
        <v>#N/A</v>
      </c>
      <c r="CG74" s="86" t="e">
        <f t="shared" si="1440"/>
        <v>#N/A</v>
      </c>
      <c r="CH74" s="86" t="e">
        <f t="shared" si="1440"/>
        <v>#N/A</v>
      </c>
      <c r="CI74" s="86" t="e">
        <f t="shared" si="1440"/>
        <v>#N/A</v>
      </c>
      <c r="CJ74" s="86" t="e">
        <f t="shared" si="1440"/>
        <v>#N/A</v>
      </c>
      <c r="CK74" s="86" t="e">
        <f t="shared" si="1440"/>
        <v>#N/A</v>
      </c>
      <c r="CL74" s="86" t="e">
        <f t="shared" si="1440"/>
        <v>#N/A</v>
      </c>
      <c r="CM74" s="86" t="e">
        <f t="shared" si="1440"/>
        <v>#N/A</v>
      </c>
      <c r="CN74" s="87" t="e">
        <f t="shared" si="1404"/>
        <v>#N/A</v>
      </c>
      <c r="CO74" s="86" t="e">
        <f>CM74*(1+Inputs!$B$10)</f>
        <v>#N/A</v>
      </c>
      <c r="CP74" s="86" t="e">
        <f t="shared" ref="CP74:CZ77" si="1441">CO74</f>
        <v>#N/A</v>
      </c>
      <c r="CQ74" s="86" t="e">
        <f t="shared" si="1441"/>
        <v>#N/A</v>
      </c>
      <c r="CR74" s="86" t="e">
        <f t="shared" si="1441"/>
        <v>#N/A</v>
      </c>
      <c r="CS74" s="86" t="e">
        <f t="shared" si="1441"/>
        <v>#N/A</v>
      </c>
      <c r="CT74" s="86" t="e">
        <f t="shared" si="1441"/>
        <v>#N/A</v>
      </c>
      <c r="CU74" s="86" t="e">
        <f t="shared" si="1441"/>
        <v>#N/A</v>
      </c>
      <c r="CV74" s="86" t="e">
        <f t="shared" si="1441"/>
        <v>#N/A</v>
      </c>
      <c r="CW74" s="86" t="e">
        <f t="shared" si="1441"/>
        <v>#N/A</v>
      </c>
      <c r="CX74" s="86" t="e">
        <f t="shared" si="1441"/>
        <v>#N/A</v>
      </c>
      <c r="CY74" s="86" t="e">
        <f t="shared" si="1441"/>
        <v>#N/A</v>
      </c>
      <c r="CZ74" s="86" t="e">
        <f t="shared" si="1441"/>
        <v>#N/A</v>
      </c>
      <c r="DA74" s="87" t="e">
        <f t="shared" si="1405"/>
        <v>#N/A</v>
      </c>
      <c r="DB74" s="86" t="e">
        <f>CZ74*(1+Inputs!$B$10)</f>
        <v>#N/A</v>
      </c>
      <c r="DC74" s="86" t="e">
        <f t="shared" ref="DC74:DM77" si="1442">DB74</f>
        <v>#N/A</v>
      </c>
      <c r="DD74" s="86" t="e">
        <f t="shared" si="1442"/>
        <v>#N/A</v>
      </c>
      <c r="DE74" s="86" t="e">
        <f t="shared" si="1442"/>
        <v>#N/A</v>
      </c>
      <c r="DF74" s="86" t="e">
        <f t="shared" si="1442"/>
        <v>#N/A</v>
      </c>
      <c r="DG74" s="86" t="e">
        <f t="shared" si="1442"/>
        <v>#N/A</v>
      </c>
      <c r="DH74" s="86" t="e">
        <f t="shared" si="1442"/>
        <v>#N/A</v>
      </c>
      <c r="DI74" s="86" t="e">
        <f t="shared" si="1442"/>
        <v>#N/A</v>
      </c>
      <c r="DJ74" s="86" t="e">
        <f t="shared" si="1442"/>
        <v>#N/A</v>
      </c>
      <c r="DK74" s="86" t="e">
        <f t="shared" si="1442"/>
        <v>#N/A</v>
      </c>
      <c r="DL74" s="86" t="e">
        <f t="shared" si="1442"/>
        <v>#N/A</v>
      </c>
      <c r="DM74" s="86" t="e">
        <f t="shared" si="1442"/>
        <v>#N/A</v>
      </c>
      <c r="DN74" s="87" t="e">
        <f t="shared" si="1406"/>
        <v>#N/A</v>
      </c>
      <c r="DO74" s="86" t="e">
        <f>DM74*(1+Inputs!$B$10)</f>
        <v>#N/A</v>
      </c>
      <c r="DP74" s="86" t="e">
        <f t="shared" ref="DP74:DZ77" si="1443">DO74</f>
        <v>#N/A</v>
      </c>
      <c r="DQ74" s="86" t="e">
        <f t="shared" si="1443"/>
        <v>#N/A</v>
      </c>
      <c r="DR74" s="86" t="e">
        <f t="shared" si="1443"/>
        <v>#N/A</v>
      </c>
      <c r="DS74" s="86" t="e">
        <f t="shared" si="1443"/>
        <v>#N/A</v>
      </c>
      <c r="DT74" s="86" t="e">
        <f t="shared" si="1443"/>
        <v>#N/A</v>
      </c>
      <c r="DU74" s="86" t="e">
        <f t="shared" si="1443"/>
        <v>#N/A</v>
      </c>
      <c r="DV74" s="86" t="e">
        <f t="shared" si="1443"/>
        <v>#N/A</v>
      </c>
      <c r="DW74" s="86" t="e">
        <f t="shared" si="1443"/>
        <v>#N/A</v>
      </c>
      <c r="DX74" s="86" t="e">
        <f t="shared" si="1443"/>
        <v>#N/A</v>
      </c>
      <c r="DY74" s="86" t="e">
        <f t="shared" si="1443"/>
        <v>#N/A</v>
      </c>
      <c r="DZ74" s="86" t="e">
        <f t="shared" si="1443"/>
        <v>#N/A</v>
      </c>
      <c r="EA74" s="87" t="e">
        <f t="shared" si="1407"/>
        <v>#N/A</v>
      </c>
      <c r="EB74" s="86" t="e">
        <f>DZ74*(1+Inputs!$B$10)</f>
        <v>#N/A</v>
      </c>
      <c r="EC74" s="86" t="e">
        <f t="shared" ref="EC74:EM77" si="1444">EB74</f>
        <v>#N/A</v>
      </c>
      <c r="ED74" s="86" t="e">
        <f t="shared" si="1444"/>
        <v>#N/A</v>
      </c>
      <c r="EE74" s="86" t="e">
        <f t="shared" si="1444"/>
        <v>#N/A</v>
      </c>
      <c r="EF74" s="86" t="e">
        <f t="shared" si="1444"/>
        <v>#N/A</v>
      </c>
      <c r="EG74" s="86" t="e">
        <f t="shared" si="1444"/>
        <v>#N/A</v>
      </c>
      <c r="EH74" s="86" t="e">
        <f t="shared" si="1444"/>
        <v>#N/A</v>
      </c>
      <c r="EI74" s="86" t="e">
        <f t="shared" si="1444"/>
        <v>#N/A</v>
      </c>
      <c r="EJ74" s="86" t="e">
        <f t="shared" si="1444"/>
        <v>#N/A</v>
      </c>
      <c r="EK74" s="86" t="e">
        <f t="shared" si="1444"/>
        <v>#N/A</v>
      </c>
      <c r="EL74" s="86" t="e">
        <f t="shared" si="1444"/>
        <v>#N/A</v>
      </c>
      <c r="EM74" s="86" t="e">
        <f t="shared" si="1444"/>
        <v>#N/A</v>
      </c>
      <c r="EN74" s="87" t="e">
        <f t="shared" si="1408"/>
        <v>#N/A</v>
      </c>
      <c r="EO74" s="86" t="e">
        <f>EM74*(1+Inputs!$B$10)</f>
        <v>#N/A</v>
      </c>
      <c r="EP74" s="86" t="e">
        <f t="shared" ref="EP74:EZ77" si="1445">EO74</f>
        <v>#N/A</v>
      </c>
      <c r="EQ74" s="86" t="e">
        <f t="shared" si="1445"/>
        <v>#N/A</v>
      </c>
      <c r="ER74" s="86" t="e">
        <f t="shared" si="1445"/>
        <v>#N/A</v>
      </c>
      <c r="ES74" s="86" t="e">
        <f t="shared" si="1445"/>
        <v>#N/A</v>
      </c>
      <c r="ET74" s="86" t="e">
        <f t="shared" si="1445"/>
        <v>#N/A</v>
      </c>
      <c r="EU74" s="86" t="e">
        <f t="shared" si="1445"/>
        <v>#N/A</v>
      </c>
      <c r="EV74" s="86" t="e">
        <f t="shared" si="1445"/>
        <v>#N/A</v>
      </c>
      <c r="EW74" s="86" t="e">
        <f t="shared" si="1445"/>
        <v>#N/A</v>
      </c>
      <c r="EX74" s="86" t="e">
        <f t="shared" si="1445"/>
        <v>#N/A</v>
      </c>
      <c r="EY74" s="86" t="e">
        <f t="shared" si="1445"/>
        <v>#N/A</v>
      </c>
      <c r="EZ74" s="86" t="e">
        <f t="shared" si="1445"/>
        <v>#N/A</v>
      </c>
      <c r="FA74" s="87" t="e">
        <f t="shared" si="1409"/>
        <v>#N/A</v>
      </c>
      <c r="FB74" s="86" t="e">
        <f>EZ74*(1+Inputs!$B$10)</f>
        <v>#N/A</v>
      </c>
      <c r="FC74" s="86" t="e">
        <f t="shared" ref="FC74:FM77" si="1446">FB74</f>
        <v>#N/A</v>
      </c>
      <c r="FD74" s="86" t="e">
        <f t="shared" si="1446"/>
        <v>#N/A</v>
      </c>
      <c r="FE74" s="86" t="e">
        <f t="shared" si="1446"/>
        <v>#N/A</v>
      </c>
      <c r="FF74" s="86" t="e">
        <f t="shared" si="1446"/>
        <v>#N/A</v>
      </c>
      <c r="FG74" s="86" t="e">
        <f t="shared" si="1446"/>
        <v>#N/A</v>
      </c>
      <c r="FH74" s="86" t="e">
        <f t="shared" si="1446"/>
        <v>#N/A</v>
      </c>
      <c r="FI74" s="86" t="e">
        <f t="shared" si="1446"/>
        <v>#N/A</v>
      </c>
      <c r="FJ74" s="86" t="e">
        <f t="shared" si="1446"/>
        <v>#N/A</v>
      </c>
      <c r="FK74" s="86" t="e">
        <f t="shared" si="1446"/>
        <v>#N/A</v>
      </c>
      <c r="FL74" s="86" t="e">
        <f t="shared" si="1446"/>
        <v>#N/A</v>
      </c>
      <c r="FM74" s="86" t="e">
        <f t="shared" si="1446"/>
        <v>#N/A</v>
      </c>
      <c r="FN74" s="87" t="e">
        <f t="shared" si="1410"/>
        <v>#N/A</v>
      </c>
      <c r="FO74" s="86" t="e">
        <f>FM74*(1+Inputs!$B$10)</f>
        <v>#N/A</v>
      </c>
      <c r="FP74" s="86" t="e">
        <f t="shared" ref="FP74:FZ77" si="1447">FO74</f>
        <v>#N/A</v>
      </c>
      <c r="FQ74" s="86" t="e">
        <f t="shared" si="1447"/>
        <v>#N/A</v>
      </c>
      <c r="FR74" s="86" t="e">
        <f t="shared" si="1447"/>
        <v>#N/A</v>
      </c>
      <c r="FS74" s="86" t="e">
        <f t="shared" si="1447"/>
        <v>#N/A</v>
      </c>
      <c r="FT74" s="86" t="e">
        <f t="shared" si="1447"/>
        <v>#N/A</v>
      </c>
      <c r="FU74" s="86" t="e">
        <f t="shared" si="1447"/>
        <v>#N/A</v>
      </c>
      <c r="FV74" s="86" t="e">
        <f t="shared" si="1447"/>
        <v>#N/A</v>
      </c>
      <c r="FW74" s="86" t="e">
        <f t="shared" si="1447"/>
        <v>#N/A</v>
      </c>
      <c r="FX74" s="86" t="e">
        <f t="shared" si="1447"/>
        <v>#N/A</v>
      </c>
      <c r="FY74" s="86" t="e">
        <f t="shared" si="1447"/>
        <v>#N/A</v>
      </c>
      <c r="FZ74" s="86" t="e">
        <f t="shared" si="1447"/>
        <v>#N/A</v>
      </c>
      <c r="GA74" s="87" t="e">
        <f t="shared" si="1411"/>
        <v>#N/A</v>
      </c>
      <c r="GB74" s="86" t="e">
        <f>FZ74*(1+Inputs!$B$10)</f>
        <v>#N/A</v>
      </c>
      <c r="GC74" s="86" t="e">
        <f t="shared" ref="GC74:GM77" si="1448">GB74</f>
        <v>#N/A</v>
      </c>
      <c r="GD74" s="86" t="e">
        <f t="shared" si="1448"/>
        <v>#N/A</v>
      </c>
      <c r="GE74" s="86" t="e">
        <f t="shared" si="1448"/>
        <v>#N/A</v>
      </c>
      <c r="GF74" s="86" t="e">
        <f t="shared" si="1448"/>
        <v>#N/A</v>
      </c>
      <c r="GG74" s="86" t="e">
        <f t="shared" si="1448"/>
        <v>#N/A</v>
      </c>
      <c r="GH74" s="86" t="e">
        <f t="shared" si="1448"/>
        <v>#N/A</v>
      </c>
      <c r="GI74" s="86" t="e">
        <f t="shared" si="1448"/>
        <v>#N/A</v>
      </c>
      <c r="GJ74" s="86" t="e">
        <f t="shared" si="1448"/>
        <v>#N/A</v>
      </c>
      <c r="GK74" s="86" t="e">
        <f t="shared" si="1448"/>
        <v>#N/A</v>
      </c>
      <c r="GL74" s="86" t="e">
        <f t="shared" si="1448"/>
        <v>#N/A</v>
      </c>
      <c r="GM74" s="86" t="e">
        <f t="shared" si="1448"/>
        <v>#N/A</v>
      </c>
      <c r="GN74" s="87" t="e">
        <f t="shared" si="1412"/>
        <v>#N/A</v>
      </c>
      <c r="GO74" s="86" t="e">
        <f>GM74*(1+Inputs!$B$10)</f>
        <v>#N/A</v>
      </c>
      <c r="GP74" s="86" t="e">
        <f t="shared" ref="GP74:GZ77" si="1449">GO74</f>
        <v>#N/A</v>
      </c>
      <c r="GQ74" s="86" t="e">
        <f t="shared" si="1449"/>
        <v>#N/A</v>
      </c>
      <c r="GR74" s="86" t="e">
        <f t="shared" si="1449"/>
        <v>#N/A</v>
      </c>
      <c r="GS74" s="86" t="e">
        <f t="shared" si="1449"/>
        <v>#N/A</v>
      </c>
      <c r="GT74" s="86" t="e">
        <f t="shared" si="1449"/>
        <v>#N/A</v>
      </c>
      <c r="GU74" s="86" t="e">
        <f t="shared" si="1449"/>
        <v>#N/A</v>
      </c>
      <c r="GV74" s="86" t="e">
        <f t="shared" si="1449"/>
        <v>#N/A</v>
      </c>
      <c r="GW74" s="86" t="e">
        <f t="shared" si="1449"/>
        <v>#N/A</v>
      </c>
      <c r="GX74" s="86" t="e">
        <f t="shared" si="1449"/>
        <v>#N/A</v>
      </c>
      <c r="GY74" s="86" t="e">
        <f t="shared" si="1449"/>
        <v>#N/A</v>
      </c>
      <c r="GZ74" s="86" t="e">
        <f t="shared" si="1449"/>
        <v>#N/A</v>
      </c>
      <c r="HA74" s="87" t="e">
        <f t="shared" si="1413"/>
        <v>#N/A</v>
      </c>
      <c r="HB74" s="86" t="e">
        <f>GZ74*(1+Inputs!$B$10)</f>
        <v>#N/A</v>
      </c>
      <c r="HC74" s="86" t="e">
        <f t="shared" ref="HC74:HM77" si="1450">HB74</f>
        <v>#N/A</v>
      </c>
      <c r="HD74" s="86" t="e">
        <f t="shared" si="1450"/>
        <v>#N/A</v>
      </c>
      <c r="HE74" s="86" t="e">
        <f t="shared" si="1450"/>
        <v>#N/A</v>
      </c>
      <c r="HF74" s="86" t="e">
        <f t="shared" si="1450"/>
        <v>#N/A</v>
      </c>
      <c r="HG74" s="86" t="e">
        <f t="shared" si="1450"/>
        <v>#N/A</v>
      </c>
      <c r="HH74" s="86" t="e">
        <f t="shared" si="1450"/>
        <v>#N/A</v>
      </c>
      <c r="HI74" s="86" t="e">
        <f t="shared" si="1450"/>
        <v>#N/A</v>
      </c>
      <c r="HJ74" s="86" t="e">
        <f t="shared" si="1450"/>
        <v>#N/A</v>
      </c>
      <c r="HK74" s="86" t="e">
        <f t="shared" si="1450"/>
        <v>#N/A</v>
      </c>
      <c r="HL74" s="86" t="e">
        <f t="shared" si="1450"/>
        <v>#N/A</v>
      </c>
      <c r="HM74" s="86" t="e">
        <f t="shared" si="1450"/>
        <v>#N/A</v>
      </c>
      <c r="HN74" s="87" t="e">
        <f t="shared" si="1414"/>
        <v>#N/A</v>
      </c>
      <c r="HO74" s="86" t="e">
        <f>HM74*(1+Inputs!$B$10)</f>
        <v>#N/A</v>
      </c>
      <c r="HP74" s="86" t="e">
        <f t="shared" ref="HP74:HZ77" si="1451">HO74</f>
        <v>#N/A</v>
      </c>
      <c r="HQ74" s="86" t="e">
        <f t="shared" si="1451"/>
        <v>#N/A</v>
      </c>
      <c r="HR74" s="86" t="e">
        <f t="shared" si="1451"/>
        <v>#N/A</v>
      </c>
      <c r="HS74" s="86" t="e">
        <f t="shared" si="1451"/>
        <v>#N/A</v>
      </c>
      <c r="HT74" s="86" t="e">
        <f t="shared" si="1451"/>
        <v>#N/A</v>
      </c>
      <c r="HU74" s="86" t="e">
        <f t="shared" si="1451"/>
        <v>#N/A</v>
      </c>
      <c r="HV74" s="86" t="e">
        <f t="shared" si="1451"/>
        <v>#N/A</v>
      </c>
      <c r="HW74" s="86" t="e">
        <f t="shared" si="1451"/>
        <v>#N/A</v>
      </c>
      <c r="HX74" s="86" t="e">
        <f t="shared" si="1451"/>
        <v>#N/A</v>
      </c>
      <c r="HY74" s="86" t="e">
        <f t="shared" si="1451"/>
        <v>#N/A</v>
      </c>
      <c r="HZ74" s="86" t="e">
        <f t="shared" si="1451"/>
        <v>#N/A</v>
      </c>
      <c r="IA74" s="87" t="e">
        <f t="shared" si="1415"/>
        <v>#N/A</v>
      </c>
      <c r="IB74" s="86" t="e">
        <f>HZ74*(1+Inputs!$B$10)</f>
        <v>#N/A</v>
      </c>
      <c r="IC74" s="86" t="e">
        <f t="shared" ref="IC74:IM77" si="1452">IB74</f>
        <v>#N/A</v>
      </c>
      <c r="ID74" s="86" t="e">
        <f t="shared" si="1452"/>
        <v>#N/A</v>
      </c>
      <c r="IE74" s="86" t="e">
        <f t="shared" si="1452"/>
        <v>#N/A</v>
      </c>
      <c r="IF74" s="86" t="e">
        <f t="shared" si="1452"/>
        <v>#N/A</v>
      </c>
      <c r="IG74" s="86" t="e">
        <f t="shared" si="1452"/>
        <v>#N/A</v>
      </c>
      <c r="IH74" s="86" t="e">
        <f t="shared" si="1452"/>
        <v>#N/A</v>
      </c>
      <c r="II74" s="86" t="e">
        <f t="shared" si="1452"/>
        <v>#N/A</v>
      </c>
      <c r="IJ74" s="86" t="e">
        <f t="shared" si="1452"/>
        <v>#N/A</v>
      </c>
      <c r="IK74" s="86" t="e">
        <f t="shared" si="1452"/>
        <v>#N/A</v>
      </c>
      <c r="IL74" s="86" t="e">
        <f t="shared" si="1452"/>
        <v>#N/A</v>
      </c>
      <c r="IM74" s="86" t="e">
        <f t="shared" si="1452"/>
        <v>#N/A</v>
      </c>
      <c r="IN74" s="87" t="e">
        <f t="shared" si="1416"/>
        <v>#N/A</v>
      </c>
      <c r="IO74" s="86" t="e">
        <f>IM74*(1+Inputs!$B$10)</f>
        <v>#N/A</v>
      </c>
      <c r="IP74" s="86" t="e">
        <f t="shared" ref="IP74:IZ77" si="1453">IO74</f>
        <v>#N/A</v>
      </c>
      <c r="IQ74" s="86" t="e">
        <f t="shared" si="1453"/>
        <v>#N/A</v>
      </c>
      <c r="IR74" s="86" t="e">
        <f t="shared" si="1453"/>
        <v>#N/A</v>
      </c>
      <c r="IS74" s="86" t="e">
        <f t="shared" si="1453"/>
        <v>#N/A</v>
      </c>
      <c r="IT74" s="86" t="e">
        <f t="shared" si="1453"/>
        <v>#N/A</v>
      </c>
      <c r="IU74" s="86" t="e">
        <f t="shared" si="1453"/>
        <v>#N/A</v>
      </c>
      <c r="IV74" s="86" t="e">
        <f t="shared" si="1453"/>
        <v>#N/A</v>
      </c>
      <c r="IW74" s="86" t="e">
        <f t="shared" si="1453"/>
        <v>#N/A</v>
      </c>
      <c r="IX74" s="86" t="e">
        <f t="shared" si="1453"/>
        <v>#N/A</v>
      </c>
      <c r="IY74" s="86" t="e">
        <f t="shared" si="1453"/>
        <v>#N/A</v>
      </c>
      <c r="IZ74" s="86" t="e">
        <f t="shared" si="1453"/>
        <v>#N/A</v>
      </c>
      <c r="JA74" s="87" t="e">
        <f t="shared" si="1417"/>
        <v>#N/A</v>
      </c>
      <c r="JB74" s="86" t="e">
        <f>IZ74*(1+Inputs!$B$10)</f>
        <v>#N/A</v>
      </c>
      <c r="JC74" s="86" t="e">
        <f t="shared" ref="JC74:JM77" si="1454">JB74</f>
        <v>#N/A</v>
      </c>
      <c r="JD74" s="86" t="e">
        <f t="shared" si="1454"/>
        <v>#N/A</v>
      </c>
      <c r="JE74" s="86" t="e">
        <f t="shared" si="1454"/>
        <v>#N/A</v>
      </c>
      <c r="JF74" s="86" t="e">
        <f t="shared" si="1454"/>
        <v>#N/A</v>
      </c>
      <c r="JG74" s="86" t="e">
        <f t="shared" si="1454"/>
        <v>#N/A</v>
      </c>
      <c r="JH74" s="86" t="e">
        <f t="shared" si="1454"/>
        <v>#N/A</v>
      </c>
      <c r="JI74" s="86" t="e">
        <f t="shared" si="1454"/>
        <v>#N/A</v>
      </c>
      <c r="JJ74" s="86" t="e">
        <f t="shared" si="1454"/>
        <v>#N/A</v>
      </c>
      <c r="JK74" s="86" t="e">
        <f t="shared" si="1454"/>
        <v>#N/A</v>
      </c>
      <c r="JL74" s="86" t="e">
        <f t="shared" si="1454"/>
        <v>#N/A</v>
      </c>
      <c r="JM74" s="86" t="e">
        <f t="shared" si="1454"/>
        <v>#N/A</v>
      </c>
      <c r="JN74" s="87" t="e">
        <f t="shared" si="1418"/>
        <v>#N/A</v>
      </c>
      <c r="JO74" s="86" t="e">
        <f>JM74*(1+Inputs!$B$10)</f>
        <v>#N/A</v>
      </c>
      <c r="JP74" s="86" t="e">
        <f t="shared" ref="JP74:JZ77" si="1455">JO74</f>
        <v>#N/A</v>
      </c>
      <c r="JQ74" s="86" t="e">
        <f t="shared" si="1455"/>
        <v>#N/A</v>
      </c>
      <c r="JR74" s="86" t="e">
        <f t="shared" si="1455"/>
        <v>#N/A</v>
      </c>
      <c r="JS74" s="86" t="e">
        <f t="shared" si="1455"/>
        <v>#N/A</v>
      </c>
      <c r="JT74" s="86" t="e">
        <f t="shared" si="1455"/>
        <v>#N/A</v>
      </c>
      <c r="JU74" s="86" t="e">
        <f t="shared" si="1455"/>
        <v>#N/A</v>
      </c>
      <c r="JV74" s="86" t="e">
        <f t="shared" si="1455"/>
        <v>#N/A</v>
      </c>
      <c r="JW74" s="86" t="e">
        <f t="shared" si="1455"/>
        <v>#N/A</v>
      </c>
      <c r="JX74" s="86" t="e">
        <f t="shared" si="1455"/>
        <v>#N/A</v>
      </c>
      <c r="JY74" s="86" t="e">
        <f t="shared" si="1455"/>
        <v>#N/A</v>
      </c>
      <c r="JZ74" s="86" t="e">
        <f t="shared" si="1455"/>
        <v>#N/A</v>
      </c>
      <c r="KA74" s="87" t="e">
        <f t="shared" si="1419"/>
        <v>#N/A</v>
      </c>
      <c r="KB74" s="86" t="e">
        <f>JZ74*(1+Inputs!$B$10)</f>
        <v>#N/A</v>
      </c>
      <c r="KC74" s="86" t="e">
        <f t="shared" ref="KC74:KM77" si="1456">KB74</f>
        <v>#N/A</v>
      </c>
      <c r="KD74" s="86" t="e">
        <f t="shared" si="1456"/>
        <v>#N/A</v>
      </c>
      <c r="KE74" s="86" t="e">
        <f t="shared" si="1456"/>
        <v>#N/A</v>
      </c>
      <c r="KF74" s="86" t="e">
        <f t="shared" si="1456"/>
        <v>#N/A</v>
      </c>
      <c r="KG74" s="86" t="e">
        <f t="shared" si="1456"/>
        <v>#N/A</v>
      </c>
      <c r="KH74" s="86" t="e">
        <f t="shared" si="1456"/>
        <v>#N/A</v>
      </c>
      <c r="KI74" s="86" t="e">
        <f t="shared" si="1456"/>
        <v>#N/A</v>
      </c>
      <c r="KJ74" s="86" t="e">
        <f t="shared" si="1456"/>
        <v>#N/A</v>
      </c>
      <c r="KK74" s="86" t="e">
        <f t="shared" si="1456"/>
        <v>#N/A</v>
      </c>
      <c r="KL74" s="86" t="e">
        <f t="shared" si="1456"/>
        <v>#N/A</v>
      </c>
      <c r="KM74" s="86" t="e">
        <f t="shared" si="1456"/>
        <v>#N/A</v>
      </c>
      <c r="KN74" s="87" t="e">
        <f t="shared" ref="KN74:KN78" si="1457">SUM(KB74:KM74)</f>
        <v>#N/A</v>
      </c>
      <c r="KO74" s="86" t="e">
        <f>KM74*(1+Inputs!$B$10)</f>
        <v>#N/A</v>
      </c>
      <c r="KP74" s="86" t="e">
        <f t="shared" ref="KP74:KZ77" si="1458">KO74</f>
        <v>#N/A</v>
      </c>
      <c r="KQ74" s="86" t="e">
        <f t="shared" si="1458"/>
        <v>#N/A</v>
      </c>
      <c r="KR74" s="86" t="e">
        <f t="shared" si="1458"/>
        <v>#N/A</v>
      </c>
      <c r="KS74" s="86" t="e">
        <f t="shared" si="1458"/>
        <v>#N/A</v>
      </c>
      <c r="KT74" s="86" t="e">
        <f t="shared" si="1458"/>
        <v>#N/A</v>
      </c>
      <c r="KU74" s="86" t="e">
        <f t="shared" si="1458"/>
        <v>#N/A</v>
      </c>
      <c r="KV74" s="86" t="e">
        <f t="shared" si="1458"/>
        <v>#N/A</v>
      </c>
      <c r="KW74" s="86" t="e">
        <f t="shared" si="1458"/>
        <v>#N/A</v>
      </c>
      <c r="KX74" s="86" t="e">
        <f t="shared" si="1458"/>
        <v>#N/A</v>
      </c>
      <c r="KY74" s="86" t="e">
        <f t="shared" si="1458"/>
        <v>#N/A</v>
      </c>
      <c r="KZ74" s="86" t="e">
        <f t="shared" si="1458"/>
        <v>#N/A</v>
      </c>
      <c r="LA74" s="87" t="e">
        <f t="shared" si="1421"/>
        <v>#N/A</v>
      </c>
      <c r="LB74" s="86" t="e">
        <f>KZ74*(1+Inputs!$B$10)</f>
        <v>#N/A</v>
      </c>
      <c r="LC74" s="86" t="e">
        <f t="shared" ref="LC74:LM77" si="1459">LB74</f>
        <v>#N/A</v>
      </c>
      <c r="LD74" s="86" t="e">
        <f t="shared" si="1459"/>
        <v>#N/A</v>
      </c>
      <c r="LE74" s="86" t="e">
        <f t="shared" si="1459"/>
        <v>#N/A</v>
      </c>
      <c r="LF74" s="86" t="e">
        <f t="shared" si="1459"/>
        <v>#N/A</v>
      </c>
      <c r="LG74" s="86" t="e">
        <f t="shared" si="1459"/>
        <v>#N/A</v>
      </c>
      <c r="LH74" s="86" t="e">
        <f t="shared" si="1459"/>
        <v>#N/A</v>
      </c>
      <c r="LI74" s="86" t="e">
        <f t="shared" si="1459"/>
        <v>#N/A</v>
      </c>
      <c r="LJ74" s="86" t="e">
        <f t="shared" si="1459"/>
        <v>#N/A</v>
      </c>
      <c r="LK74" s="86" t="e">
        <f t="shared" si="1459"/>
        <v>#N/A</v>
      </c>
      <c r="LL74" s="86" t="e">
        <f t="shared" si="1459"/>
        <v>#N/A</v>
      </c>
      <c r="LM74" s="86" t="e">
        <f t="shared" si="1459"/>
        <v>#N/A</v>
      </c>
      <c r="LN74" s="87" t="e">
        <f t="shared" si="1422"/>
        <v>#N/A</v>
      </c>
      <c r="LO74" s="86" t="e">
        <f>LM74*(1+Inputs!$B$10)</f>
        <v>#N/A</v>
      </c>
      <c r="LP74" s="86" t="e">
        <f t="shared" ref="LP74:LZ77" si="1460">LO74</f>
        <v>#N/A</v>
      </c>
      <c r="LQ74" s="86" t="e">
        <f t="shared" si="1460"/>
        <v>#N/A</v>
      </c>
      <c r="LR74" s="86" t="e">
        <f t="shared" si="1460"/>
        <v>#N/A</v>
      </c>
      <c r="LS74" s="86" t="e">
        <f t="shared" si="1460"/>
        <v>#N/A</v>
      </c>
      <c r="LT74" s="86" t="e">
        <f t="shared" si="1460"/>
        <v>#N/A</v>
      </c>
      <c r="LU74" s="86" t="e">
        <f t="shared" si="1460"/>
        <v>#N/A</v>
      </c>
      <c r="LV74" s="86" t="e">
        <f t="shared" si="1460"/>
        <v>#N/A</v>
      </c>
      <c r="LW74" s="86" t="e">
        <f t="shared" si="1460"/>
        <v>#N/A</v>
      </c>
      <c r="LX74" s="86" t="e">
        <f t="shared" si="1460"/>
        <v>#N/A</v>
      </c>
      <c r="LY74" s="86" t="e">
        <f t="shared" si="1460"/>
        <v>#N/A</v>
      </c>
      <c r="LZ74" s="86" t="e">
        <f t="shared" si="1460"/>
        <v>#N/A</v>
      </c>
      <c r="MA74" s="87" t="e">
        <f t="shared" si="1423"/>
        <v>#N/A</v>
      </c>
      <c r="MB74" s="86" t="e">
        <f>LZ74*(1+Inputs!$B$10)</f>
        <v>#N/A</v>
      </c>
      <c r="MC74" s="86" t="e">
        <f t="shared" ref="MC74:MM77" si="1461">MB74</f>
        <v>#N/A</v>
      </c>
      <c r="MD74" s="86" t="e">
        <f t="shared" si="1461"/>
        <v>#N/A</v>
      </c>
      <c r="ME74" s="86" t="e">
        <f t="shared" si="1461"/>
        <v>#N/A</v>
      </c>
      <c r="MF74" s="86" t="e">
        <f t="shared" si="1461"/>
        <v>#N/A</v>
      </c>
      <c r="MG74" s="86" t="e">
        <f t="shared" si="1461"/>
        <v>#N/A</v>
      </c>
      <c r="MH74" s="86" t="e">
        <f t="shared" si="1461"/>
        <v>#N/A</v>
      </c>
      <c r="MI74" s="86" t="e">
        <f t="shared" si="1461"/>
        <v>#N/A</v>
      </c>
      <c r="MJ74" s="86" t="e">
        <f t="shared" si="1461"/>
        <v>#N/A</v>
      </c>
      <c r="MK74" s="86" t="e">
        <f t="shared" si="1461"/>
        <v>#N/A</v>
      </c>
      <c r="ML74" s="86" t="e">
        <f t="shared" si="1461"/>
        <v>#N/A</v>
      </c>
      <c r="MM74" s="86" t="e">
        <f t="shared" si="1461"/>
        <v>#N/A</v>
      </c>
      <c r="MN74" s="87" t="e">
        <f t="shared" si="1424"/>
        <v>#N/A</v>
      </c>
      <c r="MO74" s="86" t="e">
        <f>MM74*(1+Inputs!$B$10)</f>
        <v>#N/A</v>
      </c>
      <c r="MP74" s="86" t="e">
        <f t="shared" ref="MP74:MZ77" si="1462">MO74</f>
        <v>#N/A</v>
      </c>
      <c r="MQ74" s="86" t="e">
        <f t="shared" si="1462"/>
        <v>#N/A</v>
      </c>
      <c r="MR74" s="86" t="e">
        <f t="shared" si="1462"/>
        <v>#N/A</v>
      </c>
      <c r="MS74" s="86" t="e">
        <f t="shared" si="1462"/>
        <v>#N/A</v>
      </c>
      <c r="MT74" s="86" t="e">
        <f t="shared" si="1462"/>
        <v>#N/A</v>
      </c>
      <c r="MU74" s="86" t="e">
        <f t="shared" si="1462"/>
        <v>#N/A</v>
      </c>
      <c r="MV74" s="86" t="e">
        <f t="shared" si="1462"/>
        <v>#N/A</v>
      </c>
      <c r="MW74" s="86" t="e">
        <f t="shared" si="1462"/>
        <v>#N/A</v>
      </c>
      <c r="MX74" s="86" t="e">
        <f t="shared" si="1462"/>
        <v>#N/A</v>
      </c>
      <c r="MY74" s="86" t="e">
        <f t="shared" si="1462"/>
        <v>#N/A</v>
      </c>
      <c r="MZ74" s="86" t="e">
        <f t="shared" si="1462"/>
        <v>#N/A</v>
      </c>
      <c r="NA74" s="87" t="e">
        <f t="shared" si="1425"/>
        <v>#N/A</v>
      </c>
      <c r="NB74" s="86" t="e">
        <f>MZ74*(1+Inputs!$B$10)</f>
        <v>#N/A</v>
      </c>
      <c r="NC74" s="86" t="e">
        <f t="shared" ref="NC74:NM77" si="1463">NB74</f>
        <v>#N/A</v>
      </c>
      <c r="ND74" s="86" t="e">
        <f t="shared" si="1463"/>
        <v>#N/A</v>
      </c>
      <c r="NE74" s="86" t="e">
        <f t="shared" si="1463"/>
        <v>#N/A</v>
      </c>
      <c r="NF74" s="86" t="e">
        <f t="shared" si="1463"/>
        <v>#N/A</v>
      </c>
      <c r="NG74" s="86" t="e">
        <f t="shared" si="1463"/>
        <v>#N/A</v>
      </c>
      <c r="NH74" s="86" t="e">
        <f t="shared" si="1463"/>
        <v>#N/A</v>
      </c>
      <c r="NI74" s="86" t="e">
        <f t="shared" si="1463"/>
        <v>#N/A</v>
      </c>
      <c r="NJ74" s="86" t="e">
        <f t="shared" si="1463"/>
        <v>#N/A</v>
      </c>
      <c r="NK74" s="86" t="e">
        <f t="shared" si="1463"/>
        <v>#N/A</v>
      </c>
      <c r="NL74" s="86" t="e">
        <f t="shared" si="1463"/>
        <v>#N/A</v>
      </c>
      <c r="NM74" s="86" t="e">
        <f t="shared" si="1463"/>
        <v>#N/A</v>
      </c>
      <c r="NN74" s="87" t="e">
        <f t="shared" si="1426"/>
        <v>#N/A</v>
      </c>
      <c r="NO74" s="86" t="e">
        <f>NM74*(1+Inputs!$B$10)</f>
        <v>#N/A</v>
      </c>
      <c r="NP74" s="86" t="e">
        <f t="shared" ref="NP74:NZ77" si="1464">NO74</f>
        <v>#N/A</v>
      </c>
      <c r="NQ74" s="86" t="e">
        <f t="shared" si="1464"/>
        <v>#N/A</v>
      </c>
      <c r="NR74" s="86" t="e">
        <f t="shared" si="1464"/>
        <v>#N/A</v>
      </c>
      <c r="NS74" s="86" t="e">
        <f t="shared" si="1464"/>
        <v>#N/A</v>
      </c>
      <c r="NT74" s="86" t="e">
        <f t="shared" si="1464"/>
        <v>#N/A</v>
      </c>
      <c r="NU74" s="86" t="e">
        <f t="shared" si="1464"/>
        <v>#N/A</v>
      </c>
      <c r="NV74" s="86" t="e">
        <f t="shared" si="1464"/>
        <v>#N/A</v>
      </c>
      <c r="NW74" s="86" t="e">
        <f t="shared" si="1464"/>
        <v>#N/A</v>
      </c>
      <c r="NX74" s="86" t="e">
        <f t="shared" si="1464"/>
        <v>#N/A</v>
      </c>
      <c r="NY74" s="86" t="e">
        <f t="shared" si="1464"/>
        <v>#N/A</v>
      </c>
      <c r="NZ74" s="86" t="e">
        <f t="shared" si="1464"/>
        <v>#N/A</v>
      </c>
      <c r="OA74" s="87" t="e">
        <f t="shared" si="1427"/>
        <v>#N/A</v>
      </c>
      <c r="OB74" s="86" t="e">
        <f>NZ74*(1+Inputs!$B$10)</f>
        <v>#N/A</v>
      </c>
      <c r="OC74" s="86" t="e">
        <f t="shared" ref="OC74:OM77" si="1465">OB74</f>
        <v>#N/A</v>
      </c>
      <c r="OD74" s="86" t="e">
        <f t="shared" si="1465"/>
        <v>#N/A</v>
      </c>
      <c r="OE74" s="86" t="e">
        <f t="shared" si="1465"/>
        <v>#N/A</v>
      </c>
      <c r="OF74" s="86" t="e">
        <f t="shared" si="1465"/>
        <v>#N/A</v>
      </c>
      <c r="OG74" s="86" t="e">
        <f t="shared" si="1465"/>
        <v>#N/A</v>
      </c>
      <c r="OH74" s="86" t="e">
        <f t="shared" si="1465"/>
        <v>#N/A</v>
      </c>
      <c r="OI74" s="86" t="e">
        <f t="shared" si="1465"/>
        <v>#N/A</v>
      </c>
      <c r="OJ74" s="86" t="e">
        <f t="shared" si="1465"/>
        <v>#N/A</v>
      </c>
      <c r="OK74" s="86" t="e">
        <f t="shared" si="1465"/>
        <v>#N/A</v>
      </c>
      <c r="OL74" s="86" t="e">
        <f t="shared" si="1465"/>
        <v>#N/A</v>
      </c>
      <c r="OM74" s="86" t="e">
        <f t="shared" si="1465"/>
        <v>#N/A</v>
      </c>
      <c r="ON74" s="87" t="e">
        <f t="shared" si="1428"/>
        <v>#N/A</v>
      </c>
      <c r="OO74" s="86" t="e">
        <f>OM74*(1+Inputs!$B$10)</f>
        <v>#N/A</v>
      </c>
      <c r="OP74" s="86" t="e">
        <f t="shared" ref="OP74:OZ77" si="1466">OO74</f>
        <v>#N/A</v>
      </c>
      <c r="OQ74" s="86" t="e">
        <f t="shared" si="1466"/>
        <v>#N/A</v>
      </c>
      <c r="OR74" s="86" t="e">
        <f t="shared" si="1466"/>
        <v>#N/A</v>
      </c>
      <c r="OS74" s="86" t="e">
        <f t="shared" si="1466"/>
        <v>#N/A</v>
      </c>
      <c r="OT74" s="86" t="e">
        <f t="shared" si="1466"/>
        <v>#N/A</v>
      </c>
      <c r="OU74" s="86" t="e">
        <f t="shared" si="1466"/>
        <v>#N/A</v>
      </c>
      <c r="OV74" s="86" t="e">
        <f t="shared" si="1466"/>
        <v>#N/A</v>
      </c>
      <c r="OW74" s="86" t="e">
        <f t="shared" si="1466"/>
        <v>#N/A</v>
      </c>
      <c r="OX74" s="86" t="e">
        <f t="shared" si="1466"/>
        <v>#N/A</v>
      </c>
      <c r="OY74" s="86" t="e">
        <f t="shared" si="1466"/>
        <v>#N/A</v>
      </c>
      <c r="OZ74" s="86" t="e">
        <f t="shared" si="1466"/>
        <v>#N/A</v>
      </c>
      <c r="PA74" s="87" t="e">
        <f t="shared" si="1429"/>
        <v>#N/A</v>
      </c>
      <c r="PB74" s="86" t="e">
        <f>OZ74*(1+Inputs!$B$10)</f>
        <v>#N/A</v>
      </c>
      <c r="PC74" s="86" t="e">
        <f t="shared" ref="PC74:PM77" si="1467">PB74</f>
        <v>#N/A</v>
      </c>
      <c r="PD74" s="86" t="e">
        <f t="shared" si="1467"/>
        <v>#N/A</v>
      </c>
      <c r="PE74" s="86" t="e">
        <f t="shared" si="1467"/>
        <v>#N/A</v>
      </c>
      <c r="PF74" s="86" t="e">
        <f t="shared" si="1467"/>
        <v>#N/A</v>
      </c>
      <c r="PG74" s="86" t="e">
        <f t="shared" si="1467"/>
        <v>#N/A</v>
      </c>
      <c r="PH74" s="86" t="e">
        <f t="shared" si="1467"/>
        <v>#N/A</v>
      </c>
      <c r="PI74" s="86" t="e">
        <f t="shared" si="1467"/>
        <v>#N/A</v>
      </c>
      <c r="PJ74" s="86" t="e">
        <f t="shared" si="1467"/>
        <v>#N/A</v>
      </c>
      <c r="PK74" s="86" t="e">
        <f t="shared" si="1467"/>
        <v>#N/A</v>
      </c>
      <c r="PL74" s="86" t="e">
        <f t="shared" si="1467"/>
        <v>#N/A</v>
      </c>
      <c r="PM74" s="86" t="e">
        <f t="shared" si="1467"/>
        <v>#N/A</v>
      </c>
      <c r="PN74" s="87" t="e">
        <f t="shared" si="1430"/>
        <v>#N/A</v>
      </c>
      <c r="PO74" s="86" t="e">
        <f>PM74*(1+Inputs!$B$10)</f>
        <v>#N/A</v>
      </c>
      <c r="PP74" s="86" t="e">
        <f t="shared" ref="PP74:PZ77" si="1468">PO74</f>
        <v>#N/A</v>
      </c>
      <c r="PQ74" s="86" t="e">
        <f t="shared" si="1468"/>
        <v>#N/A</v>
      </c>
      <c r="PR74" s="86" t="e">
        <f t="shared" si="1468"/>
        <v>#N/A</v>
      </c>
      <c r="PS74" s="86" t="e">
        <f t="shared" si="1468"/>
        <v>#N/A</v>
      </c>
      <c r="PT74" s="86" t="e">
        <f t="shared" si="1468"/>
        <v>#N/A</v>
      </c>
      <c r="PU74" s="86" t="e">
        <f t="shared" si="1468"/>
        <v>#N/A</v>
      </c>
      <c r="PV74" s="86" t="e">
        <f t="shared" si="1468"/>
        <v>#N/A</v>
      </c>
      <c r="PW74" s="86" t="e">
        <f t="shared" si="1468"/>
        <v>#N/A</v>
      </c>
      <c r="PX74" s="86" t="e">
        <f t="shared" si="1468"/>
        <v>#N/A</v>
      </c>
      <c r="PY74" s="86" t="e">
        <f t="shared" si="1468"/>
        <v>#N/A</v>
      </c>
      <c r="PZ74" s="86" t="e">
        <f t="shared" si="1468"/>
        <v>#N/A</v>
      </c>
      <c r="QA74" s="87" t="e">
        <f t="shared" si="1431"/>
        <v>#N/A</v>
      </c>
      <c r="QB74" s="86" t="e">
        <f>PZ74*(1+Inputs!$B$10)</f>
        <v>#N/A</v>
      </c>
      <c r="QC74" s="86" t="e">
        <f t="shared" ref="QC74:QM77" si="1469">QB74</f>
        <v>#N/A</v>
      </c>
      <c r="QD74" s="86" t="e">
        <f t="shared" si="1469"/>
        <v>#N/A</v>
      </c>
      <c r="QE74" s="86" t="e">
        <f t="shared" si="1469"/>
        <v>#N/A</v>
      </c>
      <c r="QF74" s="86" t="e">
        <f t="shared" si="1469"/>
        <v>#N/A</v>
      </c>
      <c r="QG74" s="86" t="e">
        <f t="shared" si="1469"/>
        <v>#N/A</v>
      </c>
      <c r="QH74" s="86" t="e">
        <f t="shared" si="1469"/>
        <v>#N/A</v>
      </c>
      <c r="QI74" s="86" t="e">
        <f t="shared" si="1469"/>
        <v>#N/A</v>
      </c>
      <c r="QJ74" s="86" t="e">
        <f t="shared" si="1469"/>
        <v>#N/A</v>
      </c>
      <c r="QK74" s="86" t="e">
        <f t="shared" si="1469"/>
        <v>#N/A</v>
      </c>
      <c r="QL74" s="86" t="e">
        <f t="shared" si="1469"/>
        <v>#N/A</v>
      </c>
      <c r="QM74" s="86" t="e">
        <f t="shared" si="1469"/>
        <v>#N/A</v>
      </c>
      <c r="QN74" s="87" t="e">
        <f t="shared" si="1432"/>
        <v>#N/A</v>
      </c>
      <c r="QO74" s="86" t="e">
        <f>QM74*(1+Inputs!$B$10)</f>
        <v>#N/A</v>
      </c>
      <c r="QP74" s="86" t="e">
        <f t="shared" ref="QP74:QZ77" si="1470">QO74</f>
        <v>#N/A</v>
      </c>
      <c r="QQ74" s="86" t="e">
        <f t="shared" si="1470"/>
        <v>#N/A</v>
      </c>
      <c r="QR74" s="86" t="e">
        <f t="shared" si="1470"/>
        <v>#N/A</v>
      </c>
      <c r="QS74" s="86" t="e">
        <f t="shared" si="1470"/>
        <v>#N/A</v>
      </c>
      <c r="QT74" s="86" t="e">
        <f t="shared" si="1470"/>
        <v>#N/A</v>
      </c>
      <c r="QU74" s="86" t="e">
        <f t="shared" si="1470"/>
        <v>#N/A</v>
      </c>
      <c r="QV74" s="86" t="e">
        <f t="shared" si="1470"/>
        <v>#N/A</v>
      </c>
      <c r="QW74" s="86" t="e">
        <f t="shared" si="1470"/>
        <v>#N/A</v>
      </c>
      <c r="QX74" s="86" t="e">
        <f t="shared" si="1470"/>
        <v>#N/A</v>
      </c>
      <c r="QY74" s="86" t="e">
        <f t="shared" si="1470"/>
        <v>#N/A</v>
      </c>
      <c r="QZ74" s="86" t="e">
        <f t="shared" si="1470"/>
        <v>#N/A</v>
      </c>
      <c r="RA74" s="87" t="e">
        <f t="shared" si="1433"/>
        <v>#N/A</v>
      </c>
      <c r="RB74" s="86" t="e">
        <f>QZ74*(1+Inputs!$B$10)</f>
        <v>#N/A</v>
      </c>
      <c r="RC74" s="86" t="e">
        <f t="shared" ref="RC74:RM77" si="1471">RB74</f>
        <v>#N/A</v>
      </c>
      <c r="RD74" s="86" t="e">
        <f t="shared" si="1471"/>
        <v>#N/A</v>
      </c>
      <c r="RE74" s="86" t="e">
        <f t="shared" si="1471"/>
        <v>#N/A</v>
      </c>
      <c r="RF74" s="86" t="e">
        <f t="shared" si="1471"/>
        <v>#N/A</v>
      </c>
      <c r="RG74" s="86" t="e">
        <f t="shared" si="1471"/>
        <v>#N/A</v>
      </c>
      <c r="RH74" s="86" t="e">
        <f t="shared" si="1471"/>
        <v>#N/A</v>
      </c>
      <c r="RI74" s="86" t="e">
        <f t="shared" si="1471"/>
        <v>#N/A</v>
      </c>
      <c r="RJ74" s="86" t="e">
        <f t="shared" si="1471"/>
        <v>#N/A</v>
      </c>
      <c r="RK74" s="86" t="e">
        <f t="shared" si="1471"/>
        <v>#N/A</v>
      </c>
      <c r="RL74" s="86" t="e">
        <f t="shared" si="1471"/>
        <v>#N/A</v>
      </c>
      <c r="RM74" s="86" t="e">
        <f t="shared" si="1471"/>
        <v>#N/A</v>
      </c>
      <c r="RN74" s="87" t="e">
        <f t="shared" si="1434"/>
        <v>#N/A</v>
      </c>
    </row>
    <row r="75" spans="1:560" outlineLevel="1" x14ac:dyDescent="0.3">
      <c r="A75" s="89" t="s">
        <v>209</v>
      </c>
      <c r="B75" s="86" t="e">
        <f>-Inputs!$B$37/12</f>
        <v>#N/A</v>
      </c>
      <c r="C75" s="86" t="e">
        <f>-Inputs!$B$37/12</f>
        <v>#N/A</v>
      </c>
      <c r="D75" s="86" t="e">
        <f>-Inputs!$B$37/12</f>
        <v>#N/A</v>
      </c>
      <c r="E75" s="86" t="e">
        <f>-Inputs!$B$37/12</f>
        <v>#N/A</v>
      </c>
      <c r="F75" s="86" t="e">
        <f>-Inputs!$B$37/12</f>
        <v>#N/A</v>
      </c>
      <c r="G75" s="86" t="e">
        <f>-Inputs!$B$37/12</f>
        <v>#N/A</v>
      </c>
      <c r="H75" s="86" t="e">
        <f>-Inputs!$B$37/12</f>
        <v>#N/A</v>
      </c>
      <c r="I75" s="86" t="e">
        <f>-Inputs!$B$37/12</f>
        <v>#N/A</v>
      </c>
      <c r="J75" s="86" t="e">
        <f>-Inputs!$B$37/12</f>
        <v>#N/A</v>
      </c>
      <c r="K75" s="86" t="e">
        <f>-Inputs!$B$37/12</f>
        <v>#N/A</v>
      </c>
      <c r="L75" s="86" t="e">
        <f>-Inputs!$B$37/12</f>
        <v>#N/A</v>
      </c>
      <c r="M75" s="86" t="e">
        <f>-Inputs!$B$37/12</f>
        <v>#N/A</v>
      </c>
      <c r="N75" s="87" t="e">
        <f t="shared" si="1289"/>
        <v>#N/A</v>
      </c>
      <c r="O75" s="86" t="e">
        <f>M75*(1+Inputs!$B$10)</f>
        <v>#N/A</v>
      </c>
      <c r="P75" s="86" t="e">
        <f t="shared" si="1435"/>
        <v>#N/A</v>
      </c>
      <c r="Q75" s="86" t="e">
        <f t="shared" si="1435"/>
        <v>#N/A</v>
      </c>
      <c r="R75" s="86" t="e">
        <f t="shared" si="1435"/>
        <v>#N/A</v>
      </c>
      <c r="S75" s="86" t="e">
        <f t="shared" si="1435"/>
        <v>#N/A</v>
      </c>
      <c r="T75" s="86" t="e">
        <f t="shared" si="1435"/>
        <v>#N/A</v>
      </c>
      <c r="U75" s="86" t="e">
        <f t="shared" si="1435"/>
        <v>#N/A</v>
      </c>
      <c r="V75" s="86" t="e">
        <f t="shared" si="1435"/>
        <v>#N/A</v>
      </c>
      <c r="W75" s="86" t="e">
        <f t="shared" si="1435"/>
        <v>#N/A</v>
      </c>
      <c r="X75" s="86" t="e">
        <f t="shared" si="1435"/>
        <v>#N/A</v>
      </c>
      <c r="Y75" s="86" t="e">
        <f t="shared" si="1435"/>
        <v>#N/A</v>
      </c>
      <c r="Z75" s="86" t="e">
        <f t="shared" si="1435"/>
        <v>#N/A</v>
      </c>
      <c r="AA75" s="87" t="e">
        <f t="shared" si="1399"/>
        <v>#N/A</v>
      </c>
      <c r="AB75" s="86" t="e">
        <f>Z75*(1+Inputs!$B$10)</f>
        <v>#N/A</v>
      </c>
      <c r="AC75" s="86" t="e">
        <f t="shared" si="1436"/>
        <v>#N/A</v>
      </c>
      <c r="AD75" s="86" t="e">
        <f t="shared" si="1436"/>
        <v>#N/A</v>
      </c>
      <c r="AE75" s="86" t="e">
        <f t="shared" si="1436"/>
        <v>#N/A</v>
      </c>
      <c r="AF75" s="86" t="e">
        <f t="shared" si="1436"/>
        <v>#N/A</v>
      </c>
      <c r="AG75" s="86" t="e">
        <f t="shared" si="1436"/>
        <v>#N/A</v>
      </c>
      <c r="AH75" s="86" t="e">
        <f t="shared" si="1436"/>
        <v>#N/A</v>
      </c>
      <c r="AI75" s="86" t="e">
        <f t="shared" si="1436"/>
        <v>#N/A</v>
      </c>
      <c r="AJ75" s="86" t="e">
        <f t="shared" si="1436"/>
        <v>#N/A</v>
      </c>
      <c r="AK75" s="86" t="e">
        <f t="shared" si="1436"/>
        <v>#N/A</v>
      </c>
      <c r="AL75" s="86" t="e">
        <f t="shared" si="1436"/>
        <v>#N/A</v>
      </c>
      <c r="AM75" s="86" t="e">
        <f t="shared" si="1436"/>
        <v>#N/A</v>
      </c>
      <c r="AN75" s="87" t="e">
        <f t="shared" si="1400"/>
        <v>#N/A</v>
      </c>
      <c r="AO75" s="86" t="e">
        <f>AM75*(1+Inputs!$B$10)</f>
        <v>#N/A</v>
      </c>
      <c r="AP75" s="86" t="e">
        <f t="shared" si="1437"/>
        <v>#N/A</v>
      </c>
      <c r="AQ75" s="86" t="e">
        <f t="shared" si="1437"/>
        <v>#N/A</v>
      </c>
      <c r="AR75" s="86" t="e">
        <f t="shared" si="1437"/>
        <v>#N/A</v>
      </c>
      <c r="AS75" s="86" t="e">
        <f t="shared" si="1437"/>
        <v>#N/A</v>
      </c>
      <c r="AT75" s="86" t="e">
        <f t="shared" si="1437"/>
        <v>#N/A</v>
      </c>
      <c r="AU75" s="86" t="e">
        <f t="shared" si="1437"/>
        <v>#N/A</v>
      </c>
      <c r="AV75" s="86" t="e">
        <f t="shared" si="1437"/>
        <v>#N/A</v>
      </c>
      <c r="AW75" s="86" t="e">
        <f t="shared" si="1437"/>
        <v>#N/A</v>
      </c>
      <c r="AX75" s="86" t="e">
        <f t="shared" si="1437"/>
        <v>#N/A</v>
      </c>
      <c r="AY75" s="86" t="e">
        <f t="shared" si="1437"/>
        <v>#N/A</v>
      </c>
      <c r="AZ75" s="86" t="e">
        <f t="shared" si="1437"/>
        <v>#N/A</v>
      </c>
      <c r="BA75" s="87" t="e">
        <f t="shared" si="1401"/>
        <v>#N/A</v>
      </c>
      <c r="BB75" s="86" t="e">
        <f>AZ75*(1+Inputs!$B$10)</f>
        <v>#N/A</v>
      </c>
      <c r="BC75" s="86" t="e">
        <f t="shared" si="1438"/>
        <v>#N/A</v>
      </c>
      <c r="BD75" s="86" t="e">
        <f t="shared" si="1438"/>
        <v>#N/A</v>
      </c>
      <c r="BE75" s="86" t="e">
        <f t="shared" si="1438"/>
        <v>#N/A</v>
      </c>
      <c r="BF75" s="86" t="e">
        <f t="shared" si="1438"/>
        <v>#N/A</v>
      </c>
      <c r="BG75" s="86" t="e">
        <f t="shared" si="1438"/>
        <v>#N/A</v>
      </c>
      <c r="BH75" s="86" t="e">
        <f t="shared" si="1438"/>
        <v>#N/A</v>
      </c>
      <c r="BI75" s="86" t="e">
        <f t="shared" si="1438"/>
        <v>#N/A</v>
      </c>
      <c r="BJ75" s="86" t="e">
        <f t="shared" si="1438"/>
        <v>#N/A</v>
      </c>
      <c r="BK75" s="86" t="e">
        <f t="shared" si="1438"/>
        <v>#N/A</v>
      </c>
      <c r="BL75" s="86" t="e">
        <f t="shared" si="1438"/>
        <v>#N/A</v>
      </c>
      <c r="BM75" s="86" t="e">
        <f t="shared" si="1438"/>
        <v>#N/A</v>
      </c>
      <c r="BN75" s="87" t="e">
        <f t="shared" si="1402"/>
        <v>#N/A</v>
      </c>
      <c r="BO75" s="86" t="e">
        <f>BM75*(1+Inputs!$B$10)</f>
        <v>#N/A</v>
      </c>
      <c r="BP75" s="86" t="e">
        <f t="shared" si="1439"/>
        <v>#N/A</v>
      </c>
      <c r="BQ75" s="86" t="e">
        <f t="shared" si="1439"/>
        <v>#N/A</v>
      </c>
      <c r="BR75" s="86" t="e">
        <f t="shared" si="1439"/>
        <v>#N/A</v>
      </c>
      <c r="BS75" s="86" t="e">
        <f t="shared" si="1439"/>
        <v>#N/A</v>
      </c>
      <c r="BT75" s="86" t="e">
        <f t="shared" si="1439"/>
        <v>#N/A</v>
      </c>
      <c r="BU75" s="86" t="e">
        <f t="shared" si="1439"/>
        <v>#N/A</v>
      </c>
      <c r="BV75" s="86" t="e">
        <f t="shared" si="1439"/>
        <v>#N/A</v>
      </c>
      <c r="BW75" s="86" t="e">
        <f t="shared" si="1439"/>
        <v>#N/A</v>
      </c>
      <c r="BX75" s="86" t="e">
        <f t="shared" si="1439"/>
        <v>#N/A</v>
      </c>
      <c r="BY75" s="86" t="e">
        <f t="shared" si="1439"/>
        <v>#N/A</v>
      </c>
      <c r="BZ75" s="86" t="e">
        <f t="shared" si="1439"/>
        <v>#N/A</v>
      </c>
      <c r="CA75" s="87" t="e">
        <f t="shared" si="1403"/>
        <v>#N/A</v>
      </c>
      <c r="CB75" s="86" t="e">
        <f>BZ75*(1+Inputs!$B$10)</f>
        <v>#N/A</v>
      </c>
      <c r="CC75" s="86" t="e">
        <f t="shared" si="1440"/>
        <v>#N/A</v>
      </c>
      <c r="CD75" s="86" t="e">
        <f t="shared" si="1440"/>
        <v>#N/A</v>
      </c>
      <c r="CE75" s="86" t="e">
        <f t="shared" si="1440"/>
        <v>#N/A</v>
      </c>
      <c r="CF75" s="86" t="e">
        <f t="shared" si="1440"/>
        <v>#N/A</v>
      </c>
      <c r="CG75" s="86" t="e">
        <f t="shared" si="1440"/>
        <v>#N/A</v>
      </c>
      <c r="CH75" s="86" t="e">
        <f t="shared" si="1440"/>
        <v>#N/A</v>
      </c>
      <c r="CI75" s="86" t="e">
        <f t="shared" si="1440"/>
        <v>#N/A</v>
      </c>
      <c r="CJ75" s="86" t="e">
        <f t="shared" si="1440"/>
        <v>#N/A</v>
      </c>
      <c r="CK75" s="86" t="e">
        <f t="shared" si="1440"/>
        <v>#N/A</v>
      </c>
      <c r="CL75" s="86" t="e">
        <f t="shared" si="1440"/>
        <v>#N/A</v>
      </c>
      <c r="CM75" s="86" t="e">
        <f t="shared" si="1440"/>
        <v>#N/A</v>
      </c>
      <c r="CN75" s="87" t="e">
        <f t="shared" si="1404"/>
        <v>#N/A</v>
      </c>
      <c r="CO75" s="86" t="e">
        <f>CM75*(1+Inputs!$B$10)</f>
        <v>#N/A</v>
      </c>
      <c r="CP75" s="86" t="e">
        <f t="shared" si="1441"/>
        <v>#N/A</v>
      </c>
      <c r="CQ75" s="86" t="e">
        <f t="shared" si="1441"/>
        <v>#N/A</v>
      </c>
      <c r="CR75" s="86" t="e">
        <f t="shared" si="1441"/>
        <v>#N/A</v>
      </c>
      <c r="CS75" s="86" t="e">
        <f t="shared" si="1441"/>
        <v>#N/A</v>
      </c>
      <c r="CT75" s="86" t="e">
        <f t="shared" si="1441"/>
        <v>#N/A</v>
      </c>
      <c r="CU75" s="86" t="e">
        <f t="shared" si="1441"/>
        <v>#N/A</v>
      </c>
      <c r="CV75" s="86" t="e">
        <f t="shared" si="1441"/>
        <v>#N/A</v>
      </c>
      <c r="CW75" s="86" t="e">
        <f t="shared" si="1441"/>
        <v>#N/A</v>
      </c>
      <c r="CX75" s="86" t="e">
        <f t="shared" si="1441"/>
        <v>#N/A</v>
      </c>
      <c r="CY75" s="86" t="e">
        <f t="shared" si="1441"/>
        <v>#N/A</v>
      </c>
      <c r="CZ75" s="86" t="e">
        <f t="shared" si="1441"/>
        <v>#N/A</v>
      </c>
      <c r="DA75" s="87" t="e">
        <f t="shared" si="1405"/>
        <v>#N/A</v>
      </c>
      <c r="DB75" s="86" t="e">
        <f>CZ75*(1+Inputs!$B$10)</f>
        <v>#N/A</v>
      </c>
      <c r="DC75" s="86" t="e">
        <f t="shared" si="1442"/>
        <v>#N/A</v>
      </c>
      <c r="DD75" s="86" t="e">
        <f t="shared" si="1442"/>
        <v>#N/A</v>
      </c>
      <c r="DE75" s="86" t="e">
        <f t="shared" si="1442"/>
        <v>#N/A</v>
      </c>
      <c r="DF75" s="86" t="e">
        <f t="shared" si="1442"/>
        <v>#N/A</v>
      </c>
      <c r="DG75" s="86" t="e">
        <f t="shared" si="1442"/>
        <v>#N/A</v>
      </c>
      <c r="DH75" s="86" t="e">
        <f t="shared" si="1442"/>
        <v>#N/A</v>
      </c>
      <c r="DI75" s="86" t="e">
        <f t="shared" si="1442"/>
        <v>#N/A</v>
      </c>
      <c r="DJ75" s="86" t="e">
        <f t="shared" si="1442"/>
        <v>#N/A</v>
      </c>
      <c r="DK75" s="86" t="e">
        <f t="shared" si="1442"/>
        <v>#N/A</v>
      </c>
      <c r="DL75" s="86" t="e">
        <f t="shared" si="1442"/>
        <v>#N/A</v>
      </c>
      <c r="DM75" s="86" t="e">
        <f t="shared" si="1442"/>
        <v>#N/A</v>
      </c>
      <c r="DN75" s="87" t="e">
        <f t="shared" si="1406"/>
        <v>#N/A</v>
      </c>
      <c r="DO75" s="86" t="e">
        <f>DM75*(1+Inputs!$B$10)</f>
        <v>#N/A</v>
      </c>
      <c r="DP75" s="86" t="e">
        <f t="shared" si="1443"/>
        <v>#N/A</v>
      </c>
      <c r="DQ75" s="86" t="e">
        <f t="shared" si="1443"/>
        <v>#N/A</v>
      </c>
      <c r="DR75" s="86" t="e">
        <f t="shared" si="1443"/>
        <v>#N/A</v>
      </c>
      <c r="DS75" s="86" t="e">
        <f t="shared" si="1443"/>
        <v>#N/A</v>
      </c>
      <c r="DT75" s="86" t="e">
        <f t="shared" si="1443"/>
        <v>#N/A</v>
      </c>
      <c r="DU75" s="86" t="e">
        <f t="shared" si="1443"/>
        <v>#N/A</v>
      </c>
      <c r="DV75" s="86" t="e">
        <f t="shared" si="1443"/>
        <v>#N/A</v>
      </c>
      <c r="DW75" s="86" t="e">
        <f t="shared" si="1443"/>
        <v>#N/A</v>
      </c>
      <c r="DX75" s="86" t="e">
        <f t="shared" si="1443"/>
        <v>#N/A</v>
      </c>
      <c r="DY75" s="86" t="e">
        <f t="shared" si="1443"/>
        <v>#N/A</v>
      </c>
      <c r="DZ75" s="86" t="e">
        <f t="shared" si="1443"/>
        <v>#N/A</v>
      </c>
      <c r="EA75" s="87" t="e">
        <f t="shared" si="1407"/>
        <v>#N/A</v>
      </c>
      <c r="EB75" s="86" t="e">
        <f>DZ75*(1+Inputs!$B$10)</f>
        <v>#N/A</v>
      </c>
      <c r="EC75" s="86" t="e">
        <f t="shared" si="1444"/>
        <v>#N/A</v>
      </c>
      <c r="ED75" s="86" t="e">
        <f t="shared" si="1444"/>
        <v>#N/A</v>
      </c>
      <c r="EE75" s="86" t="e">
        <f t="shared" si="1444"/>
        <v>#N/A</v>
      </c>
      <c r="EF75" s="86" t="e">
        <f t="shared" si="1444"/>
        <v>#N/A</v>
      </c>
      <c r="EG75" s="86" t="e">
        <f t="shared" si="1444"/>
        <v>#N/A</v>
      </c>
      <c r="EH75" s="86" t="e">
        <f t="shared" si="1444"/>
        <v>#N/A</v>
      </c>
      <c r="EI75" s="86" t="e">
        <f t="shared" si="1444"/>
        <v>#N/A</v>
      </c>
      <c r="EJ75" s="86" t="e">
        <f t="shared" si="1444"/>
        <v>#N/A</v>
      </c>
      <c r="EK75" s="86" t="e">
        <f t="shared" si="1444"/>
        <v>#N/A</v>
      </c>
      <c r="EL75" s="86" t="e">
        <f t="shared" si="1444"/>
        <v>#N/A</v>
      </c>
      <c r="EM75" s="86" t="e">
        <f t="shared" si="1444"/>
        <v>#N/A</v>
      </c>
      <c r="EN75" s="87" t="e">
        <f t="shared" si="1408"/>
        <v>#N/A</v>
      </c>
      <c r="EO75" s="86" t="e">
        <f>EM75*(1+Inputs!$B$10)</f>
        <v>#N/A</v>
      </c>
      <c r="EP75" s="86" t="e">
        <f t="shared" si="1445"/>
        <v>#N/A</v>
      </c>
      <c r="EQ75" s="86" t="e">
        <f t="shared" si="1445"/>
        <v>#N/A</v>
      </c>
      <c r="ER75" s="86" t="e">
        <f t="shared" si="1445"/>
        <v>#N/A</v>
      </c>
      <c r="ES75" s="86" t="e">
        <f t="shared" si="1445"/>
        <v>#N/A</v>
      </c>
      <c r="ET75" s="86" t="e">
        <f t="shared" si="1445"/>
        <v>#N/A</v>
      </c>
      <c r="EU75" s="86" t="e">
        <f t="shared" si="1445"/>
        <v>#N/A</v>
      </c>
      <c r="EV75" s="86" t="e">
        <f t="shared" si="1445"/>
        <v>#N/A</v>
      </c>
      <c r="EW75" s="86" t="e">
        <f t="shared" si="1445"/>
        <v>#N/A</v>
      </c>
      <c r="EX75" s="86" t="e">
        <f t="shared" si="1445"/>
        <v>#N/A</v>
      </c>
      <c r="EY75" s="86" t="e">
        <f t="shared" si="1445"/>
        <v>#N/A</v>
      </c>
      <c r="EZ75" s="86" t="e">
        <f t="shared" si="1445"/>
        <v>#N/A</v>
      </c>
      <c r="FA75" s="87" t="e">
        <f t="shared" si="1409"/>
        <v>#N/A</v>
      </c>
      <c r="FB75" s="86" t="e">
        <f>EZ75*(1+Inputs!$B$10)</f>
        <v>#N/A</v>
      </c>
      <c r="FC75" s="86" t="e">
        <f t="shared" si="1446"/>
        <v>#N/A</v>
      </c>
      <c r="FD75" s="86" t="e">
        <f t="shared" si="1446"/>
        <v>#N/A</v>
      </c>
      <c r="FE75" s="86" t="e">
        <f t="shared" si="1446"/>
        <v>#N/A</v>
      </c>
      <c r="FF75" s="86" t="e">
        <f t="shared" si="1446"/>
        <v>#N/A</v>
      </c>
      <c r="FG75" s="86" t="e">
        <f t="shared" si="1446"/>
        <v>#N/A</v>
      </c>
      <c r="FH75" s="86" t="e">
        <f t="shared" si="1446"/>
        <v>#N/A</v>
      </c>
      <c r="FI75" s="86" t="e">
        <f t="shared" si="1446"/>
        <v>#N/A</v>
      </c>
      <c r="FJ75" s="86" t="e">
        <f t="shared" si="1446"/>
        <v>#N/A</v>
      </c>
      <c r="FK75" s="86" t="e">
        <f t="shared" si="1446"/>
        <v>#N/A</v>
      </c>
      <c r="FL75" s="86" t="e">
        <f t="shared" si="1446"/>
        <v>#N/A</v>
      </c>
      <c r="FM75" s="86" t="e">
        <f t="shared" si="1446"/>
        <v>#N/A</v>
      </c>
      <c r="FN75" s="87" t="e">
        <f t="shared" si="1410"/>
        <v>#N/A</v>
      </c>
      <c r="FO75" s="86" t="e">
        <f>FM75*(1+Inputs!$B$10)</f>
        <v>#N/A</v>
      </c>
      <c r="FP75" s="86" t="e">
        <f t="shared" si="1447"/>
        <v>#N/A</v>
      </c>
      <c r="FQ75" s="86" t="e">
        <f t="shared" si="1447"/>
        <v>#N/A</v>
      </c>
      <c r="FR75" s="86" t="e">
        <f t="shared" si="1447"/>
        <v>#N/A</v>
      </c>
      <c r="FS75" s="86" t="e">
        <f t="shared" si="1447"/>
        <v>#N/A</v>
      </c>
      <c r="FT75" s="86" t="e">
        <f t="shared" si="1447"/>
        <v>#N/A</v>
      </c>
      <c r="FU75" s="86" t="e">
        <f t="shared" si="1447"/>
        <v>#N/A</v>
      </c>
      <c r="FV75" s="86" t="e">
        <f t="shared" si="1447"/>
        <v>#N/A</v>
      </c>
      <c r="FW75" s="86" t="e">
        <f t="shared" si="1447"/>
        <v>#N/A</v>
      </c>
      <c r="FX75" s="86" t="e">
        <f t="shared" si="1447"/>
        <v>#N/A</v>
      </c>
      <c r="FY75" s="86" t="e">
        <f t="shared" si="1447"/>
        <v>#N/A</v>
      </c>
      <c r="FZ75" s="86" t="e">
        <f t="shared" si="1447"/>
        <v>#N/A</v>
      </c>
      <c r="GA75" s="87" t="e">
        <f t="shared" si="1411"/>
        <v>#N/A</v>
      </c>
      <c r="GB75" s="86" t="e">
        <f>FZ75*(1+Inputs!$B$10)</f>
        <v>#N/A</v>
      </c>
      <c r="GC75" s="86" t="e">
        <f t="shared" si="1448"/>
        <v>#N/A</v>
      </c>
      <c r="GD75" s="86" t="e">
        <f t="shared" si="1448"/>
        <v>#N/A</v>
      </c>
      <c r="GE75" s="86" t="e">
        <f t="shared" si="1448"/>
        <v>#N/A</v>
      </c>
      <c r="GF75" s="86" t="e">
        <f t="shared" si="1448"/>
        <v>#N/A</v>
      </c>
      <c r="GG75" s="86" t="e">
        <f t="shared" si="1448"/>
        <v>#N/A</v>
      </c>
      <c r="GH75" s="86" t="e">
        <f t="shared" si="1448"/>
        <v>#N/A</v>
      </c>
      <c r="GI75" s="86" t="e">
        <f t="shared" si="1448"/>
        <v>#N/A</v>
      </c>
      <c r="GJ75" s="86" t="e">
        <f t="shared" si="1448"/>
        <v>#N/A</v>
      </c>
      <c r="GK75" s="86" t="e">
        <f t="shared" si="1448"/>
        <v>#N/A</v>
      </c>
      <c r="GL75" s="86" t="e">
        <f t="shared" si="1448"/>
        <v>#N/A</v>
      </c>
      <c r="GM75" s="86" t="e">
        <f t="shared" si="1448"/>
        <v>#N/A</v>
      </c>
      <c r="GN75" s="87" t="e">
        <f t="shared" si="1412"/>
        <v>#N/A</v>
      </c>
      <c r="GO75" s="86" t="e">
        <f>GM75*(1+Inputs!$B$10)</f>
        <v>#N/A</v>
      </c>
      <c r="GP75" s="86" t="e">
        <f t="shared" si="1449"/>
        <v>#N/A</v>
      </c>
      <c r="GQ75" s="86" t="e">
        <f t="shared" si="1449"/>
        <v>#N/A</v>
      </c>
      <c r="GR75" s="86" t="e">
        <f t="shared" si="1449"/>
        <v>#N/A</v>
      </c>
      <c r="GS75" s="86" t="e">
        <f t="shared" si="1449"/>
        <v>#N/A</v>
      </c>
      <c r="GT75" s="86" t="e">
        <f t="shared" si="1449"/>
        <v>#N/A</v>
      </c>
      <c r="GU75" s="86" t="e">
        <f t="shared" si="1449"/>
        <v>#N/A</v>
      </c>
      <c r="GV75" s="86" t="e">
        <f t="shared" si="1449"/>
        <v>#N/A</v>
      </c>
      <c r="GW75" s="86" t="e">
        <f t="shared" si="1449"/>
        <v>#N/A</v>
      </c>
      <c r="GX75" s="86" t="e">
        <f t="shared" si="1449"/>
        <v>#N/A</v>
      </c>
      <c r="GY75" s="86" t="e">
        <f t="shared" si="1449"/>
        <v>#N/A</v>
      </c>
      <c r="GZ75" s="86" t="e">
        <f t="shared" si="1449"/>
        <v>#N/A</v>
      </c>
      <c r="HA75" s="87" t="e">
        <f t="shared" si="1413"/>
        <v>#N/A</v>
      </c>
      <c r="HB75" s="86" t="e">
        <f>GZ75*(1+Inputs!$B$10)</f>
        <v>#N/A</v>
      </c>
      <c r="HC75" s="86" t="e">
        <f t="shared" si="1450"/>
        <v>#N/A</v>
      </c>
      <c r="HD75" s="86" t="e">
        <f t="shared" si="1450"/>
        <v>#N/A</v>
      </c>
      <c r="HE75" s="86" t="e">
        <f t="shared" si="1450"/>
        <v>#N/A</v>
      </c>
      <c r="HF75" s="86" t="e">
        <f t="shared" si="1450"/>
        <v>#N/A</v>
      </c>
      <c r="HG75" s="86" t="e">
        <f t="shared" si="1450"/>
        <v>#N/A</v>
      </c>
      <c r="HH75" s="86" t="e">
        <f t="shared" si="1450"/>
        <v>#N/A</v>
      </c>
      <c r="HI75" s="86" t="e">
        <f t="shared" si="1450"/>
        <v>#N/A</v>
      </c>
      <c r="HJ75" s="86" t="e">
        <f t="shared" si="1450"/>
        <v>#N/A</v>
      </c>
      <c r="HK75" s="86" t="e">
        <f t="shared" si="1450"/>
        <v>#N/A</v>
      </c>
      <c r="HL75" s="86" t="e">
        <f t="shared" si="1450"/>
        <v>#N/A</v>
      </c>
      <c r="HM75" s="86" t="e">
        <f t="shared" si="1450"/>
        <v>#N/A</v>
      </c>
      <c r="HN75" s="87" t="e">
        <f t="shared" si="1414"/>
        <v>#N/A</v>
      </c>
      <c r="HO75" s="86" t="e">
        <f>HM75*(1+Inputs!$B$10)</f>
        <v>#N/A</v>
      </c>
      <c r="HP75" s="86" t="e">
        <f t="shared" si="1451"/>
        <v>#N/A</v>
      </c>
      <c r="HQ75" s="86" t="e">
        <f t="shared" si="1451"/>
        <v>#N/A</v>
      </c>
      <c r="HR75" s="86" t="e">
        <f t="shared" si="1451"/>
        <v>#N/A</v>
      </c>
      <c r="HS75" s="86" t="e">
        <f t="shared" si="1451"/>
        <v>#N/A</v>
      </c>
      <c r="HT75" s="86" t="e">
        <f t="shared" si="1451"/>
        <v>#N/A</v>
      </c>
      <c r="HU75" s="86" t="e">
        <f t="shared" si="1451"/>
        <v>#N/A</v>
      </c>
      <c r="HV75" s="86" t="e">
        <f t="shared" si="1451"/>
        <v>#N/A</v>
      </c>
      <c r="HW75" s="86" t="e">
        <f t="shared" si="1451"/>
        <v>#N/A</v>
      </c>
      <c r="HX75" s="86" t="e">
        <f t="shared" si="1451"/>
        <v>#N/A</v>
      </c>
      <c r="HY75" s="86" t="e">
        <f t="shared" si="1451"/>
        <v>#N/A</v>
      </c>
      <c r="HZ75" s="86" t="e">
        <f t="shared" si="1451"/>
        <v>#N/A</v>
      </c>
      <c r="IA75" s="87" t="e">
        <f t="shared" si="1415"/>
        <v>#N/A</v>
      </c>
      <c r="IB75" s="86" t="e">
        <f>HZ75*(1+Inputs!$B$10)</f>
        <v>#N/A</v>
      </c>
      <c r="IC75" s="86" t="e">
        <f t="shared" si="1452"/>
        <v>#N/A</v>
      </c>
      <c r="ID75" s="86" t="e">
        <f t="shared" si="1452"/>
        <v>#N/A</v>
      </c>
      <c r="IE75" s="86" t="e">
        <f t="shared" si="1452"/>
        <v>#N/A</v>
      </c>
      <c r="IF75" s="86" t="e">
        <f t="shared" si="1452"/>
        <v>#N/A</v>
      </c>
      <c r="IG75" s="86" t="e">
        <f t="shared" si="1452"/>
        <v>#N/A</v>
      </c>
      <c r="IH75" s="86" t="e">
        <f t="shared" si="1452"/>
        <v>#N/A</v>
      </c>
      <c r="II75" s="86" t="e">
        <f t="shared" si="1452"/>
        <v>#N/A</v>
      </c>
      <c r="IJ75" s="86" t="e">
        <f t="shared" si="1452"/>
        <v>#N/A</v>
      </c>
      <c r="IK75" s="86" t="e">
        <f t="shared" si="1452"/>
        <v>#N/A</v>
      </c>
      <c r="IL75" s="86" t="e">
        <f t="shared" si="1452"/>
        <v>#N/A</v>
      </c>
      <c r="IM75" s="86" t="e">
        <f t="shared" si="1452"/>
        <v>#N/A</v>
      </c>
      <c r="IN75" s="87" t="e">
        <f t="shared" si="1416"/>
        <v>#N/A</v>
      </c>
      <c r="IO75" s="86" t="e">
        <f>IM75*(1+Inputs!$B$10)</f>
        <v>#N/A</v>
      </c>
      <c r="IP75" s="86" t="e">
        <f t="shared" si="1453"/>
        <v>#N/A</v>
      </c>
      <c r="IQ75" s="86" t="e">
        <f t="shared" si="1453"/>
        <v>#N/A</v>
      </c>
      <c r="IR75" s="86" t="e">
        <f t="shared" si="1453"/>
        <v>#N/A</v>
      </c>
      <c r="IS75" s="86" t="e">
        <f t="shared" si="1453"/>
        <v>#N/A</v>
      </c>
      <c r="IT75" s="86" t="e">
        <f t="shared" si="1453"/>
        <v>#N/A</v>
      </c>
      <c r="IU75" s="86" t="e">
        <f t="shared" si="1453"/>
        <v>#N/A</v>
      </c>
      <c r="IV75" s="86" t="e">
        <f t="shared" si="1453"/>
        <v>#N/A</v>
      </c>
      <c r="IW75" s="86" t="e">
        <f t="shared" si="1453"/>
        <v>#N/A</v>
      </c>
      <c r="IX75" s="86" t="e">
        <f t="shared" si="1453"/>
        <v>#N/A</v>
      </c>
      <c r="IY75" s="86" t="e">
        <f t="shared" si="1453"/>
        <v>#N/A</v>
      </c>
      <c r="IZ75" s="86" t="e">
        <f t="shared" si="1453"/>
        <v>#N/A</v>
      </c>
      <c r="JA75" s="87" t="e">
        <f t="shared" si="1417"/>
        <v>#N/A</v>
      </c>
      <c r="JB75" s="86" t="e">
        <f>IZ75*(1+Inputs!$B$10)</f>
        <v>#N/A</v>
      </c>
      <c r="JC75" s="86" t="e">
        <f t="shared" si="1454"/>
        <v>#N/A</v>
      </c>
      <c r="JD75" s="86" t="e">
        <f t="shared" si="1454"/>
        <v>#N/A</v>
      </c>
      <c r="JE75" s="86" t="e">
        <f t="shared" si="1454"/>
        <v>#N/A</v>
      </c>
      <c r="JF75" s="86" t="e">
        <f t="shared" si="1454"/>
        <v>#N/A</v>
      </c>
      <c r="JG75" s="86" t="e">
        <f t="shared" si="1454"/>
        <v>#N/A</v>
      </c>
      <c r="JH75" s="86" t="e">
        <f t="shared" si="1454"/>
        <v>#N/A</v>
      </c>
      <c r="JI75" s="86" t="e">
        <f t="shared" si="1454"/>
        <v>#N/A</v>
      </c>
      <c r="JJ75" s="86" t="e">
        <f t="shared" si="1454"/>
        <v>#N/A</v>
      </c>
      <c r="JK75" s="86" t="e">
        <f t="shared" si="1454"/>
        <v>#N/A</v>
      </c>
      <c r="JL75" s="86" t="e">
        <f t="shared" si="1454"/>
        <v>#N/A</v>
      </c>
      <c r="JM75" s="86" t="e">
        <f t="shared" si="1454"/>
        <v>#N/A</v>
      </c>
      <c r="JN75" s="87" t="e">
        <f t="shared" si="1418"/>
        <v>#N/A</v>
      </c>
      <c r="JO75" s="86" t="e">
        <f>JM75*(1+Inputs!$B$10)</f>
        <v>#N/A</v>
      </c>
      <c r="JP75" s="86" t="e">
        <f t="shared" si="1455"/>
        <v>#N/A</v>
      </c>
      <c r="JQ75" s="86" t="e">
        <f t="shared" si="1455"/>
        <v>#N/A</v>
      </c>
      <c r="JR75" s="86" t="e">
        <f t="shared" si="1455"/>
        <v>#N/A</v>
      </c>
      <c r="JS75" s="86" t="e">
        <f t="shared" si="1455"/>
        <v>#N/A</v>
      </c>
      <c r="JT75" s="86" t="e">
        <f t="shared" si="1455"/>
        <v>#N/A</v>
      </c>
      <c r="JU75" s="86" t="e">
        <f t="shared" si="1455"/>
        <v>#N/A</v>
      </c>
      <c r="JV75" s="86" t="e">
        <f t="shared" si="1455"/>
        <v>#N/A</v>
      </c>
      <c r="JW75" s="86" t="e">
        <f t="shared" si="1455"/>
        <v>#N/A</v>
      </c>
      <c r="JX75" s="86" t="e">
        <f t="shared" si="1455"/>
        <v>#N/A</v>
      </c>
      <c r="JY75" s="86" t="e">
        <f t="shared" si="1455"/>
        <v>#N/A</v>
      </c>
      <c r="JZ75" s="86" t="e">
        <f t="shared" si="1455"/>
        <v>#N/A</v>
      </c>
      <c r="KA75" s="87" t="e">
        <f t="shared" si="1419"/>
        <v>#N/A</v>
      </c>
      <c r="KB75" s="86" t="e">
        <f>JZ75*(1+Inputs!$B$10)</f>
        <v>#N/A</v>
      </c>
      <c r="KC75" s="86" t="e">
        <f t="shared" si="1456"/>
        <v>#N/A</v>
      </c>
      <c r="KD75" s="86" t="e">
        <f t="shared" si="1456"/>
        <v>#N/A</v>
      </c>
      <c r="KE75" s="86" t="e">
        <f t="shared" si="1456"/>
        <v>#N/A</v>
      </c>
      <c r="KF75" s="86" t="e">
        <f t="shared" si="1456"/>
        <v>#N/A</v>
      </c>
      <c r="KG75" s="86" t="e">
        <f t="shared" si="1456"/>
        <v>#N/A</v>
      </c>
      <c r="KH75" s="86" t="e">
        <f t="shared" si="1456"/>
        <v>#N/A</v>
      </c>
      <c r="KI75" s="86" t="e">
        <f t="shared" si="1456"/>
        <v>#N/A</v>
      </c>
      <c r="KJ75" s="86" t="e">
        <f t="shared" si="1456"/>
        <v>#N/A</v>
      </c>
      <c r="KK75" s="86" t="e">
        <f t="shared" si="1456"/>
        <v>#N/A</v>
      </c>
      <c r="KL75" s="86" t="e">
        <f t="shared" si="1456"/>
        <v>#N/A</v>
      </c>
      <c r="KM75" s="86" t="e">
        <f t="shared" si="1456"/>
        <v>#N/A</v>
      </c>
      <c r="KN75" s="87" t="e">
        <f t="shared" si="1457"/>
        <v>#N/A</v>
      </c>
      <c r="KO75" s="86" t="e">
        <f>KM75*(1+Inputs!$B$10)</f>
        <v>#N/A</v>
      </c>
      <c r="KP75" s="86" t="e">
        <f t="shared" si="1458"/>
        <v>#N/A</v>
      </c>
      <c r="KQ75" s="86" t="e">
        <f t="shared" si="1458"/>
        <v>#N/A</v>
      </c>
      <c r="KR75" s="86" t="e">
        <f t="shared" si="1458"/>
        <v>#N/A</v>
      </c>
      <c r="KS75" s="86" t="e">
        <f t="shared" si="1458"/>
        <v>#N/A</v>
      </c>
      <c r="KT75" s="86" t="e">
        <f t="shared" si="1458"/>
        <v>#N/A</v>
      </c>
      <c r="KU75" s="86" t="e">
        <f t="shared" si="1458"/>
        <v>#N/A</v>
      </c>
      <c r="KV75" s="86" t="e">
        <f t="shared" si="1458"/>
        <v>#N/A</v>
      </c>
      <c r="KW75" s="86" t="e">
        <f t="shared" si="1458"/>
        <v>#N/A</v>
      </c>
      <c r="KX75" s="86" t="e">
        <f t="shared" si="1458"/>
        <v>#N/A</v>
      </c>
      <c r="KY75" s="86" t="e">
        <f t="shared" si="1458"/>
        <v>#N/A</v>
      </c>
      <c r="KZ75" s="86" t="e">
        <f t="shared" si="1458"/>
        <v>#N/A</v>
      </c>
      <c r="LA75" s="87" t="e">
        <f t="shared" si="1421"/>
        <v>#N/A</v>
      </c>
      <c r="LB75" s="86" t="e">
        <f>KZ75*(1+Inputs!$B$10)</f>
        <v>#N/A</v>
      </c>
      <c r="LC75" s="86" t="e">
        <f t="shared" si="1459"/>
        <v>#N/A</v>
      </c>
      <c r="LD75" s="86" t="e">
        <f t="shared" si="1459"/>
        <v>#N/A</v>
      </c>
      <c r="LE75" s="86" t="e">
        <f t="shared" si="1459"/>
        <v>#N/A</v>
      </c>
      <c r="LF75" s="86" t="e">
        <f t="shared" si="1459"/>
        <v>#N/A</v>
      </c>
      <c r="LG75" s="86" t="e">
        <f t="shared" si="1459"/>
        <v>#N/A</v>
      </c>
      <c r="LH75" s="86" t="e">
        <f t="shared" si="1459"/>
        <v>#N/A</v>
      </c>
      <c r="LI75" s="86" t="e">
        <f t="shared" si="1459"/>
        <v>#N/A</v>
      </c>
      <c r="LJ75" s="86" t="e">
        <f t="shared" si="1459"/>
        <v>#N/A</v>
      </c>
      <c r="LK75" s="86" t="e">
        <f t="shared" si="1459"/>
        <v>#N/A</v>
      </c>
      <c r="LL75" s="86" t="e">
        <f t="shared" si="1459"/>
        <v>#N/A</v>
      </c>
      <c r="LM75" s="86" t="e">
        <f t="shared" si="1459"/>
        <v>#N/A</v>
      </c>
      <c r="LN75" s="87" t="e">
        <f t="shared" si="1422"/>
        <v>#N/A</v>
      </c>
      <c r="LO75" s="86" t="e">
        <f>LM75*(1+Inputs!$B$10)</f>
        <v>#N/A</v>
      </c>
      <c r="LP75" s="86" t="e">
        <f t="shared" si="1460"/>
        <v>#N/A</v>
      </c>
      <c r="LQ75" s="86" t="e">
        <f t="shared" si="1460"/>
        <v>#N/A</v>
      </c>
      <c r="LR75" s="86" t="e">
        <f t="shared" si="1460"/>
        <v>#N/A</v>
      </c>
      <c r="LS75" s="86" t="e">
        <f t="shared" si="1460"/>
        <v>#N/A</v>
      </c>
      <c r="LT75" s="86" t="e">
        <f t="shared" si="1460"/>
        <v>#N/A</v>
      </c>
      <c r="LU75" s="86" t="e">
        <f t="shared" si="1460"/>
        <v>#N/A</v>
      </c>
      <c r="LV75" s="86" t="e">
        <f t="shared" si="1460"/>
        <v>#N/A</v>
      </c>
      <c r="LW75" s="86" t="e">
        <f t="shared" si="1460"/>
        <v>#N/A</v>
      </c>
      <c r="LX75" s="86" t="e">
        <f t="shared" si="1460"/>
        <v>#N/A</v>
      </c>
      <c r="LY75" s="86" t="e">
        <f t="shared" si="1460"/>
        <v>#N/A</v>
      </c>
      <c r="LZ75" s="86" t="e">
        <f t="shared" si="1460"/>
        <v>#N/A</v>
      </c>
      <c r="MA75" s="87" t="e">
        <f t="shared" si="1423"/>
        <v>#N/A</v>
      </c>
      <c r="MB75" s="86" t="e">
        <f>LZ75*(1+Inputs!$B$10)</f>
        <v>#N/A</v>
      </c>
      <c r="MC75" s="86" t="e">
        <f t="shared" si="1461"/>
        <v>#N/A</v>
      </c>
      <c r="MD75" s="86" t="e">
        <f t="shared" si="1461"/>
        <v>#N/A</v>
      </c>
      <c r="ME75" s="86" t="e">
        <f t="shared" si="1461"/>
        <v>#N/A</v>
      </c>
      <c r="MF75" s="86" t="e">
        <f t="shared" si="1461"/>
        <v>#N/A</v>
      </c>
      <c r="MG75" s="86" t="e">
        <f t="shared" si="1461"/>
        <v>#N/A</v>
      </c>
      <c r="MH75" s="86" t="e">
        <f t="shared" si="1461"/>
        <v>#N/A</v>
      </c>
      <c r="MI75" s="86" t="e">
        <f t="shared" si="1461"/>
        <v>#N/A</v>
      </c>
      <c r="MJ75" s="86" t="e">
        <f t="shared" si="1461"/>
        <v>#N/A</v>
      </c>
      <c r="MK75" s="86" t="e">
        <f t="shared" si="1461"/>
        <v>#N/A</v>
      </c>
      <c r="ML75" s="86" t="e">
        <f t="shared" si="1461"/>
        <v>#N/A</v>
      </c>
      <c r="MM75" s="86" t="e">
        <f t="shared" si="1461"/>
        <v>#N/A</v>
      </c>
      <c r="MN75" s="87" t="e">
        <f t="shared" si="1424"/>
        <v>#N/A</v>
      </c>
      <c r="MO75" s="86" t="e">
        <f>MM75*(1+Inputs!$B$10)</f>
        <v>#N/A</v>
      </c>
      <c r="MP75" s="86" t="e">
        <f t="shared" si="1462"/>
        <v>#N/A</v>
      </c>
      <c r="MQ75" s="86" t="e">
        <f t="shared" si="1462"/>
        <v>#N/A</v>
      </c>
      <c r="MR75" s="86" t="e">
        <f t="shared" si="1462"/>
        <v>#N/A</v>
      </c>
      <c r="MS75" s="86" t="e">
        <f t="shared" si="1462"/>
        <v>#N/A</v>
      </c>
      <c r="MT75" s="86" t="e">
        <f t="shared" si="1462"/>
        <v>#N/A</v>
      </c>
      <c r="MU75" s="86" t="e">
        <f t="shared" si="1462"/>
        <v>#N/A</v>
      </c>
      <c r="MV75" s="86" t="e">
        <f t="shared" si="1462"/>
        <v>#N/A</v>
      </c>
      <c r="MW75" s="86" t="e">
        <f t="shared" si="1462"/>
        <v>#N/A</v>
      </c>
      <c r="MX75" s="86" t="e">
        <f t="shared" si="1462"/>
        <v>#N/A</v>
      </c>
      <c r="MY75" s="86" t="e">
        <f t="shared" si="1462"/>
        <v>#N/A</v>
      </c>
      <c r="MZ75" s="86" t="e">
        <f t="shared" si="1462"/>
        <v>#N/A</v>
      </c>
      <c r="NA75" s="87" t="e">
        <f t="shared" si="1425"/>
        <v>#N/A</v>
      </c>
      <c r="NB75" s="86" t="e">
        <f>MZ75*(1+Inputs!$B$10)</f>
        <v>#N/A</v>
      </c>
      <c r="NC75" s="86" t="e">
        <f t="shared" si="1463"/>
        <v>#N/A</v>
      </c>
      <c r="ND75" s="86" t="e">
        <f t="shared" si="1463"/>
        <v>#N/A</v>
      </c>
      <c r="NE75" s="86" t="e">
        <f t="shared" si="1463"/>
        <v>#N/A</v>
      </c>
      <c r="NF75" s="86" t="e">
        <f t="shared" si="1463"/>
        <v>#N/A</v>
      </c>
      <c r="NG75" s="86" t="e">
        <f t="shared" si="1463"/>
        <v>#N/A</v>
      </c>
      <c r="NH75" s="86" t="e">
        <f t="shared" si="1463"/>
        <v>#N/A</v>
      </c>
      <c r="NI75" s="86" t="e">
        <f t="shared" si="1463"/>
        <v>#N/A</v>
      </c>
      <c r="NJ75" s="86" t="e">
        <f t="shared" si="1463"/>
        <v>#N/A</v>
      </c>
      <c r="NK75" s="86" t="e">
        <f t="shared" si="1463"/>
        <v>#N/A</v>
      </c>
      <c r="NL75" s="86" t="e">
        <f t="shared" si="1463"/>
        <v>#N/A</v>
      </c>
      <c r="NM75" s="86" t="e">
        <f t="shared" si="1463"/>
        <v>#N/A</v>
      </c>
      <c r="NN75" s="87" t="e">
        <f t="shared" si="1426"/>
        <v>#N/A</v>
      </c>
      <c r="NO75" s="86" t="e">
        <f>NM75*(1+Inputs!$B$10)</f>
        <v>#N/A</v>
      </c>
      <c r="NP75" s="86" t="e">
        <f t="shared" si="1464"/>
        <v>#N/A</v>
      </c>
      <c r="NQ75" s="86" t="e">
        <f t="shared" si="1464"/>
        <v>#N/A</v>
      </c>
      <c r="NR75" s="86" t="e">
        <f t="shared" si="1464"/>
        <v>#N/A</v>
      </c>
      <c r="NS75" s="86" t="e">
        <f t="shared" si="1464"/>
        <v>#N/A</v>
      </c>
      <c r="NT75" s="86" t="e">
        <f t="shared" si="1464"/>
        <v>#N/A</v>
      </c>
      <c r="NU75" s="86" t="e">
        <f t="shared" si="1464"/>
        <v>#N/A</v>
      </c>
      <c r="NV75" s="86" t="e">
        <f t="shared" si="1464"/>
        <v>#N/A</v>
      </c>
      <c r="NW75" s="86" t="e">
        <f t="shared" si="1464"/>
        <v>#N/A</v>
      </c>
      <c r="NX75" s="86" t="e">
        <f t="shared" si="1464"/>
        <v>#N/A</v>
      </c>
      <c r="NY75" s="86" t="e">
        <f t="shared" si="1464"/>
        <v>#N/A</v>
      </c>
      <c r="NZ75" s="86" t="e">
        <f t="shared" si="1464"/>
        <v>#N/A</v>
      </c>
      <c r="OA75" s="87" t="e">
        <f t="shared" si="1427"/>
        <v>#N/A</v>
      </c>
      <c r="OB75" s="86" t="e">
        <f>NZ75*(1+Inputs!$B$10)</f>
        <v>#N/A</v>
      </c>
      <c r="OC75" s="86" t="e">
        <f t="shared" si="1465"/>
        <v>#N/A</v>
      </c>
      <c r="OD75" s="86" t="e">
        <f t="shared" si="1465"/>
        <v>#N/A</v>
      </c>
      <c r="OE75" s="86" t="e">
        <f t="shared" si="1465"/>
        <v>#N/A</v>
      </c>
      <c r="OF75" s="86" t="e">
        <f t="shared" si="1465"/>
        <v>#N/A</v>
      </c>
      <c r="OG75" s="86" t="e">
        <f t="shared" si="1465"/>
        <v>#N/A</v>
      </c>
      <c r="OH75" s="86" t="e">
        <f t="shared" si="1465"/>
        <v>#N/A</v>
      </c>
      <c r="OI75" s="86" t="e">
        <f t="shared" si="1465"/>
        <v>#N/A</v>
      </c>
      <c r="OJ75" s="86" t="e">
        <f t="shared" si="1465"/>
        <v>#N/A</v>
      </c>
      <c r="OK75" s="86" t="e">
        <f t="shared" si="1465"/>
        <v>#N/A</v>
      </c>
      <c r="OL75" s="86" t="e">
        <f t="shared" si="1465"/>
        <v>#N/A</v>
      </c>
      <c r="OM75" s="86" t="e">
        <f t="shared" si="1465"/>
        <v>#N/A</v>
      </c>
      <c r="ON75" s="87" t="e">
        <f t="shared" si="1428"/>
        <v>#N/A</v>
      </c>
      <c r="OO75" s="86" t="e">
        <f>OM75*(1+Inputs!$B$10)</f>
        <v>#N/A</v>
      </c>
      <c r="OP75" s="86" t="e">
        <f t="shared" si="1466"/>
        <v>#N/A</v>
      </c>
      <c r="OQ75" s="86" t="e">
        <f t="shared" si="1466"/>
        <v>#N/A</v>
      </c>
      <c r="OR75" s="86" t="e">
        <f t="shared" si="1466"/>
        <v>#N/A</v>
      </c>
      <c r="OS75" s="86" t="e">
        <f t="shared" si="1466"/>
        <v>#N/A</v>
      </c>
      <c r="OT75" s="86" t="e">
        <f t="shared" si="1466"/>
        <v>#N/A</v>
      </c>
      <c r="OU75" s="86" t="e">
        <f t="shared" si="1466"/>
        <v>#N/A</v>
      </c>
      <c r="OV75" s="86" t="e">
        <f t="shared" si="1466"/>
        <v>#N/A</v>
      </c>
      <c r="OW75" s="86" t="e">
        <f t="shared" si="1466"/>
        <v>#N/A</v>
      </c>
      <c r="OX75" s="86" t="e">
        <f t="shared" si="1466"/>
        <v>#N/A</v>
      </c>
      <c r="OY75" s="86" t="e">
        <f t="shared" si="1466"/>
        <v>#N/A</v>
      </c>
      <c r="OZ75" s="86" t="e">
        <f t="shared" si="1466"/>
        <v>#N/A</v>
      </c>
      <c r="PA75" s="87" t="e">
        <f t="shared" si="1429"/>
        <v>#N/A</v>
      </c>
      <c r="PB75" s="86" t="e">
        <f>OZ75*(1+Inputs!$B$10)</f>
        <v>#N/A</v>
      </c>
      <c r="PC75" s="86" t="e">
        <f t="shared" si="1467"/>
        <v>#N/A</v>
      </c>
      <c r="PD75" s="86" t="e">
        <f t="shared" si="1467"/>
        <v>#N/A</v>
      </c>
      <c r="PE75" s="86" t="e">
        <f t="shared" si="1467"/>
        <v>#N/A</v>
      </c>
      <c r="PF75" s="86" t="e">
        <f t="shared" si="1467"/>
        <v>#N/A</v>
      </c>
      <c r="PG75" s="86" t="e">
        <f t="shared" si="1467"/>
        <v>#N/A</v>
      </c>
      <c r="PH75" s="86" t="e">
        <f t="shared" si="1467"/>
        <v>#N/A</v>
      </c>
      <c r="PI75" s="86" t="e">
        <f t="shared" si="1467"/>
        <v>#N/A</v>
      </c>
      <c r="PJ75" s="86" t="e">
        <f t="shared" si="1467"/>
        <v>#N/A</v>
      </c>
      <c r="PK75" s="86" t="e">
        <f t="shared" si="1467"/>
        <v>#N/A</v>
      </c>
      <c r="PL75" s="86" t="e">
        <f t="shared" si="1467"/>
        <v>#N/A</v>
      </c>
      <c r="PM75" s="86" t="e">
        <f t="shared" si="1467"/>
        <v>#N/A</v>
      </c>
      <c r="PN75" s="87" t="e">
        <f t="shared" si="1430"/>
        <v>#N/A</v>
      </c>
      <c r="PO75" s="86" t="e">
        <f>PM75*(1+Inputs!$B$10)</f>
        <v>#N/A</v>
      </c>
      <c r="PP75" s="86" t="e">
        <f t="shared" si="1468"/>
        <v>#N/A</v>
      </c>
      <c r="PQ75" s="86" t="e">
        <f t="shared" si="1468"/>
        <v>#N/A</v>
      </c>
      <c r="PR75" s="86" t="e">
        <f t="shared" si="1468"/>
        <v>#N/A</v>
      </c>
      <c r="PS75" s="86" t="e">
        <f t="shared" si="1468"/>
        <v>#N/A</v>
      </c>
      <c r="PT75" s="86" t="e">
        <f t="shared" si="1468"/>
        <v>#N/A</v>
      </c>
      <c r="PU75" s="86" t="e">
        <f t="shared" si="1468"/>
        <v>#N/A</v>
      </c>
      <c r="PV75" s="86" t="e">
        <f t="shared" si="1468"/>
        <v>#N/A</v>
      </c>
      <c r="PW75" s="86" t="e">
        <f t="shared" si="1468"/>
        <v>#N/A</v>
      </c>
      <c r="PX75" s="86" t="e">
        <f t="shared" si="1468"/>
        <v>#N/A</v>
      </c>
      <c r="PY75" s="86" t="e">
        <f t="shared" si="1468"/>
        <v>#N/A</v>
      </c>
      <c r="PZ75" s="86" t="e">
        <f t="shared" si="1468"/>
        <v>#N/A</v>
      </c>
      <c r="QA75" s="87" t="e">
        <f t="shared" si="1431"/>
        <v>#N/A</v>
      </c>
      <c r="QB75" s="86" t="e">
        <f>PZ75*(1+Inputs!$B$10)</f>
        <v>#N/A</v>
      </c>
      <c r="QC75" s="86" t="e">
        <f t="shared" si="1469"/>
        <v>#N/A</v>
      </c>
      <c r="QD75" s="86" t="e">
        <f t="shared" si="1469"/>
        <v>#N/A</v>
      </c>
      <c r="QE75" s="86" t="e">
        <f t="shared" si="1469"/>
        <v>#N/A</v>
      </c>
      <c r="QF75" s="86" t="e">
        <f t="shared" si="1469"/>
        <v>#N/A</v>
      </c>
      <c r="QG75" s="86" t="e">
        <f t="shared" si="1469"/>
        <v>#N/A</v>
      </c>
      <c r="QH75" s="86" t="e">
        <f t="shared" si="1469"/>
        <v>#N/A</v>
      </c>
      <c r="QI75" s="86" t="e">
        <f t="shared" si="1469"/>
        <v>#N/A</v>
      </c>
      <c r="QJ75" s="86" t="e">
        <f t="shared" si="1469"/>
        <v>#N/A</v>
      </c>
      <c r="QK75" s="86" t="e">
        <f t="shared" si="1469"/>
        <v>#N/A</v>
      </c>
      <c r="QL75" s="86" t="e">
        <f t="shared" si="1469"/>
        <v>#N/A</v>
      </c>
      <c r="QM75" s="86" t="e">
        <f t="shared" si="1469"/>
        <v>#N/A</v>
      </c>
      <c r="QN75" s="87" t="e">
        <f t="shared" si="1432"/>
        <v>#N/A</v>
      </c>
      <c r="QO75" s="86" t="e">
        <f>QM75*(1+Inputs!$B$10)</f>
        <v>#N/A</v>
      </c>
      <c r="QP75" s="86" t="e">
        <f t="shared" si="1470"/>
        <v>#N/A</v>
      </c>
      <c r="QQ75" s="86" t="e">
        <f t="shared" si="1470"/>
        <v>#N/A</v>
      </c>
      <c r="QR75" s="86" t="e">
        <f t="shared" si="1470"/>
        <v>#N/A</v>
      </c>
      <c r="QS75" s="86" t="e">
        <f t="shared" si="1470"/>
        <v>#N/A</v>
      </c>
      <c r="QT75" s="86" t="e">
        <f t="shared" si="1470"/>
        <v>#N/A</v>
      </c>
      <c r="QU75" s="86" t="e">
        <f t="shared" si="1470"/>
        <v>#N/A</v>
      </c>
      <c r="QV75" s="86" t="e">
        <f t="shared" si="1470"/>
        <v>#N/A</v>
      </c>
      <c r="QW75" s="86" t="e">
        <f t="shared" si="1470"/>
        <v>#N/A</v>
      </c>
      <c r="QX75" s="86" t="e">
        <f t="shared" si="1470"/>
        <v>#N/A</v>
      </c>
      <c r="QY75" s="86" t="e">
        <f t="shared" si="1470"/>
        <v>#N/A</v>
      </c>
      <c r="QZ75" s="86" t="e">
        <f t="shared" si="1470"/>
        <v>#N/A</v>
      </c>
      <c r="RA75" s="87" t="e">
        <f t="shared" si="1433"/>
        <v>#N/A</v>
      </c>
      <c r="RB75" s="86" t="e">
        <f>QZ75*(1+Inputs!$B$10)</f>
        <v>#N/A</v>
      </c>
      <c r="RC75" s="86" t="e">
        <f t="shared" si="1471"/>
        <v>#N/A</v>
      </c>
      <c r="RD75" s="86" t="e">
        <f t="shared" si="1471"/>
        <v>#N/A</v>
      </c>
      <c r="RE75" s="86" t="e">
        <f t="shared" si="1471"/>
        <v>#N/A</v>
      </c>
      <c r="RF75" s="86" t="e">
        <f t="shared" si="1471"/>
        <v>#N/A</v>
      </c>
      <c r="RG75" s="86" t="e">
        <f t="shared" si="1471"/>
        <v>#N/A</v>
      </c>
      <c r="RH75" s="86" t="e">
        <f t="shared" si="1471"/>
        <v>#N/A</v>
      </c>
      <c r="RI75" s="86" t="e">
        <f t="shared" si="1471"/>
        <v>#N/A</v>
      </c>
      <c r="RJ75" s="86" t="e">
        <f t="shared" si="1471"/>
        <v>#N/A</v>
      </c>
      <c r="RK75" s="86" t="e">
        <f t="shared" si="1471"/>
        <v>#N/A</v>
      </c>
      <c r="RL75" s="86" t="e">
        <f t="shared" si="1471"/>
        <v>#N/A</v>
      </c>
      <c r="RM75" s="86" t="e">
        <f t="shared" si="1471"/>
        <v>#N/A</v>
      </c>
      <c r="RN75" s="87" t="e">
        <f t="shared" si="1434"/>
        <v>#N/A</v>
      </c>
    </row>
    <row r="76" spans="1:560" outlineLevel="1" x14ac:dyDescent="0.3">
      <c r="A76" s="89" t="s">
        <v>206</v>
      </c>
      <c r="B76" s="86">
        <f>-Inputs!$B$33/12</f>
        <v>-87.5</v>
      </c>
      <c r="C76" s="86">
        <f>-Inputs!$B$33/12</f>
        <v>-87.5</v>
      </c>
      <c r="D76" s="86">
        <f>-Inputs!$B$33/12</f>
        <v>-87.5</v>
      </c>
      <c r="E76" s="86">
        <f>-Inputs!$B$33/12</f>
        <v>-87.5</v>
      </c>
      <c r="F76" s="86">
        <f>-Inputs!$B$33/12</f>
        <v>-87.5</v>
      </c>
      <c r="G76" s="86">
        <f>-Inputs!$B$33/12</f>
        <v>-87.5</v>
      </c>
      <c r="H76" s="86">
        <f>-Inputs!$B$33/12</f>
        <v>-87.5</v>
      </c>
      <c r="I76" s="86">
        <f>-Inputs!$B$33/12</f>
        <v>-87.5</v>
      </c>
      <c r="J76" s="86">
        <f>-Inputs!$B$33/12</f>
        <v>-87.5</v>
      </c>
      <c r="K76" s="86">
        <f>-Inputs!$B$33/12</f>
        <v>-87.5</v>
      </c>
      <c r="L76" s="86">
        <f>-Inputs!$B$33/12</f>
        <v>-87.5</v>
      </c>
      <c r="M76" s="86">
        <f>-Inputs!$B$33/12</f>
        <v>-87.5</v>
      </c>
      <c r="N76" s="87">
        <f t="shared" si="1289"/>
        <v>-1050</v>
      </c>
      <c r="O76" s="86">
        <f>M76*(1+Inputs!$B$10)</f>
        <v>-89.687499999999986</v>
      </c>
      <c r="P76" s="86">
        <f t="shared" si="1435"/>
        <v>-89.687499999999986</v>
      </c>
      <c r="Q76" s="86">
        <f t="shared" si="1435"/>
        <v>-89.687499999999986</v>
      </c>
      <c r="R76" s="86">
        <f t="shared" si="1435"/>
        <v>-89.687499999999986</v>
      </c>
      <c r="S76" s="86">
        <f t="shared" si="1435"/>
        <v>-89.687499999999986</v>
      </c>
      <c r="T76" s="86">
        <f t="shared" si="1435"/>
        <v>-89.687499999999986</v>
      </c>
      <c r="U76" s="86">
        <f t="shared" si="1435"/>
        <v>-89.687499999999986</v>
      </c>
      <c r="V76" s="86">
        <f t="shared" si="1435"/>
        <v>-89.687499999999986</v>
      </c>
      <c r="W76" s="86">
        <f t="shared" si="1435"/>
        <v>-89.687499999999986</v>
      </c>
      <c r="X76" s="86">
        <f t="shared" si="1435"/>
        <v>-89.687499999999986</v>
      </c>
      <c r="Y76" s="86">
        <f t="shared" si="1435"/>
        <v>-89.687499999999986</v>
      </c>
      <c r="Z76" s="86">
        <f t="shared" si="1435"/>
        <v>-89.687499999999986</v>
      </c>
      <c r="AA76" s="87">
        <f t="shared" si="1399"/>
        <v>-1076.2499999999998</v>
      </c>
      <c r="AB76" s="86">
        <f>Z76*(1+Inputs!$B$10)</f>
        <v>-91.929687499999972</v>
      </c>
      <c r="AC76" s="86">
        <f t="shared" si="1436"/>
        <v>-91.929687499999972</v>
      </c>
      <c r="AD76" s="86">
        <f t="shared" si="1436"/>
        <v>-91.929687499999972</v>
      </c>
      <c r="AE76" s="86">
        <f t="shared" si="1436"/>
        <v>-91.929687499999972</v>
      </c>
      <c r="AF76" s="86">
        <f t="shared" si="1436"/>
        <v>-91.929687499999972</v>
      </c>
      <c r="AG76" s="86">
        <f t="shared" si="1436"/>
        <v>-91.929687499999972</v>
      </c>
      <c r="AH76" s="86">
        <f t="shared" si="1436"/>
        <v>-91.929687499999972</v>
      </c>
      <c r="AI76" s="86">
        <f t="shared" si="1436"/>
        <v>-91.929687499999972</v>
      </c>
      <c r="AJ76" s="86">
        <f t="shared" si="1436"/>
        <v>-91.929687499999972</v>
      </c>
      <c r="AK76" s="86">
        <f t="shared" si="1436"/>
        <v>-91.929687499999972</v>
      </c>
      <c r="AL76" s="86">
        <f t="shared" si="1436"/>
        <v>-91.929687499999972</v>
      </c>
      <c r="AM76" s="86">
        <f t="shared" si="1436"/>
        <v>-91.929687499999972</v>
      </c>
      <c r="AN76" s="87">
        <f t="shared" si="1400"/>
        <v>-1103.1562499999998</v>
      </c>
      <c r="AO76" s="86">
        <f>AM76*(1+Inputs!$B$10)</f>
        <v>-94.227929687499966</v>
      </c>
      <c r="AP76" s="86">
        <f t="shared" si="1437"/>
        <v>-94.227929687499966</v>
      </c>
      <c r="AQ76" s="86">
        <f t="shared" si="1437"/>
        <v>-94.227929687499966</v>
      </c>
      <c r="AR76" s="86">
        <f t="shared" si="1437"/>
        <v>-94.227929687499966</v>
      </c>
      <c r="AS76" s="86">
        <f t="shared" si="1437"/>
        <v>-94.227929687499966</v>
      </c>
      <c r="AT76" s="86">
        <f t="shared" si="1437"/>
        <v>-94.227929687499966</v>
      </c>
      <c r="AU76" s="86">
        <f t="shared" si="1437"/>
        <v>-94.227929687499966</v>
      </c>
      <c r="AV76" s="86">
        <f t="shared" si="1437"/>
        <v>-94.227929687499966</v>
      </c>
      <c r="AW76" s="86">
        <f t="shared" si="1437"/>
        <v>-94.227929687499966</v>
      </c>
      <c r="AX76" s="86">
        <f t="shared" si="1437"/>
        <v>-94.227929687499966</v>
      </c>
      <c r="AY76" s="86">
        <f t="shared" si="1437"/>
        <v>-94.227929687499966</v>
      </c>
      <c r="AZ76" s="86">
        <f t="shared" si="1437"/>
        <v>-94.227929687499966</v>
      </c>
      <c r="BA76" s="87">
        <f t="shared" si="1401"/>
        <v>-1130.7351562499994</v>
      </c>
      <c r="BB76" s="86">
        <f>AZ76*(1+Inputs!$B$10)</f>
        <v>-96.583627929687452</v>
      </c>
      <c r="BC76" s="86">
        <f t="shared" si="1438"/>
        <v>-96.583627929687452</v>
      </c>
      <c r="BD76" s="86">
        <f t="shared" si="1438"/>
        <v>-96.583627929687452</v>
      </c>
      <c r="BE76" s="86">
        <f t="shared" si="1438"/>
        <v>-96.583627929687452</v>
      </c>
      <c r="BF76" s="86">
        <f t="shared" si="1438"/>
        <v>-96.583627929687452</v>
      </c>
      <c r="BG76" s="86">
        <f t="shared" si="1438"/>
        <v>-96.583627929687452</v>
      </c>
      <c r="BH76" s="86">
        <f t="shared" si="1438"/>
        <v>-96.583627929687452</v>
      </c>
      <c r="BI76" s="86">
        <f t="shared" si="1438"/>
        <v>-96.583627929687452</v>
      </c>
      <c r="BJ76" s="86">
        <f t="shared" si="1438"/>
        <v>-96.583627929687452</v>
      </c>
      <c r="BK76" s="86">
        <f t="shared" si="1438"/>
        <v>-96.583627929687452</v>
      </c>
      <c r="BL76" s="86">
        <f t="shared" si="1438"/>
        <v>-96.583627929687452</v>
      </c>
      <c r="BM76" s="86">
        <f t="shared" si="1438"/>
        <v>-96.583627929687452</v>
      </c>
      <c r="BN76" s="87">
        <f t="shared" si="1402"/>
        <v>-1159.0035351562497</v>
      </c>
      <c r="BO76" s="86">
        <f>BM76*(1+Inputs!$B$10)</f>
        <v>-98.998218627929631</v>
      </c>
      <c r="BP76" s="86">
        <f t="shared" si="1439"/>
        <v>-98.998218627929631</v>
      </c>
      <c r="BQ76" s="86">
        <f t="shared" si="1439"/>
        <v>-98.998218627929631</v>
      </c>
      <c r="BR76" s="86">
        <f t="shared" si="1439"/>
        <v>-98.998218627929631</v>
      </c>
      <c r="BS76" s="86">
        <f t="shared" si="1439"/>
        <v>-98.998218627929631</v>
      </c>
      <c r="BT76" s="86">
        <f t="shared" si="1439"/>
        <v>-98.998218627929631</v>
      </c>
      <c r="BU76" s="86">
        <f t="shared" si="1439"/>
        <v>-98.998218627929631</v>
      </c>
      <c r="BV76" s="86">
        <f t="shared" si="1439"/>
        <v>-98.998218627929631</v>
      </c>
      <c r="BW76" s="86">
        <f t="shared" si="1439"/>
        <v>-98.998218627929631</v>
      </c>
      <c r="BX76" s="86">
        <f t="shared" si="1439"/>
        <v>-98.998218627929631</v>
      </c>
      <c r="BY76" s="86">
        <f t="shared" si="1439"/>
        <v>-98.998218627929631</v>
      </c>
      <c r="BZ76" s="86">
        <f t="shared" si="1439"/>
        <v>-98.998218627929631</v>
      </c>
      <c r="CA76" s="87">
        <f t="shared" si="1403"/>
        <v>-1187.9786235351555</v>
      </c>
      <c r="CB76" s="86">
        <f>BZ76*(1+Inputs!$B$10)</f>
        <v>-101.47317409362786</v>
      </c>
      <c r="CC76" s="86">
        <f t="shared" si="1440"/>
        <v>-101.47317409362786</v>
      </c>
      <c r="CD76" s="86">
        <f t="shared" si="1440"/>
        <v>-101.47317409362786</v>
      </c>
      <c r="CE76" s="86">
        <f t="shared" si="1440"/>
        <v>-101.47317409362786</v>
      </c>
      <c r="CF76" s="86">
        <f t="shared" si="1440"/>
        <v>-101.47317409362786</v>
      </c>
      <c r="CG76" s="86">
        <f t="shared" si="1440"/>
        <v>-101.47317409362786</v>
      </c>
      <c r="CH76" s="86">
        <f t="shared" si="1440"/>
        <v>-101.47317409362786</v>
      </c>
      <c r="CI76" s="86">
        <f t="shared" si="1440"/>
        <v>-101.47317409362786</v>
      </c>
      <c r="CJ76" s="86">
        <f t="shared" si="1440"/>
        <v>-101.47317409362786</v>
      </c>
      <c r="CK76" s="86">
        <f t="shared" si="1440"/>
        <v>-101.47317409362786</v>
      </c>
      <c r="CL76" s="86">
        <f t="shared" si="1440"/>
        <v>-101.47317409362786</v>
      </c>
      <c r="CM76" s="86">
        <f t="shared" si="1440"/>
        <v>-101.47317409362786</v>
      </c>
      <c r="CN76" s="87">
        <f t="shared" si="1404"/>
        <v>-1217.6780891235346</v>
      </c>
      <c r="CO76" s="86">
        <f>CM76*(1+Inputs!$B$10)</f>
        <v>-104.01000344596855</v>
      </c>
      <c r="CP76" s="86">
        <f t="shared" si="1441"/>
        <v>-104.01000344596855</v>
      </c>
      <c r="CQ76" s="86">
        <f t="shared" si="1441"/>
        <v>-104.01000344596855</v>
      </c>
      <c r="CR76" s="86">
        <f t="shared" si="1441"/>
        <v>-104.01000344596855</v>
      </c>
      <c r="CS76" s="86">
        <f t="shared" si="1441"/>
        <v>-104.01000344596855</v>
      </c>
      <c r="CT76" s="86">
        <f t="shared" si="1441"/>
        <v>-104.01000344596855</v>
      </c>
      <c r="CU76" s="86">
        <f t="shared" si="1441"/>
        <v>-104.01000344596855</v>
      </c>
      <c r="CV76" s="86">
        <f t="shared" si="1441"/>
        <v>-104.01000344596855</v>
      </c>
      <c r="CW76" s="86">
        <f t="shared" si="1441"/>
        <v>-104.01000344596855</v>
      </c>
      <c r="CX76" s="86">
        <f t="shared" si="1441"/>
        <v>-104.01000344596855</v>
      </c>
      <c r="CY76" s="86">
        <f t="shared" si="1441"/>
        <v>-104.01000344596855</v>
      </c>
      <c r="CZ76" s="86">
        <f t="shared" si="1441"/>
        <v>-104.01000344596855</v>
      </c>
      <c r="DA76" s="87">
        <f t="shared" si="1405"/>
        <v>-1248.1200413516226</v>
      </c>
      <c r="DB76" s="86">
        <f>CZ76*(1+Inputs!$B$10)</f>
        <v>-106.61025353211775</v>
      </c>
      <c r="DC76" s="86">
        <f t="shared" si="1442"/>
        <v>-106.61025353211775</v>
      </c>
      <c r="DD76" s="86">
        <f t="shared" si="1442"/>
        <v>-106.61025353211775</v>
      </c>
      <c r="DE76" s="86">
        <f t="shared" si="1442"/>
        <v>-106.61025353211775</v>
      </c>
      <c r="DF76" s="86">
        <f t="shared" si="1442"/>
        <v>-106.61025353211775</v>
      </c>
      <c r="DG76" s="86">
        <f t="shared" si="1442"/>
        <v>-106.61025353211775</v>
      </c>
      <c r="DH76" s="86">
        <f t="shared" si="1442"/>
        <v>-106.61025353211775</v>
      </c>
      <c r="DI76" s="86">
        <f t="shared" si="1442"/>
        <v>-106.61025353211775</v>
      </c>
      <c r="DJ76" s="86">
        <f t="shared" si="1442"/>
        <v>-106.61025353211775</v>
      </c>
      <c r="DK76" s="86">
        <f t="shared" si="1442"/>
        <v>-106.61025353211775</v>
      </c>
      <c r="DL76" s="86">
        <f t="shared" si="1442"/>
        <v>-106.61025353211775</v>
      </c>
      <c r="DM76" s="86">
        <f t="shared" si="1442"/>
        <v>-106.61025353211775</v>
      </c>
      <c r="DN76" s="87">
        <f t="shared" si="1406"/>
        <v>-1279.3230423854129</v>
      </c>
      <c r="DO76" s="86">
        <f>DM76*(1+Inputs!$B$10)</f>
        <v>-109.27550987042069</v>
      </c>
      <c r="DP76" s="86">
        <f t="shared" si="1443"/>
        <v>-109.27550987042069</v>
      </c>
      <c r="DQ76" s="86">
        <f t="shared" si="1443"/>
        <v>-109.27550987042069</v>
      </c>
      <c r="DR76" s="86">
        <f t="shared" si="1443"/>
        <v>-109.27550987042069</v>
      </c>
      <c r="DS76" s="86">
        <f t="shared" si="1443"/>
        <v>-109.27550987042069</v>
      </c>
      <c r="DT76" s="86">
        <f t="shared" si="1443"/>
        <v>-109.27550987042069</v>
      </c>
      <c r="DU76" s="86">
        <f t="shared" si="1443"/>
        <v>-109.27550987042069</v>
      </c>
      <c r="DV76" s="86">
        <f t="shared" si="1443"/>
        <v>-109.27550987042069</v>
      </c>
      <c r="DW76" s="86">
        <f t="shared" si="1443"/>
        <v>-109.27550987042069</v>
      </c>
      <c r="DX76" s="86">
        <f t="shared" si="1443"/>
        <v>-109.27550987042069</v>
      </c>
      <c r="DY76" s="86">
        <f t="shared" si="1443"/>
        <v>-109.27550987042069</v>
      </c>
      <c r="DZ76" s="86">
        <f t="shared" si="1443"/>
        <v>-109.27550987042069</v>
      </c>
      <c r="EA76" s="87">
        <f t="shared" si="1407"/>
        <v>-1311.306118445048</v>
      </c>
      <c r="EB76" s="86">
        <f>DZ76*(1+Inputs!$B$10)</f>
        <v>-112.0073976171812</v>
      </c>
      <c r="EC76" s="86">
        <f t="shared" si="1444"/>
        <v>-112.0073976171812</v>
      </c>
      <c r="ED76" s="86">
        <f t="shared" si="1444"/>
        <v>-112.0073976171812</v>
      </c>
      <c r="EE76" s="86">
        <f t="shared" si="1444"/>
        <v>-112.0073976171812</v>
      </c>
      <c r="EF76" s="86">
        <f t="shared" si="1444"/>
        <v>-112.0073976171812</v>
      </c>
      <c r="EG76" s="86">
        <f t="shared" si="1444"/>
        <v>-112.0073976171812</v>
      </c>
      <c r="EH76" s="86">
        <f t="shared" si="1444"/>
        <v>-112.0073976171812</v>
      </c>
      <c r="EI76" s="86">
        <f t="shared" si="1444"/>
        <v>-112.0073976171812</v>
      </c>
      <c r="EJ76" s="86">
        <f t="shared" si="1444"/>
        <v>-112.0073976171812</v>
      </c>
      <c r="EK76" s="86">
        <f t="shared" si="1444"/>
        <v>-112.0073976171812</v>
      </c>
      <c r="EL76" s="86">
        <f t="shared" si="1444"/>
        <v>-112.0073976171812</v>
      </c>
      <c r="EM76" s="86">
        <f t="shared" si="1444"/>
        <v>-112.0073976171812</v>
      </c>
      <c r="EN76" s="87">
        <f t="shared" si="1408"/>
        <v>-1344.0887714061739</v>
      </c>
      <c r="EO76" s="86">
        <f>EM76*(1+Inputs!$B$10)</f>
        <v>-114.80758255761071</v>
      </c>
      <c r="EP76" s="86">
        <f t="shared" si="1445"/>
        <v>-114.80758255761071</v>
      </c>
      <c r="EQ76" s="86">
        <f t="shared" si="1445"/>
        <v>-114.80758255761071</v>
      </c>
      <c r="ER76" s="86">
        <f t="shared" si="1445"/>
        <v>-114.80758255761071</v>
      </c>
      <c r="ES76" s="86">
        <f t="shared" si="1445"/>
        <v>-114.80758255761071</v>
      </c>
      <c r="ET76" s="86">
        <f t="shared" si="1445"/>
        <v>-114.80758255761071</v>
      </c>
      <c r="EU76" s="86">
        <f t="shared" si="1445"/>
        <v>-114.80758255761071</v>
      </c>
      <c r="EV76" s="86">
        <f t="shared" si="1445"/>
        <v>-114.80758255761071</v>
      </c>
      <c r="EW76" s="86">
        <f t="shared" si="1445"/>
        <v>-114.80758255761071</v>
      </c>
      <c r="EX76" s="86">
        <f t="shared" si="1445"/>
        <v>-114.80758255761071</v>
      </c>
      <c r="EY76" s="86">
        <f t="shared" si="1445"/>
        <v>-114.80758255761071</v>
      </c>
      <c r="EZ76" s="86">
        <f t="shared" si="1445"/>
        <v>-114.80758255761071</v>
      </c>
      <c r="FA76" s="87">
        <f t="shared" si="1409"/>
        <v>-1377.6909906913281</v>
      </c>
      <c r="FB76" s="86">
        <f>EZ76*(1+Inputs!$B$10)</f>
        <v>-117.67777212155097</v>
      </c>
      <c r="FC76" s="86">
        <f t="shared" si="1446"/>
        <v>-117.67777212155097</v>
      </c>
      <c r="FD76" s="86">
        <f t="shared" si="1446"/>
        <v>-117.67777212155097</v>
      </c>
      <c r="FE76" s="86">
        <f t="shared" si="1446"/>
        <v>-117.67777212155097</v>
      </c>
      <c r="FF76" s="86">
        <f t="shared" si="1446"/>
        <v>-117.67777212155097</v>
      </c>
      <c r="FG76" s="86">
        <f t="shared" si="1446"/>
        <v>-117.67777212155097</v>
      </c>
      <c r="FH76" s="86">
        <f t="shared" si="1446"/>
        <v>-117.67777212155097</v>
      </c>
      <c r="FI76" s="86">
        <f t="shared" si="1446"/>
        <v>-117.67777212155097</v>
      </c>
      <c r="FJ76" s="86">
        <f t="shared" si="1446"/>
        <v>-117.67777212155097</v>
      </c>
      <c r="FK76" s="86">
        <f t="shared" si="1446"/>
        <v>-117.67777212155097</v>
      </c>
      <c r="FL76" s="86">
        <f t="shared" si="1446"/>
        <v>-117.67777212155097</v>
      </c>
      <c r="FM76" s="86">
        <f t="shared" si="1446"/>
        <v>-117.67777212155097</v>
      </c>
      <c r="FN76" s="87">
        <f t="shared" si="1410"/>
        <v>-1412.133265458612</v>
      </c>
      <c r="FO76" s="86">
        <f>FM76*(1+Inputs!$B$10)</f>
        <v>-120.61971642458974</v>
      </c>
      <c r="FP76" s="86">
        <f t="shared" si="1447"/>
        <v>-120.61971642458974</v>
      </c>
      <c r="FQ76" s="86">
        <f t="shared" si="1447"/>
        <v>-120.61971642458974</v>
      </c>
      <c r="FR76" s="86">
        <f t="shared" si="1447"/>
        <v>-120.61971642458974</v>
      </c>
      <c r="FS76" s="86">
        <f t="shared" si="1447"/>
        <v>-120.61971642458974</v>
      </c>
      <c r="FT76" s="86">
        <f t="shared" si="1447"/>
        <v>-120.61971642458974</v>
      </c>
      <c r="FU76" s="86">
        <f t="shared" si="1447"/>
        <v>-120.61971642458974</v>
      </c>
      <c r="FV76" s="86">
        <f t="shared" si="1447"/>
        <v>-120.61971642458974</v>
      </c>
      <c r="FW76" s="86">
        <f t="shared" si="1447"/>
        <v>-120.61971642458974</v>
      </c>
      <c r="FX76" s="86">
        <f t="shared" si="1447"/>
        <v>-120.61971642458974</v>
      </c>
      <c r="FY76" s="86">
        <f t="shared" si="1447"/>
        <v>-120.61971642458974</v>
      </c>
      <c r="FZ76" s="86">
        <f t="shared" si="1447"/>
        <v>-120.61971642458974</v>
      </c>
      <c r="GA76" s="87">
        <f t="shared" si="1411"/>
        <v>-1447.4365970950773</v>
      </c>
      <c r="GB76" s="86">
        <f>FZ76*(1+Inputs!$B$10)</f>
        <v>-123.63520933520448</v>
      </c>
      <c r="GC76" s="86">
        <f t="shared" si="1448"/>
        <v>-123.63520933520448</v>
      </c>
      <c r="GD76" s="86">
        <f t="shared" si="1448"/>
        <v>-123.63520933520448</v>
      </c>
      <c r="GE76" s="86">
        <f t="shared" si="1448"/>
        <v>-123.63520933520448</v>
      </c>
      <c r="GF76" s="86">
        <f t="shared" si="1448"/>
        <v>-123.63520933520448</v>
      </c>
      <c r="GG76" s="86">
        <f t="shared" si="1448"/>
        <v>-123.63520933520448</v>
      </c>
      <c r="GH76" s="86">
        <f t="shared" si="1448"/>
        <v>-123.63520933520448</v>
      </c>
      <c r="GI76" s="86">
        <f t="shared" si="1448"/>
        <v>-123.63520933520448</v>
      </c>
      <c r="GJ76" s="86">
        <f t="shared" si="1448"/>
        <v>-123.63520933520448</v>
      </c>
      <c r="GK76" s="86">
        <f t="shared" si="1448"/>
        <v>-123.63520933520448</v>
      </c>
      <c r="GL76" s="86">
        <f t="shared" si="1448"/>
        <v>-123.63520933520448</v>
      </c>
      <c r="GM76" s="86">
        <f t="shared" si="1448"/>
        <v>-123.63520933520448</v>
      </c>
      <c r="GN76" s="87">
        <f t="shared" si="1412"/>
        <v>-1483.6225120224542</v>
      </c>
      <c r="GO76" s="86">
        <f>GM76*(1+Inputs!$B$10)</f>
        <v>-126.72608956858458</v>
      </c>
      <c r="GP76" s="86">
        <f t="shared" si="1449"/>
        <v>-126.72608956858458</v>
      </c>
      <c r="GQ76" s="86">
        <f t="shared" si="1449"/>
        <v>-126.72608956858458</v>
      </c>
      <c r="GR76" s="86">
        <f t="shared" si="1449"/>
        <v>-126.72608956858458</v>
      </c>
      <c r="GS76" s="86">
        <f t="shared" si="1449"/>
        <v>-126.72608956858458</v>
      </c>
      <c r="GT76" s="86">
        <f t="shared" si="1449"/>
        <v>-126.72608956858458</v>
      </c>
      <c r="GU76" s="86">
        <f t="shared" si="1449"/>
        <v>-126.72608956858458</v>
      </c>
      <c r="GV76" s="86">
        <f t="shared" si="1449"/>
        <v>-126.72608956858458</v>
      </c>
      <c r="GW76" s="86">
        <f t="shared" si="1449"/>
        <v>-126.72608956858458</v>
      </c>
      <c r="GX76" s="86">
        <f t="shared" si="1449"/>
        <v>-126.72608956858458</v>
      </c>
      <c r="GY76" s="86">
        <f t="shared" si="1449"/>
        <v>-126.72608956858458</v>
      </c>
      <c r="GZ76" s="86">
        <f t="shared" si="1449"/>
        <v>-126.72608956858458</v>
      </c>
      <c r="HA76" s="87">
        <f t="shared" si="1413"/>
        <v>-1520.7130748230147</v>
      </c>
      <c r="HB76" s="86">
        <f>GZ76*(1+Inputs!$B$10)</f>
        <v>-129.89424180779918</v>
      </c>
      <c r="HC76" s="86">
        <f t="shared" si="1450"/>
        <v>-129.89424180779918</v>
      </c>
      <c r="HD76" s="86">
        <f t="shared" si="1450"/>
        <v>-129.89424180779918</v>
      </c>
      <c r="HE76" s="86">
        <f t="shared" si="1450"/>
        <v>-129.89424180779918</v>
      </c>
      <c r="HF76" s="86">
        <f t="shared" si="1450"/>
        <v>-129.89424180779918</v>
      </c>
      <c r="HG76" s="86">
        <f t="shared" si="1450"/>
        <v>-129.89424180779918</v>
      </c>
      <c r="HH76" s="86">
        <f t="shared" si="1450"/>
        <v>-129.89424180779918</v>
      </c>
      <c r="HI76" s="86">
        <f t="shared" si="1450"/>
        <v>-129.89424180779918</v>
      </c>
      <c r="HJ76" s="86">
        <f t="shared" si="1450"/>
        <v>-129.89424180779918</v>
      </c>
      <c r="HK76" s="86">
        <f t="shared" si="1450"/>
        <v>-129.89424180779918</v>
      </c>
      <c r="HL76" s="86">
        <f t="shared" si="1450"/>
        <v>-129.89424180779918</v>
      </c>
      <c r="HM76" s="86">
        <f t="shared" si="1450"/>
        <v>-129.89424180779918</v>
      </c>
      <c r="HN76" s="87">
        <f t="shared" si="1414"/>
        <v>-1558.7309016935897</v>
      </c>
      <c r="HO76" s="86">
        <f>HM76*(1+Inputs!$B$10)</f>
        <v>-133.14159785299415</v>
      </c>
      <c r="HP76" s="86">
        <f t="shared" si="1451"/>
        <v>-133.14159785299415</v>
      </c>
      <c r="HQ76" s="86">
        <f t="shared" si="1451"/>
        <v>-133.14159785299415</v>
      </c>
      <c r="HR76" s="86">
        <f t="shared" si="1451"/>
        <v>-133.14159785299415</v>
      </c>
      <c r="HS76" s="86">
        <f t="shared" si="1451"/>
        <v>-133.14159785299415</v>
      </c>
      <c r="HT76" s="86">
        <f t="shared" si="1451"/>
        <v>-133.14159785299415</v>
      </c>
      <c r="HU76" s="86">
        <f t="shared" si="1451"/>
        <v>-133.14159785299415</v>
      </c>
      <c r="HV76" s="86">
        <f t="shared" si="1451"/>
        <v>-133.14159785299415</v>
      </c>
      <c r="HW76" s="86">
        <f t="shared" si="1451"/>
        <v>-133.14159785299415</v>
      </c>
      <c r="HX76" s="86">
        <f t="shared" si="1451"/>
        <v>-133.14159785299415</v>
      </c>
      <c r="HY76" s="86">
        <f t="shared" si="1451"/>
        <v>-133.14159785299415</v>
      </c>
      <c r="HZ76" s="86">
        <f t="shared" si="1451"/>
        <v>-133.14159785299415</v>
      </c>
      <c r="IA76" s="87">
        <f t="shared" si="1415"/>
        <v>-1597.6991742359303</v>
      </c>
      <c r="IB76" s="86">
        <f>HZ76*(1+Inputs!$B$10)</f>
        <v>-136.47013779931899</v>
      </c>
      <c r="IC76" s="86">
        <f t="shared" si="1452"/>
        <v>-136.47013779931899</v>
      </c>
      <c r="ID76" s="86">
        <f t="shared" si="1452"/>
        <v>-136.47013779931899</v>
      </c>
      <c r="IE76" s="86">
        <f t="shared" si="1452"/>
        <v>-136.47013779931899</v>
      </c>
      <c r="IF76" s="86">
        <f t="shared" si="1452"/>
        <v>-136.47013779931899</v>
      </c>
      <c r="IG76" s="86">
        <f t="shared" si="1452"/>
        <v>-136.47013779931899</v>
      </c>
      <c r="IH76" s="86">
        <f t="shared" si="1452"/>
        <v>-136.47013779931899</v>
      </c>
      <c r="II76" s="86">
        <f t="shared" si="1452"/>
        <v>-136.47013779931899</v>
      </c>
      <c r="IJ76" s="86">
        <f t="shared" si="1452"/>
        <v>-136.47013779931899</v>
      </c>
      <c r="IK76" s="86">
        <f t="shared" si="1452"/>
        <v>-136.47013779931899</v>
      </c>
      <c r="IL76" s="86">
        <f t="shared" si="1452"/>
        <v>-136.47013779931899</v>
      </c>
      <c r="IM76" s="86">
        <f t="shared" si="1452"/>
        <v>-136.47013779931899</v>
      </c>
      <c r="IN76" s="87">
        <f t="shared" si="1416"/>
        <v>-1637.6416535918279</v>
      </c>
      <c r="IO76" s="86">
        <f>IM76*(1+Inputs!$B$10)</f>
        <v>-139.88189124430195</v>
      </c>
      <c r="IP76" s="86">
        <f t="shared" si="1453"/>
        <v>-139.88189124430195</v>
      </c>
      <c r="IQ76" s="86">
        <f t="shared" si="1453"/>
        <v>-139.88189124430195</v>
      </c>
      <c r="IR76" s="86">
        <f t="shared" si="1453"/>
        <v>-139.88189124430195</v>
      </c>
      <c r="IS76" s="86">
        <f t="shared" si="1453"/>
        <v>-139.88189124430195</v>
      </c>
      <c r="IT76" s="86">
        <f t="shared" si="1453"/>
        <v>-139.88189124430195</v>
      </c>
      <c r="IU76" s="86">
        <f t="shared" si="1453"/>
        <v>-139.88189124430195</v>
      </c>
      <c r="IV76" s="86">
        <f t="shared" si="1453"/>
        <v>-139.88189124430195</v>
      </c>
      <c r="IW76" s="86">
        <f t="shared" si="1453"/>
        <v>-139.88189124430195</v>
      </c>
      <c r="IX76" s="86">
        <f t="shared" si="1453"/>
        <v>-139.88189124430195</v>
      </c>
      <c r="IY76" s="86">
        <f t="shared" si="1453"/>
        <v>-139.88189124430195</v>
      </c>
      <c r="IZ76" s="86">
        <f t="shared" si="1453"/>
        <v>-139.88189124430195</v>
      </c>
      <c r="JA76" s="87">
        <f t="shared" si="1417"/>
        <v>-1678.5826949316231</v>
      </c>
      <c r="JB76" s="86">
        <f>IZ76*(1+Inputs!$B$10)</f>
        <v>-143.3789385254095</v>
      </c>
      <c r="JC76" s="86">
        <f t="shared" si="1454"/>
        <v>-143.3789385254095</v>
      </c>
      <c r="JD76" s="86">
        <f t="shared" si="1454"/>
        <v>-143.3789385254095</v>
      </c>
      <c r="JE76" s="86">
        <f t="shared" si="1454"/>
        <v>-143.3789385254095</v>
      </c>
      <c r="JF76" s="86">
        <f t="shared" si="1454"/>
        <v>-143.3789385254095</v>
      </c>
      <c r="JG76" s="86">
        <f t="shared" si="1454"/>
        <v>-143.3789385254095</v>
      </c>
      <c r="JH76" s="86">
        <f t="shared" si="1454"/>
        <v>-143.3789385254095</v>
      </c>
      <c r="JI76" s="86">
        <f t="shared" si="1454"/>
        <v>-143.3789385254095</v>
      </c>
      <c r="JJ76" s="86">
        <f t="shared" si="1454"/>
        <v>-143.3789385254095</v>
      </c>
      <c r="JK76" s="86">
        <f t="shared" si="1454"/>
        <v>-143.3789385254095</v>
      </c>
      <c r="JL76" s="86">
        <f t="shared" si="1454"/>
        <v>-143.3789385254095</v>
      </c>
      <c r="JM76" s="86">
        <f t="shared" si="1454"/>
        <v>-143.3789385254095</v>
      </c>
      <c r="JN76" s="87">
        <f t="shared" si="1418"/>
        <v>-1720.5472623049138</v>
      </c>
      <c r="JO76" s="86">
        <f>JM76*(1+Inputs!$B$10)</f>
        <v>-146.96341198854472</v>
      </c>
      <c r="JP76" s="86">
        <f t="shared" si="1455"/>
        <v>-146.96341198854472</v>
      </c>
      <c r="JQ76" s="86">
        <f t="shared" si="1455"/>
        <v>-146.96341198854472</v>
      </c>
      <c r="JR76" s="86">
        <f t="shared" si="1455"/>
        <v>-146.96341198854472</v>
      </c>
      <c r="JS76" s="86">
        <f t="shared" si="1455"/>
        <v>-146.96341198854472</v>
      </c>
      <c r="JT76" s="86">
        <f t="shared" si="1455"/>
        <v>-146.96341198854472</v>
      </c>
      <c r="JU76" s="86">
        <f t="shared" si="1455"/>
        <v>-146.96341198854472</v>
      </c>
      <c r="JV76" s="86">
        <f t="shared" si="1455"/>
        <v>-146.96341198854472</v>
      </c>
      <c r="JW76" s="86">
        <f t="shared" si="1455"/>
        <v>-146.96341198854472</v>
      </c>
      <c r="JX76" s="86">
        <f t="shared" si="1455"/>
        <v>-146.96341198854472</v>
      </c>
      <c r="JY76" s="86">
        <f t="shared" si="1455"/>
        <v>-146.96341198854472</v>
      </c>
      <c r="JZ76" s="86">
        <f t="shared" si="1455"/>
        <v>-146.96341198854472</v>
      </c>
      <c r="KA76" s="87">
        <f t="shared" si="1419"/>
        <v>-1763.5609438625368</v>
      </c>
      <c r="KB76" s="86">
        <f>JZ76*(1+Inputs!$B$10)</f>
        <v>-150.63749728825832</v>
      </c>
      <c r="KC76" s="86">
        <f t="shared" si="1456"/>
        <v>-150.63749728825832</v>
      </c>
      <c r="KD76" s="86">
        <f t="shared" si="1456"/>
        <v>-150.63749728825832</v>
      </c>
      <c r="KE76" s="86">
        <f t="shared" si="1456"/>
        <v>-150.63749728825832</v>
      </c>
      <c r="KF76" s="86">
        <f t="shared" si="1456"/>
        <v>-150.63749728825832</v>
      </c>
      <c r="KG76" s="86">
        <f t="shared" si="1456"/>
        <v>-150.63749728825832</v>
      </c>
      <c r="KH76" s="86">
        <f t="shared" si="1456"/>
        <v>-150.63749728825832</v>
      </c>
      <c r="KI76" s="86">
        <f t="shared" si="1456"/>
        <v>-150.63749728825832</v>
      </c>
      <c r="KJ76" s="86">
        <f t="shared" si="1456"/>
        <v>-150.63749728825832</v>
      </c>
      <c r="KK76" s="86">
        <f t="shared" si="1456"/>
        <v>-150.63749728825832</v>
      </c>
      <c r="KL76" s="86">
        <f t="shared" si="1456"/>
        <v>-150.63749728825832</v>
      </c>
      <c r="KM76" s="86">
        <f t="shared" si="1456"/>
        <v>-150.63749728825832</v>
      </c>
      <c r="KN76" s="87">
        <f t="shared" si="1457"/>
        <v>-1807.6499674591003</v>
      </c>
      <c r="KO76" s="86">
        <f>KM76*(1+Inputs!$B$10)</f>
        <v>-154.40343472046476</v>
      </c>
      <c r="KP76" s="86">
        <f t="shared" si="1458"/>
        <v>-154.40343472046476</v>
      </c>
      <c r="KQ76" s="86">
        <f t="shared" si="1458"/>
        <v>-154.40343472046476</v>
      </c>
      <c r="KR76" s="86">
        <f t="shared" si="1458"/>
        <v>-154.40343472046476</v>
      </c>
      <c r="KS76" s="86">
        <f t="shared" si="1458"/>
        <v>-154.40343472046476</v>
      </c>
      <c r="KT76" s="86">
        <f t="shared" si="1458"/>
        <v>-154.40343472046476</v>
      </c>
      <c r="KU76" s="86">
        <f t="shared" si="1458"/>
        <v>-154.40343472046476</v>
      </c>
      <c r="KV76" s="86">
        <f t="shared" si="1458"/>
        <v>-154.40343472046476</v>
      </c>
      <c r="KW76" s="86">
        <f t="shared" si="1458"/>
        <v>-154.40343472046476</v>
      </c>
      <c r="KX76" s="86">
        <f t="shared" si="1458"/>
        <v>-154.40343472046476</v>
      </c>
      <c r="KY76" s="86">
        <f t="shared" si="1458"/>
        <v>-154.40343472046476</v>
      </c>
      <c r="KZ76" s="86">
        <f t="shared" si="1458"/>
        <v>-154.40343472046476</v>
      </c>
      <c r="LA76" s="87">
        <f t="shared" si="1421"/>
        <v>-1852.8412166455767</v>
      </c>
      <c r="LB76" s="86">
        <f>KZ76*(1+Inputs!$B$10)</f>
        <v>-158.26352058847635</v>
      </c>
      <c r="LC76" s="86">
        <f t="shared" si="1459"/>
        <v>-158.26352058847635</v>
      </c>
      <c r="LD76" s="86">
        <f t="shared" si="1459"/>
        <v>-158.26352058847635</v>
      </c>
      <c r="LE76" s="86">
        <f t="shared" si="1459"/>
        <v>-158.26352058847635</v>
      </c>
      <c r="LF76" s="86">
        <f t="shared" si="1459"/>
        <v>-158.26352058847635</v>
      </c>
      <c r="LG76" s="86">
        <f t="shared" si="1459"/>
        <v>-158.26352058847635</v>
      </c>
      <c r="LH76" s="86">
        <f t="shared" si="1459"/>
        <v>-158.26352058847635</v>
      </c>
      <c r="LI76" s="86">
        <f t="shared" si="1459"/>
        <v>-158.26352058847635</v>
      </c>
      <c r="LJ76" s="86">
        <f t="shared" si="1459"/>
        <v>-158.26352058847635</v>
      </c>
      <c r="LK76" s="86">
        <f t="shared" si="1459"/>
        <v>-158.26352058847635</v>
      </c>
      <c r="LL76" s="86">
        <f t="shared" si="1459"/>
        <v>-158.26352058847635</v>
      </c>
      <c r="LM76" s="86">
        <f t="shared" si="1459"/>
        <v>-158.26352058847635</v>
      </c>
      <c r="LN76" s="87">
        <f t="shared" si="1422"/>
        <v>-1899.1622470617158</v>
      </c>
      <c r="LO76" s="86">
        <f>LM76*(1+Inputs!$B$10)</f>
        <v>-162.22010860318824</v>
      </c>
      <c r="LP76" s="86">
        <f t="shared" si="1460"/>
        <v>-162.22010860318824</v>
      </c>
      <c r="LQ76" s="86">
        <f t="shared" si="1460"/>
        <v>-162.22010860318824</v>
      </c>
      <c r="LR76" s="86">
        <f t="shared" si="1460"/>
        <v>-162.22010860318824</v>
      </c>
      <c r="LS76" s="86">
        <f t="shared" si="1460"/>
        <v>-162.22010860318824</v>
      </c>
      <c r="LT76" s="86">
        <f t="shared" si="1460"/>
        <v>-162.22010860318824</v>
      </c>
      <c r="LU76" s="86">
        <f t="shared" si="1460"/>
        <v>-162.22010860318824</v>
      </c>
      <c r="LV76" s="86">
        <f t="shared" si="1460"/>
        <v>-162.22010860318824</v>
      </c>
      <c r="LW76" s="86">
        <f t="shared" si="1460"/>
        <v>-162.22010860318824</v>
      </c>
      <c r="LX76" s="86">
        <f t="shared" si="1460"/>
        <v>-162.22010860318824</v>
      </c>
      <c r="LY76" s="86">
        <f t="shared" si="1460"/>
        <v>-162.22010860318824</v>
      </c>
      <c r="LZ76" s="86">
        <f t="shared" si="1460"/>
        <v>-162.22010860318824</v>
      </c>
      <c r="MA76" s="87">
        <f t="shared" si="1423"/>
        <v>-1946.6413032382588</v>
      </c>
      <c r="MB76" s="86">
        <f>LZ76*(1+Inputs!$B$10)</f>
        <v>-166.27561131826792</v>
      </c>
      <c r="MC76" s="86">
        <f t="shared" si="1461"/>
        <v>-166.27561131826792</v>
      </c>
      <c r="MD76" s="86">
        <f t="shared" si="1461"/>
        <v>-166.27561131826792</v>
      </c>
      <c r="ME76" s="86">
        <f t="shared" si="1461"/>
        <v>-166.27561131826792</v>
      </c>
      <c r="MF76" s="86">
        <f t="shared" si="1461"/>
        <v>-166.27561131826792</v>
      </c>
      <c r="MG76" s="86">
        <f t="shared" si="1461"/>
        <v>-166.27561131826792</v>
      </c>
      <c r="MH76" s="86">
        <f t="shared" si="1461"/>
        <v>-166.27561131826792</v>
      </c>
      <c r="MI76" s="86">
        <f t="shared" si="1461"/>
        <v>-166.27561131826792</v>
      </c>
      <c r="MJ76" s="86">
        <f t="shared" si="1461"/>
        <v>-166.27561131826792</v>
      </c>
      <c r="MK76" s="86">
        <f t="shared" si="1461"/>
        <v>-166.27561131826792</v>
      </c>
      <c r="ML76" s="86">
        <f t="shared" si="1461"/>
        <v>-166.27561131826792</v>
      </c>
      <c r="MM76" s="86">
        <f t="shared" si="1461"/>
        <v>-166.27561131826792</v>
      </c>
      <c r="MN76" s="87">
        <f t="shared" si="1424"/>
        <v>-1995.307335819215</v>
      </c>
      <c r="MO76" s="86">
        <f>MM76*(1+Inputs!$B$10)</f>
        <v>-170.4325016012246</v>
      </c>
      <c r="MP76" s="86">
        <f t="shared" si="1462"/>
        <v>-170.4325016012246</v>
      </c>
      <c r="MQ76" s="86">
        <f t="shared" si="1462"/>
        <v>-170.4325016012246</v>
      </c>
      <c r="MR76" s="86">
        <f t="shared" si="1462"/>
        <v>-170.4325016012246</v>
      </c>
      <c r="MS76" s="86">
        <f t="shared" si="1462"/>
        <v>-170.4325016012246</v>
      </c>
      <c r="MT76" s="86">
        <f t="shared" si="1462"/>
        <v>-170.4325016012246</v>
      </c>
      <c r="MU76" s="86">
        <f t="shared" si="1462"/>
        <v>-170.4325016012246</v>
      </c>
      <c r="MV76" s="86">
        <f t="shared" si="1462"/>
        <v>-170.4325016012246</v>
      </c>
      <c r="MW76" s="86">
        <f t="shared" si="1462"/>
        <v>-170.4325016012246</v>
      </c>
      <c r="MX76" s="86">
        <f t="shared" si="1462"/>
        <v>-170.4325016012246</v>
      </c>
      <c r="MY76" s="86">
        <f t="shared" si="1462"/>
        <v>-170.4325016012246</v>
      </c>
      <c r="MZ76" s="86">
        <f t="shared" si="1462"/>
        <v>-170.4325016012246</v>
      </c>
      <c r="NA76" s="87">
        <f t="shared" si="1425"/>
        <v>-2045.1900192146957</v>
      </c>
      <c r="NB76" s="86">
        <f>MZ76*(1+Inputs!$B$10)</f>
        <v>-174.6933141412552</v>
      </c>
      <c r="NC76" s="86">
        <f t="shared" si="1463"/>
        <v>-174.6933141412552</v>
      </c>
      <c r="ND76" s="86">
        <f t="shared" si="1463"/>
        <v>-174.6933141412552</v>
      </c>
      <c r="NE76" s="86">
        <f t="shared" si="1463"/>
        <v>-174.6933141412552</v>
      </c>
      <c r="NF76" s="86">
        <f t="shared" si="1463"/>
        <v>-174.6933141412552</v>
      </c>
      <c r="NG76" s="86">
        <f t="shared" si="1463"/>
        <v>-174.6933141412552</v>
      </c>
      <c r="NH76" s="86">
        <f t="shared" si="1463"/>
        <v>-174.6933141412552</v>
      </c>
      <c r="NI76" s="86">
        <f t="shared" si="1463"/>
        <v>-174.6933141412552</v>
      </c>
      <c r="NJ76" s="86">
        <f t="shared" si="1463"/>
        <v>-174.6933141412552</v>
      </c>
      <c r="NK76" s="86">
        <f t="shared" si="1463"/>
        <v>-174.6933141412552</v>
      </c>
      <c r="NL76" s="86">
        <f t="shared" si="1463"/>
        <v>-174.6933141412552</v>
      </c>
      <c r="NM76" s="86">
        <f t="shared" si="1463"/>
        <v>-174.6933141412552</v>
      </c>
      <c r="NN76" s="87">
        <f t="shared" si="1426"/>
        <v>-2096.319769695062</v>
      </c>
      <c r="NO76" s="86">
        <f>NM76*(1+Inputs!$B$10)</f>
        <v>-179.06064699478657</v>
      </c>
      <c r="NP76" s="86">
        <f t="shared" si="1464"/>
        <v>-179.06064699478657</v>
      </c>
      <c r="NQ76" s="86">
        <f t="shared" si="1464"/>
        <v>-179.06064699478657</v>
      </c>
      <c r="NR76" s="86">
        <f t="shared" si="1464"/>
        <v>-179.06064699478657</v>
      </c>
      <c r="NS76" s="86">
        <f t="shared" si="1464"/>
        <v>-179.06064699478657</v>
      </c>
      <c r="NT76" s="86">
        <f t="shared" si="1464"/>
        <v>-179.06064699478657</v>
      </c>
      <c r="NU76" s="86">
        <f t="shared" si="1464"/>
        <v>-179.06064699478657</v>
      </c>
      <c r="NV76" s="86">
        <f t="shared" si="1464"/>
        <v>-179.06064699478657</v>
      </c>
      <c r="NW76" s="86">
        <f t="shared" si="1464"/>
        <v>-179.06064699478657</v>
      </c>
      <c r="NX76" s="86">
        <f t="shared" si="1464"/>
        <v>-179.06064699478657</v>
      </c>
      <c r="NY76" s="86">
        <f t="shared" si="1464"/>
        <v>-179.06064699478657</v>
      </c>
      <c r="NZ76" s="86">
        <f t="shared" si="1464"/>
        <v>-179.06064699478657</v>
      </c>
      <c r="OA76" s="87">
        <f t="shared" si="1427"/>
        <v>-2148.7277639374388</v>
      </c>
      <c r="OB76" s="86">
        <f>NZ76*(1+Inputs!$B$10)</f>
        <v>-183.53716316965622</v>
      </c>
      <c r="OC76" s="86">
        <f t="shared" si="1465"/>
        <v>-183.53716316965622</v>
      </c>
      <c r="OD76" s="86">
        <f t="shared" si="1465"/>
        <v>-183.53716316965622</v>
      </c>
      <c r="OE76" s="86">
        <f t="shared" si="1465"/>
        <v>-183.53716316965622</v>
      </c>
      <c r="OF76" s="86">
        <f t="shared" si="1465"/>
        <v>-183.53716316965622</v>
      </c>
      <c r="OG76" s="86">
        <f t="shared" si="1465"/>
        <v>-183.53716316965622</v>
      </c>
      <c r="OH76" s="86">
        <f t="shared" si="1465"/>
        <v>-183.53716316965622</v>
      </c>
      <c r="OI76" s="86">
        <f t="shared" si="1465"/>
        <v>-183.53716316965622</v>
      </c>
      <c r="OJ76" s="86">
        <f t="shared" si="1465"/>
        <v>-183.53716316965622</v>
      </c>
      <c r="OK76" s="86">
        <f t="shared" si="1465"/>
        <v>-183.53716316965622</v>
      </c>
      <c r="OL76" s="86">
        <f t="shared" si="1465"/>
        <v>-183.53716316965622</v>
      </c>
      <c r="OM76" s="86">
        <f t="shared" si="1465"/>
        <v>-183.53716316965622</v>
      </c>
      <c r="ON76" s="87">
        <f t="shared" si="1428"/>
        <v>-2202.4459580358748</v>
      </c>
      <c r="OO76" s="86">
        <f>OM76*(1+Inputs!$B$10)</f>
        <v>-188.12559224889762</v>
      </c>
      <c r="OP76" s="86">
        <f t="shared" si="1466"/>
        <v>-188.12559224889762</v>
      </c>
      <c r="OQ76" s="86">
        <f t="shared" si="1466"/>
        <v>-188.12559224889762</v>
      </c>
      <c r="OR76" s="86">
        <f t="shared" si="1466"/>
        <v>-188.12559224889762</v>
      </c>
      <c r="OS76" s="86">
        <f t="shared" si="1466"/>
        <v>-188.12559224889762</v>
      </c>
      <c r="OT76" s="86">
        <f t="shared" si="1466"/>
        <v>-188.12559224889762</v>
      </c>
      <c r="OU76" s="86">
        <f t="shared" si="1466"/>
        <v>-188.12559224889762</v>
      </c>
      <c r="OV76" s="86">
        <f t="shared" si="1466"/>
        <v>-188.12559224889762</v>
      </c>
      <c r="OW76" s="86">
        <f t="shared" si="1466"/>
        <v>-188.12559224889762</v>
      </c>
      <c r="OX76" s="86">
        <f t="shared" si="1466"/>
        <v>-188.12559224889762</v>
      </c>
      <c r="OY76" s="86">
        <f t="shared" si="1466"/>
        <v>-188.12559224889762</v>
      </c>
      <c r="OZ76" s="86">
        <f t="shared" si="1466"/>
        <v>-188.12559224889762</v>
      </c>
      <c r="PA76" s="87">
        <f t="shared" si="1429"/>
        <v>-2257.5071069867713</v>
      </c>
      <c r="PB76" s="86">
        <f>OZ76*(1+Inputs!$B$10)</f>
        <v>-192.82873205512004</v>
      </c>
      <c r="PC76" s="86">
        <f t="shared" si="1467"/>
        <v>-192.82873205512004</v>
      </c>
      <c r="PD76" s="86">
        <f t="shared" si="1467"/>
        <v>-192.82873205512004</v>
      </c>
      <c r="PE76" s="86">
        <f t="shared" si="1467"/>
        <v>-192.82873205512004</v>
      </c>
      <c r="PF76" s="86">
        <f t="shared" si="1467"/>
        <v>-192.82873205512004</v>
      </c>
      <c r="PG76" s="86">
        <f t="shared" si="1467"/>
        <v>-192.82873205512004</v>
      </c>
      <c r="PH76" s="86">
        <f t="shared" si="1467"/>
        <v>-192.82873205512004</v>
      </c>
      <c r="PI76" s="86">
        <f t="shared" si="1467"/>
        <v>-192.82873205512004</v>
      </c>
      <c r="PJ76" s="86">
        <f t="shared" si="1467"/>
        <v>-192.82873205512004</v>
      </c>
      <c r="PK76" s="86">
        <f t="shared" si="1467"/>
        <v>-192.82873205512004</v>
      </c>
      <c r="PL76" s="86">
        <f t="shared" si="1467"/>
        <v>-192.82873205512004</v>
      </c>
      <c r="PM76" s="86">
        <f t="shared" si="1467"/>
        <v>-192.82873205512004</v>
      </c>
      <c r="PN76" s="87">
        <f t="shared" si="1430"/>
        <v>-2313.9447846614407</v>
      </c>
      <c r="PO76" s="86">
        <f>PM76*(1+Inputs!$B$10)</f>
        <v>-197.64945035649802</v>
      </c>
      <c r="PP76" s="86">
        <f t="shared" si="1468"/>
        <v>-197.64945035649802</v>
      </c>
      <c r="PQ76" s="86">
        <f t="shared" si="1468"/>
        <v>-197.64945035649802</v>
      </c>
      <c r="PR76" s="86">
        <f t="shared" si="1468"/>
        <v>-197.64945035649802</v>
      </c>
      <c r="PS76" s="86">
        <f t="shared" si="1468"/>
        <v>-197.64945035649802</v>
      </c>
      <c r="PT76" s="86">
        <f t="shared" si="1468"/>
        <v>-197.64945035649802</v>
      </c>
      <c r="PU76" s="86">
        <f t="shared" si="1468"/>
        <v>-197.64945035649802</v>
      </c>
      <c r="PV76" s="86">
        <f t="shared" si="1468"/>
        <v>-197.64945035649802</v>
      </c>
      <c r="PW76" s="86">
        <f t="shared" si="1468"/>
        <v>-197.64945035649802</v>
      </c>
      <c r="PX76" s="86">
        <f t="shared" si="1468"/>
        <v>-197.64945035649802</v>
      </c>
      <c r="PY76" s="86">
        <f t="shared" si="1468"/>
        <v>-197.64945035649802</v>
      </c>
      <c r="PZ76" s="86">
        <f t="shared" si="1468"/>
        <v>-197.64945035649802</v>
      </c>
      <c r="QA76" s="87">
        <f t="shared" si="1431"/>
        <v>-2371.7934042779762</v>
      </c>
      <c r="QB76" s="86">
        <f>PZ76*(1+Inputs!$B$10)</f>
        <v>-202.59068661541045</v>
      </c>
      <c r="QC76" s="86">
        <f t="shared" si="1469"/>
        <v>-202.59068661541045</v>
      </c>
      <c r="QD76" s="86">
        <f t="shared" si="1469"/>
        <v>-202.59068661541045</v>
      </c>
      <c r="QE76" s="86">
        <f t="shared" si="1469"/>
        <v>-202.59068661541045</v>
      </c>
      <c r="QF76" s="86">
        <f t="shared" si="1469"/>
        <v>-202.59068661541045</v>
      </c>
      <c r="QG76" s="86">
        <f t="shared" si="1469"/>
        <v>-202.59068661541045</v>
      </c>
      <c r="QH76" s="86">
        <f t="shared" si="1469"/>
        <v>-202.59068661541045</v>
      </c>
      <c r="QI76" s="86">
        <f t="shared" si="1469"/>
        <v>-202.59068661541045</v>
      </c>
      <c r="QJ76" s="86">
        <f t="shared" si="1469"/>
        <v>-202.59068661541045</v>
      </c>
      <c r="QK76" s="86">
        <f t="shared" si="1469"/>
        <v>-202.59068661541045</v>
      </c>
      <c r="QL76" s="86">
        <f t="shared" si="1469"/>
        <v>-202.59068661541045</v>
      </c>
      <c r="QM76" s="86">
        <f t="shared" si="1469"/>
        <v>-202.59068661541045</v>
      </c>
      <c r="QN76" s="87">
        <f t="shared" si="1432"/>
        <v>-2431.0882393849256</v>
      </c>
      <c r="QO76" s="86">
        <f>QM76*(1+Inputs!$B$10)</f>
        <v>-207.65545378079568</v>
      </c>
      <c r="QP76" s="86">
        <f t="shared" si="1470"/>
        <v>-207.65545378079568</v>
      </c>
      <c r="QQ76" s="86">
        <f t="shared" si="1470"/>
        <v>-207.65545378079568</v>
      </c>
      <c r="QR76" s="86">
        <f t="shared" si="1470"/>
        <v>-207.65545378079568</v>
      </c>
      <c r="QS76" s="86">
        <f t="shared" si="1470"/>
        <v>-207.65545378079568</v>
      </c>
      <c r="QT76" s="86">
        <f t="shared" si="1470"/>
        <v>-207.65545378079568</v>
      </c>
      <c r="QU76" s="86">
        <f t="shared" si="1470"/>
        <v>-207.65545378079568</v>
      </c>
      <c r="QV76" s="86">
        <f t="shared" si="1470"/>
        <v>-207.65545378079568</v>
      </c>
      <c r="QW76" s="86">
        <f t="shared" si="1470"/>
        <v>-207.65545378079568</v>
      </c>
      <c r="QX76" s="86">
        <f t="shared" si="1470"/>
        <v>-207.65545378079568</v>
      </c>
      <c r="QY76" s="86">
        <f t="shared" si="1470"/>
        <v>-207.65545378079568</v>
      </c>
      <c r="QZ76" s="86">
        <f t="shared" si="1470"/>
        <v>-207.65545378079568</v>
      </c>
      <c r="RA76" s="87">
        <f t="shared" si="1433"/>
        <v>-2491.8654453695476</v>
      </c>
      <c r="RB76" s="86">
        <f>QZ76*(1+Inputs!$B$10)</f>
        <v>-212.84684012531557</v>
      </c>
      <c r="RC76" s="86">
        <f t="shared" si="1471"/>
        <v>-212.84684012531557</v>
      </c>
      <c r="RD76" s="86">
        <f t="shared" si="1471"/>
        <v>-212.84684012531557</v>
      </c>
      <c r="RE76" s="86">
        <f t="shared" si="1471"/>
        <v>-212.84684012531557</v>
      </c>
      <c r="RF76" s="86">
        <f t="shared" si="1471"/>
        <v>-212.84684012531557</v>
      </c>
      <c r="RG76" s="86">
        <f t="shared" si="1471"/>
        <v>-212.84684012531557</v>
      </c>
      <c r="RH76" s="86">
        <f t="shared" si="1471"/>
        <v>-212.84684012531557</v>
      </c>
      <c r="RI76" s="86">
        <f t="shared" si="1471"/>
        <v>-212.84684012531557</v>
      </c>
      <c r="RJ76" s="86">
        <f t="shared" si="1471"/>
        <v>-212.84684012531557</v>
      </c>
      <c r="RK76" s="86">
        <f t="shared" si="1471"/>
        <v>-212.84684012531557</v>
      </c>
      <c r="RL76" s="86">
        <f t="shared" si="1471"/>
        <v>-212.84684012531557</v>
      </c>
      <c r="RM76" s="86">
        <f t="shared" si="1471"/>
        <v>-212.84684012531557</v>
      </c>
      <c r="RN76" s="87">
        <f t="shared" si="1434"/>
        <v>-2554.1620815037868</v>
      </c>
    </row>
    <row r="77" spans="1:560" outlineLevel="1" x14ac:dyDescent="0.3">
      <c r="A77" s="89" t="s">
        <v>207</v>
      </c>
      <c r="B77" s="86">
        <f>-Inputs!$B$34/12</f>
        <v>0</v>
      </c>
      <c r="C77" s="86">
        <f>-Inputs!$B$34/12</f>
        <v>0</v>
      </c>
      <c r="D77" s="86">
        <f>-Inputs!$B$34/12</f>
        <v>0</v>
      </c>
      <c r="E77" s="86">
        <f>-Inputs!$B$34/12</f>
        <v>0</v>
      </c>
      <c r="F77" s="86">
        <f>-Inputs!$B$34/12</f>
        <v>0</v>
      </c>
      <c r="G77" s="86">
        <f>-Inputs!$B$34/12</f>
        <v>0</v>
      </c>
      <c r="H77" s="86">
        <f>-Inputs!$B$34/12</f>
        <v>0</v>
      </c>
      <c r="I77" s="86">
        <f>-Inputs!$B$34/12</f>
        <v>0</v>
      </c>
      <c r="J77" s="86">
        <f>-Inputs!$B$34/12</f>
        <v>0</v>
      </c>
      <c r="K77" s="86">
        <f>-Inputs!$B$34/12</f>
        <v>0</v>
      </c>
      <c r="L77" s="86">
        <f>-Inputs!$B$34/12</f>
        <v>0</v>
      </c>
      <c r="M77" s="86">
        <f>-Inputs!$B$34/12</f>
        <v>0</v>
      </c>
      <c r="N77" s="87">
        <f t="shared" si="1289"/>
        <v>0</v>
      </c>
      <c r="O77" s="86">
        <f>M77*(1+Inputs!$B$10)</f>
        <v>0</v>
      </c>
      <c r="P77" s="86">
        <f t="shared" si="1435"/>
        <v>0</v>
      </c>
      <c r="Q77" s="86">
        <f t="shared" si="1435"/>
        <v>0</v>
      </c>
      <c r="R77" s="86">
        <f t="shared" si="1435"/>
        <v>0</v>
      </c>
      <c r="S77" s="86">
        <f t="shared" si="1435"/>
        <v>0</v>
      </c>
      <c r="T77" s="86">
        <f t="shared" si="1435"/>
        <v>0</v>
      </c>
      <c r="U77" s="86">
        <f t="shared" si="1435"/>
        <v>0</v>
      </c>
      <c r="V77" s="86">
        <f t="shared" si="1435"/>
        <v>0</v>
      </c>
      <c r="W77" s="86">
        <f t="shared" si="1435"/>
        <v>0</v>
      </c>
      <c r="X77" s="86">
        <f t="shared" si="1435"/>
        <v>0</v>
      </c>
      <c r="Y77" s="86">
        <f t="shared" si="1435"/>
        <v>0</v>
      </c>
      <c r="Z77" s="86">
        <f t="shared" si="1435"/>
        <v>0</v>
      </c>
      <c r="AA77" s="87">
        <f t="shared" si="1399"/>
        <v>0</v>
      </c>
      <c r="AB77" s="86">
        <f>Z77*(1+Inputs!$B$10)</f>
        <v>0</v>
      </c>
      <c r="AC77" s="86">
        <f t="shared" si="1436"/>
        <v>0</v>
      </c>
      <c r="AD77" s="86">
        <f t="shared" si="1436"/>
        <v>0</v>
      </c>
      <c r="AE77" s="86">
        <f t="shared" si="1436"/>
        <v>0</v>
      </c>
      <c r="AF77" s="86">
        <f t="shared" si="1436"/>
        <v>0</v>
      </c>
      <c r="AG77" s="86">
        <f t="shared" si="1436"/>
        <v>0</v>
      </c>
      <c r="AH77" s="86">
        <f t="shared" si="1436"/>
        <v>0</v>
      </c>
      <c r="AI77" s="86">
        <f t="shared" si="1436"/>
        <v>0</v>
      </c>
      <c r="AJ77" s="86">
        <f t="shared" si="1436"/>
        <v>0</v>
      </c>
      <c r="AK77" s="86">
        <f t="shared" si="1436"/>
        <v>0</v>
      </c>
      <c r="AL77" s="86">
        <f t="shared" si="1436"/>
        <v>0</v>
      </c>
      <c r="AM77" s="86">
        <f t="shared" si="1436"/>
        <v>0</v>
      </c>
      <c r="AN77" s="87">
        <f t="shared" si="1400"/>
        <v>0</v>
      </c>
      <c r="AO77" s="86">
        <f>AM77*(1+Inputs!$B$10)</f>
        <v>0</v>
      </c>
      <c r="AP77" s="86">
        <f t="shared" si="1437"/>
        <v>0</v>
      </c>
      <c r="AQ77" s="86">
        <f t="shared" si="1437"/>
        <v>0</v>
      </c>
      <c r="AR77" s="86">
        <f t="shared" si="1437"/>
        <v>0</v>
      </c>
      <c r="AS77" s="86">
        <f t="shared" si="1437"/>
        <v>0</v>
      </c>
      <c r="AT77" s="86">
        <f t="shared" si="1437"/>
        <v>0</v>
      </c>
      <c r="AU77" s="86">
        <f t="shared" si="1437"/>
        <v>0</v>
      </c>
      <c r="AV77" s="86">
        <f t="shared" si="1437"/>
        <v>0</v>
      </c>
      <c r="AW77" s="86">
        <f t="shared" si="1437"/>
        <v>0</v>
      </c>
      <c r="AX77" s="86">
        <f t="shared" si="1437"/>
        <v>0</v>
      </c>
      <c r="AY77" s="86">
        <f t="shared" si="1437"/>
        <v>0</v>
      </c>
      <c r="AZ77" s="86">
        <f t="shared" si="1437"/>
        <v>0</v>
      </c>
      <c r="BA77" s="87">
        <f t="shared" si="1401"/>
        <v>0</v>
      </c>
      <c r="BB77" s="86">
        <f>AZ77*(1+Inputs!$B$10)</f>
        <v>0</v>
      </c>
      <c r="BC77" s="86">
        <f t="shared" si="1438"/>
        <v>0</v>
      </c>
      <c r="BD77" s="86">
        <f t="shared" si="1438"/>
        <v>0</v>
      </c>
      <c r="BE77" s="86">
        <f t="shared" si="1438"/>
        <v>0</v>
      </c>
      <c r="BF77" s="86">
        <f t="shared" si="1438"/>
        <v>0</v>
      </c>
      <c r="BG77" s="86">
        <f t="shared" si="1438"/>
        <v>0</v>
      </c>
      <c r="BH77" s="86">
        <f t="shared" si="1438"/>
        <v>0</v>
      </c>
      <c r="BI77" s="86">
        <f t="shared" si="1438"/>
        <v>0</v>
      </c>
      <c r="BJ77" s="86">
        <f t="shared" si="1438"/>
        <v>0</v>
      </c>
      <c r="BK77" s="86">
        <f t="shared" si="1438"/>
        <v>0</v>
      </c>
      <c r="BL77" s="86">
        <f t="shared" si="1438"/>
        <v>0</v>
      </c>
      <c r="BM77" s="86">
        <f t="shared" si="1438"/>
        <v>0</v>
      </c>
      <c r="BN77" s="87">
        <f t="shared" si="1402"/>
        <v>0</v>
      </c>
      <c r="BO77" s="86">
        <f>BM77*(1+Inputs!$B$10)</f>
        <v>0</v>
      </c>
      <c r="BP77" s="86">
        <f t="shared" si="1439"/>
        <v>0</v>
      </c>
      <c r="BQ77" s="86">
        <f t="shared" si="1439"/>
        <v>0</v>
      </c>
      <c r="BR77" s="86">
        <f t="shared" si="1439"/>
        <v>0</v>
      </c>
      <c r="BS77" s="86">
        <f t="shared" si="1439"/>
        <v>0</v>
      </c>
      <c r="BT77" s="86">
        <f t="shared" si="1439"/>
        <v>0</v>
      </c>
      <c r="BU77" s="86">
        <f t="shared" si="1439"/>
        <v>0</v>
      </c>
      <c r="BV77" s="86">
        <f t="shared" si="1439"/>
        <v>0</v>
      </c>
      <c r="BW77" s="86">
        <f t="shared" si="1439"/>
        <v>0</v>
      </c>
      <c r="BX77" s="86">
        <f t="shared" si="1439"/>
        <v>0</v>
      </c>
      <c r="BY77" s="86">
        <f t="shared" si="1439"/>
        <v>0</v>
      </c>
      <c r="BZ77" s="86">
        <f t="shared" si="1439"/>
        <v>0</v>
      </c>
      <c r="CA77" s="87">
        <f t="shared" si="1403"/>
        <v>0</v>
      </c>
      <c r="CB77" s="86">
        <f>BZ77*(1+Inputs!$B$10)</f>
        <v>0</v>
      </c>
      <c r="CC77" s="86">
        <f t="shared" si="1440"/>
        <v>0</v>
      </c>
      <c r="CD77" s="86">
        <f t="shared" si="1440"/>
        <v>0</v>
      </c>
      <c r="CE77" s="86">
        <f t="shared" si="1440"/>
        <v>0</v>
      </c>
      <c r="CF77" s="86">
        <f t="shared" si="1440"/>
        <v>0</v>
      </c>
      <c r="CG77" s="86">
        <f t="shared" si="1440"/>
        <v>0</v>
      </c>
      <c r="CH77" s="86">
        <f t="shared" si="1440"/>
        <v>0</v>
      </c>
      <c r="CI77" s="86">
        <f t="shared" si="1440"/>
        <v>0</v>
      </c>
      <c r="CJ77" s="86">
        <f t="shared" si="1440"/>
        <v>0</v>
      </c>
      <c r="CK77" s="86">
        <f t="shared" si="1440"/>
        <v>0</v>
      </c>
      <c r="CL77" s="86">
        <f t="shared" si="1440"/>
        <v>0</v>
      </c>
      <c r="CM77" s="86">
        <f t="shared" si="1440"/>
        <v>0</v>
      </c>
      <c r="CN77" s="87">
        <f t="shared" si="1404"/>
        <v>0</v>
      </c>
      <c r="CO77" s="86">
        <f>CM77*(1+Inputs!$B$10)</f>
        <v>0</v>
      </c>
      <c r="CP77" s="86">
        <f t="shared" si="1441"/>
        <v>0</v>
      </c>
      <c r="CQ77" s="86">
        <f t="shared" si="1441"/>
        <v>0</v>
      </c>
      <c r="CR77" s="86">
        <f t="shared" si="1441"/>
        <v>0</v>
      </c>
      <c r="CS77" s="86">
        <f t="shared" si="1441"/>
        <v>0</v>
      </c>
      <c r="CT77" s="86">
        <f t="shared" si="1441"/>
        <v>0</v>
      </c>
      <c r="CU77" s="86">
        <f t="shared" si="1441"/>
        <v>0</v>
      </c>
      <c r="CV77" s="86">
        <f t="shared" si="1441"/>
        <v>0</v>
      </c>
      <c r="CW77" s="86">
        <f t="shared" si="1441"/>
        <v>0</v>
      </c>
      <c r="CX77" s="86">
        <f t="shared" si="1441"/>
        <v>0</v>
      </c>
      <c r="CY77" s="86">
        <f t="shared" si="1441"/>
        <v>0</v>
      </c>
      <c r="CZ77" s="86">
        <f t="shared" si="1441"/>
        <v>0</v>
      </c>
      <c r="DA77" s="87">
        <f t="shared" si="1405"/>
        <v>0</v>
      </c>
      <c r="DB77" s="86">
        <f>CZ77*(1+Inputs!$B$10)</f>
        <v>0</v>
      </c>
      <c r="DC77" s="86">
        <f t="shared" si="1442"/>
        <v>0</v>
      </c>
      <c r="DD77" s="86">
        <f t="shared" si="1442"/>
        <v>0</v>
      </c>
      <c r="DE77" s="86">
        <f t="shared" si="1442"/>
        <v>0</v>
      </c>
      <c r="DF77" s="86">
        <f t="shared" si="1442"/>
        <v>0</v>
      </c>
      <c r="DG77" s="86">
        <f t="shared" si="1442"/>
        <v>0</v>
      </c>
      <c r="DH77" s="86">
        <f t="shared" si="1442"/>
        <v>0</v>
      </c>
      <c r="DI77" s="86">
        <f t="shared" si="1442"/>
        <v>0</v>
      </c>
      <c r="DJ77" s="86">
        <f t="shared" si="1442"/>
        <v>0</v>
      </c>
      <c r="DK77" s="86">
        <f t="shared" si="1442"/>
        <v>0</v>
      </c>
      <c r="DL77" s="86">
        <f t="shared" si="1442"/>
        <v>0</v>
      </c>
      <c r="DM77" s="86">
        <f t="shared" si="1442"/>
        <v>0</v>
      </c>
      <c r="DN77" s="87">
        <f t="shared" si="1406"/>
        <v>0</v>
      </c>
      <c r="DO77" s="86">
        <f>DM77*(1+Inputs!$B$10)</f>
        <v>0</v>
      </c>
      <c r="DP77" s="86">
        <f t="shared" si="1443"/>
        <v>0</v>
      </c>
      <c r="DQ77" s="86">
        <f t="shared" si="1443"/>
        <v>0</v>
      </c>
      <c r="DR77" s="86">
        <f t="shared" si="1443"/>
        <v>0</v>
      </c>
      <c r="DS77" s="86">
        <f t="shared" si="1443"/>
        <v>0</v>
      </c>
      <c r="DT77" s="86">
        <f t="shared" si="1443"/>
        <v>0</v>
      </c>
      <c r="DU77" s="86">
        <f t="shared" si="1443"/>
        <v>0</v>
      </c>
      <c r="DV77" s="86">
        <f t="shared" si="1443"/>
        <v>0</v>
      </c>
      <c r="DW77" s="86">
        <f t="shared" si="1443"/>
        <v>0</v>
      </c>
      <c r="DX77" s="86">
        <f t="shared" si="1443"/>
        <v>0</v>
      </c>
      <c r="DY77" s="86">
        <f t="shared" si="1443"/>
        <v>0</v>
      </c>
      <c r="DZ77" s="86">
        <f t="shared" si="1443"/>
        <v>0</v>
      </c>
      <c r="EA77" s="87">
        <f t="shared" si="1407"/>
        <v>0</v>
      </c>
      <c r="EB77" s="86">
        <f>DZ77*(1+Inputs!$B$10)</f>
        <v>0</v>
      </c>
      <c r="EC77" s="86">
        <f t="shared" si="1444"/>
        <v>0</v>
      </c>
      <c r="ED77" s="86">
        <f t="shared" si="1444"/>
        <v>0</v>
      </c>
      <c r="EE77" s="86">
        <f t="shared" si="1444"/>
        <v>0</v>
      </c>
      <c r="EF77" s="86">
        <f t="shared" si="1444"/>
        <v>0</v>
      </c>
      <c r="EG77" s="86">
        <f t="shared" si="1444"/>
        <v>0</v>
      </c>
      <c r="EH77" s="86">
        <f t="shared" si="1444"/>
        <v>0</v>
      </c>
      <c r="EI77" s="86">
        <f t="shared" si="1444"/>
        <v>0</v>
      </c>
      <c r="EJ77" s="86">
        <f t="shared" si="1444"/>
        <v>0</v>
      </c>
      <c r="EK77" s="86">
        <f t="shared" si="1444"/>
        <v>0</v>
      </c>
      <c r="EL77" s="86">
        <f t="shared" si="1444"/>
        <v>0</v>
      </c>
      <c r="EM77" s="86">
        <f t="shared" si="1444"/>
        <v>0</v>
      </c>
      <c r="EN77" s="87">
        <f t="shared" si="1408"/>
        <v>0</v>
      </c>
      <c r="EO77" s="86">
        <f>EM77*(1+Inputs!$B$10)</f>
        <v>0</v>
      </c>
      <c r="EP77" s="86">
        <f t="shared" si="1445"/>
        <v>0</v>
      </c>
      <c r="EQ77" s="86">
        <f t="shared" si="1445"/>
        <v>0</v>
      </c>
      <c r="ER77" s="86">
        <f t="shared" si="1445"/>
        <v>0</v>
      </c>
      <c r="ES77" s="86">
        <f t="shared" si="1445"/>
        <v>0</v>
      </c>
      <c r="ET77" s="86">
        <f t="shared" si="1445"/>
        <v>0</v>
      </c>
      <c r="EU77" s="86">
        <f t="shared" si="1445"/>
        <v>0</v>
      </c>
      <c r="EV77" s="86">
        <f t="shared" si="1445"/>
        <v>0</v>
      </c>
      <c r="EW77" s="86">
        <f t="shared" si="1445"/>
        <v>0</v>
      </c>
      <c r="EX77" s="86">
        <f t="shared" si="1445"/>
        <v>0</v>
      </c>
      <c r="EY77" s="86">
        <f t="shared" si="1445"/>
        <v>0</v>
      </c>
      <c r="EZ77" s="86">
        <f t="shared" si="1445"/>
        <v>0</v>
      </c>
      <c r="FA77" s="87">
        <f t="shared" si="1409"/>
        <v>0</v>
      </c>
      <c r="FB77" s="86">
        <f>EZ77*(1+Inputs!$B$10)</f>
        <v>0</v>
      </c>
      <c r="FC77" s="86">
        <f t="shared" si="1446"/>
        <v>0</v>
      </c>
      <c r="FD77" s="86">
        <f t="shared" si="1446"/>
        <v>0</v>
      </c>
      <c r="FE77" s="86">
        <f t="shared" si="1446"/>
        <v>0</v>
      </c>
      <c r="FF77" s="86">
        <f t="shared" si="1446"/>
        <v>0</v>
      </c>
      <c r="FG77" s="86">
        <f t="shared" si="1446"/>
        <v>0</v>
      </c>
      <c r="FH77" s="86">
        <f t="shared" si="1446"/>
        <v>0</v>
      </c>
      <c r="FI77" s="86">
        <f t="shared" si="1446"/>
        <v>0</v>
      </c>
      <c r="FJ77" s="86">
        <f t="shared" si="1446"/>
        <v>0</v>
      </c>
      <c r="FK77" s="86">
        <f t="shared" si="1446"/>
        <v>0</v>
      </c>
      <c r="FL77" s="86">
        <f t="shared" si="1446"/>
        <v>0</v>
      </c>
      <c r="FM77" s="86">
        <f t="shared" si="1446"/>
        <v>0</v>
      </c>
      <c r="FN77" s="87">
        <f t="shared" si="1410"/>
        <v>0</v>
      </c>
      <c r="FO77" s="86">
        <f>FM77*(1+Inputs!$B$10)</f>
        <v>0</v>
      </c>
      <c r="FP77" s="86">
        <f t="shared" si="1447"/>
        <v>0</v>
      </c>
      <c r="FQ77" s="86">
        <f t="shared" si="1447"/>
        <v>0</v>
      </c>
      <c r="FR77" s="86">
        <f t="shared" si="1447"/>
        <v>0</v>
      </c>
      <c r="FS77" s="86">
        <f t="shared" si="1447"/>
        <v>0</v>
      </c>
      <c r="FT77" s="86">
        <f t="shared" si="1447"/>
        <v>0</v>
      </c>
      <c r="FU77" s="86">
        <f t="shared" si="1447"/>
        <v>0</v>
      </c>
      <c r="FV77" s="86">
        <f t="shared" si="1447"/>
        <v>0</v>
      </c>
      <c r="FW77" s="86">
        <f t="shared" si="1447"/>
        <v>0</v>
      </c>
      <c r="FX77" s="86">
        <f t="shared" si="1447"/>
        <v>0</v>
      </c>
      <c r="FY77" s="86">
        <f t="shared" si="1447"/>
        <v>0</v>
      </c>
      <c r="FZ77" s="86">
        <f t="shared" si="1447"/>
        <v>0</v>
      </c>
      <c r="GA77" s="87">
        <f t="shared" si="1411"/>
        <v>0</v>
      </c>
      <c r="GB77" s="86">
        <f>FZ77*(1+Inputs!$B$10)</f>
        <v>0</v>
      </c>
      <c r="GC77" s="86">
        <f t="shared" si="1448"/>
        <v>0</v>
      </c>
      <c r="GD77" s="86">
        <f t="shared" si="1448"/>
        <v>0</v>
      </c>
      <c r="GE77" s="86">
        <f t="shared" si="1448"/>
        <v>0</v>
      </c>
      <c r="GF77" s="86">
        <f t="shared" si="1448"/>
        <v>0</v>
      </c>
      <c r="GG77" s="86">
        <f t="shared" si="1448"/>
        <v>0</v>
      </c>
      <c r="GH77" s="86">
        <f t="shared" si="1448"/>
        <v>0</v>
      </c>
      <c r="GI77" s="86">
        <f t="shared" si="1448"/>
        <v>0</v>
      </c>
      <c r="GJ77" s="86">
        <f t="shared" si="1448"/>
        <v>0</v>
      </c>
      <c r="GK77" s="86">
        <f t="shared" si="1448"/>
        <v>0</v>
      </c>
      <c r="GL77" s="86">
        <f t="shared" si="1448"/>
        <v>0</v>
      </c>
      <c r="GM77" s="86">
        <f t="shared" si="1448"/>
        <v>0</v>
      </c>
      <c r="GN77" s="87">
        <f t="shared" si="1412"/>
        <v>0</v>
      </c>
      <c r="GO77" s="86">
        <f>GM77*(1+Inputs!$B$10)</f>
        <v>0</v>
      </c>
      <c r="GP77" s="86">
        <f t="shared" si="1449"/>
        <v>0</v>
      </c>
      <c r="GQ77" s="86">
        <f t="shared" si="1449"/>
        <v>0</v>
      </c>
      <c r="GR77" s="86">
        <f t="shared" si="1449"/>
        <v>0</v>
      </c>
      <c r="GS77" s="86">
        <f t="shared" si="1449"/>
        <v>0</v>
      </c>
      <c r="GT77" s="86">
        <f t="shared" si="1449"/>
        <v>0</v>
      </c>
      <c r="GU77" s="86">
        <f t="shared" si="1449"/>
        <v>0</v>
      </c>
      <c r="GV77" s="86">
        <f t="shared" si="1449"/>
        <v>0</v>
      </c>
      <c r="GW77" s="86">
        <f t="shared" si="1449"/>
        <v>0</v>
      </c>
      <c r="GX77" s="86">
        <f t="shared" si="1449"/>
        <v>0</v>
      </c>
      <c r="GY77" s="86">
        <f t="shared" si="1449"/>
        <v>0</v>
      </c>
      <c r="GZ77" s="86">
        <f t="shared" si="1449"/>
        <v>0</v>
      </c>
      <c r="HA77" s="87">
        <f t="shared" si="1413"/>
        <v>0</v>
      </c>
      <c r="HB77" s="86">
        <f>GZ77*(1+Inputs!$B$10)</f>
        <v>0</v>
      </c>
      <c r="HC77" s="86">
        <f t="shared" si="1450"/>
        <v>0</v>
      </c>
      <c r="HD77" s="86">
        <f t="shared" si="1450"/>
        <v>0</v>
      </c>
      <c r="HE77" s="86">
        <f t="shared" si="1450"/>
        <v>0</v>
      </c>
      <c r="HF77" s="86">
        <f t="shared" si="1450"/>
        <v>0</v>
      </c>
      <c r="HG77" s="86">
        <f t="shared" si="1450"/>
        <v>0</v>
      </c>
      <c r="HH77" s="86">
        <f t="shared" si="1450"/>
        <v>0</v>
      </c>
      <c r="HI77" s="86">
        <f t="shared" si="1450"/>
        <v>0</v>
      </c>
      <c r="HJ77" s="86">
        <f t="shared" si="1450"/>
        <v>0</v>
      </c>
      <c r="HK77" s="86">
        <f t="shared" si="1450"/>
        <v>0</v>
      </c>
      <c r="HL77" s="86">
        <f t="shared" si="1450"/>
        <v>0</v>
      </c>
      <c r="HM77" s="86">
        <f t="shared" si="1450"/>
        <v>0</v>
      </c>
      <c r="HN77" s="87">
        <f t="shared" si="1414"/>
        <v>0</v>
      </c>
      <c r="HO77" s="86">
        <f>HM77*(1+Inputs!$B$10)</f>
        <v>0</v>
      </c>
      <c r="HP77" s="86">
        <f t="shared" si="1451"/>
        <v>0</v>
      </c>
      <c r="HQ77" s="86">
        <f t="shared" si="1451"/>
        <v>0</v>
      </c>
      <c r="HR77" s="86">
        <f t="shared" si="1451"/>
        <v>0</v>
      </c>
      <c r="HS77" s="86">
        <f t="shared" si="1451"/>
        <v>0</v>
      </c>
      <c r="HT77" s="86">
        <f t="shared" si="1451"/>
        <v>0</v>
      </c>
      <c r="HU77" s="86">
        <f t="shared" si="1451"/>
        <v>0</v>
      </c>
      <c r="HV77" s="86">
        <f t="shared" si="1451"/>
        <v>0</v>
      </c>
      <c r="HW77" s="86">
        <f t="shared" si="1451"/>
        <v>0</v>
      </c>
      <c r="HX77" s="86">
        <f t="shared" si="1451"/>
        <v>0</v>
      </c>
      <c r="HY77" s="86">
        <f t="shared" si="1451"/>
        <v>0</v>
      </c>
      <c r="HZ77" s="86">
        <f t="shared" si="1451"/>
        <v>0</v>
      </c>
      <c r="IA77" s="87">
        <f t="shared" si="1415"/>
        <v>0</v>
      </c>
      <c r="IB77" s="86">
        <f>HZ77*(1+Inputs!$B$10)</f>
        <v>0</v>
      </c>
      <c r="IC77" s="86">
        <f t="shared" si="1452"/>
        <v>0</v>
      </c>
      <c r="ID77" s="86">
        <f t="shared" si="1452"/>
        <v>0</v>
      </c>
      <c r="IE77" s="86">
        <f t="shared" si="1452"/>
        <v>0</v>
      </c>
      <c r="IF77" s="86">
        <f t="shared" si="1452"/>
        <v>0</v>
      </c>
      <c r="IG77" s="86">
        <f t="shared" si="1452"/>
        <v>0</v>
      </c>
      <c r="IH77" s="86">
        <f t="shared" si="1452"/>
        <v>0</v>
      </c>
      <c r="II77" s="86">
        <f t="shared" si="1452"/>
        <v>0</v>
      </c>
      <c r="IJ77" s="86">
        <f t="shared" si="1452"/>
        <v>0</v>
      </c>
      <c r="IK77" s="86">
        <f t="shared" si="1452"/>
        <v>0</v>
      </c>
      <c r="IL77" s="86">
        <f t="shared" si="1452"/>
        <v>0</v>
      </c>
      <c r="IM77" s="86">
        <f t="shared" si="1452"/>
        <v>0</v>
      </c>
      <c r="IN77" s="87">
        <f t="shared" si="1416"/>
        <v>0</v>
      </c>
      <c r="IO77" s="86">
        <f>IM77*(1+Inputs!$B$10)</f>
        <v>0</v>
      </c>
      <c r="IP77" s="86">
        <f t="shared" si="1453"/>
        <v>0</v>
      </c>
      <c r="IQ77" s="86">
        <f t="shared" si="1453"/>
        <v>0</v>
      </c>
      <c r="IR77" s="86">
        <f t="shared" si="1453"/>
        <v>0</v>
      </c>
      <c r="IS77" s="86">
        <f t="shared" si="1453"/>
        <v>0</v>
      </c>
      <c r="IT77" s="86">
        <f t="shared" si="1453"/>
        <v>0</v>
      </c>
      <c r="IU77" s="86">
        <f t="shared" si="1453"/>
        <v>0</v>
      </c>
      <c r="IV77" s="86">
        <f t="shared" si="1453"/>
        <v>0</v>
      </c>
      <c r="IW77" s="86">
        <f t="shared" si="1453"/>
        <v>0</v>
      </c>
      <c r="IX77" s="86">
        <f t="shared" si="1453"/>
        <v>0</v>
      </c>
      <c r="IY77" s="86">
        <f t="shared" si="1453"/>
        <v>0</v>
      </c>
      <c r="IZ77" s="86">
        <f t="shared" si="1453"/>
        <v>0</v>
      </c>
      <c r="JA77" s="87">
        <f t="shared" si="1417"/>
        <v>0</v>
      </c>
      <c r="JB77" s="86">
        <f>IZ77*(1+Inputs!$B$10)</f>
        <v>0</v>
      </c>
      <c r="JC77" s="86">
        <f t="shared" si="1454"/>
        <v>0</v>
      </c>
      <c r="JD77" s="86">
        <f t="shared" si="1454"/>
        <v>0</v>
      </c>
      <c r="JE77" s="86">
        <f t="shared" si="1454"/>
        <v>0</v>
      </c>
      <c r="JF77" s="86">
        <f t="shared" si="1454"/>
        <v>0</v>
      </c>
      <c r="JG77" s="86">
        <f t="shared" si="1454"/>
        <v>0</v>
      </c>
      <c r="JH77" s="86">
        <f t="shared" si="1454"/>
        <v>0</v>
      </c>
      <c r="JI77" s="86">
        <f t="shared" si="1454"/>
        <v>0</v>
      </c>
      <c r="JJ77" s="86">
        <f t="shared" si="1454"/>
        <v>0</v>
      </c>
      <c r="JK77" s="86">
        <f t="shared" si="1454"/>
        <v>0</v>
      </c>
      <c r="JL77" s="86">
        <f t="shared" si="1454"/>
        <v>0</v>
      </c>
      <c r="JM77" s="86">
        <f t="shared" si="1454"/>
        <v>0</v>
      </c>
      <c r="JN77" s="87">
        <f t="shared" si="1418"/>
        <v>0</v>
      </c>
      <c r="JO77" s="86">
        <f>JM77*(1+Inputs!$B$10)</f>
        <v>0</v>
      </c>
      <c r="JP77" s="86">
        <f t="shared" si="1455"/>
        <v>0</v>
      </c>
      <c r="JQ77" s="86">
        <f t="shared" si="1455"/>
        <v>0</v>
      </c>
      <c r="JR77" s="86">
        <f t="shared" si="1455"/>
        <v>0</v>
      </c>
      <c r="JS77" s="86">
        <f t="shared" si="1455"/>
        <v>0</v>
      </c>
      <c r="JT77" s="86">
        <f t="shared" si="1455"/>
        <v>0</v>
      </c>
      <c r="JU77" s="86">
        <f t="shared" si="1455"/>
        <v>0</v>
      </c>
      <c r="JV77" s="86">
        <f t="shared" si="1455"/>
        <v>0</v>
      </c>
      <c r="JW77" s="86">
        <f t="shared" si="1455"/>
        <v>0</v>
      </c>
      <c r="JX77" s="86">
        <f t="shared" si="1455"/>
        <v>0</v>
      </c>
      <c r="JY77" s="86">
        <f t="shared" si="1455"/>
        <v>0</v>
      </c>
      <c r="JZ77" s="86">
        <f t="shared" si="1455"/>
        <v>0</v>
      </c>
      <c r="KA77" s="87">
        <f t="shared" si="1419"/>
        <v>0</v>
      </c>
      <c r="KB77" s="86">
        <f>JZ77*(1+Inputs!$B$10)</f>
        <v>0</v>
      </c>
      <c r="KC77" s="86">
        <f t="shared" si="1456"/>
        <v>0</v>
      </c>
      <c r="KD77" s="86">
        <f t="shared" si="1456"/>
        <v>0</v>
      </c>
      <c r="KE77" s="86">
        <f t="shared" si="1456"/>
        <v>0</v>
      </c>
      <c r="KF77" s="86">
        <f t="shared" si="1456"/>
        <v>0</v>
      </c>
      <c r="KG77" s="86">
        <f t="shared" si="1456"/>
        <v>0</v>
      </c>
      <c r="KH77" s="86">
        <f t="shared" si="1456"/>
        <v>0</v>
      </c>
      <c r="KI77" s="86">
        <f t="shared" si="1456"/>
        <v>0</v>
      </c>
      <c r="KJ77" s="86">
        <f t="shared" si="1456"/>
        <v>0</v>
      </c>
      <c r="KK77" s="86">
        <f t="shared" si="1456"/>
        <v>0</v>
      </c>
      <c r="KL77" s="86">
        <f t="shared" si="1456"/>
        <v>0</v>
      </c>
      <c r="KM77" s="86">
        <f t="shared" si="1456"/>
        <v>0</v>
      </c>
      <c r="KN77" s="87">
        <f t="shared" si="1457"/>
        <v>0</v>
      </c>
      <c r="KO77" s="86">
        <f>KM77*(1+Inputs!$B$10)</f>
        <v>0</v>
      </c>
      <c r="KP77" s="86">
        <f t="shared" si="1458"/>
        <v>0</v>
      </c>
      <c r="KQ77" s="86">
        <f t="shared" si="1458"/>
        <v>0</v>
      </c>
      <c r="KR77" s="86">
        <f t="shared" si="1458"/>
        <v>0</v>
      </c>
      <c r="KS77" s="86">
        <f t="shared" si="1458"/>
        <v>0</v>
      </c>
      <c r="KT77" s="86">
        <f t="shared" si="1458"/>
        <v>0</v>
      </c>
      <c r="KU77" s="86">
        <f t="shared" si="1458"/>
        <v>0</v>
      </c>
      <c r="KV77" s="86">
        <f t="shared" si="1458"/>
        <v>0</v>
      </c>
      <c r="KW77" s="86">
        <f t="shared" si="1458"/>
        <v>0</v>
      </c>
      <c r="KX77" s="86">
        <f t="shared" si="1458"/>
        <v>0</v>
      </c>
      <c r="KY77" s="86">
        <f t="shared" si="1458"/>
        <v>0</v>
      </c>
      <c r="KZ77" s="86">
        <f t="shared" si="1458"/>
        <v>0</v>
      </c>
      <c r="LA77" s="87">
        <f t="shared" si="1421"/>
        <v>0</v>
      </c>
      <c r="LB77" s="86">
        <f>KZ77*(1+Inputs!$B$10)</f>
        <v>0</v>
      </c>
      <c r="LC77" s="86">
        <f t="shared" si="1459"/>
        <v>0</v>
      </c>
      <c r="LD77" s="86">
        <f t="shared" si="1459"/>
        <v>0</v>
      </c>
      <c r="LE77" s="86">
        <f t="shared" si="1459"/>
        <v>0</v>
      </c>
      <c r="LF77" s="86">
        <f t="shared" si="1459"/>
        <v>0</v>
      </c>
      <c r="LG77" s="86">
        <f t="shared" si="1459"/>
        <v>0</v>
      </c>
      <c r="LH77" s="86">
        <f t="shared" si="1459"/>
        <v>0</v>
      </c>
      <c r="LI77" s="86">
        <f t="shared" si="1459"/>
        <v>0</v>
      </c>
      <c r="LJ77" s="86">
        <f t="shared" si="1459"/>
        <v>0</v>
      </c>
      <c r="LK77" s="86">
        <f t="shared" si="1459"/>
        <v>0</v>
      </c>
      <c r="LL77" s="86">
        <f t="shared" si="1459"/>
        <v>0</v>
      </c>
      <c r="LM77" s="86">
        <f t="shared" si="1459"/>
        <v>0</v>
      </c>
      <c r="LN77" s="87">
        <f t="shared" si="1422"/>
        <v>0</v>
      </c>
      <c r="LO77" s="86">
        <f>LM77*(1+Inputs!$B$10)</f>
        <v>0</v>
      </c>
      <c r="LP77" s="86">
        <f t="shared" si="1460"/>
        <v>0</v>
      </c>
      <c r="LQ77" s="86">
        <f t="shared" si="1460"/>
        <v>0</v>
      </c>
      <c r="LR77" s="86">
        <f t="shared" si="1460"/>
        <v>0</v>
      </c>
      <c r="LS77" s="86">
        <f t="shared" si="1460"/>
        <v>0</v>
      </c>
      <c r="LT77" s="86">
        <f t="shared" si="1460"/>
        <v>0</v>
      </c>
      <c r="LU77" s="86">
        <f t="shared" si="1460"/>
        <v>0</v>
      </c>
      <c r="LV77" s="86">
        <f t="shared" si="1460"/>
        <v>0</v>
      </c>
      <c r="LW77" s="86">
        <f t="shared" si="1460"/>
        <v>0</v>
      </c>
      <c r="LX77" s="86">
        <f t="shared" si="1460"/>
        <v>0</v>
      </c>
      <c r="LY77" s="86">
        <f t="shared" si="1460"/>
        <v>0</v>
      </c>
      <c r="LZ77" s="86">
        <f t="shared" si="1460"/>
        <v>0</v>
      </c>
      <c r="MA77" s="87">
        <f t="shared" si="1423"/>
        <v>0</v>
      </c>
      <c r="MB77" s="86">
        <f>LZ77*(1+Inputs!$B$10)</f>
        <v>0</v>
      </c>
      <c r="MC77" s="86">
        <f t="shared" si="1461"/>
        <v>0</v>
      </c>
      <c r="MD77" s="86">
        <f t="shared" si="1461"/>
        <v>0</v>
      </c>
      <c r="ME77" s="86">
        <f t="shared" si="1461"/>
        <v>0</v>
      </c>
      <c r="MF77" s="86">
        <f t="shared" si="1461"/>
        <v>0</v>
      </c>
      <c r="MG77" s="86">
        <f t="shared" si="1461"/>
        <v>0</v>
      </c>
      <c r="MH77" s="86">
        <f t="shared" si="1461"/>
        <v>0</v>
      </c>
      <c r="MI77" s="86">
        <f t="shared" si="1461"/>
        <v>0</v>
      </c>
      <c r="MJ77" s="86">
        <f t="shared" si="1461"/>
        <v>0</v>
      </c>
      <c r="MK77" s="86">
        <f t="shared" si="1461"/>
        <v>0</v>
      </c>
      <c r="ML77" s="86">
        <f t="shared" si="1461"/>
        <v>0</v>
      </c>
      <c r="MM77" s="86">
        <f t="shared" si="1461"/>
        <v>0</v>
      </c>
      <c r="MN77" s="87">
        <f t="shared" si="1424"/>
        <v>0</v>
      </c>
      <c r="MO77" s="86">
        <f>MM77*(1+Inputs!$B$10)</f>
        <v>0</v>
      </c>
      <c r="MP77" s="86">
        <f t="shared" si="1462"/>
        <v>0</v>
      </c>
      <c r="MQ77" s="86">
        <f t="shared" si="1462"/>
        <v>0</v>
      </c>
      <c r="MR77" s="86">
        <f t="shared" si="1462"/>
        <v>0</v>
      </c>
      <c r="MS77" s="86">
        <f t="shared" si="1462"/>
        <v>0</v>
      </c>
      <c r="MT77" s="86">
        <f t="shared" si="1462"/>
        <v>0</v>
      </c>
      <c r="MU77" s="86">
        <f t="shared" si="1462"/>
        <v>0</v>
      </c>
      <c r="MV77" s="86">
        <f t="shared" si="1462"/>
        <v>0</v>
      </c>
      <c r="MW77" s="86">
        <f t="shared" si="1462"/>
        <v>0</v>
      </c>
      <c r="MX77" s="86">
        <f t="shared" si="1462"/>
        <v>0</v>
      </c>
      <c r="MY77" s="86">
        <f t="shared" si="1462"/>
        <v>0</v>
      </c>
      <c r="MZ77" s="86">
        <f t="shared" si="1462"/>
        <v>0</v>
      </c>
      <c r="NA77" s="87">
        <f t="shared" si="1425"/>
        <v>0</v>
      </c>
      <c r="NB77" s="86">
        <f>MZ77*(1+Inputs!$B$10)</f>
        <v>0</v>
      </c>
      <c r="NC77" s="86">
        <f t="shared" si="1463"/>
        <v>0</v>
      </c>
      <c r="ND77" s="86">
        <f t="shared" si="1463"/>
        <v>0</v>
      </c>
      <c r="NE77" s="86">
        <f t="shared" si="1463"/>
        <v>0</v>
      </c>
      <c r="NF77" s="86">
        <f t="shared" si="1463"/>
        <v>0</v>
      </c>
      <c r="NG77" s="86">
        <f t="shared" si="1463"/>
        <v>0</v>
      </c>
      <c r="NH77" s="86">
        <f t="shared" si="1463"/>
        <v>0</v>
      </c>
      <c r="NI77" s="86">
        <f t="shared" si="1463"/>
        <v>0</v>
      </c>
      <c r="NJ77" s="86">
        <f t="shared" si="1463"/>
        <v>0</v>
      </c>
      <c r="NK77" s="86">
        <f t="shared" si="1463"/>
        <v>0</v>
      </c>
      <c r="NL77" s="86">
        <f t="shared" si="1463"/>
        <v>0</v>
      </c>
      <c r="NM77" s="86">
        <f t="shared" si="1463"/>
        <v>0</v>
      </c>
      <c r="NN77" s="87">
        <f t="shared" si="1426"/>
        <v>0</v>
      </c>
      <c r="NO77" s="86">
        <f>NM77*(1+Inputs!$B$10)</f>
        <v>0</v>
      </c>
      <c r="NP77" s="86">
        <f t="shared" si="1464"/>
        <v>0</v>
      </c>
      <c r="NQ77" s="86">
        <f t="shared" si="1464"/>
        <v>0</v>
      </c>
      <c r="NR77" s="86">
        <f t="shared" si="1464"/>
        <v>0</v>
      </c>
      <c r="NS77" s="86">
        <f t="shared" si="1464"/>
        <v>0</v>
      </c>
      <c r="NT77" s="86">
        <f t="shared" si="1464"/>
        <v>0</v>
      </c>
      <c r="NU77" s="86">
        <f t="shared" si="1464"/>
        <v>0</v>
      </c>
      <c r="NV77" s="86">
        <f t="shared" si="1464"/>
        <v>0</v>
      </c>
      <c r="NW77" s="86">
        <f t="shared" si="1464"/>
        <v>0</v>
      </c>
      <c r="NX77" s="86">
        <f t="shared" si="1464"/>
        <v>0</v>
      </c>
      <c r="NY77" s="86">
        <f t="shared" si="1464"/>
        <v>0</v>
      </c>
      <c r="NZ77" s="86">
        <f t="shared" si="1464"/>
        <v>0</v>
      </c>
      <c r="OA77" s="87">
        <f t="shared" si="1427"/>
        <v>0</v>
      </c>
      <c r="OB77" s="86">
        <f>NZ77*(1+Inputs!$B$10)</f>
        <v>0</v>
      </c>
      <c r="OC77" s="86">
        <f t="shared" si="1465"/>
        <v>0</v>
      </c>
      <c r="OD77" s="86">
        <f t="shared" si="1465"/>
        <v>0</v>
      </c>
      <c r="OE77" s="86">
        <f t="shared" si="1465"/>
        <v>0</v>
      </c>
      <c r="OF77" s="86">
        <f t="shared" si="1465"/>
        <v>0</v>
      </c>
      <c r="OG77" s="86">
        <f t="shared" si="1465"/>
        <v>0</v>
      </c>
      <c r="OH77" s="86">
        <f t="shared" si="1465"/>
        <v>0</v>
      </c>
      <c r="OI77" s="86">
        <f t="shared" si="1465"/>
        <v>0</v>
      </c>
      <c r="OJ77" s="86">
        <f t="shared" si="1465"/>
        <v>0</v>
      </c>
      <c r="OK77" s="86">
        <f t="shared" si="1465"/>
        <v>0</v>
      </c>
      <c r="OL77" s="86">
        <f t="shared" si="1465"/>
        <v>0</v>
      </c>
      <c r="OM77" s="86">
        <f t="shared" si="1465"/>
        <v>0</v>
      </c>
      <c r="ON77" s="87">
        <f t="shared" si="1428"/>
        <v>0</v>
      </c>
      <c r="OO77" s="86">
        <f>OM77*(1+Inputs!$B$10)</f>
        <v>0</v>
      </c>
      <c r="OP77" s="86">
        <f t="shared" si="1466"/>
        <v>0</v>
      </c>
      <c r="OQ77" s="86">
        <f t="shared" si="1466"/>
        <v>0</v>
      </c>
      <c r="OR77" s="86">
        <f t="shared" si="1466"/>
        <v>0</v>
      </c>
      <c r="OS77" s="86">
        <f t="shared" si="1466"/>
        <v>0</v>
      </c>
      <c r="OT77" s="86">
        <f t="shared" si="1466"/>
        <v>0</v>
      </c>
      <c r="OU77" s="86">
        <f t="shared" si="1466"/>
        <v>0</v>
      </c>
      <c r="OV77" s="86">
        <f t="shared" si="1466"/>
        <v>0</v>
      </c>
      <c r="OW77" s="86">
        <f t="shared" si="1466"/>
        <v>0</v>
      </c>
      <c r="OX77" s="86">
        <f t="shared" si="1466"/>
        <v>0</v>
      </c>
      <c r="OY77" s="86">
        <f t="shared" si="1466"/>
        <v>0</v>
      </c>
      <c r="OZ77" s="86">
        <f t="shared" si="1466"/>
        <v>0</v>
      </c>
      <c r="PA77" s="87">
        <f t="shared" si="1429"/>
        <v>0</v>
      </c>
      <c r="PB77" s="86">
        <f>OZ77*(1+Inputs!$B$10)</f>
        <v>0</v>
      </c>
      <c r="PC77" s="86">
        <f t="shared" si="1467"/>
        <v>0</v>
      </c>
      <c r="PD77" s="86">
        <f t="shared" si="1467"/>
        <v>0</v>
      </c>
      <c r="PE77" s="86">
        <f t="shared" si="1467"/>
        <v>0</v>
      </c>
      <c r="PF77" s="86">
        <f t="shared" si="1467"/>
        <v>0</v>
      </c>
      <c r="PG77" s="86">
        <f t="shared" si="1467"/>
        <v>0</v>
      </c>
      <c r="PH77" s="86">
        <f t="shared" si="1467"/>
        <v>0</v>
      </c>
      <c r="PI77" s="86">
        <f t="shared" si="1467"/>
        <v>0</v>
      </c>
      <c r="PJ77" s="86">
        <f t="shared" si="1467"/>
        <v>0</v>
      </c>
      <c r="PK77" s="86">
        <f t="shared" si="1467"/>
        <v>0</v>
      </c>
      <c r="PL77" s="86">
        <f t="shared" si="1467"/>
        <v>0</v>
      </c>
      <c r="PM77" s="86">
        <f t="shared" si="1467"/>
        <v>0</v>
      </c>
      <c r="PN77" s="87">
        <f t="shared" si="1430"/>
        <v>0</v>
      </c>
      <c r="PO77" s="86">
        <f>PM77*(1+Inputs!$B$10)</f>
        <v>0</v>
      </c>
      <c r="PP77" s="86">
        <f t="shared" si="1468"/>
        <v>0</v>
      </c>
      <c r="PQ77" s="86">
        <f t="shared" si="1468"/>
        <v>0</v>
      </c>
      <c r="PR77" s="86">
        <f t="shared" si="1468"/>
        <v>0</v>
      </c>
      <c r="PS77" s="86">
        <f t="shared" si="1468"/>
        <v>0</v>
      </c>
      <c r="PT77" s="86">
        <f t="shared" si="1468"/>
        <v>0</v>
      </c>
      <c r="PU77" s="86">
        <f t="shared" si="1468"/>
        <v>0</v>
      </c>
      <c r="PV77" s="86">
        <f t="shared" si="1468"/>
        <v>0</v>
      </c>
      <c r="PW77" s="86">
        <f t="shared" si="1468"/>
        <v>0</v>
      </c>
      <c r="PX77" s="86">
        <f t="shared" si="1468"/>
        <v>0</v>
      </c>
      <c r="PY77" s="86">
        <f t="shared" si="1468"/>
        <v>0</v>
      </c>
      <c r="PZ77" s="86">
        <f t="shared" si="1468"/>
        <v>0</v>
      </c>
      <c r="QA77" s="87">
        <f t="shared" si="1431"/>
        <v>0</v>
      </c>
      <c r="QB77" s="86">
        <f>PZ77*(1+Inputs!$B$10)</f>
        <v>0</v>
      </c>
      <c r="QC77" s="86">
        <f t="shared" si="1469"/>
        <v>0</v>
      </c>
      <c r="QD77" s="86">
        <f t="shared" si="1469"/>
        <v>0</v>
      </c>
      <c r="QE77" s="86">
        <f t="shared" si="1469"/>
        <v>0</v>
      </c>
      <c r="QF77" s="86">
        <f t="shared" si="1469"/>
        <v>0</v>
      </c>
      <c r="QG77" s="86">
        <f t="shared" si="1469"/>
        <v>0</v>
      </c>
      <c r="QH77" s="86">
        <f t="shared" si="1469"/>
        <v>0</v>
      </c>
      <c r="QI77" s="86">
        <f t="shared" si="1469"/>
        <v>0</v>
      </c>
      <c r="QJ77" s="86">
        <f t="shared" si="1469"/>
        <v>0</v>
      </c>
      <c r="QK77" s="86">
        <f t="shared" si="1469"/>
        <v>0</v>
      </c>
      <c r="QL77" s="86">
        <f t="shared" si="1469"/>
        <v>0</v>
      </c>
      <c r="QM77" s="86">
        <f t="shared" si="1469"/>
        <v>0</v>
      </c>
      <c r="QN77" s="87">
        <f t="shared" si="1432"/>
        <v>0</v>
      </c>
      <c r="QO77" s="86">
        <f>QM77*(1+Inputs!$B$10)</f>
        <v>0</v>
      </c>
      <c r="QP77" s="86">
        <f t="shared" si="1470"/>
        <v>0</v>
      </c>
      <c r="QQ77" s="86">
        <f t="shared" si="1470"/>
        <v>0</v>
      </c>
      <c r="QR77" s="86">
        <f t="shared" si="1470"/>
        <v>0</v>
      </c>
      <c r="QS77" s="86">
        <f t="shared" si="1470"/>
        <v>0</v>
      </c>
      <c r="QT77" s="86">
        <f t="shared" si="1470"/>
        <v>0</v>
      </c>
      <c r="QU77" s="86">
        <f t="shared" si="1470"/>
        <v>0</v>
      </c>
      <c r="QV77" s="86">
        <f t="shared" si="1470"/>
        <v>0</v>
      </c>
      <c r="QW77" s="86">
        <f t="shared" si="1470"/>
        <v>0</v>
      </c>
      <c r="QX77" s="86">
        <f t="shared" si="1470"/>
        <v>0</v>
      </c>
      <c r="QY77" s="86">
        <f t="shared" si="1470"/>
        <v>0</v>
      </c>
      <c r="QZ77" s="86">
        <f t="shared" si="1470"/>
        <v>0</v>
      </c>
      <c r="RA77" s="87">
        <f t="shared" si="1433"/>
        <v>0</v>
      </c>
      <c r="RB77" s="86">
        <f>QZ77*(1+Inputs!$B$10)</f>
        <v>0</v>
      </c>
      <c r="RC77" s="86">
        <f t="shared" si="1471"/>
        <v>0</v>
      </c>
      <c r="RD77" s="86">
        <f t="shared" si="1471"/>
        <v>0</v>
      </c>
      <c r="RE77" s="86">
        <f t="shared" si="1471"/>
        <v>0</v>
      </c>
      <c r="RF77" s="86">
        <f t="shared" si="1471"/>
        <v>0</v>
      </c>
      <c r="RG77" s="86">
        <f t="shared" si="1471"/>
        <v>0</v>
      </c>
      <c r="RH77" s="86">
        <f t="shared" si="1471"/>
        <v>0</v>
      </c>
      <c r="RI77" s="86">
        <f t="shared" si="1471"/>
        <v>0</v>
      </c>
      <c r="RJ77" s="86">
        <f t="shared" si="1471"/>
        <v>0</v>
      </c>
      <c r="RK77" s="86">
        <f t="shared" si="1471"/>
        <v>0</v>
      </c>
      <c r="RL77" s="86">
        <f t="shared" si="1471"/>
        <v>0</v>
      </c>
      <c r="RM77" s="86">
        <f t="shared" si="1471"/>
        <v>0</v>
      </c>
      <c r="RN77" s="87">
        <f t="shared" si="1434"/>
        <v>0</v>
      </c>
    </row>
    <row r="78" spans="1:560" outlineLevel="1" x14ac:dyDescent="0.3">
      <c r="A78" s="74" t="s">
        <v>281</v>
      </c>
      <c r="B78" s="90" t="e">
        <f>SUM(B72:B77)</f>
        <v>#N/A</v>
      </c>
      <c r="C78" s="90" t="e">
        <f t="shared" ref="C78:M78" si="1472">SUM(C72:C77)</f>
        <v>#N/A</v>
      </c>
      <c r="D78" s="90" t="e">
        <f t="shared" si="1472"/>
        <v>#N/A</v>
      </c>
      <c r="E78" s="90" t="e">
        <f t="shared" si="1472"/>
        <v>#N/A</v>
      </c>
      <c r="F78" s="90" t="e">
        <f t="shared" si="1472"/>
        <v>#N/A</v>
      </c>
      <c r="G78" s="90" t="e">
        <f t="shared" si="1472"/>
        <v>#N/A</v>
      </c>
      <c r="H78" s="90" t="e">
        <f t="shared" si="1472"/>
        <v>#N/A</v>
      </c>
      <c r="I78" s="90" t="e">
        <f t="shared" si="1472"/>
        <v>#N/A</v>
      </c>
      <c r="J78" s="90" t="e">
        <f t="shared" si="1472"/>
        <v>#N/A</v>
      </c>
      <c r="K78" s="90" t="e">
        <f t="shared" si="1472"/>
        <v>#N/A</v>
      </c>
      <c r="L78" s="90" t="e">
        <f t="shared" si="1472"/>
        <v>#N/A</v>
      </c>
      <c r="M78" s="90" t="e">
        <f t="shared" si="1472"/>
        <v>#N/A</v>
      </c>
      <c r="N78" s="91" t="e">
        <f t="shared" si="1289"/>
        <v>#N/A</v>
      </c>
      <c r="O78" s="90" t="e">
        <f>SUM(O72:O77)</f>
        <v>#N/A</v>
      </c>
      <c r="P78" s="90" t="e">
        <f t="shared" ref="P78:Z78" si="1473">SUM(P72:P77)</f>
        <v>#N/A</v>
      </c>
      <c r="Q78" s="90" t="e">
        <f t="shared" si="1473"/>
        <v>#N/A</v>
      </c>
      <c r="R78" s="90" t="e">
        <f t="shared" si="1473"/>
        <v>#N/A</v>
      </c>
      <c r="S78" s="90" t="e">
        <f t="shared" si="1473"/>
        <v>#N/A</v>
      </c>
      <c r="T78" s="90" t="e">
        <f t="shared" si="1473"/>
        <v>#N/A</v>
      </c>
      <c r="U78" s="90" t="e">
        <f t="shared" si="1473"/>
        <v>#N/A</v>
      </c>
      <c r="V78" s="90" t="e">
        <f t="shared" si="1473"/>
        <v>#N/A</v>
      </c>
      <c r="W78" s="90" t="e">
        <f t="shared" si="1473"/>
        <v>#N/A</v>
      </c>
      <c r="X78" s="90" t="e">
        <f t="shared" si="1473"/>
        <v>#N/A</v>
      </c>
      <c r="Y78" s="90" t="e">
        <f t="shared" si="1473"/>
        <v>#N/A</v>
      </c>
      <c r="Z78" s="90" t="e">
        <f t="shared" si="1473"/>
        <v>#N/A</v>
      </c>
      <c r="AA78" s="91" t="e">
        <f t="shared" si="1399"/>
        <v>#N/A</v>
      </c>
      <c r="AB78" s="90" t="e">
        <f>SUM(AB72:AB77)</f>
        <v>#N/A</v>
      </c>
      <c r="AC78" s="90" t="e">
        <f t="shared" ref="AC78:AM78" si="1474">SUM(AC72:AC77)</f>
        <v>#N/A</v>
      </c>
      <c r="AD78" s="90" t="e">
        <f t="shared" si="1474"/>
        <v>#N/A</v>
      </c>
      <c r="AE78" s="90" t="e">
        <f t="shared" si="1474"/>
        <v>#N/A</v>
      </c>
      <c r="AF78" s="90" t="e">
        <f t="shared" si="1474"/>
        <v>#N/A</v>
      </c>
      <c r="AG78" s="90" t="e">
        <f t="shared" si="1474"/>
        <v>#N/A</v>
      </c>
      <c r="AH78" s="90" t="e">
        <f t="shared" si="1474"/>
        <v>#N/A</v>
      </c>
      <c r="AI78" s="90" t="e">
        <f t="shared" si="1474"/>
        <v>#N/A</v>
      </c>
      <c r="AJ78" s="90" t="e">
        <f t="shared" si="1474"/>
        <v>#N/A</v>
      </c>
      <c r="AK78" s="90" t="e">
        <f t="shared" si="1474"/>
        <v>#N/A</v>
      </c>
      <c r="AL78" s="90" t="e">
        <f t="shared" si="1474"/>
        <v>#N/A</v>
      </c>
      <c r="AM78" s="90" t="e">
        <f t="shared" si="1474"/>
        <v>#N/A</v>
      </c>
      <c r="AN78" s="91" t="e">
        <f t="shared" si="1400"/>
        <v>#N/A</v>
      </c>
      <c r="AO78" s="90" t="e">
        <f>SUM(AO72:AO77)</f>
        <v>#N/A</v>
      </c>
      <c r="AP78" s="90" t="e">
        <f t="shared" ref="AP78:AZ78" si="1475">SUM(AP72:AP77)</f>
        <v>#N/A</v>
      </c>
      <c r="AQ78" s="90" t="e">
        <f t="shared" si="1475"/>
        <v>#N/A</v>
      </c>
      <c r="AR78" s="90" t="e">
        <f t="shared" si="1475"/>
        <v>#N/A</v>
      </c>
      <c r="AS78" s="90" t="e">
        <f t="shared" si="1475"/>
        <v>#N/A</v>
      </c>
      <c r="AT78" s="90" t="e">
        <f t="shared" si="1475"/>
        <v>#N/A</v>
      </c>
      <c r="AU78" s="90" t="e">
        <f t="shared" si="1475"/>
        <v>#N/A</v>
      </c>
      <c r="AV78" s="90" t="e">
        <f t="shared" si="1475"/>
        <v>#N/A</v>
      </c>
      <c r="AW78" s="90" t="e">
        <f t="shared" si="1475"/>
        <v>#N/A</v>
      </c>
      <c r="AX78" s="90" t="e">
        <f t="shared" si="1475"/>
        <v>#N/A</v>
      </c>
      <c r="AY78" s="90" t="e">
        <f t="shared" si="1475"/>
        <v>#N/A</v>
      </c>
      <c r="AZ78" s="90" t="e">
        <f t="shared" si="1475"/>
        <v>#N/A</v>
      </c>
      <c r="BA78" s="91" t="e">
        <f t="shared" si="1401"/>
        <v>#N/A</v>
      </c>
      <c r="BB78" s="90" t="e">
        <f>SUM(BB72:BB77)</f>
        <v>#N/A</v>
      </c>
      <c r="BC78" s="90" t="e">
        <f t="shared" ref="BC78:BM78" si="1476">SUM(BC72:BC77)</f>
        <v>#N/A</v>
      </c>
      <c r="BD78" s="90" t="e">
        <f t="shared" si="1476"/>
        <v>#N/A</v>
      </c>
      <c r="BE78" s="90" t="e">
        <f t="shared" si="1476"/>
        <v>#N/A</v>
      </c>
      <c r="BF78" s="90" t="e">
        <f t="shared" si="1476"/>
        <v>#N/A</v>
      </c>
      <c r="BG78" s="90" t="e">
        <f t="shared" si="1476"/>
        <v>#N/A</v>
      </c>
      <c r="BH78" s="90" t="e">
        <f t="shared" si="1476"/>
        <v>#N/A</v>
      </c>
      <c r="BI78" s="90" t="e">
        <f t="shared" si="1476"/>
        <v>#N/A</v>
      </c>
      <c r="BJ78" s="90" t="e">
        <f t="shared" si="1476"/>
        <v>#N/A</v>
      </c>
      <c r="BK78" s="90" t="e">
        <f t="shared" si="1476"/>
        <v>#N/A</v>
      </c>
      <c r="BL78" s="90" t="e">
        <f t="shared" si="1476"/>
        <v>#N/A</v>
      </c>
      <c r="BM78" s="90" t="e">
        <f t="shared" si="1476"/>
        <v>#N/A</v>
      </c>
      <c r="BN78" s="91" t="e">
        <f t="shared" si="1402"/>
        <v>#N/A</v>
      </c>
      <c r="BO78" s="90" t="e">
        <f>SUM(BO72:BO77)</f>
        <v>#N/A</v>
      </c>
      <c r="BP78" s="90" t="e">
        <f t="shared" ref="BP78:BZ78" si="1477">SUM(BP72:BP77)</f>
        <v>#N/A</v>
      </c>
      <c r="BQ78" s="90" t="e">
        <f t="shared" si="1477"/>
        <v>#N/A</v>
      </c>
      <c r="BR78" s="90" t="e">
        <f t="shared" si="1477"/>
        <v>#N/A</v>
      </c>
      <c r="BS78" s="90" t="e">
        <f t="shared" si="1477"/>
        <v>#N/A</v>
      </c>
      <c r="BT78" s="90" t="e">
        <f t="shared" si="1477"/>
        <v>#N/A</v>
      </c>
      <c r="BU78" s="90" t="e">
        <f t="shared" si="1477"/>
        <v>#N/A</v>
      </c>
      <c r="BV78" s="90" t="e">
        <f t="shared" si="1477"/>
        <v>#N/A</v>
      </c>
      <c r="BW78" s="90" t="e">
        <f t="shared" si="1477"/>
        <v>#N/A</v>
      </c>
      <c r="BX78" s="90" t="e">
        <f t="shared" si="1477"/>
        <v>#N/A</v>
      </c>
      <c r="BY78" s="90" t="e">
        <f t="shared" si="1477"/>
        <v>#N/A</v>
      </c>
      <c r="BZ78" s="90" t="e">
        <f t="shared" si="1477"/>
        <v>#N/A</v>
      </c>
      <c r="CA78" s="91" t="e">
        <f t="shared" si="1403"/>
        <v>#N/A</v>
      </c>
      <c r="CB78" s="90" t="e">
        <f>SUM(CB72:CB77)</f>
        <v>#N/A</v>
      </c>
      <c r="CC78" s="90" t="e">
        <f t="shared" ref="CC78:CM78" si="1478">SUM(CC72:CC77)</f>
        <v>#N/A</v>
      </c>
      <c r="CD78" s="90" t="e">
        <f t="shared" si="1478"/>
        <v>#N/A</v>
      </c>
      <c r="CE78" s="90" t="e">
        <f t="shared" si="1478"/>
        <v>#N/A</v>
      </c>
      <c r="CF78" s="90" t="e">
        <f t="shared" si="1478"/>
        <v>#N/A</v>
      </c>
      <c r="CG78" s="90" t="e">
        <f t="shared" si="1478"/>
        <v>#N/A</v>
      </c>
      <c r="CH78" s="90" t="e">
        <f t="shared" si="1478"/>
        <v>#N/A</v>
      </c>
      <c r="CI78" s="90" t="e">
        <f t="shared" si="1478"/>
        <v>#N/A</v>
      </c>
      <c r="CJ78" s="90" t="e">
        <f t="shared" si="1478"/>
        <v>#N/A</v>
      </c>
      <c r="CK78" s="90" t="e">
        <f t="shared" si="1478"/>
        <v>#N/A</v>
      </c>
      <c r="CL78" s="90" t="e">
        <f t="shared" si="1478"/>
        <v>#N/A</v>
      </c>
      <c r="CM78" s="90" t="e">
        <f t="shared" si="1478"/>
        <v>#N/A</v>
      </c>
      <c r="CN78" s="91" t="e">
        <f t="shared" si="1404"/>
        <v>#N/A</v>
      </c>
      <c r="CO78" s="90" t="e">
        <f>SUM(CO72:CO77)</f>
        <v>#N/A</v>
      </c>
      <c r="CP78" s="90" t="e">
        <f t="shared" ref="CP78:CZ78" si="1479">SUM(CP72:CP77)</f>
        <v>#N/A</v>
      </c>
      <c r="CQ78" s="90" t="e">
        <f t="shared" si="1479"/>
        <v>#N/A</v>
      </c>
      <c r="CR78" s="90" t="e">
        <f t="shared" si="1479"/>
        <v>#N/A</v>
      </c>
      <c r="CS78" s="90" t="e">
        <f t="shared" si="1479"/>
        <v>#N/A</v>
      </c>
      <c r="CT78" s="90" t="e">
        <f t="shared" si="1479"/>
        <v>#N/A</v>
      </c>
      <c r="CU78" s="90" t="e">
        <f t="shared" si="1479"/>
        <v>#N/A</v>
      </c>
      <c r="CV78" s="90" t="e">
        <f t="shared" si="1479"/>
        <v>#N/A</v>
      </c>
      <c r="CW78" s="90" t="e">
        <f t="shared" si="1479"/>
        <v>#N/A</v>
      </c>
      <c r="CX78" s="90" t="e">
        <f t="shared" si="1479"/>
        <v>#N/A</v>
      </c>
      <c r="CY78" s="90" t="e">
        <f t="shared" si="1479"/>
        <v>#N/A</v>
      </c>
      <c r="CZ78" s="90" t="e">
        <f t="shared" si="1479"/>
        <v>#N/A</v>
      </c>
      <c r="DA78" s="91" t="e">
        <f t="shared" si="1405"/>
        <v>#N/A</v>
      </c>
      <c r="DB78" s="90" t="e">
        <f>SUM(DB72:DB77)</f>
        <v>#N/A</v>
      </c>
      <c r="DC78" s="90" t="e">
        <f t="shared" ref="DC78:DM78" si="1480">SUM(DC72:DC77)</f>
        <v>#N/A</v>
      </c>
      <c r="DD78" s="90" t="e">
        <f t="shared" si="1480"/>
        <v>#N/A</v>
      </c>
      <c r="DE78" s="90" t="e">
        <f t="shared" si="1480"/>
        <v>#N/A</v>
      </c>
      <c r="DF78" s="90" t="e">
        <f t="shared" si="1480"/>
        <v>#N/A</v>
      </c>
      <c r="DG78" s="90" t="e">
        <f t="shared" si="1480"/>
        <v>#N/A</v>
      </c>
      <c r="DH78" s="90" t="e">
        <f t="shared" si="1480"/>
        <v>#N/A</v>
      </c>
      <c r="DI78" s="90" t="e">
        <f t="shared" si="1480"/>
        <v>#N/A</v>
      </c>
      <c r="DJ78" s="90" t="e">
        <f t="shared" si="1480"/>
        <v>#N/A</v>
      </c>
      <c r="DK78" s="90" t="e">
        <f t="shared" si="1480"/>
        <v>#N/A</v>
      </c>
      <c r="DL78" s="90" t="e">
        <f t="shared" si="1480"/>
        <v>#N/A</v>
      </c>
      <c r="DM78" s="90" t="e">
        <f t="shared" si="1480"/>
        <v>#N/A</v>
      </c>
      <c r="DN78" s="91" t="e">
        <f t="shared" si="1406"/>
        <v>#N/A</v>
      </c>
      <c r="DO78" s="90" t="e">
        <f>SUM(DO72:DO77)</f>
        <v>#N/A</v>
      </c>
      <c r="DP78" s="90" t="e">
        <f t="shared" ref="DP78:DZ78" si="1481">SUM(DP72:DP77)</f>
        <v>#N/A</v>
      </c>
      <c r="DQ78" s="90" t="e">
        <f t="shared" si="1481"/>
        <v>#N/A</v>
      </c>
      <c r="DR78" s="90" t="e">
        <f t="shared" si="1481"/>
        <v>#N/A</v>
      </c>
      <c r="DS78" s="90" t="e">
        <f t="shared" si="1481"/>
        <v>#N/A</v>
      </c>
      <c r="DT78" s="90" t="e">
        <f t="shared" si="1481"/>
        <v>#N/A</v>
      </c>
      <c r="DU78" s="90" t="e">
        <f t="shared" si="1481"/>
        <v>#N/A</v>
      </c>
      <c r="DV78" s="90" t="e">
        <f t="shared" si="1481"/>
        <v>#N/A</v>
      </c>
      <c r="DW78" s="90" t="e">
        <f t="shared" si="1481"/>
        <v>#N/A</v>
      </c>
      <c r="DX78" s="90" t="e">
        <f t="shared" si="1481"/>
        <v>#N/A</v>
      </c>
      <c r="DY78" s="90" t="e">
        <f t="shared" si="1481"/>
        <v>#N/A</v>
      </c>
      <c r="DZ78" s="90" t="e">
        <f t="shared" si="1481"/>
        <v>#N/A</v>
      </c>
      <c r="EA78" s="91" t="e">
        <f t="shared" si="1407"/>
        <v>#N/A</v>
      </c>
      <c r="EB78" s="90" t="e">
        <f>SUM(EB72:EB77)</f>
        <v>#N/A</v>
      </c>
      <c r="EC78" s="90" t="e">
        <f t="shared" ref="EC78:EM78" si="1482">SUM(EC72:EC77)</f>
        <v>#N/A</v>
      </c>
      <c r="ED78" s="90" t="e">
        <f t="shared" si="1482"/>
        <v>#N/A</v>
      </c>
      <c r="EE78" s="90" t="e">
        <f t="shared" si="1482"/>
        <v>#N/A</v>
      </c>
      <c r="EF78" s="90" t="e">
        <f t="shared" si="1482"/>
        <v>#N/A</v>
      </c>
      <c r="EG78" s="90" t="e">
        <f t="shared" si="1482"/>
        <v>#N/A</v>
      </c>
      <c r="EH78" s="90" t="e">
        <f t="shared" si="1482"/>
        <v>#N/A</v>
      </c>
      <c r="EI78" s="90" t="e">
        <f t="shared" si="1482"/>
        <v>#N/A</v>
      </c>
      <c r="EJ78" s="90" t="e">
        <f t="shared" si="1482"/>
        <v>#N/A</v>
      </c>
      <c r="EK78" s="90" t="e">
        <f t="shared" si="1482"/>
        <v>#N/A</v>
      </c>
      <c r="EL78" s="90" t="e">
        <f t="shared" si="1482"/>
        <v>#N/A</v>
      </c>
      <c r="EM78" s="90" t="e">
        <f t="shared" si="1482"/>
        <v>#N/A</v>
      </c>
      <c r="EN78" s="91" t="e">
        <f t="shared" si="1408"/>
        <v>#N/A</v>
      </c>
      <c r="EO78" s="90" t="e">
        <f>SUM(EO72:EO77)</f>
        <v>#N/A</v>
      </c>
      <c r="EP78" s="90" t="e">
        <f t="shared" ref="EP78:EZ78" si="1483">SUM(EP72:EP77)</f>
        <v>#N/A</v>
      </c>
      <c r="EQ78" s="90" t="e">
        <f t="shared" si="1483"/>
        <v>#N/A</v>
      </c>
      <c r="ER78" s="90" t="e">
        <f t="shared" si="1483"/>
        <v>#N/A</v>
      </c>
      <c r="ES78" s="90" t="e">
        <f t="shared" si="1483"/>
        <v>#N/A</v>
      </c>
      <c r="ET78" s="90" t="e">
        <f t="shared" si="1483"/>
        <v>#N/A</v>
      </c>
      <c r="EU78" s="90" t="e">
        <f t="shared" si="1483"/>
        <v>#N/A</v>
      </c>
      <c r="EV78" s="90" t="e">
        <f t="shared" si="1483"/>
        <v>#N/A</v>
      </c>
      <c r="EW78" s="90" t="e">
        <f t="shared" si="1483"/>
        <v>#N/A</v>
      </c>
      <c r="EX78" s="90" t="e">
        <f t="shared" si="1483"/>
        <v>#N/A</v>
      </c>
      <c r="EY78" s="90" t="e">
        <f t="shared" si="1483"/>
        <v>#N/A</v>
      </c>
      <c r="EZ78" s="90" t="e">
        <f t="shared" si="1483"/>
        <v>#N/A</v>
      </c>
      <c r="FA78" s="91" t="e">
        <f t="shared" si="1409"/>
        <v>#N/A</v>
      </c>
      <c r="FB78" s="90" t="e">
        <f>SUM(FB72:FB77)</f>
        <v>#N/A</v>
      </c>
      <c r="FC78" s="90" t="e">
        <f t="shared" ref="FC78:FM78" si="1484">SUM(FC72:FC77)</f>
        <v>#N/A</v>
      </c>
      <c r="FD78" s="90" t="e">
        <f t="shared" si="1484"/>
        <v>#N/A</v>
      </c>
      <c r="FE78" s="90" t="e">
        <f t="shared" si="1484"/>
        <v>#N/A</v>
      </c>
      <c r="FF78" s="90" t="e">
        <f t="shared" si="1484"/>
        <v>#N/A</v>
      </c>
      <c r="FG78" s="90" t="e">
        <f t="shared" si="1484"/>
        <v>#N/A</v>
      </c>
      <c r="FH78" s="90" t="e">
        <f t="shared" si="1484"/>
        <v>#N/A</v>
      </c>
      <c r="FI78" s="90" t="e">
        <f t="shared" si="1484"/>
        <v>#N/A</v>
      </c>
      <c r="FJ78" s="90" t="e">
        <f t="shared" si="1484"/>
        <v>#N/A</v>
      </c>
      <c r="FK78" s="90" t="e">
        <f t="shared" si="1484"/>
        <v>#N/A</v>
      </c>
      <c r="FL78" s="90" t="e">
        <f t="shared" si="1484"/>
        <v>#N/A</v>
      </c>
      <c r="FM78" s="90" t="e">
        <f t="shared" si="1484"/>
        <v>#N/A</v>
      </c>
      <c r="FN78" s="91" t="e">
        <f t="shared" si="1410"/>
        <v>#N/A</v>
      </c>
      <c r="FO78" s="90" t="e">
        <f>SUM(FO72:FO77)</f>
        <v>#N/A</v>
      </c>
      <c r="FP78" s="90" t="e">
        <f t="shared" ref="FP78:FZ78" si="1485">SUM(FP72:FP77)</f>
        <v>#N/A</v>
      </c>
      <c r="FQ78" s="90" t="e">
        <f t="shared" si="1485"/>
        <v>#N/A</v>
      </c>
      <c r="FR78" s="90" t="e">
        <f t="shared" si="1485"/>
        <v>#N/A</v>
      </c>
      <c r="FS78" s="90" t="e">
        <f t="shared" si="1485"/>
        <v>#N/A</v>
      </c>
      <c r="FT78" s="90" t="e">
        <f t="shared" si="1485"/>
        <v>#N/A</v>
      </c>
      <c r="FU78" s="90" t="e">
        <f t="shared" si="1485"/>
        <v>#N/A</v>
      </c>
      <c r="FV78" s="90" t="e">
        <f t="shared" si="1485"/>
        <v>#N/A</v>
      </c>
      <c r="FW78" s="90" t="e">
        <f t="shared" si="1485"/>
        <v>#N/A</v>
      </c>
      <c r="FX78" s="90" t="e">
        <f t="shared" si="1485"/>
        <v>#N/A</v>
      </c>
      <c r="FY78" s="90" t="e">
        <f t="shared" si="1485"/>
        <v>#N/A</v>
      </c>
      <c r="FZ78" s="90" t="e">
        <f t="shared" si="1485"/>
        <v>#N/A</v>
      </c>
      <c r="GA78" s="91" t="e">
        <f t="shared" si="1411"/>
        <v>#N/A</v>
      </c>
      <c r="GB78" s="90" t="e">
        <f>SUM(GB72:GB77)</f>
        <v>#N/A</v>
      </c>
      <c r="GC78" s="90" t="e">
        <f t="shared" ref="GC78:GM78" si="1486">SUM(GC72:GC77)</f>
        <v>#N/A</v>
      </c>
      <c r="GD78" s="90" t="e">
        <f t="shared" si="1486"/>
        <v>#N/A</v>
      </c>
      <c r="GE78" s="90" t="e">
        <f t="shared" si="1486"/>
        <v>#N/A</v>
      </c>
      <c r="GF78" s="90" t="e">
        <f t="shared" si="1486"/>
        <v>#N/A</v>
      </c>
      <c r="GG78" s="90" t="e">
        <f t="shared" si="1486"/>
        <v>#N/A</v>
      </c>
      <c r="GH78" s="90" t="e">
        <f t="shared" si="1486"/>
        <v>#N/A</v>
      </c>
      <c r="GI78" s="90" t="e">
        <f t="shared" si="1486"/>
        <v>#N/A</v>
      </c>
      <c r="GJ78" s="90" t="e">
        <f t="shared" si="1486"/>
        <v>#N/A</v>
      </c>
      <c r="GK78" s="90" t="e">
        <f t="shared" si="1486"/>
        <v>#N/A</v>
      </c>
      <c r="GL78" s="90" t="e">
        <f t="shared" si="1486"/>
        <v>#N/A</v>
      </c>
      <c r="GM78" s="90" t="e">
        <f t="shared" si="1486"/>
        <v>#N/A</v>
      </c>
      <c r="GN78" s="91" t="e">
        <f t="shared" si="1412"/>
        <v>#N/A</v>
      </c>
      <c r="GO78" s="90" t="e">
        <f>SUM(GO72:GO77)</f>
        <v>#N/A</v>
      </c>
      <c r="GP78" s="90" t="e">
        <f t="shared" ref="GP78:GZ78" si="1487">SUM(GP72:GP77)</f>
        <v>#N/A</v>
      </c>
      <c r="GQ78" s="90" t="e">
        <f t="shared" si="1487"/>
        <v>#N/A</v>
      </c>
      <c r="GR78" s="90" t="e">
        <f t="shared" si="1487"/>
        <v>#N/A</v>
      </c>
      <c r="GS78" s="90" t="e">
        <f t="shared" si="1487"/>
        <v>#N/A</v>
      </c>
      <c r="GT78" s="90" t="e">
        <f t="shared" si="1487"/>
        <v>#N/A</v>
      </c>
      <c r="GU78" s="90" t="e">
        <f t="shared" si="1487"/>
        <v>#N/A</v>
      </c>
      <c r="GV78" s="90" t="e">
        <f t="shared" si="1487"/>
        <v>#N/A</v>
      </c>
      <c r="GW78" s="90" t="e">
        <f t="shared" si="1487"/>
        <v>#N/A</v>
      </c>
      <c r="GX78" s="90" t="e">
        <f t="shared" si="1487"/>
        <v>#N/A</v>
      </c>
      <c r="GY78" s="90" t="e">
        <f t="shared" si="1487"/>
        <v>#N/A</v>
      </c>
      <c r="GZ78" s="90" t="e">
        <f t="shared" si="1487"/>
        <v>#N/A</v>
      </c>
      <c r="HA78" s="91" t="e">
        <f t="shared" si="1413"/>
        <v>#N/A</v>
      </c>
      <c r="HB78" s="90" t="e">
        <f>SUM(HB72:HB77)</f>
        <v>#N/A</v>
      </c>
      <c r="HC78" s="90" t="e">
        <f t="shared" ref="HC78:HM78" si="1488">SUM(HC72:HC77)</f>
        <v>#N/A</v>
      </c>
      <c r="HD78" s="90" t="e">
        <f t="shared" si="1488"/>
        <v>#N/A</v>
      </c>
      <c r="HE78" s="90" t="e">
        <f t="shared" si="1488"/>
        <v>#N/A</v>
      </c>
      <c r="HF78" s="90" t="e">
        <f t="shared" si="1488"/>
        <v>#N/A</v>
      </c>
      <c r="HG78" s="90" t="e">
        <f t="shared" si="1488"/>
        <v>#N/A</v>
      </c>
      <c r="HH78" s="90" t="e">
        <f t="shared" si="1488"/>
        <v>#N/A</v>
      </c>
      <c r="HI78" s="90" t="e">
        <f t="shared" si="1488"/>
        <v>#N/A</v>
      </c>
      <c r="HJ78" s="90" t="e">
        <f t="shared" si="1488"/>
        <v>#N/A</v>
      </c>
      <c r="HK78" s="90" t="e">
        <f t="shared" si="1488"/>
        <v>#N/A</v>
      </c>
      <c r="HL78" s="90" t="e">
        <f t="shared" si="1488"/>
        <v>#N/A</v>
      </c>
      <c r="HM78" s="90" t="e">
        <f t="shared" si="1488"/>
        <v>#N/A</v>
      </c>
      <c r="HN78" s="91" t="e">
        <f t="shared" si="1414"/>
        <v>#N/A</v>
      </c>
      <c r="HO78" s="90" t="e">
        <f>SUM(HO72:HO77)</f>
        <v>#N/A</v>
      </c>
      <c r="HP78" s="90" t="e">
        <f t="shared" ref="HP78:HZ78" si="1489">SUM(HP72:HP77)</f>
        <v>#N/A</v>
      </c>
      <c r="HQ78" s="90" t="e">
        <f t="shared" si="1489"/>
        <v>#N/A</v>
      </c>
      <c r="HR78" s="90" t="e">
        <f t="shared" si="1489"/>
        <v>#N/A</v>
      </c>
      <c r="HS78" s="90" t="e">
        <f t="shared" si="1489"/>
        <v>#N/A</v>
      </c>
      <c r="HT78" s="90" t="e">
        <f t="shared" si="1489"/>
        <v>#N/A</v>
      </c>
      <c r="HU78" s="90" t="e">
        <f t="shared" si="1489"/>
        <v>#N/A</v>
      </c>
      <c r="HV78" s="90" t="e">
        <f t="shared" si="1489"/>
        <v>#N/A</v>
      </c>
      <c r="HW78" s="90" t="e">
        <f t="shared" si="1489"/>
        <v>#N/A</v>
      </c>
      <c r="HX78" s="90" t="e">
        <f t="shared" si="1489"/>
        <v>#N/A</v>
      </c>
      <c r="HY78" s="90" t="e">
        <f t="shared" si="1489"/>
        <v>#N/A</v>
      </c>
      <c r="HZ78" s="90" t="e">
        <f t="shared" si="1489"/>
        <v>#N/A</v>
      </c>
      <c r="IA78" s="91" t="e">
        <f t="shared" si="1415"/>
        <v>#N/A</v>
      </c>
      <c r="IB78" s="90" t="e">
        <f>SUM(IB72:IB77)</f>
        <v>#N/A</v>
      </c>
      <c r="IC78" s="90" t="e">
        <f t="shared" ref="IC78:IM78" si="1490">SUM(IC72:IC77)</f>
        <v>#N/A</v>
      </c>
      <c r="ID78" s="90" t="e">
        <f t="shared" si="1490"/>
        <v>#N/A</v>
      </c>
      <c r="IE78" s="90" t="e">
        <f t="shared" si="1490"/>
        <v>#N/A</v>
      </c>
      <c r="IF78" s="90" t="e">
        <f t="shared" si="1490"/>
        <v>#N/A</v>
      </c>
      <c r="IG78" s="90" t="e">
        <f t="shared" si="1490"/>
        <v>#N/A</v>
      </c>
      <c r="IH78" s="90" t="e">
        <f t="shared" si="1490"/>
        <v>#N/A</v>
      </c>
      <c r="II78" s="90" t="e">
        <f t="shared" si="1490"/>
        <v>#N/A</v>
      </c>
      <c r="IJ78" s="90" t="e">
        <f t="shared" si="1490"/>
        <v>#N/A</v>
      </c>
      <c r="IK78" s="90" t="e">
        <f t="shared" si="1490"/>
        <v>#N/A</v>
      </c>
      <c r="IL78" s="90" t="e">
        <f t="shared" si="1490"/>
        <v>#N/A</v>
      </c>
      <c r="IM78" s="90" t="e">
        <f t="shared" si="1490"/>
        <v>#N/A</v>
      </c>
      <c r="IN78" s="91" t="e">
        <f t="shared" si="1416"/>
        <v>#N/A</v>
      </c>
      <c r="IO78" s="90" t="e">
        <f>SUM(IO72:IO77)</f>
        <v>#N/A</v>
      </c>
      <c r="IP78" s="90" t="e">
        <f t="shared" ref="IP78:IZ78" si="1491">SUM(IP72:IP77)</f>
        <v>#N/A</v>
      </c>
      <c r="IQ78" s="90" t="e">
        <f t="shared" si="1491"/>
        <v>#N/A</v>
      </c>
      <c r="IR78" s="90" t="e">
        <f t="shared" si="1491"/>
        <v>#N/A</v>
      </c>
      <c r="IS78" s="90" t="e">
        <f t="shared" si="1491"/>
        <v>#N/A</v>
      </c>
      <c r="IT78" s="90" t="e">
        <f t="shared" si="1491"/>
        <v>#N/A</v>
      </c>
      <c r="IU78" s="90" t="e">
        <f t="shared" si="1491"/>
        <v>#N/A</v>
      </c>
      <c r="IV78" s="90" t="e">
        <f t="shared" si="1491"/>
        <v>#N/A</v>
      </c>
      <c r="IW78" s="90" t="e">
        <f t="shared" si="1491"/>
        <v>#N/A</v>
      </c>
      <c r="IX78" s="90" t="e">
        <f t="shared" si="1491"/>
        <v>#N/A</v>
      </c>
      <c r="IY78" s="90" t="e">
        <f t="shared" si="1491"/>
        <v>#N/A</v>
      </c>
      <c r="IZ78" s="90" t="e">
        <f t="shared" si="1491"/>
        <v>#N/A</v>
      </c>
      <c r="JA78" s="91" t="e">
        <f t="shared" si="1417"/>
        <v>#N/A</v>
      </c>
      <c r="JB78" s="90" t="e">
        <f>SUM(JB72:JB77)</f>
        <v>#N/A</v>
      </c>
      <c r="JC78" s="90" t="e">
        <f t="shared" ref="JC78:JM78" si="1492">SUM(JC72:JC77)</f>
        <v>#N/A</v>
      </c>
      <c r="JD78" s="90" t="e">
        <f t="shared" si="1492"/>
        <v>#N/A</v>
      </c>
      <c r="JE78" s="90" t="e">
        <f t="shared" si="1492"/>
        <v>#N/A</v>
      </c>
      <c r="JF78" s="90" t="e">
        <f t="shared" si="1492"/>
        <v>#N/A</v>
      </c>
      <c r="JG78" s="90" t="e">
        <f t="shared" si="1492"/>
        <v>#N/A</v>
      </c>
      <c r="JH78" s="90" t="e">
        <f t="shared" si="1492"/>
        <v>#N/A</v>
      </c>
      <c r="JI78" s="90" t="e">
        <f t="shared" si="1492"/>
        <v>#N/A</v>
      </c>
      <c r="JJ78" s="90" t="e">
        <f t="shared" si="1492"/>
        <v>#N/A</v>
      </c>
      <c r="JK78" s="90" t="e">
        <f t="shared" si="1492"/>
        <v>#N/A</v>
      </c>
      <c r="JL78" s="90" t="e">
        <f t="shared" si="1492"/>
        <v>#N/A</v>
      </c>
      <c r="JM78" s="90" t="e">
        <f t="shared" si="1492"/>
        <v>#N/A</v>
      </c>
      <c r="JN78" s="91" t="e">
        <f t="shared" si="1418"/>
        <v>#N/A</v>
      </c>
      <c r="JO78" s="90" t="e">
        <f>SUM(JO72:JO77)</f>
        <v>#N/A</v>
      </c>
      <c r="JP78" s="90" t="e">
        <f t="shared" ref="JP78:JZ78" si="1493">SUM(JP72:JP77)</f>
        <v>#N/A</v>
      </c>
      <c r="JQ78" s="90" t="e">
        <f t="shared" si="1493"/>
        <v>#N/A</v>
      </c>
      <c r="JR78" s="90" t="e">
        <f t="shared" si="1493"/>
        <v>#N/A</v>
      </c>
      <c r="JS78" s="90" t="e">
        <f t="shared" si="1493"/>
        <v>#N/A</v>
      </c>
      <c r="JT78" s="90" t="e">
        <f t="shared" si="1493"/>
        <v>#N/A</v>
      </c>
      <c r="JU78" s="90" t="e">
        <f t="shared" si="1493"/>
        <v>#N/A</v>
      </c>
      <c r="JV78" s="90" t="e">
        <f t="shared" si="1493"/>
        <v>#N/A</v>
      </c>
      <c r="JW78" s="90" t="e">
        <f t="shared" si="1493"/>
        <v>#N/A</v>
      </c>
      <c r="JX78" s="90" t="e">
        <f t="shared" si="1493"/>
        <v>#N/A</v>
      </c>
      <c r="JY78" s="90" t="e">
        <f t="shared" si="1493"/>
        <v>#N/A</v>
      </c>
      <c r="JZ78" s="90" t="e">
        <f t="shared" si="1493"/>
        <v>#N/A</v>
      </c>
      <c r="KA78" s="91" t="e">
        <f t="shared" si="1419"/>
        <v>#N/A</v>
      </c>
      <c r="KB78" s="90" t="e">
        <f>SUM(KB72:KB77)</f>
        <v>#N/A</v>
      </c>
      <c r="KC78" s="90" t="e">
        <f t="shared" ref="KC78:KM78" si="1494">SUM(KC72:KC77)</f>
        <v>#N/A</v>
      </c>
      <c r="KD78" s="90" t="e">
        <f t="shared" si="1494"/>
        <v>#N/A</v>
      </c>
      <c r="KE78" s="90" t="e">
        <f t="shared" si="1494"/>
        <v>#N/A</v>
      </c>
      <c r="KF78" s="90" t="e">
        <f t="shared" si="1494"/>
        <v>#N/A</v>
      </c>
      <c r="KG78" s="90" t="e">
        <f t="shared" si="1494"/>
        <v>#N/A</v>
      </c>
      <c r="KH78" s="90" t="e">
        <f t="shared" si="1494"/>
        <v>#N/A</v>
      </c>
      <c r="KI78" s="90" t="e">
        <f t="shared" si="1494"/>
        <v>#N/A</v>
      </c>
      <c r="KJ78" s="90" t="e">
        <f t="shared" si="1494"/>
        <v>#N/A</v>
      </c>
      <c r="KK78" s="90" t="e">
        <f t="shared" si="1494"/>
        <v>#N/A</v>
      </c>
      <c r="KL78" s="90" t="e">
        <f t="shared" si="1494"/>
        <v>#N/A</v>
      </c>
      <c r="KM78" s="90" t="e">
        <f t="shared" si="1494"/>
        <v>#N/A</v>
      </c>
      <c r="KN78" s="91" t="e">
        <f t="shared" si="1457"/>
        <v>#N/A</v>
      </c>
      <c r="KO78" s="90" t="e">
        <f>SUM(KO72:KO77)</f>
        <v>#N/A</v>
      </c>
      <c r="KP78" s="90" t="e">
        <f t="shared" ref="KP78:KZ78" si="1495">SUM(KP72:KP77)</f>
        <v>#N/A</v>
      </c>
      <c r="KQ78" s="90" t="e">
        <f t="shared" si="1495"/>
        <v>#N/A</v>
      </c>
      <c r="KR78" s="90" t="e">
        <f t="shared" si="1495"/>
        <v>#N/A</v>
      </c>
      <c r="KS78" s="90" t="e">
        <f t="shared" si="1495"/>
        <v>#N/A</v>
      </c>
      <c r="KT78" s="90" t="e">
        <f t="shared" si="1495"/>
        <v>#N/A</v>
      </c>
      <c r="KU78" s="90" t="e">
        <f t="shared" si="1495"/>
        <v>#N/A</v>
      </c>
      <c r="KV78" s="90" t="e">
        <f t="shared" si="1495"/>
        <v>#N/A</v>
      </c>
      <c r="KW78" s="90" t="e">
        <f t="shared" si="1495"/>
        <v>#N/A</v>
      </c>
      <c r="KX78" s="90" t="e">
        <f t="shared" si="1495"/>
        <v>#N/A</v>
      </c>
      <c r="KY78" s="90" t="e">
        <f t="shared" si="1495"/>
        <v>#N/A</v>
      </c>
      <c r="KZ78" s="90" t="e">
        <f t="shared" si="1495"/>
        <v>#N/A</v>
      </c>
      <c r="LA78" s="91" t="e">
        <f t="shared" si="1421"/>
        <v>#N/A</v>
      </c>
      <c r="LB78" s="90" t="e">
        <f>SUM(LB72:LB77)</f>
        <v>#N/A</v>
      </c>
      <c r="LC78" s="90" t="e">
        <f t="shared" ref="LC78:LM78" si="1496">SUM(LC72:LC77)</f>
        <v>#N/A</v>
      </c>
      <c r="LD78" s="90" t="e">
        <f t="shared" si="1496"/>
        <v>#N/A</v>
      </c>
      <c r="LE78" s="90" t="e">
        <f t="shared" si="1496"/>
        <v>#N/A</v>
      </c>
      <c r="LF78" s="90" t="e">
        <f t="shared" si="1496"/>
        <v>#N/A</v>
      </c>
      <c r="LG78" s="90" t="e">
        <f t="shared" si="1496"/>
        <v>#N/A</v>
      </c>
      <c r="LH78" s="90" t="e">
        <f t="shared" si="1496"/>
        <v>#N/A</v>
      </c>
      <c r="LI78" s="90" t="e">
        <f t="shared" si="1496"/>
        <v>#N/A</v>
      </c>
      <c r="LJ78" s="90" t="e">
        <f t="shared" si="1496"/>
        <v>#N/A</v>
      </c>
      <c r="LK78" s="90" t="e">
        <f t="shared" si="1496"/>
        <v>#N/A</v>
      </c>
      <c r="LL78" s="90" t="e">
        <f t="shared" si="1496"/>
        <v>#N/A</v>
      </c>
      <c r="LM78" s="90" t="e">
        <f t="shared" si="1496"/>
        <v>#N/A</v>
      </c>
      <c r="LN78" s="91" t="e">
        <f t="shared" si="1422"/>
        <v>#N/A</v>
      </c>
      <c r="LO78" s="90" t="e">
        <f>SUM(LO72:LO77)</f>
        <v>#N/A</v>
      </c>
      <c r="LP78" s="90" t="e">
        <f t="shared" ref="LP78:LZ78" si="1497">SUM(LP72:LP77)</f>
        <v>#N/A</v>
      </c>
      <c r="LQ78" s="90" t="e">
        <f t="shared" si="1497"/>
        <v>#N/A</v>
      </c>
      <c r="LR78" s="90" t="e">
        <f t="shared" si="1497"/>
        <v>#N/A</v>
      </c>
      <c r="LS78" s="90" t="e">
        <f t="shared" si="1497"/>
        <v>#N/A</v>
      </c>
      <c r="LT78" s="90" t="e">
        <f t="shared" si="1497"/>
        <v>#N/A</v>
      </c>
      <c r="LU78" s="90" t="e">
        <f t="shared" si="1497"/>
        <v>#N/A</v>
      </c>
      <c r="LV78" s="90" t="e">
        <f t="shared" si="1497"/>
        <v>#N/A</v>
      </c>
      <c r="LW78" s="90" t="e">
        <f t="shared" si="1497"/>
        <v>#N/A</v>
      </c>
      <c r="LX78" s="90" t="e">
        <f t="shared" si="1497"/>
        <v>#N/A</v>
      </c>
      <c r="LY78" s="90" t="e">
        <f t="shared" si="1497"/>
        <v>#N/A</v>
      </c>
      <c r="LZ78" s="90" t="e">
        <f t="shared" si="1497"/>
        <v>#N/A</v>
      </c>
      <c r="MA78" s="91" t="e">
        <f t="shared" si="1423"/>
        <v>#N/A</v>
      </c>
      <c r="MB78" s="90" t="e">
        <f>SUM(MB72:MB77)</f>
        <v>#N/A</v>
      </c>
      <c r="MC78" s="90" t="e">
        <f t="shared" ref="MC78:MM78" si="1498">SUM(MC72:MC77)</f>
        <v>#N/A</v>
      </c>
      <c r="MD78" s="90" t="e">
        <f t="shared" si="1498"/>
        <v>#N/A</v>
      </c>
      <c r="ME78" s="90" t="e">
        <f t="shared" si="1498"/>
        <v>#N/A</v>
      </c>
      <c r="MF78" s="90" t="e">
        <f t="shared" si="1498"/>
        <v>#N/A</v>
      </c>
      <c r="MG78" s="90" t="e">
        <f t="shared" si="1498"/>
        <v>#N/A</v>
      </c>
      <c r="MH78" s="90" t="e">
        <f t="shared" si="1498"/>
        <v>#N/A</v>
      </c>
      <c r="MI78" s="90" t="e">
        <f t="shared" si="1498"/>
        <v>#N/A</v>
      </c>
      <c r="MJ78" s="90" t="e">
        <f t="shared" si="1498"/>
        <v>#N/A</v>
      </c>
      <c r="MK78" s="90" t="e">
        <f t="shared" si="1498"/>
        <v>#N/A</v>
      </c>
      <c r="ML78" s="90" t="e">
        <f t="shared" si="1498"/>
        <v>#N/A</v>
      </c>
      <c r="MM78" s="90" t="e">
        <f t="shared" si="1498"/>
        <v>#N/A</v>
      </c>
      <c r="MN78" s="91" t="e">
        <f t="shared" si="1424"/>
        <v>#N/A</v>
      </c>
      <c r="MO78" s="90" t="e">
        <f>SUM(MO72:MO77)</f>
        <v>#N/A</v>
      </c>
      <c r="MP78" s="90" t="e">
        <f t="shared" ref="MP78:MZ78" si="1499">SUM(MP72:MP77)</f>
        <v>#N/A</v>
      </c>
      <c r="MQ78" s="90" t="e">
        <f t="shared" si="1499"/>
        <v>#N/A</v>
      </c>
      <c r="MR78" s="90" t="e">
        <f t="shared" si="1499"/>
        <v>#N/A</v>
      </c>
      <c r="MS78" s="90" t="e">
        <f t="shared" si="1499"/>
        <v>#N/A</v>
      </c>
      <c r="MT78" s="90" t="e">
        <f t="shared" si="1499"/>
        <v>#N/A</v>
      </c>
      <c r="MU78" s="90" t="e">
        <f t="shared" si="1499"/>
        <v>#N/A</v>
      </c>
      <c r="MV78" s="90" t="e">
        <f t="shared" si="1499"/>
        <v>#N/A</v>
      </c>
      <c r="MW78" s="90" t="e">
        <f t="shared" si="1499"/>
        <v>#N/A</v>
      </c>
      <c r="MX78" s="90" t="e">
        <f t="shared" si="1499"/>
        <v>#N/A</v>
      </c>
      <c r="MY78" s="90" t="e">
        <f t="shared" si="1499"/>
        <v>#N/A</v>
      </c>
      <c r="MZ78" s="90" t="e">
        <f t="shared" si="1499"/>
        <v>#N/A</v>
      </c>
      <c r="NA78" s="91" t="e">
        <f t="shared" si="1425"/>
        <v>#N/A</v>
      </c>
      <c r="NB78" s="90" t="e">
        <f>SUM(NB72:NB77)</f>
        <v>#N/A</v>
      </c>
      <c r="NC78" s="90" t="e">
        <f t="shared" ref="NC78:NM78" si="1500">SUM(NC72:NC77)</f>
        <v>#N/A</v>
      </c>
      <c r="ND78" s="90" t="e">
        <f t="shared" si="1500"/>
        <v>#N/A</v>
      </c>
      <c r="NE78" s="90" t="e">
        <f t="shared" si="1500"/>
        <v>#N/A</v>
      </c>
      <c r="NF78" s="90" t="e">
        <f t="shared" si="1500"/>
        <v>#N/A</v>
      </c>
      <c r="NG78" s="90" t="e">
        <f t="shared" si="1500"/>
        <v>#N/A</v>
      </c>
      <c r="NH78" s="90" t="e">
        <f t="shared" si="1500"/>
        <v>#N/A</v>
      </c>
      <c r="NI78" s="90" t="e">
        <f t="shared" si="1500"/>
        <v>#N/A</v>
      </c>
      <c r="NJ78" s="90" t="e">
        <f t="shared" si="1500"/>
        <v>#N/A</v>
      </c>
      <c r="NK78" s="90" t="e">
        <f t="shared" si="1500"/>
        <v>#N/A</v>
      </c>
      <c r="NL78" s="90" t="e">
        <f t="shared" si="1500"/>
        <v>#N/A</v>
      </c>
      <c r="NM78" s="90" t="e">
        <f t="shared" si="1500"/>
        <v>#N/A</v>
      </c>
      <c r="NN78" s="91" t="e">
        <f t="shared" si="1426"/>
        <v>#N/A</v>
      </c>
      <c r="NO78" s="90" t="e">
        <f>SUM(NO72:NO77)</f>
        <v>#N/A</v>
      </c>
      <c r="NP78" s="90" t="e">
        <f t="shared" ref="NP78:NZ78" si="1501">SUM(NP72:NP77)</f>
        <v>#N/A</v>
      </c>
      <c r="NQ78" s="90" t="e">
        <f t="shared" si="1501"/>
        <v>#N/A</v>
      </c>
      <c r="NR78" s="90" t="e">
        <f t="shared" si="1501"/>
        <v>#N/A</v>
      </c>
      <c r="NS78" s="90" t="e">
        <f t="shared" si="1501"/>
        <v>#N/A</v>
      </c>
      <c r="NT78" s="90" t="e">
        <f t="shared" si="1501"/>
        <v>#N/A</v>
      </c>
      <c r="NU78" s="90" t="e">
        <f t="shared" si="1501"/>
        <v>#N/A</v>
      </c>
      <c r="NV78" s="90" t="e">
        <f t="shared" si="1501"/>
        <v>#N/A</v>
      </c>
      <c r="NW78" s="90" t="e">
        <f t="shared" si="1501"/>
        <v>#N/A</v>
      </c>
      <c r="NX78" s="90" t="e">
        <f t="shared" si="1501"/>
        <v>#N/A</v>
      </c>
      <c r="NY78" s="90" t="e">
        <f t="shared" si="1501"/>
        <v>#N/A</v>
      </c>
      <c r="NZ78" s="90" t="e">
        <f t="shared" si="1501"/>
        <v>#N/A</v>
      </c>
      <c r="OA78" s="91" t="e">
        <f t="shared" si="1427"/>
        <v>#N/A</v>
      </c>
      <c r="OB78" s="90" t="e">
        <f>SUM(OB72:OB77)</f>
        <v>#N/A</v>
      </c>
      <c r="OC78" s="90" t="e">
        <f t="shared" ref="OC78:OM78" si="1502">SUM(OC72:OC77)</f>
        <v>#N/A</v>
      </c>
      <c r="OD78" s="90" t="e">
        <f t="shared" si="1502"/>
        <v>#N/A</v>
      </c>
      <c r="OE78" s="90" t="e">
        <f t="shared" si="1502"/>
        <v>#N/A</v>
      </c>
      <c r="OF78" s="90" t="e">
        <f t="shared" si="1502"/>
        <v>#N/A</v>
      </c>
      <c r="OG78" s="90" t="e">
        <f t="shared" si="1502"/>
        <v>#N/A</v>
      </c>
      <c r="OH78" s="90" t="e">
        <f t="shared" si="1502"/>
        <v>#N/A</v>
      </c>
      <c r="OI78" s="90" t="e">
        <f t="shared" si="1502"/>
        <v>#N/A</v>
      </c>
      <c r="OJ78" s="90" t="e">
        <f t="shared" si="1502"/>
        <v>#N/A</v>
      </c>
      <c r="OK78" s="90" t="e">
        <f t="shared" si="1502"/>
        <v>#N/A</v>
      </c>
      <c r="OL78" s="90" t="e">
        <f t="shared" si="1502"/>
        <v>#N/A</v>
      </c>
      <c r="OM78" s="90" t="e">
        <f t="shared" si="1502"/>
        <v>#N/A</v>
      </c>
      <c r="ON78" s="91" t="e">
        <f t="shared" si="1428"/>
        <v>#N/A</v>
      </c>
      <c r="OO78" s="90" t="e">
        <f>SUM(OO72:OO77)</f>
        <v>#N/A</v>
      </c>
      <c r="OP78" s="90" t="e">
        <f t="shared" ref="OP78:OZ78" si="1503">SUM(OP72:OP77)</f>
        <v>#N/A</v>
      </c>
      <c r="OQ78" s="90" t="e">
        <f t="shared" si="1503"/>
        <v>#N/A</v>
      </c>
      <c r="OR78" s="90" t="e">
        <f t="shared" si="1503"/>
        <v>#N/A</v>
      </c>
      <c r="OS78" s="90" t="e">
        <f t="shared" si="1503"/>
        <v>#N/A</v>
      </c>
      <c r="OT78" s="90" t="e">
        <f t="shared" si="1503"/>
        <v>#N/A</v>
      </c>
      <c r="OU78" s="90" t="e">
        <f t="shared" si="1503"/>
        <v>#N/A</v>
      </c>
      <c r="OV78" s="90" t="e">
        <f t="shared" si="1503"/>
        <v>#N/A</v>
      </c>
      <c r="OW78" s="90" t="e">
        <f t="shared" si="1503"/>
        <v>#N/A</v>
      </c>
      <c r="OX78" s="90" t="e">
        <f t="shared" si="1503"/>
        <v>#N/A</v>
      </c>
      <c r="OY78" s="90" t="e">
        <f t="shared" si="1503"/>
        <v>#N/A</v>
      </c>
      <c r="OZ78" s="90" t="e">
        <f t="shared" si="1503"/>
        <v>#N/A</v>
      </c>
      <c r="PA78" s="91" t="e">
        <f t="shared" si="1429"/>
        <v>#N/A</v>
      </c>
      <c r="PB78" s="90" t="e">
        <f>SUM(PB72:PB77)</f>
        <v>#N/A</v>
      </c>
      <c r="PC78" s="90" t="e">
        <f t="shared" ref="PC78:PM78" si="1504">SUM(PC72:PC77)</f>
        <v>#N/A</v>
      </c>
      <c r="PD78" s="90" t="e">
        <f t="shared" si="1504"/>
        <v>#N/A</v>
      </c>
      <c r="PE78" s="90" t="e">
        <f t="shared" si="1504"/>
        <v>#N/A</v>
      </c>
      <c r="PF78" s="90" t="e">
        <f t="shared" si="1504"/>
        <v>#N/A</v>
      </c>
      <c r="PG78" s="90" t="e">
        <f t="shared" si="1504"/>
        <v>#N/A</v>
      </c>
      <c r="PH78" s="90" t="e">
        <f t="shared" si="1504"/>
        <v>#N/A</v>
      </c>
      <c r="PI78" s="90" t="e">
        <f t="shared" si="1504"/>
        <v>#N/A</v>
      </c>
      <c r="PJ78" s="90" t="e">
        <f t="shared" si="1504"/>
        <v>#N/A</v>
      </c>
      <c r="PK78" s="90" t="e">
        <f t="shared" si="1504"/>
        <v>#N/A</v>
      </c>
      <c r="PL78" s="90" t="e">
        <f t="shared" si="1504"/>
        <v>#N/A</v>
      </c>
      <c r="PM78" s="90" t="e">
        <f t="shared" si="1504"/>
        <v>#N/A</v>
      </c>
      <c r="PN78" s="91" t="e">
        <f t="shared" si="1430"/>
        <v>#N/A</v>
      </c>
      <c r="PO78" s="90" t="e">
        <f>SUM(PO72:PO77)</f>
        <v>#N/A</v>
      </c>
      <c r="PP78" s="90" t="e">
        <f t="shared" ref="PP78:PZ78" si="1505">SUM(PP72:PP77)</f>
        <v>#N/A</v>
      </c>
      <c r="PQ78" s="90" t="e">
        <f t="shared" si="1505"/>
        <v>#N/A</v>
      </c>
      <c r="PR78" s="90" t="e">
        <f t="shared" si="1505"/>
        <v>#N/A</v>
      </c>
      <c r="PS78" s="90" t="e">
        <f t="shared" si="1505"/>
        <v>#N/A</v>
      </c>
      <c r="PT78" s="90" t="e">
        <f t="shared" si="1505"/>
        <v>#N/A</v>
      </c>
      <c r="PU78" s="90" t="e">
        <f t="shared" si="1505"/>
        <v>#N/A</v>
      </c>
      <c r="PV78" s="90" t="e">
        <f t="shared" si="1505"/>
        <v>#N/A</v>
      </c>
      <c r="PW78" s="90" t="e">
        <f t="shared" si="1505"/>
        <v>#N/A</v>
      </c>
      <c r="PX78" s="90" t="e">
        <f t="shared" si="1505"/>
        <v>#N/A</v>
      </c>
      <c r="PY78" s="90" t="e">
        <f t="shared" si="1505"/>
        <v>#N/A</v>
      </c>
      <c r="PZ78" s="90" t="e">
        <f t="shared" si="1505"/>
        <v>#N/A</v>
      </c>
      <c r="QA78" s="91" t="e">
        <f t="shared" si="1431"/>
        <v>#N/A</v>
      </c>
      <c r="QB78" s="90" t="e">
        <f>SUM(QB72:QB77)</f>
        <v>#N/A</v>
      </c>
      <c r="QC78" s="90" t="e">
        <f t="shared" ref="QC78:QM78" si="1506">SUM(QC72:QC77)</f>
        <v>#N/A</v>
      </c>
      <c r="QD78" s="90" t="e">
        <f t="shared" si="1506"/>
        <v>#N/A</v>
      </c>
      <c r="QE78" s="90" t="e">
        <f t="shared" si="1506"/>
        <v>#N/A</v>
      </c>
      <c r="QF78" s="90" t="e">
        <f t="shared" si="1506"/>
        <v>#N/A</v>
      </c>
      <c r="QG78" s="90" t="e">
        <f t="shared" si="1506"/>
        <v>#N/A</v>
      </c>
      <c r="QH78" s="90" t="e">
        <f t="shared" si="1506"/>
        <v>#N/A</v>
      </c>
      <c r="QI78" s="90" t="e">
        <f t="shared" si="1506"/>
        <v>#N/A</v>
      </c>
      <c r="QJ78" s="90" t="e">
        <f t="shared" si="1506"/>
        <v>#N/A</v>
      </c>
      <c r="QK78" s="90" t="e">
        <f t="shared" si="1506"/>
        <v>#N/A</v>
      </c>
      <c r="QL78" s="90" t="e">
        <f t="shared" si="1506"/>
        <v>#N/A</v>
      </c>
      <c r="QM78" s="90" t="e">
        <f t="shared" si="1506"/>
        <v>#N/A</v>
      </c>
      <c r="QN78" s="91" t="e">
        <f t="shared" si="1432"/>
        <v>#N/A</v>
      </c>
      <c r="QO78" s="90" t="e">
        <f>SUM(QO72:QO77)</f>
        <v>#N/A</v>
      </c>
      <c r="QP78" s="90" t="e">
        <f t="shared" ref="QP78:QZ78" si="1507">SUM(QP72:QP77)</f>
        <v>#N/A</v>
      </c>
      <c r="QQ78" s="90" t="e">
        <f t="shared" si="1507"/>
        <v>#N/A</v>
      </c>
      <c r="QR78" s="90" t="e">
        <f t="shared" si="1507"/>
        <v>#N/A</v>
      </c>
      <c r="QS78" s="90" t="e">
        <f t="shared" si="1507"/>
        <v>#N/A</v>
      </c>
      <c r="QT78" s="90" t="e">
        <f t="shared" si="1507"/>
        <v>#N/A</v>
      </c>
      <c r="QU78" s="90" t="e">
        <f t="shared" si="1507"/>
        <v>#N/A</v>
      </c>
      <c r="QV78" s="90" t="e">
        <f t="shared" si="1507"/>
        <v>#N/A</v>
      </c>
      <c r="QW78" s="90" t="e">
        <f t="shared" si="1507"/>
        <v>#N/A</v>
      </c>
      <c r="QX78" s="90" t="e">
        <f t="shared" si="1507"/>
        <v>#N/A</v>
      </c>
      <c r="QY78" s="90" t="e">
        <f t="shared" si="1507"/>
        <v>#N/A</v>
      </c>
      <c r="QZ78" s="90" t="e">
        <f t="shared" si="1507"/>
        <v>#N/A</v>
      </c>
      <c r="RA78" s="91" t="e">
        <f t="shared" si="1433"/>
        <v>#N/A</v>
      </c>
      <c r="RB78" s="90" t="e">
        <f>SUM(RB72:RB77)</f>
        <v>#N/A</v>
      </c>
      <c r="RC78" s="90" t="e">
        <f t="shared" ref="RC78:RM78" si="1508">SUM(RC72:RC77)</f>
        <v>#N/A</v>
      </c>
      <c r="RD78" s="90" t="e">
        <f t="shared" si="1508"/>
        <v>#N/A</v>
      </c>
      <c r="RE78" s="90" t="e">
        <f t="shared" si="1508"/>
        <v>#N/A</v>
      </c>
      <c r="RF78" s="90" t="e">
        <f t="shared" si="1508"/>
        <v>#N/A</v>
      </c>
      <c r="RG78" s="90" t="e">
        <f t="shared" si="1508"/>
        <v>#N/A</v>
      </c>
      <c r="RH78" s="90" t="e">
        <f t="shared" si="1508"/>
        <v>#N/A</v>
      </c>
      <c r="RI78" s="90" t="e">
        <f t="shared" si="1508"/>
        <v>#N/A</v>
      </c>
      <c r="RJ78" s="90" t="e">
        <f t="shared" si="1508"/>
        <v>#N/A</v>
      </c>
      <c r="RK78" s="90" t="e">
        <f t="shared" si="1508"/>
        <v>#N/A</v>
      </c>
      <c r="RL78" s="90" t="e">
        <f t="shared" si="1508"/>
        <v>#N/A</v>
      </c>
      <c r="RM78" s="90" t="e">
        <f t="shared" si="1508"/>
        <v>#N/A</v>
      </c>
      <c r="RN78" s="91" t="e">
        <f t="shared" si="1434"/>
        <v>#N/A</v>
      </c>
    </row>
    <row r="79" spans="1:560" outlineLevel="1" x14ac:dyDescent="0.3"/>
    <row r="80" spans="1:560" outlineLevel="1" x14ac:dyDescent="0.3">
      <c r="A80" s="74" t="s">
        <v>282</v>
      </c>
      <c r="B80" s="86" t="e">
        <f>B70+B78</f>
        <v>#N/A</v>
      </c>
      <c r="C80" s="86" t="e">
        <f t="shared" ref="C80:M80" si="1509">C70+C78</f>
        <v>#N/A</v>
      </c>
      <c r="D80" s="86" t="e">
        <f t="shared" si="1509"/>
        <v>#N/A</v>
      </c>
      <c r="E80" s="86" t="e">
        <f t="shared" si="1509"/>
        <v>#N/A</v>
      </c>
      <c r="F80" s="86" t="e">
        <f t="shared" si="1509"/>
        <v>#N/A</v>
      </c>
      <c r="G80" s="86" t="e">
        <f t="shared" si="1509"/>
        <v>#N/A</v>
      </c>
      <c r="H80" s="86" t="e">
        <f t="shared" si="1509"/>
        <v>#N/A</v>
      </c>
      <c r="I80" s="86" t="e">
        <f t="shared" si="1509"/>
        <v>#N/A</v>
      </c>
      <c r="J80" s="86" t="e">
        <f t="shared" si="1509"/>
        <v>#N/A</v>
      </c>
      <c r="K80" s="86" t="e">
        <f t="shared" si="1509"/>
        <v>#N/A</v>
      </c>
      <c r="L80" s="86" t="e">
        <f t="shared" si="1509"/>
        <v>#N/A</v>
      </c>
      <c r="M80" s="86" t="e">
        <f t="shared" si="1509"/>
        <v>#N/A</v>
      </c>
      <c r="N80" s="91" t="e">
        <f t="shared" si="1289"/>
        <v>#N/A</v>
      </c>
      <c r="O80" s="86" t="e">
        <f>O70+O78</f>
        <v>#N/A</v>
      </c>
      <c r="P80" s="86" t="e">
        <f t="shared" ref="P80:Z80" si="1510">P70+P78</f>
        <v>#N/A</v>
      </c>
      <c r="Q80" s="86" t="e">
        <f t="shared" si="1510"/>
        <v>#N/A</v>
      </c>
      <c r="R80" s="86" t="e">
        <f t="shared" si="1510"/>
        <v>#N/A</v>
      </c>
      <c r="S80" s="86" t="e">
        <f t="shared" si="1510"/>
        <v>#N/A</v>
      </c>
      <c r="T80" s="86" t="e">
        <f t="shared" si="1510"/>
        <v>#N/A</v>
      </c>
      <c r="U80" s="86" t="e">
        <f t="shared" si="1510"/>
        <v>#N/A</v>
      </c>
      <c r="V80" s="86" t="e">
        <f t="shared" si="1510"/>
        <v>#N/A</v>
      </c>
      <c r="W80" s="86" t="e">
        <f t="shared" si="1510"/>
        <v>#N/A</v>
      </c>
      <c r="X80" s="86" t="e">
        <f t="shared" si="1510"/>
        <v>#N/A</v>
      </c>
      <c r="Y80" s="86" t="e">
        <f t="shared" si="1510"/>
        <v>#N/A</v>
      </c>
      <c r="Z80" s="86" t="e">
        <f t="shared" si="1510"/>
        <v>#N/A</v>
      </c>
      <c r="AA80" s="91" t="e">
        <f t="shared" ref="AA80" si="1511">SUM(O80:Z80)</f>
        <v>#N/A</v>
      </c>
      <c r="AB80" s="86" t="e">
        <f>AB70+AB78</f>
        <v>#N/A</v>
      </c>
      <c r="AC80" s="86" t="e">
        <f t="shared" ref="AC80:AM80" si="1512">AC70+AC78</f>
        <v>#N/A</v>
      </c>
      <c r="AD80" s="86" t="e">
        <f t="shared" si="1512"/>
        <v>#N/A</v>
      </c>
      <c r="AE80" s="86" t="e">
        <f t="shared" si="1512"/>
        <v>#N/A</v>
      </c>
      <c r="AF80" s="86" t="e">
        <f t="shared" si="1512"/>
        <v>#N/A</v>
      </c>
      <c r="AG80" s="86" t="e">
        <f t="shared" si="1512"/>
        <v>#N/A</v>
      </c>
      <c r="AH80" s="86" t="e">
        <f t="shared" si="1512"/>
        <v>#N/A</v>
      </c>
      <c r="AI80" s="86" t="e">
        <f t="shared" si="1512"/>
        <v>#N/A</v>
      </c>
      <c r="AJ80" s="86" t="e">
        <f t="shared" si="1512"/>
        <v>#N/A</v>
      </c>
      <c r="AK80" s="86" t="e">
        <f t="shared" si="1512"/>
        <v>#N/A</v>
      </c>
      <c r="AL80" s="86" t="e">
        <f t="shared" si="1512"/>
        <v>#N/A</v>
      </c>
      <c r="AM80" s="86" t="e">
        <f t="shared" si="1512"/>
        <v>#N/A</v>
      </c>
      <c r="AN80" s="91" t="e">
        <f t="shared" ref="AN80" si="1513">SUM(AB80:AM80)</f>
        <v>#N/A</v>
      </c>
      <c r="AO80" s="86" t="e">
        <f>AO70+AO78</f>
        <v>#N/A</v>
      </c>
      <c r="AP80" s="86" t="e">
        <f t="shared" ref="AP80:AZ80" si="1514">AP70+AP78</f>
        <v>#N/A</v>
      </c>
      <c r="AQ80" s="86" t="e">
        <f t="shared" si="1514"/>
        <v>#N/A</v>
      </c>
      <c r="AR80" s="86" t="e">
        <f t="shared" si="1514"/>
        <v>#N/A</v>
      </c>
      <c r="AS80" s="86" t="e">
        <f t="shared" si="1514"/>
        <v>#N/A</v>
      </c>
      <c r="AT80" s="86" t="e">
        <f t="shared" si="1514"/>
        <v>#N/A</v>
      </c>
      <c r="AU80" s="86" t="e">
        <f t="shared" si="1514"/>
        <v>#N/A</v>
      </c>
      <c r="AV80" s="86" t="e">
        <f t="shared" si="1514"/>
        <v>#N/A</v>
      </c>
      <c r="AW80" s="86" t="e">
        <f t="shared" si="1514"/>
        <v>#N/A</v>
      </c>
      <c r="AX80" s="86" t="e">
        <f t="shared" si="1514"/>
        <v>#N/A</v>
      </c>
      <c r="AY80" s="86" t="e">
        <f t="shared" si="1514"/>
        <v>#N/A</v>
      </c>
      <c r="AZ80" s="86" t="e">
        <f t="shared" si="1514"/>
        <v>#N/A</v>
      </c>
      <c r="BA80" s="91" t="e">
        <f t="shared" ref="BA80" si="1515">SUM(AO80:AZ80)</f>
        <v>#N/A</v>
      </c>
      <c r="BB80" s="86" t="e">
        <f>BB70+BB78</f>
        <v>#N/A</v>
      </c>
      <c r="BC80" s="86" t="e">
        <f t="shared" ref="BC80:BM80" si="1516">BC70+BC78</f>
        <v>#N/A</v>
      </c>
      <c r="BD80" s="86" t="e">
        <f t="shared" si="1516"/>
        <v>#N/A</v>
      </c>
      <c r="BE80" s="86" t="e">
        <f t="shared" si="1516"/>
        <v>#N/A</v>
      </c>
      <c r="BF80" s="86" t="e">
        <f t="shared" si="1516"/>
        <v>#N/A</v>
      </c>
      <c r="BG80" s="86" t="e">
        <f t="shared" si="1516"/>
        <v>#N/A</v>
      </c>
      <c r="BH80" s="86" t="e">
        <f t="shared" si="1516"/>
        <v>#N/A</v>
      </c>
      <c r="BI80" s="86" t="e">
        <f t="shared" si="1516"/>
        <v>#N/A</v>
      </c>
      <c r="BJ80" s="86" t="e">
        <f t="shared" si="1516"/>
        <v>#N/A</v>
      </c>
      <c r="BK80" s="86" t="e">
        <f t="shared" si="1516"/>
        <v>#N/A</v>
      </c>
      <c r="BL80" s="86" t="e">
        <f t="shared" si="1516"/>
        <v>#N/A</v>
      </c>
      <c r="BM80" s="86" t="e">
        <f t="shared" si="1516"/>
        <v>#N/A</v>
      </c>
      <c r="BN80" s="91" t="e">
        <f t="shared" ref="BN80" si="1517">SUM(BB80:BM80)</f>
        <v>#N/A</v>
      </c>
      <c r="BO80" s="86" t="e">
        <f>BO70+BO78</f>
        <v>#N/A</v>
      </c>
      <c r="BP80" s="86" t="e">
        <f t="shared" ref="BP80:BZ80" si="1518">BP70+BP78</f>
        <v>#N/A</v>
      </c>
      <c r="BQ80" s="86" t="e">
        <f t="shared" si="1518"/>
        <v>#N/A</v>
      </c>
      <c r="BR80" s="86" t="e">
        <f t="shared" si="1518"/>
        <v>#N/A</v>
      </c>
      <c r="BS80" s="86" t="e">
        <f t="shared" si="1518"/>
        <v>#N/A</v>
      </c>
      <c r="BT80" s="86" t="e">
        <f t="shared" si="1518"/>
        <v>#N/A</v>
      </c>
      <c r="BU80" s="86" t="e">
        <f t="shared" si="1518"/>
        <v>#N/A</v>
      </c>
      <c r="BV80" s="86" t="e">
        <f t="shared" si="1518"/>
        <v>#N/A</v>
      </c>
      <c r="BW80" s="86" t="e">
        <f t="shared" si="1518"/>
        <v>#N/A</v>
      </c>
      <c r="BX80" s="86" t="e">
        <f t="shared" si="1518"/>
        <v>#N/A</v>
      </c>
      <c r="BY80" s="86" t="e">
        <f t="shared" si="1518"/>
        <v>#N/A</v>
      </c>
      <c r="BZ80" s="86" t="e">
        <f t="shared" si="1518"/>
        <v>#N/A</v>
      </c>
      <c r="CA80" s="91" t="e">
        <f t="shared" ref="CA80" si="1519">SUM(BO80:BZ80)</f>
        <v>#N/A</v>
      </c>
      <c r="CB80" s="86" t="e">
        <f>CB70+CB78</f>
        <v>#N/A</v>
      </c>
      <c r="CC80" s="86" t="e">
        <f t="shared" ref="CC80:CM80" si="1520">CC70+CC78</f>
        <v>#N/A</v>
      </c>
      <c r="CD80" s="86" t="e">
        <f t="shared" si="1520"/>
        <v>#N/A</v>
      </c>
      <c r="CE80" s="86" t="e">
        <f t="shared" si="1520"/>
        <v>#N/A</v>
      </c>
      <c r="CF80" s="86" t="e">
        <f t="shared" si="1520"/>
        <v>#N/A</v>
      </c>
      <c r="CG80" s="86" t="e">
        <f t="shared" si="1520"/>
        <v>#N/A</v>
      </c>
      <c r="CH80" s="86" t="e">
        <f t="shared" si="1520"/>
        <v>#N/A</v>
      </c>
      <c r="CI80" s="86" t="e">
        <f t="shared" si="1520"/>
        <v>#N/A</v>
      </c>
      <c r="CJ80" s="86" t="e">
        <f t="shared" si="1520"/>
        <v>#N/A</v>
      </c>
      <c r="CK80" s="86" t="e">
        <f t="shared" si="1520"/>
        <v>#N/A</v>
      </c>
      <c r="CL80" s="86" t="e">
        <f t="shared" si="1520"/>
        <v>#N/A</v>
      </c>
      <c r="CM80" s="86" t="e">
        <f t="shared" si="1520"/>
        <v>#N/A</v>
      </c>
      <c r="CN80" s="91" t="e">
        <f t="shared" ref="CN80" si="1521">SUM(CB80:CM80)</f>
        <v>#N/A</v>
      </c>
      <c r="CO80" s="86" t="e">
        <f>CO70+CO78</f>
        <v>#N/A</v>
      </c>
      <c r="CP80" s="86" t="e">
        <f t="shared" ref="CP80:CZ80" si="1522">CP70+CP78</f>
        <v>#N/A</v>
      </c>
      <c r="CQ80" s="86" t="e">
        <f t="shared" si="1522"/>
        <v>#N/A</v>
      </c>
      <c r="CR80" s="86" t="e">
        <f t="shared" si="1522"/>
        <v>#N/A</v>
      </c>
      <c r="CS80" s="86" t="e">
        <f t="shared" si="1522"/>
        <v>#N/A</v>
      </c>
      <c r="CT80" s="86" t="e">
        <f t="shared" si="1522"/>
        <v>#N/A</v>
      </c>
      <c r="CU80" s="86" t="e">
        <f t="shared" si="1522"/>
        <v>#N/A</v>
      </c>
      <c r="CV80" s="86" t="e">
        <f t="shared" si="1522"/>
        <v>#N/A</v>
      </c>
      <c r="CW80" s="86" t="e">
        <f t="shared" si="1522"/>
        <v>#N/A</v>
      </c>
      <c r="CX80" s="86" t="e">
        <f t="shared" si="1522"/>
        <v>#N/A</v>
      </c>
      <c r="CY80" s="86" t="e">
        <f t="shared" si="1522"/>
        <v>#N/A</v>
      </c>
      <c r="CZ80" s="86" t="e">
        <f t="shared" si="1522"/>
        <v>#N/A</v>
      </c>
      <c r="DA80" s="91" t="e">
        <f t="shared" ref="DA80" si="1523">SUM(CO80:CZ80)</f>
        <v>#N/A</v>
      </c>
      <c r="DB80" s="86" t="e">
        <f>DB70+DB78</f>
        <v>#N/A</v>
      </c>
      <c r="DC80" s="86" t="e">
        <f t="shared" ref="DC80:DM80" si="1524">DC70+DC78</f>
        <v>#N/A</v>
      </c>
      <c r="DD80" s="86" t="e">
        <f t="shared" si="1524"/>
        <v>#N/A</v>
      </c>
      <c r="DE80" s="86" t="e">
        <f t="shared" si="1524"/>
        <v>#N/A</v>
      </c>
      <c r="DF80" s="86" t="e">
        <f t="shared" si="1524"/>
        <v>#N/A</v>
      </c>
      <c r="DG80" s="86" t="e">
        <f t="shared" si="1524"/>
        <v>#N/A</v>
      </c>
      <c r="DH80" s="86" t="e">
        <f t="shared" si="1524"/>
        <v>#N/A</v>
      </c>
      <c r="DI80" s="86" t="e">
        <f t="shared" si="1524"/>
        <v>#N/A</v>
      </c>
      <c r="DJ80" s="86" t="e">
        <f t="shared" si="1524"/>
        <v>#N/A</v>
      </c>
      <c r="DK80" s="86" t="e">
        <f t="shared" si="1524"/>
        <v>#N/A</v>
      </c>
      <c r="DL80" s="86" t="e">
        <f t="shared" si="1524"/>
        <v>#N/A</v>
      </c>
      <c r="DM80" s="86" t="e">
        <f t="shared" si="1524"/>
        <v>#N/A</v>
      </c>
      <c r="DN80" s="91" t="e">
        <f t="shared" ref="DN80" si="1525">SUM(DB80:DM80)</f>
        <v>#N/A</v>
      </c>
      <c r="DO80" s="86" t="e">
        <f>DO70+DO78</f>
        <v>#N/A</v>
      </c>
      <c r="DP80" s="86" t="e">
        <f t="shared" ref="DP80:DZ80" si="1526">DP70+DP78</f>
        <v>#N/A</v>
      </c>
      <c r="DQ80" s="86" t="e">
        <f t="shared" si="1526"/>
        <v>#N/A</v>
      </c>
      <c r="DR80" s="86" t="e">
        <f t="shared" si="1526"/>
        <v>#N/A</v>
      </c>
      <c r="DS80" s="86" t="e">
        <f t="shared" si="1526"/>
        <v>#N/A</v>
      </c>
      <c r="DT80" s="86" t="e">
        <f t="shared" si="1526"/>
        <v>#N/A</v>
      </c>
      <c r="DU80" s="86" t="e">
        <f t="shared" si="1526"/>
        <v>#N/A</v>
      </c>
      <c r="DV80" s="86" t="e">
        <f t="shared" si="1526"/>
        <v>#N/A</v>
      </c>
      <c r="DW80" s="86" t="e">
        <f t="shared" si="1526"/>
        <v>#N/A</v>
      </c>
      <c r="DX80" s="86" t="e">
        <f t="shared" si="1526"/>
        <v>#N/A</v>
      </c>
      <c r="DY80" s="86" t="e">
        <f t="shared" si="1526"/>
        <v>#N/A</v>
      </c>
      <c r="DZ80" s="86" t="e">
        <f t="shared" si="1526"/>
        <v>#N/A</v>
      </c>
      <c r="EA80" s="91" t="e">
        <f t="shared" ref="EA80" si="1527">SUM(DO80:DZ80)</f>
        <v>#N/A</v>
      </c>
      <c r="EB80" s="86" t="e">
        <f>EB70+EB78</f>
        <v>#N/A</v>
      </c>
      <c r="EC80" s="86" t="e">
        <f t="shared" ref="EC80:EM80" si="1528">EC70+EC78</f>
        <v>#N/A</v>
      </c>
      <c r="ED80" s="86" t="e">
        <f t="shared" si="1528"/>
        <v>#N/A</v>
      </c>
      <c r="EE80" s="86" t="e">
        <f t="shared" si="1528"/>
        <v>#N/A</v>
      </c>
      <c r="EF80" s="86" t="e">
        <f t="shared" si="1528"/>
        <v>#N/A</v>
      </c>
      <c r="EG80" s="86" t="e">
        <f t="shared" si="1528"/>
        <v>#N/A</v>
      </c>
      <c r="EH80" s="86" t="e">
        <f t="shared" si="1528"/>
        <v>#N/A</v>
      </c>
      <c r="EI80" s="86" t="e">
        <f t="shared" si="1528"/>
        <v>#N/A</v>
      </c>
      <c r="EJ80" s="86" t="e">
        <f t="shared" si="1528"/>
        <v>#N/A</v>
      </c>
      <c r="EK80" s="86" t="e">
        <f t="shared" si="1528"/>
        <v>#N/A</v>
      </c>
      <c r="EL80" s="86" t="e">
        <f t="shared" si="1528"/>
        <v>#N/A</v>
      </c>
      <c r="EM80" s="86" t="e">
        <f t="shared" si="1528"/>
        <v>#N/A</v>
      </c>
      <c r="EN80" s="91" t="e">
        <f t="shared" ref="EN80" si="1529">SUM(EB80:EM80)</f>
        <v>#N/A</v>
      </c>
      <c r="EO80" s="86" t="e">
        <f>EO70+EO78</f>
        <v>#N/A</v>
      </c>
      <c r="EP80" s="86" t="e">
        <f t="shared" ref="EP80:EZ80" si="1530">EP70+EP78</f>
        <v>#N/A</v>
      </c>
      <c r="EQ80" s="86" t="e">
        <f t="shared" si="1530"/>
        <v>#N/A</v>
      </c>
      <c r="ER80" s="86" t="e">
        <f t="shared" si="1530"/>
        <v>#N/A</v>
      </c>
      <c r="ES80" s="86" t="e">
        <f t="shared" si="1530"/>
        <v>#N/A</v>
      </c>
      <c r="ET80" s="86" t="e">
        <f t="shared" si="1530"/>
        <v>#N/A</v>
      </c>
      <c r="EU80" s="86" t="e">
        <f t="shared" si="1530"/>
        <v>#N/A</v>
      </c>
      <c r="EV80" s="86" t="e">
        <f t="shared" si="1530"/>
        <v>#N/A</v>
      </c>
      <c r="EW80" s="86" t="e">
        <f t="shared" si="1530"/>
        <v>#N/A</v>
      </c>
      <c r="EX80" s="86" t="e">
        <f t="shared" si="1530"/>
        <v>#N/A</v>
      </c>
      <c r="EY80" s="86" t="e">
        <f t="shared" si="1530"/>
        <v>#N/A</v>
      </c>
      <c r="EZ80" s="86" t="e">
        <f t="shared" si="1530"/>
        <v>#N/A</v>
      </c>
      <c r="FA80" s="91" t="e">
        <f t="shared" ref="FA80" si="1531">SUM(EO80:EZ80)</f>
        <v>#N/A</v>
      </c>
      <c r="FB80" s="86" t="e">
        <f>FB70+FB78</f>
        <v>#N/A</v>
      </c>
      <c r="FC80" s="86" t="e">
        <f t="shared" ref="FC80:FM80" si="1532">FC70+FC78</f>
        <v>#N/A</v>
      </c>
      <c r="FD80" s="86" t="e">
        <f t="shared" si="1532"/>
        <v>#N/A</v>
      </c>
      <c r="FE80" s="86" t="e">
        <f t="shared" si="1532"/>
        <v>#N/A</v>
      </c>
      <c r="FF80" s="86" t="e">
        <f t="shared" si="1532"/>
        <v>#N/A</v>
      </c>
      <c r="FG80" s="86" t="e">
        <f t="shared" si="1532"/>
        <v>#N/A</v>
      </c>
      <c r="FH80" s="86" t="e">
        <f t="shared" si="1532"/>
        <v>#N/A</v>
      </c>
      <c r="FI80" s="86" t="e">
        <f t="shared" si="1532"/>
        <v>#N/A</v>
      </c>
      <c r="FJ80" s="86" t="e">
        <f t="shared" si="1532"/>
        <v>#N/A</v>
      </c>
      <c r="FK80" s="86" t="e">
        <f t="shared" si="1532"/>
        <v>#N/A</v>
      </c>
      <c r="FL80" s="86" t="e">
        <f t="shared" si="1532"/>
        <v>#N/A</v>
      </c>
      <c r="FM80" s="86" t="e">
        <f t="shared" si="1532"/>
        <v>#N/A</v>
      </c>
      <c r="FN80" s="91" t="e">
        <f t="shared" ref="FN80" si="1533">SUM(FB80:FM80)</f>
        <v>#N/A</v>
      </c>
      <c r="FO80" s="86" t="e">
        <f>FO70+FO78</f>
        <v>#N/A</v>
      </c>
      <c r="FP80" s="86" t="e">
        <f t="shared" ref="FP80:FZ80" si="1534">FP70+FP78</f>
        <v>#N/A</v>
      </c>
      <c r="FQ80" s="86" t="e">
        <f t="shared" si="1534"/>
        <v>#N/A</v>
      </c>
      <c r="FR80" s="86" t="e">
        <f t="shared" si="1534"/>
        <v>#N/A</v>
      </c>
      <c r="FS80" s="86" t="e">
        <f t="shared" si="1534"/>
        <v>#N/A</v>
      </c>
      <c r="FT80" s="86" t="e">
        <f t="shared" si="1534"/>
        <v>#N/A</v>
      </c>
      <c r="FU80" s="86" t="e">
        <f t="shared" si="1534"/>
        <v>#N/A</v>
      </c>
      <c r="FV80" s="86" t="e">
        <f t="shared" si="1534"/>
        <v>#N/A</v>
      </c>
      <c r="FW80" s="86" t="e">
        <f t="shared" si="1534"/>
        <v>#N/A</v>
      </c>
      <c r="FX80" s="86" t="e">
        <f t="shared" si="1534"/>
        <v>#N/A</v>
      </c>
      <c r="FY80" s="86" t="e">
        <f t="shared" si="1534"/>
        <v>#N/A</v>
      </c>
      <c r="FZ80" s="86" t="e">
        <f t="shared" si="1534"/>
        <v>#N/A</v>
      </c>
      <c r="GA80" s="91" t="e">
        <f t="shared" ref="GA80" si="1535">SUM(FO80:FZ80)</f>
        <v>#N/A</v>
      </c>
      <c r="GB80" s="86" t="e">
        <f>GB70+GB78</f>
        <v>#N/A</v>
      </c>
      <c r="GC80" s="86" t="e">
        <f t="shared" ref="GC80:GM80" si="1536">GC70+GC78</f>
        <v>#N/A</v>
      </c>
      <c r="GD80" s="86" t="e">
        <f t="shared" si="1536"/>
        <v>#N/A</v>
      </c>
      <c r="GE80" s="86" t="e">
        <f t="shared" si="1536"/>
        <v>#N/A</v>
      </c>
      <c r="GF80" s="86" t="e">
        <f t="shared" si="1536"/>
        <v>#N/A</v>
      </c>
      <c r="GG80" s="86" t="e">
        <f t="shared" si="1536"/>
        <v>#N/A</v>
      </c>
      <c r="GH80" s="86" t="e">
        <f t="shared" si="1536"/>
        <v>#N/A</v>
      </c>
      <c r="GI80" s="86" t="e">
        <f t="shared" si="1536"/>
        <v>#N/A</v>
      </c>
      <c r="GJ80" s="86" t="e">
        <f t="shared" si="1536"/>
        <v>#N/A</v>
      </c>
      <c r="GK80" s="86" t="e">
        <f t="shared" si="1536"/>
        <v>#N/A</v>
      </c>
      <c r="GL80" s="86" t="e">
        <f t="shared" si="1536"/>
        <v>#N/A</v>
      </c>
      <c r="GM80" s="86" t="e">
        <f t="shared" si="1536"/>
        <v>#N/A</v>
      </c>
      <c r="GN80" s="91" t="e">
        <f t="shared" ref="GN80" si="1537">SUM(GB80:GM80)</f>
        <v>#N/A</v>
      </c>
      <c r="GO80" s="86" t="e">
        <f>GO70+GO78</f>
        <v>#N/A</v>
      </c>
      <c r="GP80" s="86" t="e">
        <f t="shared" ref="GP80:GZ80" si="1538">GP70+GP78</f>
        <v>#N/A</v>
      </c>
      <c r="GQ80" s="86" t="e">
        <f t="shared" si="1538"/>
        <v>#N/A</v>
      </c>
      <c r="GR80" s="86" t="e">
        <f t="shared" si="1538"/>
        <v>#N/A</v>
      </c>
      <c r="GS80" s="86" t="e">
        <f t="shared" si="1538"/>
        <v>#N/A</v>
      </c>
      <c r="GT80" s="86" t="e">
        <f t="shared" si="1538"/>
        <v>#N/A</v>
      </c>
      <c r="GU80" s="86" t="e">
        <f t="shared" si="1538"/>
        <v>#N/A</v>
      </c>
      <c r="GV80" s="86" t="e">
        <f t="shared" si="1538"/>
        <v>#N/A</v>
      </c>
      <c r="GW80" s="86" t="e">
        <f t="shared" si="1538"/>
        <v>#N/A</v>
      </c>
      <c r="GX80" s="86" t="e">
        <f t="shared" si="1538"/>
        <v>#N/A</v>
      </c>
      <c r="GY80" s="86" t="e">
        <f t="shared" si="1538"/>
        <v>#N/A</v>
      </c>
      <c r="GZ80" s="86" t="e">
        <f t="shared" si="1538"/>
        <v>#N/A</v>
      </c>
      <c r="HA80" s="91" t="e">
        <f t="shared" ref="HA80" si="1539">SUM(GO80:GZ80)</f>
        <v>#N/A</v>
      </c>
      <c r="HB80" s="86" t="e">
        <f>HB70+HB78</f>
        <v>#N/A</v>
      </c>
      <c r="HC80" s="86" t="e">
        <f t="shared" ref="HC80:HM80" si="1540">HC70+HC78</f>
        <v>#N/A</v>
      </c>
      <c r="HD80" s="86" t="e">
        <f t="shared" si="1540"/>
        <v>#N/A</v>
      </c>
      <c r="HE80" s="86" t="e">
        <f t="shared" si="1540"/>
        <v>#N/A</v>
      </c>
      <c r="HF80" s="86" t="e">
        <f t="shared" si="1540"/>
        <v>#N/A</v>
      </c>
      <c r="HG80" s="86" t="e">
        <f t="shared" si="1540"/>
        <v>#N/A</v>
      </c>
      <c r="HH80" s="86" t="e">
        <f t="shared" si="1540"/>
        <v>#N/A</v>
      </c>
      <c r="HI80" s="86" t="e">
        <f t="shared" si="1540"/>
        <v>#N/A</v>
      </c>
      <c r="HJ80" s="86" t="e">
        <f t="shared" si="1540"/>
        <v>#N/A</v>
      </c>
      <c r="HK80" s="86" t="e">
        <f t="shared" si="1540"/>
        <v>#N/A</v>
      </c>
      <c r="HL80" s="86" t="e">
        <f t="shared" si="1540"/>
        <v>#N/A</v>
      </c>
      <c r="HM80" s="86" t="e">
        <f t="shared" si="1540"/>
        <v>#N/A</v>
      </c>
      <c r="HN80" s="91" t="e">
        <f t="shared" ref="HN80" si="1541">SUM(HB80:HM80)</f>
        <v>#N/A</v>
      </c>
      <c r="HO80" s="86" t="e">
        <f>HO70+HO78</f>
        <v>#N/A</v>
      </c>
      <c r="HP80" s="86" t="e">
        <f t="shared" ref="HP80:HZ80" si="1542">HP70+HP78</f>
        <v>#N/A</v>
      </c>
      <c r="HQ80" s="86" t="e">
        <f t="shared" si="1542"/>
        <v>#N/A</v>
      </c>
      <c r="HR80" s="86" t="e">
        <f t="shared" si="1542"/>
        <v>#N/A</v>
      </c>
      <c r="HS80" s="86" t="e">
        <f t="shared" si="1542"/>
        <v>#N/A</v>
      </c>
      <c r="HT80" s="86" t="e">
        <f t="shared" si="1542"/>
        <v>#N/A</v>
      </c>
      <c r="HU80" s="86" t="e">
        <f t="shared" si="1542"/>
        <v>#N/A</v>
      </c>
      <c r="HV80" s="86" t="e">
        <f t="shared" si="1542"/>
        <v>#N/A</v>
      </c>
      <c r="HW80" s="86" t="e">
        <f t="shared" si="1542"/>
        <v>#N/A</v>
      </c>
      <c r="HX80" s="86" t="e">
        <f t="shared" si="1542"/>
        <v>#N/A</v>
      </c>
      <c r="HY80" s="86" t="e">
        <f t="shared" si="1542"/>
        <v>#N/A</v>
      </c>
      <c r="HZ80" s="86" t="e">
        <f t="shared" si="1542"/>
        <v>#N/A</v>
      </c>
      <c r="IA80" s="91" t="e">
        <f t="shared" ref="IA80" si="1543">SUM(HO80:HZ80)</f>
        <v>#N/A</v>
      </c>
      <c r="IB80" s="86" t="e">
        <f>IB70+IB78</f>
        <v>#N/A</v>
      </c>
      <c r="IC80" s="86" t="e">
        <f t="shared" ref="IC80:IM80" si="1544">IC70+IC78</f>
        <v>#N/A</v>
      </c>
      <c r="ID80" s="86" t="e">
        <f t="shared" si="1544"/>
        <v>#N/A</v>
      </c>
      <c r="IE80" s="86" t="e">
        <f t="shared" si="1544"/>
        <v>#N/A</v>
      </c>
      <c r="IF80" s="86" t="e">
        <f t="shared" si="1544"/>
        <v>#N/A</v>
      </c>
      <c r="IG80" s="86" t="e">
        <f t="shared" si="1544"/>
        <v>#N/A</v>
      </c>
      <c r="IH80" s="86" t="e">
        <f t="shared" si="1544"/>
        <v>#N/A</v>
      </c>
      <c r="II80" s="86" t="e">
        <f t="shared" si="1544"/>
        <v>#N/A</v>
      </c>
      <c r="IJ80" s="86" t="e">
        <f t="shared" si="1544"/>
        <v>#N/A</v>
      </c>
      <c r="IK80" s="86" t="e">
        <f t="shared" si="1544"/>
        <v>#N/A</v>
      </c>
      <c r="IL80" s="86" t="e">
        <f t="shared" si="1544"/>
        <v>#N/A</v>
      </c>
      <c r="IM80" s="86" t="e">
        <f t="shared" si="1544"/>
        <v>#N/A</v>
      </c>
      <c r="IN80" s="91" t="e">
        <f t="shared" ref="IN80" si="1545">SUM(IB80:IM80)</f>
        <v>#N/A</v>
      </c>
      <c r="IO80" s="86" t="e">
        <f>IO70+IO78</f>
        <v>#N/A</v>
      </c>
      <c r="IP80" s="86" t="e">
        <f t="shared" ref="IP80:IZ80" si="1546">IP70+IP78</f>
        <v>#N/A</v>
      </c>
      <c r="IQ80" s="86" t="e">
        <f t="shared" si="1546"/>
        <v>#N/A</v>
      </c>
      <c r="IR80" s="86" t="e">
        <f t="shared" si="1546"/>
        <v>#N/A</v>
      </c>
      <c r="IS80" s="86" t="e">
        <f t="shared" si="1546"/>
        <v>#N/A</v>
      </c>
      <c r="IT80" s="86" t="e">
        <f t="shared" si="1546"/>
        <v>#N/A</v>
      </c>
      <c r="IU80" s="86" t="e">
        <f t="shared" si="1546"/>
        <v>#N/A</v>
      </c>
      <c r="IV80" s="86" t="e">
        <f t="shared" si="1546"/>
        <v>#N/A</v>
      </c>
      <c r="IW80" s="86" t="e">
        <f t="shared" si="1546"/>
        <v>#N/A</v>
      </c>
      <c r="IX80" s="86" t="e">
        <f t="shared" si="1546"/>
        <v>#N/A</v>
      </c>
      <c r="IY80" s="86" t="e">
        <f t="shared" si="1546"/>
        <v>#N/A</v>
      </c>
      <c r="IZ80" s="86" t="e">
        <f t="shared" si="1546"/>
        <v>#N/A</v>
      </c>
      <c r="JA80" s="91" t="e">
        <f t="shared" ref="JA80" si="1547">SUM(IO80:IZ80)</f>
        <v>#N/A</v>
      </c>
      <c r="JB80" s="86" t="e">
        <f>JB70+JB78</f>
        <v>#N/A</v>
      </c>
      <c r="JC80" s="86" t="e">
        <f t="shared" ref="JC80:JM80" si="1548">JC70+JC78</f>
        <v>#N/A</v>
      </c>
      <c r="JD80" s="86" t="e">
        <f t="shared" si="1548"/>
        <v>#N/A</v>
      </c>
      <c r="JE80" s="86" t="e">
        <f t="shared" si="1548"/>
        <v>#N/A</v>
      </c>
      <c r="JF80" s="86" t="e">
        <f t="shared" si="1548"/>
        <v>#N/A</v>
      </c>
      <c r="JG80" s="86" t="e">
        <f t="shared" si="1548"/>
        <v>#N/A</v>
      </c>
      <c r="JH80" s="86" t="e">
        <f t="shared" si="1548"/>
        <v>#N/A</v>
      </c>
      <c r="JI80" s="86" t="e">
        <f t="shared" si="1548"/>
        <v>#N/A</v>
      </c>
      <c r="JJ80" s="86" t="e">
        <f t="shared" si="1548"/>
        <v>#N/A</v>
      </c>
      <c r="JK80" s="86" t="e">
        <f t="shared" si="1548"/>
        <v>#N/A</v>
      </c>
      <c r="JL80" s="86" t="e">
        <f t="shared" si="1548"/>
        <v>#N/A</v>
      </c>
      <c r="JM80" s="86" t="e">
        <f t="shared" si="1548"/>
        <v>#N/A</v>
      </c>
      <c r="JN80" s="91" t="e">
        <f t="shared" ref="JN80" si="1549">SUM(JB80:JM80)</f>
        <v>#N/A</v>
      </c>
      <c r="JO80" s="86" t="e">
        <f>JO70+JO78</f>
        <v>#N/A</v>
      </c>
      <c r="JP80" s="86" t="e">
        <f t="shared" ref="JP80:JZ80" si="1550">JP70+JP78</f>
        <v>#N/A</v>
      </c>
      <c r="JQ80" s="86" t="e">
        <f t="shared" si="1550"/>
        <v>#N/A</v>
      </c>
      <c r="JR80" s="86" t="e">
        <f t="shared" si="1550"/>
        <v>#N/A</v>
      </c>
      <c r="JS80" s="86" t="e">
        <f t="shared" si="1550"/>
        <v>#N/A</v>
      </c>
      <c r="JT80" s="86" t="e">
        <f t="shared" si="1550"/>
        <v>#N/A</v>
      </c>
      <c r="JU80" s="86" t="e">
        <f t="shared" si="1550"/>
        <v>#N/A</v>
      </c>
      <c r="JV80" s="86" t="e">
        <f t="shared" si="1550"/>
        <v>#N/A</v>
      </c>
      <c r="JW80" s="86" t="e">
        <f t="shared" si="1550"/>
        <v>#N/A</v>
      </c>
      <c r="JX80" s="86" t="e">
        <f t="shared" si="1550"/>
        <v>#N/A</v>
      </c>
      <c r="JY80" s="86" t="e">
        <f t="shared" si="1550"/>
        <v>#N/A</v>
      </c>
      <c r="JZ80" s="86" t="e">
        <f t="shared" si="1550"/>
        <v>#N/A</v>
      </c>
      <c r="KA80" s="91" t="e">
        <f t="shared" ref="KA80" si="1551">SUM(JO80:JZ80)</f>
        <v>#N/A</v>
      </c>
      <c r="KB80" s="86" t="e">
        <f>KB70+KB78</f>
        <v>#N/A</v>
      </c>
      <c r="KC80" s="86" t="e">
        <f t="shared" ref="KC80:KM80" si="1552">KC70+KC78</f>
        <v>#N/A</v>
      </c>
      <c r="KD80" s="86" t="e">
        <f t="shared" si="1552"/>
        <v>#N/A</v>
      </c>
      <c r="KE80" s="86" t="e">
        <f t="shared" si="1552"/>
        <v>#N/A</v>
      </c>
      <c r="KF80" s="86" t="e">
        <f t="shared" si="1552"/>
        <v>#N/A</v>
      </c>
      <c r="KG80" s="86" t="e">
        <f t="shared" si="1552"/>
        <v>#N/A</v>
      </c>
      <c r="KH80" s="86" t="e">
        <f t="shared" si="1552"/>
        <v>#N/A</v>
      </c>
      <c r="KI80" s="86" t="e">
        <f t="shared" si="1552"/>
        <v>#N/A</v>
      </c>
      <c r="KJ80" s="86" t="e">
        <f t="shared" si="1552"/>
        <v>#N/A</v>
      </c>
      <c r="KK80" s="86" t="e">
        <f t="shared" si="1552"/>
        <v>#N/A</v>
      </c>
      <c r="KL80" s="86" t="e">
        <f t="shared" si="1552"/>
        <v>#N/A</v>
      </c>
      <c r="KM80" s="86" t="e">
        <f t="shared" si="1552"/>
        <v>#N/A</v>
      </c>
      <c r="KN80" s="91" t="e">
        <f t="shared" ref="KN80" si="1553">SUM(KB80:KM80)</f>
        <v>#N/A</v>
      </c>
      <c r="KO80" s="86" t="e">
        <f>KO70+KO78</f>
        <v>#N/A</v>
      </c>
      <c r="KP80" s="86" t="e">
        <f t="shared" ref="KP80:KZ80" si="1554">KP70+KP78</f>
        <v>#N/A</v>
      </c>
      <c r="KQ80" s="86" t="e">
        <f t="shared" si="1554"/>
        <v>#N/A</v>
      </c>
      <c r="KR80" s="86" t="e">
        <f t="shared" si="1554"/>
        <v>#N/A</v>
      </c>
      <c r="KS80" s="86" t="e">
        <f t="shared" si="1554"/>
        <v>#N/A</v>
      </c>
      <c r="KT80" s="86" t="e">
        <f t="shared" si="1554"/>
        <v>#N/A</v>
      </c>
      <c r="KU80" s="86" t="e">
        <f t="shared" si="1554"/>
        <v>#N/A</v>
      </c>
      <c r="KV80" s="86" t="e">
        <f t="shared" si="1554"/>
        <v>#N/A</v>
      </c>
      <c r="KW80" s="86" t="e">
        <f t="shared" si="1554"/>
        <v>#N/A</v>
      </c>
      <c r="KX80" s="86" t="e">
        <f t="shared" si="1554"/>
        <v>#N/A</v>
      </c>
      <c r="KY80" s="86" t="e">
        <f t="shared" si="1554"/>
        <v>#N/A</v>
      </c>
      <c r="KZ80" s="86" t="e">
        <f t="shared" si="1554"/>
        <v>#N/A</v>
      </c>
      <c r="LA80" s="91" t="e">
        <f t="shared" ref="LA80" si="1555">SUM(KO80:KZ80)</f>
        <v>#N/A</v>
      </c>
      <c r="LB80" s="86" t="e">
        <f>LB70+LB78</f>
        <v>#N/A</v>
      </c>
      <c r="LC80" s="86" t="e">
        <f t="shared" ref="LC80:LM80" si="1556">LC70+LC78</f>
        <v>#N/A</v>
      </c>
      <c r="LD80" s="86" t="e">
        <f t="shared" si="1556"/>
        <v>#N/A</v>
      </c>
      <c r="LE80" s="86" t="e">
        <f t="shared" si="1556"/>
        <v>#N/A</v>
      </c>
      <c r="LF80" s="86" t="e">
        <f t="shared" si="1556"/>
        <v>#N/A</v>
      </c>
      <c r="LG80" s="86" t="e">
        <f t="shared" si="1556"/>
        <v>#N/A</v>
      </c>
      <c r="LH80" s="86" t="e">
        <f t="shared" si="1556"/>
        <v>#N/A</v>
      </c>
      <c r="LI80" s="86" t="e">
        <f t="shared" si="1556"/>
        <v>#N/A</v>
      </c>
      <c r="LJ80" s="86" t="e">
        <f t="shared" si="1556"/>
        <v>#N/A</v>
      </c>
      <c r="LK80" s="86" t="e">
        <f t="shared" si="1556"/>
        <v>#N/A</v>
      </c>
      <c r="LL80" s="86" t="e">
        <f t="shared" si="1556"/>
        <v>#N/A</v>
      </c>
      <c r="LM80" s="86" t="e">
        <f t="shared" si="1556"/>
        <v>#N/A</v>
      </c>
      <c r="LN80" s="91" t="e">
        <f t="shared" ref="LN80" si="1557">SUM(LB80:LM80)</f>
        <v>#N/A</v>
      </c>
      <c r="LO80" s="86" t="e">
        <f>LO70+LO78</f>
        <v>#N/A</v>
      </c>
      <c r="LP80" s="86" t="e">
        <f t="shared" ref="LP80:LZ80" si="1558">LP70+LP78</f>
        <v>#N/A</v>
      </c>
      <c r="LQ80" s="86" t="e">
        <f t="shared" si="1558"/>
        <v>#N/A</v>
      </c>
      <c r="LR80" s="86" t="e">
        <f t="shared" si="1558"/>
        <v>#N/A</v>
      </c>
      <c r="LS80" s="86" t="e">
        <f t="shared" si="1558"/>
        <v>#N/A</v>
      </c>
      <c r="LT80" s="86" t="e">
        <f t="shared" si="1558"/>
        <v>#N/A</v>
      </c>
      <c r="LU80" s="86" t="e">
        <f t="shared" si="1558"/>
        <v>#N/A</v>
      </c>
      <c r="LV80" s="86" t="e">
        <f t="shared" si="1558"/>
        <v>#N/A</v>
      </c>
      <c r="LW80" s="86" t="e">
        <f t="shared" si="1558"/>
        <v>#N/A</v>
      </c>
      <c r="LX80" s="86" t="e">
        <f t="shared" si="1558"/>
        <v>#N/A</v>
      </c>
      <c r="LY80" s="86" t="e">
        <f t="shared" si="1558"/>
        <v>#N/A</v>
      </c>
      <c r="LZ80" s="86" t="e">
        <f t="shared" si="1558"/>
        <v>#N/A</v>
      </c>
      <c r="MA80" s="91" t="e">
        <f t="shared" ref="MA80" si="1559">SUM(LO80:LZ80)</f>
        <v>#N/A</v>
      </c>
      <c r="MB80" s="86" t="e">
        <f>MB70+MB78</f>
        <v>#N/A</v>
      </c>
      <c r="MC80" s="86" t="e">
        <f t="shared" ref="MC80:MM80" si="1560">MC70+MC78</f>
        <v>#N/A</v>
      </c>
      <c r="MD80" s="86" t="e">
        <f t="shared" si="1560"/>
        <v>#N/A</v>
      </c>
      <c r="ME80" s="86" t="e">
        <f t="shared" si="1560"/>
        <v>#N/A</v>
      </c>
      <c r="MF80" s="86" t="e">
        <f t="shared" si="1560"/>
        <v>#N/A</v>
      </c>
      <c r="MG80" s="86" t="e">
        <f t="shared" si="1560"/>
        <v>#N/A</v>
      </c>
      <c r="MH80" s="86" t="e">
        <f t="shared" si="1560"/>
        <v>#N/A</v>
      </c>
      <c r="MI80" s="86" t="e">
        <f t="shared" si="1560"/>
        <v>#N/A</v>
      </c>
      <c r="MJ80" s="86" t="e">
        <f t="shared" si="1560"/>
        <v>#N/A</v>
      </c>
      <c r="MK80" s="86" t="e">
        <f t="shared" si="1560"/>
        <v>#N/A</v>
      </c>
      <c r="ML80" s="86" t="e">
        <f t="shared" si="1560"/>
        <v>#N/A</v>
      </c>
      <c r="MM80" s="86" t="e">
        <f t="shared" si="1560"/>
        <v>#N/A</v>
      </c>
      <c r="MN80" s="91" t="e">
        <f t="shared" ref="MN80" si="1561">SUM(MB80:MM80)</f>
        <v>#N/A</v>
      </c>
      <c r="MO80" s="86" t="e">
        <f>MO70+MO78</f>
        <v>#N/A</v>
      </c>
      <c r="MP80" s="86" t="e">
        <f t="shared" ref="MP80:MZ80" si="1562">MP70+MP78</f>
        <v>#N/A</v>
      </c>
      <c r="MQ80" s="86" t="e">
        <f t="shared" si="1562"/>
        <v>#N/A</v>
      </c>
      <c r="MR80" s="86" t="e">
        <f t="shared" si="1562"/>
        <v>#N/A</v>
      </c>
      <c r="MS80" s="86" t="e">
        <f t="shared" si="1562"/>
        <v>#N/A</v>
      </c>
      <c r="MT80" s="86" t="e">
        <f t="shared" si="1562"/>
        <v>#N/A</v>
      </c>
      <c r="MU80" s="86" t="e">
        <f t="shared" si="1562"/>
        <v>#N/A</v>
      </c>
      <c r="MV80" s="86" t="e">
        <f t="shared" si="1562"/>
        <v>#N/A</v>
      </c>
      <c r="MW80" s="86" t="e">
        <f t="shared" si="1562"/>
        <v>#N/A</v>
      </c>
      <c r="MX80" s="86" t="e">
        <f t="shared" si="1562"/>
        <v>#N/A</v>
      </c>
      <c r="MY80" s="86" t="e">
        <f t="shared" si="1562"/>
        <v>#N/A</v>
      </c>
      <c r="MZ80" s="86" t="e">
        <f t="shared" si="1562"/>
        <v>#N/A</v>
      </c>
      <c r="NA80" s="91" t="e">
        <f t="shared" ref="NA80" si="1563">SUM(MO80:MZ80)</f>
        <v>#N/A</v>
      </c>
      <c r="NB80" s="86" t="e">
        <f>NB70+NB78</f>
        <v>#N/A</v>
      </c>
      <c r="NC80" s="86" t="e">
        <f t="shared" ref="NC80:NM80" si="1564">NC70+NC78</f>
        <v>#N/A</v>
      </c>
      <c r="ND80" s="86" t="e">
        <f t="shared" si="1564"/>
        <v>#N/A</v>
      </c>
      <c r="NE80" s="86" t="e">
        <f t="shared" si="1564"/>
        <v>#N/A</v>
      </c>
      <c r="NF80" s="86" t="e">
        <f t="shared" si="1564"/>
        <v>#N/A</v>
      </c>
      <c r="NG80" s="86" t="e">
        <f t="shared" si="1564"/>
        <v>#N/A</v>
      </c>
      <c r="NH80" s="86" t="e">
        <f t="shared" si="1564"/>
        <v>#N/A</v>
      </c>
      <c r="NI80" s="86" t="e">
        <f t="shared" si="1564"/>
        <v>#N/A</v>
      </c>
      <c r="NJ80" s="86" t="e">
        <f t="shared" si="1564"/>
        <v>#N/A</v>
      </c>
      <c r="NK80" s="86" t="e">
        <f t="shared" si="1564"/>
        <v>#N/A</v>
      </c>
      <c r="NL80" s="86" t="e">
        <f t="shared" si="1564"/>
        <v>#N/A</v>
      </c>
      <c r="NM80" s="86" t="e">
        <f t="shared" si="1564"/>
        <v>#N/A</v>
      </c>
      <c r="NN80" s="91" t="e">
        <f t="shared" ref="NN80" si="1565">SUM(NB80:NM80)</f>
        <v>#N/A</v>
      </c>
      <c r="NO80" s="86" t="e">
        <f>NO70+NO78</f>
        <v>#N/A</v>
      </c>
      <c r="NP80" s="86" t="e">
        <f t="shared" ref="NP80:NZ80" si="1566">NP70+NP78</f>
        <v>#N/A</v>
      </c>
      <c r="NQ80" s="86" t="e">
        <f t="shared" si="1566"/>
        <v>#N/A</v>
      </c>
      <c r="NR80" s="86" t="e">
        <f t="shared" si="1566"/>
        <v>#N/A</v>
      </c>
      <c r="NS80" s="86" t="e">
        <f t="shared" si="1566"/>
        <v>#N/A</v>
      </c>
      <c r="NT80" s="86" t="e">
        <f t="shared" si="1566"/>
        <v>#N/A</v>
      </c>
      <c r="NU80" s="86" t="e">
        <f t="shared" si="1566"/>
        <v>#N/A</v>
      </c>
      <c r="NV80" s="86" t="e">
        <f t="shared" si="1566"/>
        <v>#N/A</v>
      </c>
      <c r="NW80" s="86" t="e">
        <f t="shared" si="1566"/>
        <v>#N/A</v>
      </c>
      <c r="NX80" s="86" t="e">
        <f t="shared" si="1566"/>
        <v>#N/A</v>
      </c>
      <c r="NY80" s="86" t="e">
        <f t="shared" si="1566"/>
        <v>#N/A</v>
      </c>
      <c r="NZ80" s="86" t="e">
        <f t="shared" si="1566"/>
        <v>#N/A</v>
      </c>
      <c r="OA80" s="91" t="e">
        <f t="shared" ref="OA80" si="1567">SUM(NO80:NZ80)</f>
        <v>#N/A</v>
      </c>
      <c r="OB80" s="86" t="e">
        <f>OB70+OB78</f>
        <v>#N/A</v>
      </c>
      <c r="OC80" s="86" t="e">
        <f t="shared" ref="OC80:OM80" si="1568">OC70+OC78</f>
        <v>#N/A</v>
      </c>
      <c r="OD80" s="86" t="e">
        <f t="shared" si="1568"/>
        <v>#N/A</v>
      </c>
      <c r="OE80" s="86" t="e">
        <f t="shared" si="1568"/>
        <v>#N/A</v>
      </c>
      <c r="OF80" s="86" t="e">
        <f t="shared" si="1568"/>
        <v>#N/A</v>
      </c>
      <c r="OG80" s="86" t="e">
        <f t="shared" si="1568"/>
        <v>#N/A</v>
      </c>
      <c r="OH80" s="86" t="e">
        <f t="shared" si="1568"/>
        <v>#N/A</v>
      </c>
      <c r="OI80" s="86" t="e">
        <f t="shared" si="1568"/>
        <v>#N/A</v>
      </c>
      <c r="OJ80" s="86" t="e">
        <f t="shared" si="1568"/>
        <v>#N/A</v>
      </c>
      <c r="OK80" s="86" t="e">
        <f t="shared" si="1568"/>
        <v>#N/A</v>
      </c>
      <c r="OL80" s="86" t="e">
        <f t="shared" si="1568"/>
        <v>#N/A</v>
      </c>
      <c r="OM80" s="86" t="e">
        <f t="shared" si="1568"/>
        <v>#N/A</v>
      </c>
      <c r="ON80" s="91" t="e">
        <f t="shared" ref="ON80" si="1569">SUM(OB80:OM80)</f>
        <v>#N/A</v>
      </c>
      <c r="OO80" s="86" t="e">
        <f>OO70+OO78</f>
        <v>#N/A</v>
      </c>
      <c r="OP80" s="86" t="e">
        <f t="shared" ref="OP80:OZ80" si="1570">OP70+OP78</f>
        <v>#N/A</v>
      </c>
      <c r="OQ80" s="86" t="e">
        <f t="shared" si="1570"/>
        <v>#N/A</v>
      </c>
      <c r="OR80" s="86" t="e">
        <f t="shared" si="1570"/>
        <v>#N/A</v>
      </c>
      <c r="OS80" s="86" t="e">
        <f t="shared" si="1570"/>
        <v>#N/A</v>
      </c>
      <c r="OT80" s="86" t="e">
        <f t="shared" si="1570"/>
        <v>#N/A</v>
      </c>
      <c r="OU80" s="86" t="e">
        <f t="shared" si="1570"/>
        <v>#N/A</v>
      </c>
      <c r="OV80" s="86" t="e">
        <f t="shared" si="1570"/>
        <v>#N/A</v>
      </c>
      <c r="OW80" s="86" t="e">
        <f t="shared" si="1570"/>
        <v>#N/A</v>
      </c>
      <c r="OX80" s="86" t="e">
        <f t="shared" si="1570"/>
        <v>#N/A</v>
      </c>
      <c r="OY80" s="86" t="e">
        <f t="shared" si="1570"/>
        <v>#N/A</v>
      </c>
      <c r="OZ80" s="86" t="e">
        <f t="shared" si="1570"/>
        <v>#N/A</v>
      </c>
      <c r="PA80" s="91" t="e">
        <f t="shared" ref="PA80" si="1571">SUM(OO80:OZ80)</f>
        <v>#N/A</v>
      </c>
      <c r="PB80" s="86" t="e">
        <f>PB70+PB78</f>
        <v>#N/A</v>
      </c>
      <c r="PC80" s="86" t="e">
        <f t="shared" ref="PC80:PM80" si="1572">PC70+PC78</f>
        <v>#N/A</v>
      </c>
      <c r="PD80" s="86" t="e">
        <f t="shared" si="1572"/>
        <v>#N/A</v>
      </c>
      <c r="PE80" s="86" t="e">
        <f t="shared" si="1572"/>
        <v>#N/A</v>
      </c>
      <c r="PF80" s="86" t="e">
        <f t="shared" si="1572"/>
        <v>#N/A</v>
      </c>
      <c r="PG80" s="86" t="e">
        <f t="shared" si="1572"/>
        <v>#N/A</v>
      </c>
      <c r="PH80" s="86" t="e">
        <f t="shared" si="1572"/>
        <v>#N/A</v>
      </c>
      <c r="PI80" s="86" t="e">
        <f t="shared" si="1572"/>
        <v>#N/A</v>
      </c>
      <c r="PJ80" s="86" t="e">
        <f t="shared" si="1572"/>
        <v>#N/A</v>
      </c>
      <c r="PK80" s="86" t="e">
        <f t="shared" si="1572"/>
        <v>#N/A</v>
      </c>
      <c r="PL80" s="86" t="e">
        <f t="shared" si="1572"/>
        <v>#N/A</v>
      </c>
      <c r="PM80" s="86" t="e">
        <f t="shared" si="1572"/>
        <v>#N/A</v>
      </c>
      <c r="PN80" s="91" t="e">
        <f t="shared" ref="PN80" si="1573">SUM(PB80:PM80)</f>
        <v>#N/A</v>
      </c>
      <c r="PO80" s="86" t="e">
        <f>PO70+PO78</f>
        <v>#N/A</v>
      </c>
      <c r="PP80" s="86" t="e">
        <f t="shared" ref="PP80:PZ80" si="1574">PP70+PP78</f>
        <v>#N/A</v>
      </c>
      <c r="PQ80" s="86" t="e">
        <f t="shared" si="1574"/>
        <v>#N/A</v>
      </c>
      <c r="PR80" s="86" t="e">
        <f t="shared" si="1574"/>
        <v>#N/A</v>
      </c>
      <c r="PS80" s="86" t="e">
        <f t="shared" si="1574"/>
        <v>#N/A</v>
      </c>
      <c r="PT80" s="86" t="e">
        <f t="shared" si="1574"/>
        <v>#N/A</v>
      </c>
      <c r="PU80" s="86" t="e">
        <f t="shared" si="1574"/>
        <v>#N/A</v>
      </c>
      <c r="PV80" s="86" t="e">
        <f t="shared" si="1574"/>
        <v>#N/A</v>
      </c>
      <c r="PW80" s="86" t="e">
        <f t="shared" si="1574"/>
        <v>#N/A</v>
      </c>
      <c r="PX80" s="86" t="e">
        <f t="shared" si="1574"/>
        <v>#N/A</v>
      </c>
      <c r="PY80" s="86" t="e">
        <f t="shared" si="1574"/>
        <v>#N/A</v>
      </c>
      <c r="PZ80" s="86" t="e">
        <f t="shared" si="1574"/>
        <v>#N/A</v>
      </c>
      <c r="QA80" s="91" t="e">
        <f t="shared" ref="QA80" si="1575">SUM(PO80:PZ80)</f>
        <v>#N/A</v>
      </c>
      <c r="QB80" s="86" t="e">
        <f>QB70+QB78</f>
        <v>#N/A</v>
      </c>
      <c r="QC80" s="86" t="e">
        <f t="shared" ref="QC80:QM80" si="1576">QC70+QC78</f>
        <v>#N/A</v>
      </c>
      <c r="QD80" s="86" t="e">
        <f t="shared" si="1576"/>
        <v>#N/A</v>
      </c>
      <c r="QE80" s="86" t="e">
        <f t="shared" si="1576"/>
        <v>#N/A</v>
      </c>
      <c r="QF80" s="86" t="e">
        <f t="shared" si="1576"/>
        <v>#N/A</v>
      </c>
      <c r="QG80" s="86" t="e">
        <f t="shared" si="1576"/>
        <v>#N/A</v>
      </c>
      <c r="QH80" s="86" t="e">
        <f t="shared" si="1576"/>
        <v>#N/A</v>
      </c>
      <c r="QI80" s="86" t="e">
        <f t="shared" si="1576"/>
        <v>#N/A</v>
      </c>
      <c r="QJ80" s="86" t="e">
        <f t="shared" si="1576"/>
        <v>#N/A</v>
      </c>
      <c r="QK80" s="86" t="e">
        <f t="shared" si="1576"/>
        <v>#N/A</v>
      </c>
      <c r="QL80" s="86" t="e">
        <f t="shared" si="1576"/>
        <v>#N/A</v>
      </c>
      <c r="QM80" s="86" t="e">
        <f t="shared" si="1576"/>
        <v>#N/A</v>
      </c>
      <c r="QN80" s="91" t="e">
        <f t="shared" ref="QN80" si="1577">SUM(QB80:QM80)</f>
        <v>#N/A</v>
      </c>
      <c r="QO80" s="86" t="e">
        <f>QO70+QO78</f>
        <v>#N/A</v>
      </c>
      <c r="QP80" s="86" t="e">
        <f t="shared" ref="QP80:QZ80" si="1578">QP70+QP78</f>
        <v>#N/A</v>
      </c>
      <c r="QQ80" s="86" t="e">
        <f t="shared" si="1578"/>
        <v>#N/A</v>
      </c>
      <c r="QR80" s="86" t="e">
        <f t="shared" si="1578"/>
        <v>#N/A</v>
      </c>
      <c r="QS80" s="86" t="e">
        <f t="shared" si="1578"/>
        <v>#N/A</v>
      </c>
      <c r="QT80" s="86" t="e">
        <f t="shared" si="1578"/>
        <v>#N/A</v>
      </c>
      <c r="QU80" s="86" t="e">
        <f t="shared" si="1578"/>
        <v>#N/A</v>
      </c>
      <c r="QV80" s="86" t="e">
        <f t="shared" si="1578"/>
        <v>#N/A</v>
      </c>
      <c r="QW80" s="86" t="e">
        <f t="shared" si="1578"/>
        <v>#N/A</v>
      </c>
      <c r="QX80" s="86" t="e">
        <f t="shared" si="1578"/>
        <v>#N/A</v>
      </c>
      <c r="QY80" s="86" t="e">
        <f t="shared" si="1578"/>
        <v>#N/A</v>
      </c>
      <c r="QZ80" s="86" t="e">
        <f t="shared" si="1578"/>
        <v>#N/A</v>
      </c>
      <c r="RA80" s="91" t="e">
        <f t="shared" ref="RA80" si="1579">SUM(QO80:QZ80)</f>
        <v>#N/A</v>
      </c>
      <c r="RB80" s="86" t="e">
        <f>RB70+RB78</f>
        <v>#N/A</v>
      </c>
      <c r="RC80" s="86" t="e">
        <f t="shared" ref="RC80:RM80" si="1580">RC70+RC78</f>
        <v>#N/A</v>
      </c>
      <c r="RD80" s="86" t="e">
        <f t="shared" si="1580"/>
        <v>#N/A</v>
      </c>
      <c r="RE80" s="86" t="e">
        <f t="shared" si="1580"/>
        <v>#N/A</v>
      </c>
      <c r="RF80" s="86" t="e">
        <f t="shared" si="1580"/>
        <v>#N/A</v>
      </c>
      <c r="RG80" s="86" t="e">
        <f t="shared" si="1580"/>
        <v>#N/A</v>
      </c>
      <c r="RH80" s="86" t="e">
        <f t="shared" si="1580"/>
        <v>#N/A</v>
      </c>
      <c r="RI80" s="86" t="e">
        <f t="shared" si="1580"/>
        <v>#N/A</v>
      </c>
      <c r="RJ80" s="86" t="e">
        <f t="shared" si="1580"/>
        <v>#N/A</v>
      </c>
      <c r="RK80" s="86" t="e">
        <f t="shared" si="1580"/>
        <v>#N/A</v>
      </c>
      <c r="RL80" s="86" t="e">
        <f t="shared" si="1580"/>
        <v>#N/A</v>
      </c>
      <c r="RM80" s="86" t="e">
        <f t="shared" si="1580"/>
        <v>#N/A</v>
      </c>
      <c r="RN80" s="91" t="e">
        <f t="shared" ref="RN80" si="1581">SUM(RB80:RM80)</f>
        <v>#N/A</v>
      </c>
    </row>
    <row r="81" spans="1:482" outlineLevel="1" x14ac:dyDescent="0.3"/>
    <row r="82" spans="1:482" outlineLevel="1" x14ac:dyDescent="0.3">
      <c r="A82" s="74" t="s">
        <v>283</v>
      </c>
      <c r="B82" s="86" t="e">
        <f>B80</f>
        <v>#N/A</v>
      </c>
      <c r="C82" s="86" t="e">
        <f>C80+B82</f>
        <v>#N/A</v>
      </c>
      <c r="D82" s="86" t="e">
        <f t="shared" ref="D82:M82" si="1582">D80+C82</f>
        <v>#N/A</v>
      </c>
      <c r="E82" s="86" t="e">
        <f t="shared" si="1582"/>
        <v>#N/A</v>
      </c>
      <c r="F82" s="86" t="e">
        <f t="shared" si="1582"/>
        <v>#N/A</v>
      </c>
      <c r="G82" s="86" t="e">
        <f t="shared" si="1582"/>
        <v>#N/A</v>
      </c>
      <c r="H82" s="86" t="e">
        <f t="shared" si="1582"/>
        <v>#N/A</v>
      </c>
      <c r="I82" s="86" t="e">
        <f t="shared" si="1582"/>
        <v>#N/A</v>
      </c>
      <c r="J82" s="86" t="e">
        <f t="shared" si="1582"/>
        <v>#N/A</v>
      </c>
      <c r="K82" s="86" t="e">
        <f t="shared" si="1582"/>
        <v>#N/A</v>
      </c>
      <c r="L82" s="86" t="e">
        <f t="shared" si="1582"/>
        <v>#N/A</v>
      </c>
      <c r="M82" s="86" t="e">
        <f t="shared" si="1582"/>
        <v>#N/A</v>
      </c>
      <c r="N82" s="91" t="e">
        <f>M82</f>
        <v>#N/A</v>
      </c>
      <c r="O82" s="86" t="e">
        <f>N82+O80</f>
        <v>#N/A</v>
      </c>
      <c r="P82" s="86" t="e">
        <f t="shared" ref="P82:Z82" si="1583">P80+O82</f>
        <v>#N/A</v>
      </c>
      <c r="Q82" s="86" t="e">
        <f t="shared" si="1583"/>
        <v>#N/A</v>
      </c>
      <c r="R82" s="86" t="e">
        <f t="shared" si="1583"/>
        <v>#N/A</v>
      </c>
      <c r="S82" s="86" t="e">
        <f t="shared" si="1583"/>
        <v>#N/A</v>
      </c>
      <c r="T82" s="86" t="e">
        <f t="shared" si="1583"/>
        <v>#N/A</v>
      </c>
      <c r="U82" s="86" t="e">
        <f t="shared" si="1583"/>
        <v>#N/A</v>
      </c>
      <c r="V82" s="86" t="e">
        <f t="shared" si="1583"/>
        <v>#N/A</v>
      </c>
      <c r="W82" s="86" t="e">
        <f t="shared" si="1583"/>
        <v>#N/A</v>
      </c>
      <c r="X82" s="86" t="e">
        <f t="shared" si="1583"/>
        <v>#N/A</v>
      </c>
      <c r="Y82" s="86" t="e">
        <f t="shared" si="1583"/>
        <v>#N/A</v>
      </c>
      <c r="Z82" s="86" t="e">
        <f t="shared" si="1583"/>
        <v>#N/A</v>
      </c>
      <c r="AA82" s="91" t="e">
        <f>Z82</f>
        <v>#N/A</v>
      </c>
      <c r="AB82" s="86" t="e">
        <f>AA82+AB80</f>
        <v>#N/A</v>
      </c>
      <c r="AC82" s="86" t="e">
        <f t="shared" ref="AC82:AM82" si="1584">AC80+AB82</f>
        <v>#N/A</v>
      </c>
      <c r="AD82" s="86" t="e">
        <f t="shared" si="1584"/>
        <v>#N/A</v>
      </c>
      <c r="AE82" s="86" t="e">
        <f t="shared" si="1584"/>
        <v>#N/A</v>
      </c>
      <c r="AF82" s="86" t="e">
        <f t="shared" si="1584"/>
        <v>#N/A</v>
      </c>
      <c r="AG82" s="86" t="e">
        <f t="shared" si="1584"/>
        <v>#N/A</v>
      </c>
      <c r="AH82" s="86" t="e">
        <f t="shared" si="1584"/>
        <v>#N/A</v>
      </c>
      <c r="AI82" s="86" t="e">
        <f t="shared" si="1584"/>
        <v>#N/A</v>
      </c>
      <c r="AJ82" s="86" t="e">
        <f t="shared" si="1584"/>
        <v>#N/A</v>
      </c>
      <c r="AK82" s="86" t="e">
        <f t="shared" si="1584"/>
        <v>#N/A</v>
      </c>
      <c r="AL82" s="86" t="e">
        <f t="shared" si="1584"/>
        <v>#N/A</v>
      </c>
      <c r="AM82" s="86" t="e">
        <f t="shared" si="1584"/>
        <v>#N/A</v>
      </c>
      <c r="AN82" s="91" t="e">
        <f>AM82</f>
        <v>#N/A</v>
      </c>
      <c r="AO82" s="86" t="e">
        <f>AN82+AO80</f>
        <v>#N/A</v>
      </c>
      <c r="AP82" s="86" t="e">
        <f t="shared" ref="AP82:AZ82" si="1585">AP80+AO82</f>
        <v>#N/A</v>
      </c>
      <c r="AQ82" s="86" t="e">
        <f t="shared" si="1585"/>
        <v>#N/A</v>
      </c>
      <c r="AR82" s="86" t="e">
        <f t="shared" si="1585"/>
        <v>#N/A</v>
      </c>
      <c r="AS82" s="86" t="e">
        <f t="shared" si="1585"/>
        <v>#N/A</v>
      </c>
      <c r="AT82" s="86" t="e">
        <f t="shared" si="1585"/>
        <v>#N/A</v>
      </c>
      <c r="AU82" s="86" t="e">
        <f t="shared" si="1585"/>
        <v>#N/A</v>
      </c>
      <c r="AV82" s="86" t="e">
        <f t="shared" si="1585"/>
        <v>#N/A</v>
      </c>
      <c r="AW82" s="86" t="e">
        <f t="shared" si="1585"/>
        <v>#N/A</v>
      </c>
      <c r="AX82" s="86" t="e">
        <f t="shared" si="1585"/>
        <v>#N/A</v>
      </c>
      <c r="AY82" s="86" t="e">
        <f t="shared" si="1585"/>
        <v>#N/A</v>
      </c>
      <c r="AZ82" s="86" t="e">
        <f t="shared" si="1585"/>
        <v>#N/A</v>
      </c>
      <c r="BA82" s="91" t="e">
        <f>AZ82</f>
        <v>#N/A</v>
      </c>
      <c r="BB82" s="86" t="e">
        <f>BA82+BB80</f>
        <v>#N/A</v>
      </c>
      <c r="BC82" s="86" t="e">
        <f t="shared" ref="BC82:BM82" si="1586">BC80+BB82</f>
        <v>#N/A</v>
      </c>
      <c r="BD82" s="86" t="e">
        <f t="shared" si="1586"/>
        <v>#N/A</v>
      </c>
      <c r="BE82" s="86" t="e">
        <f t="shared" si="1586"/>
        <v>#N/A</v>
      </c>
      <c r="BF82" s="86" t="e">
        <f t="shared" si="1586"/>
        <v>#N/A</v>
      </c>
      <c r="BG82" s="86" t="e">
        <f t="shared" si="1586"/>
        <v>#N/A</v>
      </c>
      <c r="BH82" s="86" t="e">
        <f t="shared" si="1586"/>
        <v>#N/A</v>
      </c>
      <c r="BI82" s="86" t="e">
        <f t="shared" si="1586"/>
        <v>#N/A</v>
      </c>
      <c r="BJ82" s="86" t="e">
        <f t="shared" si="1586"/>
        <v>#N/A</v>
      </c>
      <c r="BK82" s="86" t="e">
        <f t="shared" si="1586"/>
        <v>#N/A</v>
      </c>
      <c r="BL82" s="86" t="e">
        <f t="shared" si="1586"/>
        <v>#N/A</v>
      </c>
      <c r="BM82" s="86" t="e">
        <f t="shared" si="1586"/>
        <v>#N/A</v>
      </c>
      <c r="BN82" s="91" t="e">
        <f>BM82</f>
        <v>#N/A</v>
      </c>
      <c r="BO82" s="86" t="e">
        <f>BN82+BO80</f>
        <v>#N/A</v>
      </c>
      <c r="BP82" s="86" t="e">
        <f t="shared" ref="BP82:BZ82" si="1587">BP80+BO82</f>
        <v>#N/A</v>
      </c>
      <c r="BQ82" s="86" t="e">
        <f t="shared" si="1587"/>
        <v>#N/A</v>
      </c>
      <c r="BR82" s="86" t="e">
        <f t="shared" si="1587"/>
        <v>#N/A</v>
      </c>
      <c r="BS82" s="86" t="e">
        <f t="shared" si="1587"/>
        <v>#N/A</v>
      </c>
      <c r="BT82" s="86" t="e">
        <f t="shared" si="1587"/>
        <v>#N/A</v>
      </c>
      <c r="BU82" s="86" t="e">
        <f t="shared" si="1587"/>
        <v>#N/A</v>
      </c>
      <c r="BV82" s="86" t="e">
        <f t="shared" si="1587"/>
        <v>#N/A</v>
      </c>
      <c r="BW82" s="86" t="e">
        <f t="shared" si="1587"/>
        <v>#N/A</v>
      </c>
      <c r="BX82" s="86" t="e">
        <f t="shared" si="1587"/>
        <v>#N/A</v>
      </c>
      <c r="BY82" s="86" t="e">
        <f t="shared" si="1587"/>
        <v>#N/A</v>
      </c>
      <c r="BZ82" s="86" t="e">
        <f t="shared" si="1587"/>
        <v>#N/A</v>
      </c>
      <c r="CA82" s="91" t="e">
        <f>BZ82</f>
        <v>#N/A</v>
      </c>
      <c r="CB82" s="86" t="e">
        <f>CA82+CB80</f>
        <v>#N/A</v>
      </c>
      <c r="CC82" s="86" t="e">
        <f t="shared" ref="CC82:CM82" si="1588">CC80+CB82</f>
        <v>#N/A</v>
      </c>
      <c r="CD82" s="86" t="e">
        <f t="shared" si="1588"/>
        <v>#N/A</v>
      </c>
      <c r="CE82" s="86" t="e">
        <f t="shared" si="1588"/>
        <v>#N/A</v>
      </c>
      <c r="CF82" s="86" t="e">
        <f t="shared" si="1588"/>
        <v>#N/A</v>
      </c>
      <c r="CG82" s="86" t="e">
        <f t="shared" si="1588"/>
        <v>#N/A</v>
      </c>
      <c r="CH82" s="86" t="e">
        <f t="shared" si="1588"/>
        <v>#N/A</v>
      </c>
      <c r="CI82" s="86" t="e">
        <f t="shared" si="1588"/>
        <v>#N/A</v>
      </c>
      <c r="CJ82" s="86" t="e">
        <f t="shared" si="1588"/>
        <v>#N/A</v>
      </c>
      <c r="CK82" s="86" t="e">
        <f t="shared" si="1588"/>
        <v>#N/A</v>
      </c>
      <c r="CL82" s="86" t="e">
        <f t="shared" si="1588"/>
        <v>#N/A</v>
      </c>
      <c r="CM82" s="86" t="e">
        <f t="shared" si="1588"/>
        <v>#N/A</v>
      </c>
      <c r="CN82" s="91" t="e">
        <f>CM82</f>
        <v>#N/A</v>
      </c>
      <c r="CO82" s="86" t="e">
        <f>CN82+CO80</f>
        <v>#N/A</v>
      </c>
      <c r="CP82" s="86" t="e">
        <f t="shared" ref="CP82:CZ82" si="1589">CP80+CO82</f>
        <v>#N/A</v>
      </c>
      <c r="CQ82" s="86" t="e">
        <f t="shared" si="1589"/>
        <v>#N/A</v>
      </c>
      <c r="CR82" s="86" t="e">
        <f t="shared" si="1589"/>
        <v>#N/A</v>
      </c>
      <c r="CS82" s="86" t="e">
        <f t="shared" si="1589"/>
        <v>#N/A</v>
      </c>
      <c r="CT82" s="86" t="e">
        <f t="shared" si="1589"/>
        <v>#N/A</v>
      </c>
      <c r="CU82" s="86" t="e">
        <f t="shared" si="1589"/>
        <v>#N/A</v>
      </c>
      <c r="CV82" s="86" t="e">
        <f t="shared" si="1589"/>
        <v>#N/A</v>
      </c>
      <c r="CW82" s="86" t="e">
        <f t="shared" si="1589"/>
        <v>#N/A</v>
      </c>
      <c r="CX82" s="86" t="e">
        <f t="shared" si="1589"/>
        <v>#N/A</v>
      </c>
      <c r="CY82" s="86" t="e">
        <f t="shared" si="1589"/>
        <v>#N/A</v>
      </c>
      <c r="CZ82" s="86" t="e">
        <f t="shared" si="1589"/>
        <v>#N/A</v>
      </c>
      <c r="DA82" s="91" t="e">
        <f>CZ82</f>
        <v>#N/A</v>
      </c>
      <c r="DB82" s="86" t="e">
        <f>DA82+DB80</f>
        <v>#N/A</v>
      </c>
      <c r="DC82" s="86" t="e">
        <f t="shared" ref="DC82:DM82" si="1590">DC80+DB82</f>
        <v>#N/A</v>
      </c>
      <c r="DD82" s="86" t="e">
        <f t="shared" si="1590"/>
        <v>#N/A</v>
      </c>
      <c r="DE82" s="86" t="e">
        <f t="shared" si="1590"/>
        <v>#N/A</v>
      </c>
      <c r="DF82" s="86" t="e">
        <f t="shared" si="1590"/>
        <v>#N/A</v>
      </c>
      <c r="DG82" s="86" t="e">
        <f t="shared" si="1590"/>
        <v>#N/A</v>
      </c>
      <c r="DH82" s="86" t="e">
        <f t="shared" si="1590"/>
        <v>#N/A</v>
      </c>
      <c r="DI82" s="86" t="e">
        <f t="shared" si="1590"/>
        <v>#N/A</v>
      </c>
      <c r="DJ82" s="86" t="e">
        <f t="shared" si="1590"/>
        <v>#N/A</v>
      </c>
      <c r="DK82" s="86" t="e">
        <f t="shared" si="1590"/>
        <v>#N/A</v>
      </c>
      <c r="DL82" s="86" t="e">
        <f t="shared" si="1590"/>
        <v>#N/A</v>
      </c>
      <c r="DM82" s="86" t="e">
        <f t="shared" si="1590"/>
        <v>#N/A</v>
      </c>
      <c r="DN82" s="91" t="e">
        <f>DM82</f>
        <v>#N/A</v>
      </c>
      <c r="DO82" s="86" t="e">
        <f>DN82+DO80</f>
        <v>#N/A</v>
      </c>
      <c r="DP82" s="86" t="e">
        <f t="shared" ref="DP82:DZ82" si="1591">DP80+DO82</f>
        <v>#N/A</v>
      </c>
      <c r="DQ82" s="86" t="e">
        <f t="shared" si="1591"/>
        <v>#N/A</v>
      </c>
      <c r="DR82" s="86" t="e">
        <f t="shared" si="1591"/>
        <v>#N/A</v>
      </c>
      <c r="DS82" s="86" t="e">
        <f t="shared" si="1591"/>
        <v>#N/A</v>
      </c>
      <c r="DT82" s="86" t="e">
        <f t="shared" si="1591"/>
        <v>#N/A</v>
      </c>
      <c r="DU82" s="86" t="e">
        <f t="shared" si="1591"/>
        <v>#N/A</v>
      </c>
      <c r="DV82" s="86" t="e">
        <f t="shared" si="1591"/>
        <v>#N/A</v>
      </c>
      <c r="DW82" s="86" t="e">
        <f t="shared" si="1591"/>
        <v>#N/A</v>
      </c>
      <c r="DX82" s="86" t="e">
        <f t="shared" si="1591"/>
        <v>#N/A</v>
      </c>
      <c r="DY82" s="86" t="e">
        <f t="shared" si="1591"/>
        <v>#N/A</v>
      </c>
      <c r="DZ82" s="86" t="e">
        <f t="shared" si="1591"/>
        <v>#N/A</v>
      </c>
      <c r="EA82" s="91" t="e">
        <f>DZ82</f>
        <v>#N/A</v>
      </c>
      <c r="EB82" s="86" t="e">
        <f>EA82+EB80</f>
        <v>#N/A</v>
      </c>
      <c r="EC82" s="86" t="e">
        <f t="shared" ref="EC82:EM82" si="1592">EC80+EB82</f>
        <v>#N/A</v>
      </c>
      <c r="ED82" s="86" t="e">
        <f t="shared" si="1592"/>
        <v>#N/A</v>
      </c>
      <c r="EE82" s="86" t="e">
        <f t="shared" si="1592"/>
        <v>#N/A</v>
      </c>
      <c r="EF82" s="86" t="e">
        <f t="shared" si="1592"/>
        <v>#N/A</v>
      </c>
      <c r="EG82" s="86" t="e">
        <f t="shared" si="1592"/>
        <v>#N/A</v>
      </c>
      <c r="EH82" s="86" t="e">
        <f t="shared" si="1592"/>
        <v>#N/A</v>
      </c>
      <c r="EI82" s="86" t="e">
        <f t="shared" si="1592"/>
        <v>#N/A</v>
      </c>
      <c r="EJ82" s="86" t="e">
        <f t="shared" si="1592"/>
        <v>#N/A</v>
      </c>
      <c r="EK82" s="86" t="e">
        <f t="shared" si="1592"/>
        <v>#N/A</v>
      </c>
      <c r="EL82" s="86" t="e">
        <f t="shared" si="1592"/>
        <v>#N/A</v>
      </c>
      <c r="EM82" s="86" t="e">
        <f t="shared" si="1592"/>
        <v>#N/A</v>
      </c>
      <c r="EN82" s="91" t="e">
        <f>EM82</f>
        <v>#N/A</v>
      </c>
      <c r="EO82" s="86" t="e">
        <f>EN82+EO80</f>
        <v>#N/A</v>
      </c>
      <c r="EP82" s="86" t="e">
        <f t="shared" ref="EP82:EZ82" si="1593">EP80+EO82</f>
        <v>#N/A</v>
      </c>
      <c r="EQ82" s="86" t="e">
        <f t="shared" si="1593"/>
        <v>#N/A</v>
      </c>
      <c r="ER82" s="86" t="e">
        <f t="shared" si="1593"/>
        <v>#N/A</v>
      </c>
      <c r="ES82" s="86" t="e">
        <f t="shared" si="1593"/>
        <v>#N/A</v>
      </c>
      <c r="ET82" s="86" t="e">
        <f t="shared" si="1593"/>
        <v>#N/A</v>
      </c>
      <c r="EU82" s="86" t="e">
        <f t="shared" si="1593"/>
        <v>#N/A</v>
      </c>
      <c r="EV82" s="86" t="e">
        <f t="shared" si="1593"/>
        <v>#N/A</v>
      </c>
      <c r="EW82" s="86" t="e">
        <f t="shared" si="1593"/>
        <v>#N/A</v>
      </c>
      <c r="EX82" s="86" t="e">
        <f t="shared" si="1593"/>
        <v>#N/A</v>
      </c>
      <c r="EY82" s="86" t="e">
        <f t="shared" si="1593"/>
        <v>#N/A</v>
      </c>
      <c r="EZ82" s="86" t="e">
        <f t="shared" si="1593"/>
        <v>#N/A</v>
      </c>
      <c r="FA82" s="91" t="e">
        <f>EZ82</f>
        <v>#N/A</v>
      </c>
      <c r="FB82" s="86" t="e">
        <f>FA82+FB80</f>
        <v>#N/A</v>
      </c>
      <c r="FC82" s="86" t="e">
        <f t="shared" ref="FC82:FM82" si="1594">FC80+FB82</f>
        <v>#N/A</v>
      </c>
      <c r="FD82" s="86" t="e">
        <f t="shared" si="1594"/>
        <v>#N/A</v>
      </c>
      <c r="FE82" s="86" t="e">
        <f t="shared" si="1594"/>
        <v>#N/A</v>
      </c>
      <c r="FF82" s="86" t="e">
        <f t="shared" si="1594"/>
        <v>#N/A</v>
      </c>
      <c r="FG82" s="86" t="e">
        <f t="shared" si="1594"/>
        <v>#N/A</v>
      </c>
      <c r="FH82" s="86" t="e">
        <f t="shared" si="1594"/>
        <v>#N/A</v>
      </c>
      <c r="FI82" s="86" t="e">
        <f t="shared" si="1594"/>
        <v>#N/A</v>
      </c>
      <c r="FJ82" s="86" t="e">
        <f t="shared" si="1594"/>
        <v>#N/A</v>
      </c>
      <c r="FK82" s="86" t="e">
        <f t="shared" si="1594"/>
        <v>#N/A</v>
      </c>
      <c r="FL82" s="86" t="e">
        <f t="shared" si="1594"/>
        <v>#N/A</v>
      </c>
      <c r="FM82" s="86" t="e">
        <f t="shared" si="1594"/>
        <v>#N/A</v>
      </c>
      <c r="FN82" s="91" t="e">
        <f>FM82</f>
        <v>#N/A</v>
      </c>
      <c r="FO82" s="86" t="e">
        <f>FN82+FO80</f>
        <v>#N/A</v>
      </c>
      <c r="FP82" s="86" t="e">
        <f t="shared" ref="FP82:FZ82" si="1595">FP80+FO82</f>
        <v>#N/A</v>
      </c>
      <c r="FQ82" s="86" t="e">
        <f t="shared" si="1595"/>
        <v>#N/A</v>
      </c>
      <c r="FR82" s="86" t="e">
        <f t="shared" si="1595"/>
        <v>#N/A</v>
      </c>
      <c r="FS82" s="86" t="e">
        <f t="shared" si="1595"/>
        <v>#N/A</v>
      </c>
      <c r="FT82" s="86" t="e">
        <f t="shared" si="1595"/>
        <v>#N/A</v>
      </c>
      <c r="FU82" s="86" t="e">
        <f t="shared" si="1595"/>
        <v>#N/A</v>
      </c>
      <c r="FV82" s="86" t="e">
        <f t="shared" si="1595"/>
        <v>#N/A</v>
      </c>
      <c r="FW82" s="86" t="e">
        <f t="shared" si="1595"/>
        <v>#N/A</v>
      </c>
      <c r="FX82" s="86" t="e">
        <f t="shared" si="1595"/>
        <v>#N/A</v>
      </c>
      <c r="FY82" s="86" t="e">
        <f t="shared" si="1595"/>
        <v>#N/A</v>
      </c>
      <c r="FZ82" s="86" t="e">
        <f t="shared" si="1595"/>
        <v>#N/A</v>
      </c>
      <c r="GA82" s="91" t="e">
        <f>FZ82</f>
        <v>#N/A</v>
      </c>
      <c r="GB82" s="86" t="e">
        <f>GA82+GB80</f>
        <v>#N/A</v>
      </c>
      <c r="GC82" s="86" t="e">
        <f t="shared" ref="GC82:GM82" si="1596">GC80+GB82</f>
        <v>#N/A</v>
      </c>
      <c r="GD82" s="86" t="e">
        <f t="shared" si="1596"/>
        <v>#N/A</v>
      </c>
      <c r="GE82" s="86" t="e">
        <f t="shared" si="1596"/>
        <v>#N/A</v>
      </c>
      <c r="GF82" s="86" t="e">
        <f t="shared" si="1596"/>
        <v>#N/A</v>
      </c>
      <c r="GG82" s="86" t="e">
        <f t="shared" si="1596"/>
        <v>#N/A</v>
      </c>
      <c r="GH82" s="86" t="e">
        <f t="shared" si="1596"/>
        <v>#N/A</v>
      </c>
      <c r="GI82" s="86" t="e">
        <f t="shared" si="1596"/>
        <v>#N/A</v>
      </c>
      <c r="GJ82" s="86" t="e">
        <f t="shared" si="1596"/>
        <v>#N/A</v>
      </c>
      <c r="GK82" s="86" t="e">
        <f t="shared" si="1596"/>
        <v>#N/A</v>
      </c>
      <c r="GL82" s="86" t="e">
        <f t="shared" si="1596"/>
        <v>#N/A</v>
      </c>
      <c r="GM82" s="86" t="e">
        <f t="shared" si="1596"/>
        <v>#N/A</v>
      </c>
      <c r="GN82" s="91" t="e">
        <f>GM82</f>
        <v>#N/A</v>
      </c>
      <c r="GO82" s="86" t="e">
        <f>GN82+GO80</f>
        <v>#N/A</v>
      </c>
      <c r="GP82" s="86" t="e">
        <f t="shared" ref="GP82:GZ82" si="1597">GP80+GO82</f>
        <v>#N/A</v>
      </c>
      <c r="GQ82" s="86" t="e">
        <f t="shared" si="1597"/>
        <v>#N/A</v>
      </c>
      <c r="GR82" s="86" t="e">
        <f t="shared" si="1597"/>
        <v>#N/A</v>
      </c>
      <c r="GS82" s="86" t="e">
        <f t="shared" si="1597"/>
        <v>#N/A</v>
      </c>
      <c r="GT82" s="86" t="e">
        <f t="shared" si="1597"/>
        <v>#N/A</v>
      </c>
      <c r="GU82" s="86" t="e">
        <f t="shared" si="1597"/>
        <v>#N/A</v>
      </c>
      <c r="GV82" s="86" t="e">
        <f t="shared" si="1597"/>
        <v>#N/A</v>
      </c>
      <c r="GW82" s="86" t="e">
        <f t="shared" si="1597"/>
        <v>#N/A</v>
      </c>
      <c r="GX82" s="86" t="e">
        <f t="shared" si="1597"/>
        <v>#N/A</v>
      </c>
      <c r="GY82" s="86" t="e">
        <f t="shared" si="1597"/>
        <v>#N/A</v>
      </c>
      <c r="GZ82" s="86" t="e">
        <f t="shared" si="1597"/>
        <v>#N/A</v>
      </c>
      <c r="HA82" s="91" t="e">
        <f>GZ82</f>
        <v>#N/A</v>
      </c>
      <c r="HB82" s="86" t="e">
        <f>HA82+HB80</f>
        <v>#N/A</v>
      </c>
      <c r="HC82" s="86" t="e">
        <f t="shared" ref="HC82:HM82" si="1598">HC80+HB82</f>
        <v>#N/A</v>
      </c>
      <c r="HD82" s="86" t="e">
        <f t="shared" si="1598"/>
        <v>#N/A</v>
      </c>
      <c r="HE82" s="86" t="e">
        <f t="shared" si="1598"/>
        <v>#N/A</v>
      </c>
      <c r="HF82" s="86" t="e">
        <f t="shared" si="1598"/>
        <v>#N/A</v>
      </c>
      <c r="HG82" s="86" t="e">
        <f t="shared" si="1598"/>
        <v>#N/A</v>
      </c>
      <c r="HH82" s="86" t="e">
        <f t="shared" si="1598"/>
        <v>#N/A</v>
      </c>
      <c r="HI82" s="86" t="e">
        <f t="shared" si="1598"/>
        <v>#N/A</v>
      </c>
      <c r="HJ82" s="86" t="e">
        <f t="shared" si="1598"/>
        <v>#N/A</v>
      </c>
      <c r="HK82" s="86" t="e">
        <f t="shared" si="1598"/>
        <v>#N/A</v>
      </c>
      <c r="HL82" s="86" t="e">
        <f t="shared" si="1598"/>
        <v>#N/A</v>
      </c>
      <c r="HM82" s="86" t="e">
        <f t="shared" si="1598"/>
        <v>#N/A</v>
      </c>
      <c r="HN82" s="91" t="e">
        <f>HM82</f>
        <v>#N/A</v>
      </c>
      <c r="HO82" s="86" t="e">
        <f>HN82+HO80</f>
        <v>#N/A</v>
      </c>
      <c r="HP82" s="86" t="e">
        <f t="shared" ref="HP82:HZ82" si="1599">HP80+HO82</f>
        <v>#N/A</v>
      </c>
      <c r="HQ82" s="86" t="e">
        <f t="shared" si="1599"/>
        <v>#N/A</v>
      </c>
      <c r="HR82" s="86" t="e">
        <f t="shared" si="1599"/>
        <v>#N/A</v>
      </c>
      <c r="HS82" s="86" t="e">
        <f t="shared" si="1599"/>
        <v>#N/A</v>
      </c>
      <c r="HT82" s="86" t="e">
        <f t="shared" si="1599"/>
        <v>#N/A</v>
      </c>
      <c r="HU82" s="86" t="e">
        <f t="shared" si="1599"/>
        <v>#N/A</v>
      </c>
      <c r="HV82" s="86" t="e">
        <f t="shared" si="1599"/>
        <v>#N/A</v>
      </c>
      <c r="HW82" s="86" t="e">
        <f t="shared" si="1599"/>
        <v>#N/A</v>
      </c>
      <c r="HX82" s="86" t="e">
        <f t="shared" si="1599"/>
        <v>#N/A</v>
      </c>
      <c r="HY82" s="86" t="e">
        <f t="shared" si="1599"/>
        <v>#N/A</v>
      </c>
      <c r="HZ82" s="86" t="e">
        <f t="shared" si="1599"/>
        <v>#N/A</v>
      </c>
      <c r="IA82" s="91" t="e">
        <f>HZ82</f>
        <v>#N/A</v>
      </c>
      <c r="IB82" s="86" t="e">
        <f>IA82+IB80</f>
        <v>#N/A</v>
      </c>
      <c r="IC82" s="86" t="e">
        <f t="shared" ref="IC82:IM82" si="1600">IC80+IB82</f>
        <v>#N/A</v>
      </c>
      <c r="ID82" s="86" t="e">
        <f t="shared" si="1600"/>
        <v>#N/A</v>
      </c>
      <c r="IE82" s="86" t="e">
        <f t="shared" si="1600"/>
        <v>#N/A</v>
      </c>
      <c r="IF82" s="86" t="e">
        <f t="shared" si="1600"/>
        <v>#N/A</v>
      </c>
      <c r="IG82" s="86" t="e">
        <f t="shared" si="1600"/>
        <v>#N/A</v>
      </c>
      <c r="IH82" s="86" t="e">
        <f t="shared" si="1600"/>
        <v>#N/A</v>
      </c>
      <c r="II82" s="86" t="e">
        <f t="shared" si="1600"/>
        <v>#N/A</v>
      </c>
      <c r="IJ82" s="86" t="e">
        <f t="shared" si="1600"/>
        <v>#N/A</v>
      </c>
      <c r="IK82" s="86" t="e">
        <f t="shared" si="1600"/>
        <v>#N/A</v>
      </c>
      <c r="IL82" s="86" t="e">
        <f t="shared" si="1600"/>
        <v>#N/A</v>
      </c>
      <c r="IM82" s="86" t="e">
        <f t="shared" si="1600"/>
        <v>#N/A</v>
      </c>
      <c r="IN82" s="91" t="e">
        <f>IM82</f>
        <v>#N/A</v>
      </c>
      <c r="IO82" s="86" t="e">
        <f>IN82+IO80</f>
        <v>#N/A</v>
      </c>
      <c r="IP82" s="86" t="e">
        <f t="shared" ref="IP82:IZ82" si="1601">IP80+IO82</f>
        <v>#N/A</v>
      </c>
      <c r="IQ82" s="86" t="e">
        <f t="shared" si="1601"/>
        <v>#N/A</v>
      </c>
      <c r="IR82" s="86" t="e">
        <f t="shared" si="1601"/>
        <v>#N/A</v>
      </c>
      <c r="IS82" s="86" t="e">
        <f t="shared" si="1601"/>
        <v>#N/A</v>
      </c>
      <c r="IT82" s="86" t="e">
        <f t="shared" si="1601"/>
        <v>#N/A</v>
      </c>
      <c r="IU82" s="86" t="e">
        <f t="shared" si="1601"/>
        <v>#N/A</v>
      </c>
      <c r="IV82" s="86" t="e">
        <f t="shared" si="1601"/>
        <v>#N/A</v>
      </c>
      <c r="IW82" s="86" t="e">
        <f t="shared" si="1601"/>
        <v>#N/A</v>
      </c>
      <c r="IX82" s="86" t="e">
        <f t="shared" si="1601"/>
        <v>#N/A</v>
      </c>
      <c r="IY82" s="86" t="e">
        <f t="shared" si="1601"/>
        <v>#N/A</v>
      </c>
      <c r="IZ82" s="86" t="e">
        <f t="shared" si="1601"/>
        <v>#N/A</v>
      </c>
      <c r="JA82" s="91" t="e">
        <f>IZ82</f>
        <v>#N/A</v>
      </c>
      <c r="JB82" s="86" t="e">
        <f>JA82+JB80</f>
        <v>#N/A</v>
      </c>
      <c r="JC82" s="86" t="e">
        <f t="shared" ref="JC82:JM82" si="1602">JC80+JB82</f>
        <v>#N/A</v>
      </c>
      <c r="JD82" s="86" t="e">
        <f t="shared" si="1602"/>
        <v>#N/A</v>
      </c>
      <c r="JE82" s="86" t="e">
        <f t="shared" si="1602"/>
        <v>#N/A</v>
      </c>
      <c r="JF82" s="86" t="e">
        <f t="shared" si="1602"/>
        <v>#N/A</v>
      </c>
      <c r="JG82" s="86" t="e">
        <f t="shared" si="1602"/>
        <v>#N/A</v>
      </c>
      <c r="JH82" s="86" t="e">
        <f t="shared" si="1602"/>
        <v>#N/A</v>
      </c>
      <c r="JI82" s="86" t="e">
        <f t="shared" si="1602"/>
        <v>#N/A</v>
      </c>
      <c r="JJ82" s="86" t="e">
        <f t="shared" si="1602"/>
        <v>#N/A</v>
      </c>
      <c r="JK82" s="86" t="e">
        <f t="shared" si="1602"/>
        <v>#N/A</v>
      </c>
      <c r="JL82" s="86" t="e">
        <f t="shared" si="1602"/>
        <v>#N/A</v>
      </c>
      <c r="JM82" s="86" t="e">
        <f t="shared" si="1602"/>
        <v>#N/A</v>
      </c>
      <c r="JN82" s="91" t="e">
        <f>JM82</f>
        <v>#N/A</v>
      </c>
      <c r="JO82" s="86" t="e">
        <f>JN82+JO80</f>
        <v>#N/A</v>
      </c>
      <c r="JP82" s="86" t="e">
        <f t="shared" ref="JP82:JZ82" si="1603">JP80+JO82</f>
        <v>#N/A</v>
      </c>
      <c r="JQ82" s="86" t="e">
        <f t="shared" si="1603"/>
        <v>#N/A</v>
      </c>
      <c r="JR82" s="86" t="e">
        <f t="shared" si="1603"/>
        <v>#N/A</v>
      </c>
      <c r="JS82" s="86" t="e">
        <f t="shared" si="1603"/>
        <v>#N/A</v>
      </c>
      <c r="JT82" s="86" t="e">
        <f t="shared" si="1603"/>
        <v>#N/A</v>
      </c>
      <c r="JU82" s="86" t="e">
        <f t="shared" si="1603"/>
        <v>#N/A</v>
      </c>
      <c r="JV82" s="86" t="e">
        <f t="shared" si="1603"/>
        <v>#N/A</v>
      </c>
      <c r="JW82" s="86" t="e">
        <f t="shared" si="1603"/>
        <v>#N/A</v>
      </c>
      <c r="JX82" s="86" t="e">
        <f t="shared" si="1603"/>
        <v>#N/A</v>
      </c>
      <c r="JY82" s="86" t="e">
        <f t="shared" si="1603"/>
        <v>#N/A</v>
      </c>
      <c r="JZ82" s="86" t="e">
        <f t="shared" si="1603"/>
        <v>#N/A</v>
      </c>
      <c r="KA82" s="91" t="e">
        <f>JZ82</f>
        <v>#N/A</v>
      </c>
      <c r="KB82" s="86" t="e">
        <f>KA82+KB80</f>
        <v>#N/A</v>
      </c>
      <c r="KC82" s="86" t="e">
        <f t="shared" ref="KC82:KM82" si="1604">KC80+KB82</f>
        <v>#N/A</v>
      </c>
      <c r="KD82" s="86" t="e">
        <f t="shared" si="1604"/>
        <v>#N/A</v>
      </c>
      <c r="KE82" s="86" t="e">
        <f t="shared" si="1604"/>
        <v>#N/A</v>
      </c>
      <c r="KF82" s="86" t="e">
        <f t="shared" si="1604"/>
        <v>#N/A</v>
      </c>
      <c r="KG82" s="86" t="e">
        <f t="shared" si="1604"/>
        <v>#N/A</v>
      </c>
      <c r="KH82" s="86" t="e">
        <f t="shared" si="1604"/>
        <v>#N/A</v>
      </c>
      <c r="KI82" s="86" t="e">
        <f t="shared" si="1604"/>
        <v>#N/A</v>
      </c>
      <c r="KJ82" s="86" t="e">
        <f t="shared" si="1604"/>
        <v>#N/A</v>
      </c>
      <c r="KK82" s="86" t="e">
        <f t="shared" si="1604"/>
        <v>#N/A</v>
      </c>
      <c r="KL82" s="86" t="e">
        <f t="shared" si="1604"/>
        <v>#N/A</v>
      </c>
      <c r="KM82" s="86" t="e">
        <f t="shared" si="1604"/>
        <v>#N/A</v>
      </c>
      <c r="KN82" s="91" t="e">
        <f>KM82</f>
        <v>#N/A</v>
      </c>
      <c r="KO82" s="86" t="e">
        <f>KN82+KO80</f>
        <v>#N/A</v>
      </c>
      <c r="KP82" s="86" t="e">
        <f t="shared" ref="KP82:KZ82" si="1605">KP80+KO82</f>
        <v>#N/A</v>
      </c>
      <c r="KQ82" s="86" t="e">
        <f t="shared" si="1605"/>
        <v>#N/A</v>
      </c>
      <c r="KR82" s="86" t="e">
        <f t="shared" si="1605"/>
        <v>#N/A</v>
      </c>
      <c r="KS82" s="86" t="e">
        <f t="shared" si="1605"/>
        <v>#N/A</v>
      </c>
      <c r="KT82" s="86" t="e">
        <f t="shared" si="1605"/>
        <v>#N/A</v>
      </c>
      <c r="KU82" s="86" t="e">
        <f t="shared" si="1605"/>
        <v>#N/A</v>
      </c>
      <c r="KV82" s="86" t="e">
        <f t="shared" si="1605"/>
        <v>#N/A</v>
      </c>
      <c r="KW82" s="86" t="e">
        <f t="shared" si="1605"/>
        <v>#N/A</v>
      </c>
      <c r="KX82" s="86" t="e">
        <f t="shared" si="1605"/>
        <v>#N/A</v>
      </c>
      <c r="KY82" s="86" t="e">
        <f t="shared" si="1605"/>
        <v>#N/A</v>
      </c>
      <c r="KZ82" s="86" t="e">
        <f t="shared" si="1605"/>
        <v>#N/A</v>
      </c>
      <c r="LA82" s="91" t="e">
        <f>KZ82</f>
        <v>#N/A</v>
      </c>
      <c r="LB82" s="86" t="e">
        <f>LA82+LB80</f>
        <v>#N/A</v>
      </c>
      <c r="LC82" s="86" t="e">
        <f t="shared" ref="LC82:LM82" si="1606">LC80+LB82</f>
        <v>#N/A</v>
      </c>
      <c r="LD82" s="86" t="e">
        <f t="shared" si="1606"/>
        <v>#N/A</v>
      </c>
      <c r="LE82" s="86" t="e">
        <f t="shared" si="1606"/>
        <v>#N/A</v>
      </c>
      <c r="LF82" s="86" t="e">
        <f t="shared" si="1606"/>
        <v>#N/A</v>
      </c>
      <c r="LG82" s="86" t="e">
        <f t="shared" si="1606"/>
        <v>#N/A</v>
      </c>
      <c r="LH82" s="86" t="e">
        <f t="shared" si="1606"/>
        <v>#N/A</v>
      </c>
      <c r="LI82" s="86" t="e">
        <f t="shared" si="1606"/>
        <v>#N/A</v>
      </c>
      <c r="LJ82" s="86" t="e">
        <f t="shared" si="1606"/>
        <v>#N/A</v>
      </c>
      <c r="LK82" s="86" t="e">
        <f t="shared" si="1606"/>
        <v>#N/A</v>
      </c>
      <c r="LL82" s="86" t="e">
        <f t="shared" si="1606"/>
        <v>#N/A</v>
      </c>
      <c r="LM82" s="86" t="e">
        <f t="shared" si="1606"/>
        <v>#N/A</v>
      </c>
      <c r="LN82" s="91" t="e">
        <f>LM82</f>
        <v>#N/A</v>
      </c>
      <c r="LO82" s="86" t="e">
        <f>LN82+LO80</f>
        <v>#N/A</v>
      </c>
      <c r="LP82" s="86" t="e">
        <f t="shared" ref="LP82:LZ82" si="1607">LP80+LO82</f>
        <v>#N/A</v>
      </c>
      <c r="LQ82" s="86" t="e">
        <f t="shared" si="1607"/>
        <v>#N/A</v>
      </c>
      <c r="LR82" s="86" t="e">
        <f t="shared" si="1607"/>
        <v>#N/A</v>
      </c>
      <c r="LS82" s="86" t="e">
        <f t="shared" si="1607"/>
        <v>#N/A</v>
      </c>
      <c r="LT82" s="86" t="e">
        <f t="shared" si="1607"/>
        <v>#N/A</v>
      </c>
      <c r="LU82" s="86" t="e">
        <f t="shared" si="1607"/>
        <v>#N/A</v>
      </c>
      <c r="LV82" s="86" t="e">
        <f t="shared" si="1607"/>
        <v>#N/A</v>
      </c>
      <c r="LW82" s="86" t="e">
        <f t="shared" si="1607"/>
        <v>#N/A</v>
      </c>
      <c r="LX82" s="86" t="e">
        <f t="shared" si="1607"/>
        <v>#N/A</v>
      </c>
      <c r="LY82" s="86" t="e">
        <f t="shared" si="1607"/>
        <v>#N/A</v>
      </c>
      <c r="LZ82" s="86" t="e">
        <f t="shared" si="1607"/>
        <v>#N/A</v>
      </c>
      <c r="MA82" s="91" t="e">
        <f>LZ82</f>
        <v>#N/A</v>
      </c>
      <c r="MB82" s="86" t="e">
        <f>MA82+MB80</f>
        <v>#N/A</v>
      </c>
      <c r="MC82" s="86" t="e">
        <f t="shared" ref="MC82:MM82" si="1608">MC80+MB82</f>
        <v>#N/A</v>
      </c>
      <c r="MD82" s="86" t="e">
        <f t="shared" si="1608"/>
        <v>#N/A</v>
      </c>
      <c r="ME82" s="86" t="e">
        <f t="shared" si="1608"/>
        <v>#N/A</v>
      </c>
      <c r="MF82" s="86" t="e">
        <f t="shared" si="1608"/>
        <v>#N/A</v>
      </c>
      <c r="MG82" s="86" t="e">
        <f t="shared" si="1608"/>
        <v>#N/A</v>
      </c>
      <c r="MH82" s="86" t="e">
        <f t="shared" si="1608"/>
        <v>#N/A</v>
      </c>
      <c r="MI82" s="86" t="e">
        <f t="shared" si="1608"/>
        <v>#N/A</v>
      </c>
      <c r="MJ82" s="86" t="e">
        <f t="shared" si="1608"/>
        <v>#N/A</v>
      </c>
      <c r="MK82" s="86" t="e">
        <f t="shared" si="1608"/>
        <v>#N/A</v>
      </c>
      <c r="ML82" s="86" t="e">
        <f t="shared" si="1608"/>
        <v>#N/A</v>
      </c>
      <c r="MM82" s="86" t="e">
        <f t="shared" si="1608"/>
        <v>#N/A</v>
      </c>
      <c r="MN82" s="91" t="e">
        <f>MM82</f>
        <v>#N/A</v>
      </c>
      <c r="MO82" s="86" t="e">
        <f>MN82+MO80</f>
        <v>#N/A</v>
      </c>
      <c r="MP82" s="86" t="e">
        <f t="shared" ref="MP82:MZ82" si="1609">MP80+MO82</f>
        <v>#N/A</v>
      </c>
      <c r="MQ82" s="86" t="e">
        <f t="shared" si="1609"/>
        <v>#N/A</v>
      </c>
      <c r="MR82" s="86" t="e">
        <f t="shared" si="1609"/>
        <v>#N/A</v>
      </c>
      <c r="MS82" s="86" t="e">
        <f t="shared" si="1609"/>
        <v>#N/A</v>
      </c>
      <c r="MT82" s="86" t="e">
        <f t="shared" si="1609"/>
        <v>#N/A</v>
      </c>
      <c r="MU82" s="86" t="e">
        <f t="shared" si="1609"/>
        <v>#N/A</v>
      </c>
      <c r="MV82" s="86" t="e">
        <f t="shared" si="1609"/>
        <v>#N/A</v>
      </c>
      <c r="MW82" s="86" t="e">
        <f t="shared" si="1609"/>
        <v>#N/A</v>
      </c>
      <c r="MX82" s="86" t="e">
        <f t="shared" si="1609"/>
        <v>#N/A</v>
      </c>
      <c r="MY82" s="86" t="e">
        <f t="shared" si="1609"/>
        <v>#N/A</v>
      </c>
      <c r="MZ82" s="86" t="e">
        <f t="shared" si="1609"/>
        <v>#N/A</v>
      </c>
      <c r="NA82" s="91" t="e">
        <f>MZ82</f>
        <v>#N/A</v>
      </c>
      <c r="NB82" s="86" t="e">
        <f>NA82+NB80</f>
        <v>#N/A</v>
      </c>
      <c r="NC82" s="86" t="e">
        <f t="shared" ref="NC82:NM82" si="1610">NC80+NB82</f>
        <v>#N/A</v>
      </c>
      <c r="ND82" s="86" t="e">
        <f t="shared" si="1610"/>
        <v>#N/A</v>
      </c>
      <c r="NE82" s="86" t="e">
        <f t="shared" si="1610"/>
        <v>#N/A</v>
      </c>
      <c r="NF82" s="86" t="e">
        <f t="shared" si="1610"/>
        <v>#N/A</v>
      </c>
      <c r="NG82" s="86" t="e">
        <f t="shared" si="1610"/>
        <v>#N/A</v>
      </c>
      <c r="NH82" s="86" t="e">
        <f t="shared" si="1610"/>
        <v>#N/A</v>
      </c>
      <c r="NI82" s="86" t="e">
        <f t="shared" si="1610"/>
        <v>#N/A</v>
      </c>
      <c r="NJ82" s="86" t="e">
        <f t="shared" si="1610"/>
        <v>#N/A</v>
      </c>
      <c r="NK82" s="86" t="e">
        <f t="shared" si="1610"/>
        <v>#N/A</v>
      </c>
      <c r="NL82" s="86" t="e">
        <f t="shared" si="1610"/>
        <v>#N/A</v>
      </c>
      <c r="NM82" s="86" t="e">
        <f t="shared" si="1610"/>
        <v>#N/A</v>
      </c>
      <c r="NN82" s="91" t="e">
        <f>NM82</f>
        <v>#N/A</v>
      </c>
      <c r="NO82" s="86" t="e">
        <f>NN82+NO80</f>
        <v>#N/A</v>
      </c>
      <c r="NP82" s="86" t="e">
        <f t="shared" ref="NP82:NZ82" si="1611">NP80+NO82</f>
        <v>#N/A</v>
      </c>
      <c r="NQ82" s="86" t="e">
        <f t="shared" si="1611"/>
        <v>#N/A</v>
      </c>
      <c r="NR82" s="86" t="e">
        <f t="shared" si="1611"/>
        <v>#N/A</v>
      </c>
      <c r="NS82" s="86" t="e">
        <f t="shared" si="1611"/>
        <v>#N/A</v>
      </c>
      <c r="NT82" s="86" t="e">
        <f t="shared" si="1611"/>
        <v>#N/A</v>
      </c>
      <c r="NU82" s="86" t="e">
        <f t="shared" si="1611"/>
        <v>#N/A</v>
      </c>
      <c r="NV82" s="86" t="e">
        <f t="shared" si="1611"/>
        <v>#N/A</v>
      </c>
      <c r="NW82" s="86" t="e">
        <f t="shared" si="1611"/>
        <v>#N/A</v>
      </c>
      <c r="NX82" s="86" t="e">
        <f t="shared" si="1611"/>
        <v>#N/A</v>
      </c>
      <c r="NY82" s="86" t="e">
        <f t="shared" si="1611"/>
        <v>#N/A</v>
      </c>
      <c r="NZ82" s="86" t="e">
        <f t="shared" si="1611"/>
        <v>#N/A</v>
      </c>
      <c r="OA82" s="91" t="e">
        <f>NZ82</f>
        <v>#N/A</v>
      </c>
      <c r="OB82" s="86" t="e">
        <f>OA82+OB80</f>
        <v>#N/A</v>
      </c>
      <c r="OC82" s="86" t="e">
        <f t="shared" ref="OC82:OM82" si="1612">OC80+OB82</f>
        <v>#N/A</v>
      </c>
      <c r="OD82" s="86" t="e">
        <f t="shared" si="1612"/>
        <v>#N/A</v>
      </c>
      <c r="OE82" s="86" t="e">
        <f t="shared" si="1612"/>
        <v>#N/A</v>
      </c>
      <c r="OF82" s="86" t="e">
        <f t="shared" si="1612"/>
        <v>#N/A</v>
      </c>
      <c r="OG82" s="86" t="e">
        <f t="shared" si="1612"/>
        <v>#N/A</v>
      </c>
      <c r="OH82" s="86" t="e">
        <f t="shared" si="1612"/>
        <v>#N/A</v>
      </c>
      <c r="OI82" s="86" t="e">
        <f t="shared" si="1612"/>
        <v>#N/A</v>
      </c>
      <c r="OJ82" s="86" t="e">
        <f t="shared" si="1612"/>
        <v>#N/A</v>
      </c>
      <c r="OK82" s="86" t="e">
        <f t="shared" si="1612"/>
        <v>#N/A</v>
      </c>
      <c r="OL82" s="86" t="e">
        <f t="shared" si="1612"/>
        <v>#N/A</v>
      </c>
      <c r="OM82" s="86" t="e">
        <f t="shared" si="1612"/>
        <v>#N/A</v>
      </c>
      <c r="ON82" s="91" t="e">
        <f>OM82</f>
        <v>#N/A</v>
      </c>
      <c r="OO82" s="86" t="e">
        <f>ON82+OO80</f>
        <v>#N/A</v>
      </c>
      <c r="OP82" s="86" t="e">
        <f t="shared" ref="OP82:OZ82" si="1613">OP80+OO82</f>
        <v>#N/A</v>
      </c>
      <c r="OQ82" s="86" t="e">
        <f t="shared" si="1613"/>
        <v>#N/A</v>
      </c>
      <c r="OR82" s="86" t="e">
        <f t="shared" si="1613"/>
        <v>#N/A</v>
      </c>
      <c r="OS82" s="86" t="e">
        <f t="shared" si="1613"/>
        <v>#N/A</v>
      </c>
      <c r="OT82" s="86" t="e">
        <f t="shared" si="1613"/>
        <v>#N/A</v>
      </c>
      <c r="OU82" s="86" t="e">
        <f t="shared" si="1613"/>
        <v>#N/A</v>
      </c>
      <c r="OV82" s="86" t="e">
        <f t="shared" si="1613"/>
        <v>#N/A</v>
      </c>
      <c r="OW82" s="86" t="e">
        <f t="shared" si="1613"/>
        <v>#N/A</v>
      </c>
      <c r="OX82" s="86" t="e">
        <f t="shared" si="1613"/>
        <v>#N/A</v>
      </c>
      <c r="OY82" s="86" t="e">
        <f t="shared" si="1613"/>
        <v>#N/A</v>
      </c>
      <c r="OZ82" s="86" t="e">
        <f t="shared" si="1613"/>
        <v>#N/A</v>
      </c>
      <c r="PA82" s="91" t="e">
        <f>OZ82</f>
        <v>#N/A</v>
      </c>
      <c r="PB82" s="86" t="e">
        <f>PA82+PB80</f>
        <v>#N/A</v>
      </c>
      <c r="PC82" s="86" t="e">
        <f t="shared" ref="PC82:PM82" si="1614">PC80+PB82</f>
        <v>#N/A</v>
      </c>
      <c r="PD82" s="86" t="e">
        <f t="shared" si="1614"/>
        <v>#N/A</v>
      </c>
      <c r="PE82" s="86" t="e">
        <f t="shared" si="1614"/>
        <v>#N/A</v>
      </c>
      <c r="PF82" s="86" t="e">
        <f t="shared" si="1614"/>
        <v>#N/A</v>
      </c>
      <c r="PG82" s="86" t="e">
        <f t="shared" si="1614"/>
        <v>#N/A</v>
      </c>
      <c r="PH82" s="86" t="e">
        <f t="shared" si="1614"/>
        <v>#N/A</v>
      </c>
      <c r="PI82" s="86" t="e">
        <f t="shared" si="1614"/>
        <v>#N/A</v>
      </c>
      <c r="PJ82" s="86" t="e">
        <f t="shared" si="1614"/>
        <v>#N/A</v>
      </c>
      <c r="PK82" s="86" t="e">
        <f t="shared" si="1614"/>
        <v>#N/A</v>
      </c>
      <c r="PL82" s="86" t="e">
        <f t="shared" si="1614"/>
        <v>#N/A</v>
      </c>
      <c r="PM82" s="86" t="e">
        <f t="shared" si="1614"/>
        <v>#N/A</v>
      </c>
      <c r="PN82" s="91" t="e">
        <f>PM82</f>
        <v>#N/A</v>
      </c>
      <c r="PO82" s="86" t="e">
        <f>PN82+PO80</f>
        <v>#N/A</v>
      </c>
      <c r="PP82" s="86" t="e">
        <f t="shared" ref="PP82:PZ82" si="1615">PP80+PO82</f>
        <v>#N/A</v>
      </c>
      <c r="PQ82" s="86" t="e">
        <f t="shared" si="1615"/>
        <v>#N/A</v>
      </c>
      <c r="PR82" s="86" t="e">
        <f t="shared" si="1615"/>
        <v>#N/A</v>
      </c>
      <c r="PS82" s="86" t="e">
        <f t="shared" si="1615"/>
        <v>#N/A</v>
      </c>
      <c r="PT82" s="86" t="e">
        <f t="shared" si="1615"/>
        <v>#N/A</v>
      </c>
      <c r="PU82" s="86" t="e">
        <f t="shared" si="1615"/>
        <v>#N/A</v>
      </c>
      <c r="PV82" s="86" t="e">
        <f t="shared" si="1615"/>
        <v>#N/A</v>
      </c>
      <c r="PW82" s="86" t="e">
        <f t="shared" si="1615"/>
        <v>#N/A</v>
      </c>
      <c r="PX82" s="86" t="e">
        <f t="shared" si="1615"/>
        <v>#N/A</v>
      </c>
      <c r="PY82" s="86" t="e">
        <f t="shared" si="1615"/>
        <v>#N/A</v>
      </c>
      <c r="PZ82" s="86" t="e">
        <f t="shared" si="1615"/>
        <v>#N/A</v>
      </c>
      <c r="QA82" s="91" t="e">
        <f>PZ82</f>
        <v>#N/A</v>
      </c>
      <c r="QB82" s="86" t="e">
        <f>QA82+QB80</f>
        <v>#N/A</v>
      </c>
      <c r="QC82" s="86" t="e">
        <f t="shared" ref="QC82:QM82" si="1616">QC80+QB82</f>
        <v>#N/A</v>
      </c>
      <c r="QD82" s="86" t="e">
        <f t="shared" si="1616"/>
        <v>#N/A</v>
      </c>
      <c r="QE82" s="86" t="e">
        <f t="shared" si="1616"/>
        <v>#N/A</v>
      </c>
      <c r="QF82" s="86" t="e">
        <f t="shared" si="1616"/>
        <v>#N/A</v>
      </c>
      <c r="QG82" s="86" t="e">
        <f t="shared" si="1616"/>
        <v>#N/A</v>
      </c>
      <c r="QH82" s="86" t="e">
        <f t="shared" si="1616"/>
        <v>#N/A</v>
      </c>
      <c r="QI82" s="86" t="e">
        <f t="shared" si="1616"/>
        <v>#N/A</v>
      </c>
      <c r="QJ82" s="86" t="e">
        <f t="shared" si="1616"/>
        <v>#N/A</v>
      </c>
      <c r="QK82" s="86" t="e">
        <f t="shared" si="1616"/>
        <v>#N/A</v>
      </c>
      <c r="QL82" s="86" t="e">
        <f t="shared" si="1616"/>
        <v>#N/A</v>
      </c>
      <c r="QM82" s="86" t="e">
        <f t="shared" si="1616"/>
        <v>#N/A</v>
      </c>
      <c r="QN82" s="91" t="e">
        <f>QM82</f>
        <v>#N/A</v>
      </c>
      <c r="QO82" s="86" t="e">
        <f>QN82+QO80</f>
        <v>#N/A</v>
      </c>
      <c r="QP82" s="86" t="e">
        <f t="shared" ref="QP82:QZ82" si="1617">QP80+QO82</f>
        <v>#N/A</v>
      </c>
      <c r="QQ82" s="86" t="e">
        <f t="shared" si="1617"/>
        <v>#N/A</v>
      </c>
      <c r="QR82" s="86" t="e">
        <f t="shared" si="1617"/>
        <v>#N/A</v>
      </c>
      <c r="QS82" s="86" t="e">
        <f t="shared" si="1617"/>
        <v>#N/A</v>
      </c>
      <c r="QT82" s="86" t="e">
        <f t="shared" si="1617"/>
        <v>#N/A</v>
      </c>
      <c r="QU82" s="86" t="e">
        <f t="shared" si="1617"/>
        <v>#N/A</v>
      </c>
      <c r="QV82" s="86" t="e">
        <f t="shared" si="1617"/>
        <v>#N/A</v>
      </c>
      <c r="QW82" s="86" t="e">
        <f t="shared" si="1617"/>
        <v>#N/A</v>
      </c>
      <c r="QX82" s="86" t="e">
        <f t="shared" si="1617"/>
        <v>#N/A</v>
      </c>
      <c r="QY82" s="86" t="e">
        <f t="shared" si="1617"/>
        <v>#N/A</v>
      </c>
      <c r="QZ82" s="86" t="e">
        <f t="shared" si="1617"/>
        <v>#N/A</v>
      </c>
      <c r="RA82" s="91" t="e">
        <f>QZ82</f>
        <v>#N/A</v>
      </c>
      <c r="RB82" s="86" t="e">
        <f>RA82+RB80</f>
        <v>#N/A</v>
      </c>
      <c r="RC82" s="86" t="e">
        <f t="shared" ref="RC82:RM82" si="1618">RC80+RB82</f>
        <v>#N/A</v>
      </c>
      <c r="RD82" s="86" t="e">
        <f t="shared" si="1618"/>
        <v>#N/A</v>
      </c>
      <c r="RE82" s="86" t="e">
        <f t="shared" si="1618"/>
        <v>#N/A</v>
      </c>
      <c r="RF82" s="86" t="e">
        <f t="shared" si="1618"/>
        <v>#N/A</v>
      </c>
      <c r="RG82" s="86" t="e">
        <f t="shared" si="1618"/>
        <v>#N/A</v>
      </c>
      <c r="RH82" s="86" t="e">
        <f t="shared" si="1618"/>
        <v>#N/A</v>
      </c>
      <c r="RI82" s="86" t="e">
        <f t="shared" si="1618"/>
        <v>#N/A</v>
      </c>
      <c r="RJ82" s="86" t="e">
        <f t="shared" si="1618"/>
        <v>#N/A</v>
      </c>
      <c r="RK82" s="86" t="e">
        <f t="shared" si="1618"/>
        <v>#N/A</v>
      </c>
      <c r="RL82" s="86" t="e">
        <f t="shared" si="1618"/>
        <v>#N/A</v>
      </c>
      <c r="RM82" s="86" t="e">
        <f t="shared" si="1618"/>
        <v>#N/A</v>
      </c>
      <c r="RN82" s="91" t="e">
        <f>RM82</f>
        <v>#N/A</v>
      </c>
    </row>
    <row r="83" spans="1:482" x14ac:dyDescent="0.3">
      <c r="B83" s="96"/>
    </row>
    <row r="84" spans="1:482" x14ac:dyDescent="0.3">
      <c r="N84" s="95"/>
      <c r="AA84" s="87"/>
      <c r="AN84" s="87"/>
      <c r="AO84" s="87"/>
      <c r="AP84" s="87"/>
      <c r="AQ84" s="87"/>
      <c r="AR84" s="87"/>
      <c r="AS84" s="87"/>
      <c r="AT84" s="87"/>
      <c r="AU84" s="87"/>
      <c r="AV84" s="87"/>
      <c r="AW84" s="87"/>
      <c r="AX84" s="87"/>
      <c r="AY84" s="87"/>
      <c r="AZ84" s="87"/>
      <c r="BA84" s="87"/>
      <c r="BB84" s="87"/>
      <c r="BC84" s="87"/>
      <c r="BD84" s="87"/>
      <c r="BE84" s="87"/>
      <c r="BF84" s="87"/>
      <c r="BG84" s="87"/>
      <c r="BH84" s="87"/>
      <c r="BI84" s="87"/>
      <c r="BJ84" s="87"/>
      <c r="BK84" s="87"/>
      <c r="BL84" s="87"/>
      <c r="BM84" s="87"/>
      <c r="BN84" s="87"/>
      <c r="BO84" s="87"/>
      <c r="BP84" s="87"/>
      <c r="BQ84" s="87"/>
      <c r="BR84" s="87"/>
      <c r="BS84" s="87"/>
      <c r="BT84" s="87"/>
      <c r="BU84" s="87"/>
      <c r="BV84" s="87"/>
      <c r="BW84" s="87"/>
      <c r="BX84" s="87"/>
      <c r="BY84" s="87"/>
      <c r="BZ84" s="87"/>
      <c r="CA84" s="87"/>
      <c r="CB84" s="87"/>
      <c r="CC84" s="87"/>
      <c r="CD84" s="87"/>
      <c r="CE84" s="87"/>
      <c r="CF84" s="87"/>
      <c r="CG84" s="87"/>
      <c r="CH84" s="87"/>
      <c r="CI84" s="87"/>
      <c r="CJ84" s="87"/>
      <c r="CK84" s="87"/>
      <c r="CL84" s="87"/>
      <c r="CM84" s="87"/>
      <c r="CN84" s="87"/>
      <c r="CO84" s="87"/>
      <c r="CP84" s="87"/>
      <c r="CQ84" s="87"/>
      <c r="CR84" s="87"/>
      <c r="CS84" s="87"/>
      <c r="CT84" s="87"/>
      <c r="CU84" s="87"/>
      <c r="CV84" s="87"/>
      <c r="CW84" s="87"/>
      <c r="CX84" s="87"/>
      <c r="CY84" s="87"/>
      <c r="CZ84" s="87"/>
      <c r="DA84" s="87"/>
      <c r="DB84" s="87"/>
      <c r="DC84" s="87"/>
      <c r="DD84" s="87"/>
      <c r="DE84" s="87"/>
      <c r="DF84" s="87"/>
      <c r="DG84" s="87"/>
      <c r="DH84" s="87"/>
      <c r="DI84" s="87"/>
      <c r="DJ84" s="87"/>
      <c r="DK84" s="87"/>
      <c r="DL84" s="87"/>
      <c r="DM84" s="87"/>
      <c r="DN84" s="87"/>
      <c r="DO84" s="87"/>
      <c r="DP84" s="87"/>
      <c r="DQ84" s="87"/>
      <c r="DR84" s="87"/>
      <c r="DS84" s="87"/>
      <c r="DT84" s="87"/>
      <c r="DU84" s="87"/>
      <c r="DV84" s="87"/>
      <c r="DW84" s="87"/>
      <c r="DX84" s="87"/>
      <c r="DY84" s="87"/>
      <c r="DZ84" s="87"/>
      <c r="EA84" s="87"/>
      <c r="EB84" s="87"/>
      <c r="EC84" s="87"/>
      <c r="ED84" s="87"/>
      <c r="EE84" s="87"/>
      <c r="EF84" s="87"/>
      <c r="EG84" s="87"/>
      <c r="EH84" s="87"/>
      <c r="EI84" s="87"/>
      <c r="EJ84" s="87"/>
      <c r="EK84" s="87"/>
      <c r="EL84" s="87"/>
      <c r="EM84" s="87"/>
      <c r="EN84" s="87"/>
      <c r="EO84" s="87"/>
      <c r="EP84" s="87"/>
      <c r="EQ84" s="87"/>
      <c r="ER84" s="87"/>
      <c r="ES84" s="87"/>
      <c r="ET84" s="87"/>
      <c r="EU84" s="87"/>
      <c r="EV84" s="87"/>
      <c r="EW84" s="87"/>
      <c r="EX84" s="87"/>
      <c r="EY84" s="87"/>
      <c r="EZ84" s="87"/>
      <c r="FA84" s="87"/>
      <c r="FB84" s="87"/>
      <c r="FC84" s="87"/>
      <c r="FD84" s="87"/>
      <c r="FE84" s="87"/>
      <c r="FF84" s="87"/>
      <c r="FG84" s="87"/>
      <c r="FH84" s="87"/>
      <c r="FI84" s="87"/>
      <c r="FJ84" s="87"/>
      <c r="FK84" s="87"/>
      <c r="FL84" s="87"/>
      <c r="FM84" s="87"/>
      <c r="FN84" s="87"/>
      <c r="FO84" s="87"/>
      <c r="FP84" s="87"/>
      <c r="FQ84" s="87"/>
      <c r="FR84" s="87"/>
      <c r="FS84" s="87"/>
      <c r="FT84" s="87"/>
      <c r="FU84" s="87"/>
      <c r="FV84" s="87"/>
      <c r="FW84" s="87"/>
      <c r="FX84" s="87"/>
      <c r="FY84" s="87"/>
      <c r="FZ84" s="87"/>
      <c r="GA84" s="87"/>
      <c r="GB84" s="87"/>
      <c r="GC84" s="87"/>
      <c r="GD84" s="87"/>
      <c r="GE84" s="87"/>
      <c r="GF84" s="87"/>
      <c r="GG84" s="87"/>
      <c r="GH84" s="87"/>
      <c r="GI84" s="87"/>
      <c r="GJ84" s="87"/>
      <c r="GK84" s="87"/>
      <c r="GL84" s="87"/>
      <c r="GM84" s="87"/>
      <c r="GN84" s="87"/>
      <c r="GO84" s="87"/>
      <c r="GP84" s="87"/>
      <c r="GQ84" s="87"/>
      <c r="GR84" s="87"/>
      <c r="GS84" s="87"/>
      <c r="GT84" s="87"/>
      <c r="GU84" s="87"/>
      <c r="GV84" s="87"/>
      <c r="GW84" s="87"/>
      <c r="GX84" s="87"/>
      <c r="GY84" s="87"/>
      <c r="GZ84" s="87"/>
      <c r="HA84" s="87"/>
      <c r="HB84" s="87"/>
      <c r="HC84" s="87"/>
      <c r="HD84" s="87"/>
      <c r="HE84" s="87"/>
      <c r="HF84" s="87"/>
      <c r="HG84" s="87"/>
      <c r="HH84" s="87"/>
      <c r="HI84" s="87"/>
      <c r="HJ84" s="87"/>
      <c r="HK84" s="87"/>
      <c r="HL84" s="87"/>
      <c r="HM84" s="87"/>
      <c r="HN84" s="87"/>
      <c r="HO84" s="87"/>
      <c r="HP84" s="87"/>
      <c r="HQ84" s="87"/>
      <c r="HR84" s="87"/>
      <c r="HS84" s="87"/>
      <c r="HT84" s="87"/>
      <c r="HU84" s="87"/>
      <c r="HV84" s="87"/>
      <c r="HW84" s="87"/>
      <c r="HX84" s="87"/>
      <c r="HY84" s="87"/>
      <c r="HZ84" s="87"/>
      <c r="IA84" s="87"/>
      <c r="IB84" s="87"/>
      <c r="IC84" s="87"/>
      <c r="ID84" s="87"/>
      <c r="IE84" s="87"/>
      <c r="IF84" s="87"/>
      <c r="IG84" s="87"/>
      <c r="IH84" s="87"/>
      <c r="II84" s="87"/>
      <c r="IJ84" s="87"/>
      <c r="IK84" s="87"/>
      <c r="IL84" s="87"/>
      <c r="IM84" s="87"/>
      <c r="IN84" s="87"/>
      <c r="IO84" s="87"/>
      <c r="IP84" s="87"/>
      <c r="IQ84" s="87"/>
      <c r="IR84" s="87"/>
      <c r="IS84" s="87"/>
      <c r="IT84" s="87"/>
      <c r="IU84" s="87"/>
      <c r="IV84" s="87"/>
      <c r="IW84" s="87"/>
      <c r="IX84" s="87"/>
      <c r="IY84" s="87"/>
      <c r="IZ84" s="87"/>
      <c r="JA84" s="87"/>
      <c r="JB84" s="87"/>
      <c r="JC84" s="87"/>
      <c r="JD84" s="87"/>
      <c r="JE84" s="87"/>
      <c r="JF84" s="87"/>
      <c r="JG84" s="87"/>
      <c r="JH84" s="87"/>
      <c r="JI84" s="87"/>
      <c r="JJ84" s="87"/>
      <c r="JK84" s="87"/>
      <c r="JL84" s="87"/>
      <c r="JM84" s="87"/>
      <c r="JN84" s="87"/>
      <c r="JO84" s="87"/>
      <c r="JP84" s="87"/>
      <c r="JQ84" s="87"/>
      <c r="JR84" s="87"/>
      <c r="JS84" s="87"/>
      <c r="JT84" s="87"/>
      <c r="JU84" s="87"/>
      <c r="JV84" s="87"/>
      <c r="JW84" s="87"/>
      <c r="JX84" s="87"/>
      <c r="JY84" s="87"/>
      <c r="JZ84" s="87"/>
      <c r="KA84" s="87"/>
      <c r="KB84" s="87"/>
      <c r="KC84" s="87"/>
      <c r="KD84" s="87"/>
      <c r="KE84" s="87"/>
      <c r="KF84" s="87"/>
      <c r="KG84" s="87"/>
      <c r="KH84" s="87"/>
      <c r="KI84" s="87"/>
      <c r="KJ84" s="87"/>
      <c r="KK84" s="87"/>
      <c r="KL84" s="87"/>
      <c r="KM84" s="87"/>
      <c r="KN84" s="87"/>
      <c r="KO84" s="87"/>
      <c r="KP84" s="87"/>
      <c r="KQ84" s="87"/>
      <c r="KR84" s="87"/>
      <c r="KS84" s="87"/>
      <c r="KT84" s="87"/>
      <c r="KU84" s="87"/>
      <c r="KV84" s="87"/>
      <c r="KW84" s="87"/>
      <c r="KX84" s="87"/>
      <c r="KY84" s="87"/>
      <c r="KZ84" s="87"/>
      <c r="LA84" s="87"/>
    </row>
    <row r="85" spans="1:482" x14ac:dyDescent="0.3">
      <c r="N85" s="91"/>
      <c r="AA85" s="91"/>
      <c r="AN85" s="91"/>
      <c r="BA85" s="91"/>
      <c r="BB85" s="91"/>
      <c r="BC85" s="91"/>
      <c r="BD85" s="91"/>
      <c r="BE85" s="91"/>
      <c r="BF85" s="91"/>
      <c r="BG85" s="91"/>
      <c r="BH85" s="91"/>
      <c r="BI85" s="91"/>
      <c r="BJ85" s="91"/>
      <c r="BK85" s="91"/>
      <c r="BL85" s="91"/>
      <c r="BM85" s="91"/>
      <c r="BN85" s="91"/>
      <c r="BO85" s="91"/>
      <c r="BP85" s="91"/>
      <c r="BQ85" s="91"/>
      <c r="BR85" s="91"/>
      <c r="BS85" s="91"/>
      <c r="BT85" s="91"/>
      <c r="BU85" s="91"/>
      <c r="BV85" s="91"/>
      <c r="BW85" s="91"/>
      <c r="BX85" s="91"/>
      <c r="BY85" s="91"/>
      <c r="BZ85" s="91"/>
      <c r="CA85" s="91"/>
      <c r="CB85" s="91"/>
      <c r="CC85" s="91"/>
      <c r="CD85" s="91"/>
      <c r="CE85" s="91"/>
      <c r="CF85" s="91"/>
      <c r="CG85" s="91"/>
      <c r="CH85" s="91"/>
      <c r="CI85" s="91"/>
      <c r="CJ85" s="91"/>
      <c r="CK85" s="91"/>
      <c r="CL85" s="91"/>
      <c r="CM85" s="91"/>
      <c r="CN85" s="91"/>
      <c r="CO85" s="91"/>
      <c r="CP85" s="91"/>
      <c r="CQ85" s="91"/>
      <c r="CR85" s="91"/>
      <c r="CS85" s="91"/>
      <c r="CT85" s="91"/>
      <c r="CU85" s="91"/>
      <c r="CV85" s="91"/>
      <c r="CW85" s="91"/>
      <c r="CX85" s="91"/>
      <c r="CY85" s="91"/>
      <c r="CZ85" s="91"/>
      <c r="DA85" s="91"/>
      <c r="DB85" s="91"/>
      <c r="DC85" s="91"/>
      <c r="DD85" s="91"/>
      <c r="DE85" s="91"/>
      <c r="DF85" s="91"/>
      <c r="DG85" s="91"/>
      <c r="DH85" s="91"/>
      <c r="DI85" s="91"/>
      <c r="DJ85" s="91"/>
      <c r="DK85" s="91"/>
      <c r="DL85" s="91"/>
      <c r="DM85" s="91"/>
      <c r="DN85" s="91"/>
      <c r="DO85" s="91"/>
      <c r="DP85" s="91"/>
      <c r="DQ85" s="91"/>
      <c r="DR85" s="91"/>
      <c r="DS85" s="91"/>
      <c r="DT85" s="91"/>
      <c r="DU85" s="91"/>
      <c r="DV85" s="91"/>
      <c r="DW85" s="91"/>
      <c r="DX85" s="91"/>
      <c r="DY85" s="91"/>
      <c r="DZ85" s="91"/>
      <c r="EA85" s="91"/>
      <c r="EB85" s="91"/>
      <c r="EC85" s="91"/>
      <c r="ED85" s="91"/>
      <c r="EE85" s="91"/>
      <c r="EF85" s="91"/>
      <c r="EG85" s="91"/>
      <c r="EH85" s="91"/>
      <c r="EI85" s="91"/>
      <c r="EJ85" s="91"/>
      <c r="EK85" s="91"/>
      <c r="EL85" s="91"/>
      <c r="EM85" s="91"/>
      <c r="EN85" s="91"/>
      <c r="EO85" s="91"/>
      <c r="EP85" s="91"/>
      <c r="EQ85" s="91"/>
      <c r="ER85" s="91"/>
      <c r="ES85" s="91"/>
      <c r="ET85" s="91"/>
      <c r="EU85" s="91"/>
      <c r="EV85" s="91"/>
      <c r="EW85" s="91"/>
      <c r="EX85" s="91"/>
      <c r="EY85" s="91"/>
      <c r="EZ85" s="91"/>
      <c r="FA85" s="91"/>
      <c r="FB85" s="91"/>
      <c r="FC85" s="91"/>
      <c r="FD85" s="91"/>
      <c r="FE85" s="91"/>
      <c r="FF85" s="91"/>
      <c r="FG85" s="91"/>
      <c r="FH85" s="91"/>
      <c r="FI85" s="91"/>
      <c r="FJ85" s="91"/>
      <c r="FK85" s="91"/>
      <c r="FL85" s="91"/>
      <c r="FM85" s="91"/>
      <c r="FN85" s="91"/>
      <c r="FO85" s="91"/>
      <c r="FP85" s="91"/>
      <c r="FQ85" s="91"/>
      <c r="FR85" s="91"/>
      <c r="FS85" s="91"/>
      <c r="FT85" s="91"/>
      <c r="FU85" s="91"/>
      <c r="FV85" s="91"/>
      <c r="FW85" s="91"/>
      <c r="FX85" s="91"/>
      <c r="FY85" s="91"/>
      <c r="FZ85" s="91"/>
      <c r="GA85" s="91"/>
      <c r="GB85" s="91"/>
      <c r="GC85" s="91"/>
      <c r="GD85" s="91"/>
      <c r="GE85" s="91"/>
      <c r="GF85" s="91"/>
      <c r="GG85" s="91"/>
      <c r="GH85" s="91"/>
      <c r="GI85" s="91"/>
      <c r="GJ85" s="91"/>
      <c r="GK85" s="91"/>
      <c r="GL85" s="91"/>
      <c r="GM85" s="91"/>
      <c r="GN85" s="91"/>
      <c r="GO85" s="91"/>
      <c r="GP85" s="91"/>
      <c r="GQ85" s="91"/>
      <c r="GR85" s="91"/>
      <c r="GS85" s="91"/>
      <c r="GT85" s="91"/>
      <c r="GU85" s="91"/>
      <c r="GV85" s="91"/>
      <c r="GW85" s="91"/>
      <c r="GX85" s="91"/>
      <c r="GY85" s="91"/>
      <c r="GZ85" s="91"/>
      <c r="HA85" s="91"/>
      <c r="HB85" s="91"/>
      <c r="HC85" s="91"/>
      <c r="HD85" s="91"/>
      <c r="HE85" s="91"/>
      <c r="HF85" s="91"/>
      <c r="HG85" s="91"/>
      <c r="HH85" s="91"/>
      <c r="HI85" s="91"/>
      <c r="HJ85" s="91"/>
      <c r="HK85" s="91"/>
      <c r="HL85" s="91"/>
      <c r="HM85" s="91"/>
      <c r="HN85" s="91"/>
      <c r="HO85" s="91"/>
      <c r="HP85" s="91"/>
      <c r="HQ85" s="91"/>
      <c r="HR85" s="91"/>
      <c r="HS85" s="91"/>
      <c r="HT85" s="91"/>
      <c r="HU85" s="91"/>
      <c r="HV85" s="91"/>
      <c r="HW85" s="91"/>
      <c r="HX85" s="91"/>
      <c r="HY85" s="91"/>
      <c r="HZ85" s="91"/>
      <c r="IA85" s="91"/>
    </row>
    <row r="86" spans="1:482" x14ac:dyDescent="0.3">
      <c r="N86" s="91"/>
      <c r="AA86" s="91"/>
      <c r="AN86" s="91"/>
      <c r="BA86" s="91"/>
      <c r="BB86" s="91"/>
      <c r="BC86" s="91"/>
      <c r="BD86" s="91"/>
      <c r="BE86" s="91"/>
      <c r="BF86" s="91"/>
      <c r="BG86" s="91"/>
      <c r="BH86" s="91"/>
      <c r="BI86" s="91"/>
      <c r="BJ86" s="91"/>
      <c r="BK86" s="91"/>
      <c r="BL86" s="91"/>
      <c r="BM86" s="91"/>
      <c r="BN86" s="91"/>
      <c r="BO86" s="91"/>
      <c r="BP86" s="91"/>
      <c r="BQ86" s="91"/>
      <c r="BR86" s="91"/>
      <c r="BS86" s="91"/>
      <c r="BT86" s="91"/>
      <c r="BU86" s="91"/>
      <c r="BV86" s="91"/>
      <c r="BW86" s="91"/>
      <c r="BX86" s="91"/>
      <c r="BY86" s="91"/>
      <c r="BZ86" s="91"/>
      <c r="CA86" s="91"/>
      <c r="CB86" s="91"/>
      <c r="CC86" s="91"/>
      <c r="CD86" s="91"/>
      <c r="CE86" s="91"/>
      <c r="CF86" s="91"/>
      <c r="CG86" s="91"/>
      <c r="CH86" s="91"/>
      <c r="CI86" s="91"/>
      <c r="CJ86" s="91"/>
      <c r="CK86" s="91"/>
      <c r="CL86" s="91"/>
      <c r="CM86" s="91"/>
      <c r="CN86" s="91"/>
      <c r="CO86" s="91"/>
      <c r="CP86" s="91"/>
      <c r="CQ86" s="91"/>
      <c r="CR86" s="91"/>
      <c r="CS86" s="91"/>
      <c r="CT86" s="91"/>
      <c r="CU86" s="91"/>
      <c r="CV86" s="91"/>
      <c r="CW86" s="91"/>
      <c r="CX86" s="91"/>
      <c r="CY86" s="91"/>
      <c r="CZ86" s="91"/>
      <c r="DA86" s="91"/>
      <c r="DB86" s="91"/>
      <c r="DC86" s="91"/>
      <c r="DD86" s="91"/>
      <c r="DE86" s="91"/>
      <c r="DF86" s="91"/>
      <c r="DG86" s="91"/>
      <c r="DH86" s="91"/>
      <c r="DI86" s="91"/>
      <c r="DJ86" s="91"/>
      <c r="DK86" s="91"/>
      <c r="DL86" s="91"/>
      <c r="DM86" s="91"/>
      <c r="DN86" s="91"/>
      <c r="DO86" s="91"/>
      <c r="DP86" s="91"/>
      <c r="DQ86" s="91"/>
      <c r="DR86" s="91"/>
      <c r="DS86" s="91"/>
      <c r="DT86" s="91"/>
      <c r="DU86" s="91"/>
      <c r="DV86" s="91"/>
      <c r="DW86" s="91"/>
      <c r="DX86" s="91"/>
      <c r="DY86" s="91"/>
      <c r="DZ86" s="91"/>
      <c r="EA86" s="91"/>
      <c r="EB86" s="91"/>
      <c r="EC86" s="91"/>
      <c r="ED86" s="91"/>
      <c r="EE86" s="91"/>
      <c r="EF86" s="91"/>
      <c r="EG86" s="91"/>
      <c r="EH86" s="91"/>
      <c r="EI86" s="91"/>
      <c r="EJ86" s="91"/>
      <c r="EK86" s="91"/>
      <c r="EL86" s="91"/>
      <c r="EM86" s="91"/>
      <c r="EN86" s="91"/>
      <c r="EO86" s="91"/>
      <c r="EP86" s="91"/>
      <c r="EQ86" s="91"/>
      <c r="ER86" s="91"/>
      <c r="ES86" s="91"/>
      <c r="ET86" s="91"/>
      <c r="EU86" s="91"/>
      <c r="EV86" s="91"/>
      <c r="EW86" s="91"/>
      <c r="EX86" s="91"/>
      <c r="EY86" s="91"/>
      <c r="EZ86" s="91"/>
      <c r="FA86" s="91"/>
      <c r="FB86" s="91"/>
      <c r="FC86" s="91"/>
      <c r="FD86" s="91"/>
      <c r="FE86" s="91"/>
      <c r="FF86" s="91"/>
      <c r="FG86" s="91"/>
      <c r="FH86" s="91"/>
      <c r="FI86" s="91"/>
      <c r="FJ86" s="91"/>
      <c r="FK86" s="91"/>
      <c r="FL86" s="91"/>
      <c r="FM86" s="91"/>
      <c r="FN86" s="91"/>
      <c r="FO86" s="91"/>
      <c r="FP86" s="91"/>
      <c r="FQ86" s="91"/>
      <c r="FR86" s="91"/>
      <c r="FS86" s="91"/>
      <c r="FT86" s="91"/>
      <c r="FU86" s="91"/>
      <c r="FV86" s="91"/>
      <c r="FW86" s="91"/>
      <c r="FX86" s="91"/>
      <c r="FY86" s="91"/>
      <c r="FZ86" s="91"/>
      <c r="GA86" s="91"/>
      <c r="GB86" s="91"/>
      <c r="GC86" s="91"/>
      <c r="GD86" s="91"/>
      <c r="GE86" s="91"/>
      <c r="GF86" s="91"/>
      <c r="GG86" s="91"/>
      <c r="GH86" s="91"/>
      <c r="GI86" s="91"/>
      <c r="GJ86" s="91"/>
      <c r="GK86" s="91"/>
      <c r="GL86" s="91"/>
      <c r="GM86" s="91"/>
      <c r="GN86" s="91"/>
      <c r="GO86" s="91"/>
      <c r="GP86" s="91"/>
      <c r="GQ86" s="91"/>
      <c r="GR86" s="91"/>
      <c r="GS86" s="91"/>
      <c r="GT86" s="91"/>
      <c r="GU86" s="91"/>
      <c r="GV86" s="91"/>
      <c r="GW86" s="91"/>
      <c r="GX86" s="91"/>
      <c r="GY86" s="91"/>
      <c r="GZ86" s="91"/>
      <c r="HA86" s="91"/>
      <c r="HB86" s="91"/>
      <c r="HC86" s="91"/>
      <c r="HD86" s="91"/>
      <c r="HE86" s="91"/>
      <c r="HF86" s="91"/>
      <c r="HG86" s="91"/>
      <c r="HH86" s="91"/>
      <c r="HI86" s="91"/>
      <c r="HJ86" s="91"/>
      <c r="HK86" s="91"/>
      <c r="HL86" s="91"/>
      <c r="HM86" s="91"/>
      <c r="HN86" s="91"/>
      <c r="HO86" s="91"/>
      <c r="HP86" s="91"/>
      <c r="HQ86" s="91"/>
      <c r="HR86" s="91"/>
      <c r="HS86" s="91"/>
      <c r="HT86" s="91"/>
      <c r="HU86" s="91"/>
      <c r="HV86" s="91"/>
      <c r="HW86" s="91"/>
      <c r="HX86" s="91"/>
      <c r="HY86" s="91"/>
      <c r="HZ86" s="91"/>
      <c r="IA86" s="91"/>
      <c r="IB86" s="91"/>
      <c r="IC86" s="91"/>
      <c r="ID86" s="91"/>
      <c r="IE86" s="91"/>
      <c r="IF86" s="91"/>
      <c r="IG86" s="91"/>
      <c r="IH86" s="91"/>
      <c r="II86" s="91"/>
      <c r="IJ86" s="91"/>
      <c r="IK86" s="91"/>
      <c r="IL86" s="91"/>
      <c r="IM86" s="91"/>
      <c r="IN86" s="91"/>
    </row>
    <row r="87" spans="1:482" x14ac:dyDescent="0.3">
      <c r="AN87" s="91"/>
      <c r="BA87" s="91"/>
      <c r="BB87" s="91"/>
      <c r="BC87" s="91"/>
      <c r="BD87" s="91"/>
      <c r="BE87" s="91"/>
      <c r="BF87" s="91"/>
      <c r="BG87" s="91"/>
      <c r="BH87" s="91"/>
      <c r="BI87" s="91"/>
      <c r="BJ87" s="91"/>
      <c r="BK87" s="91"/>
      <c r="BL87" s="91"/>
      <c r="BM87" s="91"/>
      <c r="BN87" s="91"/>
      <c r="BO87" s="91"/>
      <c r="BP87" s="91"/>
      <c r="BQ87" s="91"/>
      <c r="BR87" s="91"/>
      <c r="BS87" s="91"/>
      <c r="BT87" s="91"/>
      <c r="BU87" s="91"/>
      <c r="BV87" s="91"/>
      <c r="BW87" s="91"/>
      <c r="BX87" s="91"/>
      <c r="BY87" s="91"/>
      <c r="BZ87" s="91"/>
      <c r="CA87" s="91"/>
      <c r="CB87" s="91"/>
      <c r="CC87" s="91"/>
      <c r="CD87" s="91"/>
      <c r="CE87" s="91"/>
      <c r="CF87" s="91"/>
      <c r="CG87" s="91"/>
      <c r="CH87" s="91"/>
      <c r="CI87" s="91"/>
      <c r="CJ87" s="91"/>
      <c r="CK87" s="91"/>
      <c r="CL87" s="91"/>
      <c r="CM87" s="91"/>
      <c r="CN87" s="91"/>
      <c r="CO87" s="91"/>
      <c r="CP87" s="91"/>
      <c r="CQ87" s="91"/>
      <c r="CR87" s="91"/>
      <c r="CS87" s="91"/>
      <c r="CT87" s="91"/>
      <c r="CU87" s="91"/>
      <c r="CV87" s="91"/>
      <c r="CW87" s="91"/>
      <c r="CX87" s="91"/>
      <c r="CY87" s="91"/>
      <c r="CZ87" s="91"/>
      <c r="DA87" s="91"/>
      <c r="DB87" s="91"/>
      <c r="DC87" s="91"/>
      <c r="DD87" s="91"/>
      <c r="DE87" s="91"/>
      <c r="DF87" s="91"/>
      <c r="DG87" s="91"/>
      <c r="DH87" s="91"/>
      <c r="DI87" s="91"/>
      <c r="DJ87" s="91"/>
      <c r="DK87" s="91"/>
      <c r="DL87" s="91"/>
      <c r="DM87" s="91"/>
      <c r="DN87" s="91"/>
      <c r="DO87" s="91"/>
      <c r="DP87" s="91"/>
      <c r="DQ87" s="91"/>
      <c r="DR87" s="91"/>
      <c r="DS87" s="91"/>
      <c r="DT87" s="91"/>
      <c r="DU87" s="91"/>
      <c r="DV87" s="91"/>
      <c r="DW87" s="91"/>
      <c r="DX87" s="91"/>
      <c r="DY87" s="91"/>
      <c r="DZ87" s="91"/>
      <c r="EA87" s="91"/>
      <c r="EB87" s="91"/>
      <c r="EC87" s="91"/>
      <c r="ED87" s="91"/>
      <c r="EE87" s="91"/>
      <c r="EF87" s="91"/>
      <c r="EG87" s="91"/>
      <c r="EH87" s="91"/>
      <c r="EI87" s="91"/>
      <c r="EJ87" s="91"/>
      <c r="EK87" s="91"/>
      <c r="EL87" s="91"/>
      <c r="EM87" s="91"/>
      <c r="EN87" s="91"/>
      <c r="EO87" s="91"/>
      <c r="EP87" s="91"/>
      <c r="EQ87" s="91"/>
      <c r="ER87" s="91"/>
      <c r="ES87" s="91"/>
      <c r="ET87" s="91"/>
      <c r="EU87" s="91"/>
      <c r="EV87" s="91"/>
      <c r="EW87" s="91"/>
      <c r="EX87" s="91"/>
      <c r="EY87" s="91"/>
      <c r="EZ87" s="91"/>
      <c r="FA87" s="91"/>
      <c r="FB87" s="91"/>
      <c r="FC87" s="91"/>
      <c r="FD87" s="91"/>
      <c r="FE87" s="91"/>
      <c r="FF87" s="91"/>
      <c r="FG87" s="91"/>
      <c r="FH87" s="91"/>
      <c r="FI87" s="91"/>
      <c r="FJ87" s="91"/>
      <c r="FK87" s="91"/>
      <c r="FL87" s="91"/>
      <c r="FM87" s="91"/>
      <c r="FN87" s="91"/>
      <c r="FO87" s="91"/>
      <c r="FP87" s="91"/>
      <c r="FQ87" s="91"/>
      <c r="FR87" s="91"/>
      <c r="FS87" s="91"/>
      <c r="FT87" s="91"/>
      <c r="FU87" s="91"/>
      <c r="FV87" s="91"/>
      <c r="FW87" s="91"/>
      <c r="FX87" s="91"/>
      <c r="FY87" s="91"/>
      <c r="FZ87" s="91"/>
      <c r="GA87" s="91"/>
      <c r="GB87" s="91"/>
      <c r="GC87" s="91"/>
      <c r="GD87" s="91"/>
      <c r="GE87" s="91"/>
      <c r="GF87" s="91"/>
      <c r="GG87" s="91"/>
      <c r="GH87" s="91"/>
      <c r="GI87" s="91"/>
      <c r="GJ87" s="91"/>
      <c r="GK87" s="91"/>
      <c r="GL87" s="91"/>
      <c r="GM87" s="91"/>
      <c r="GN87" s="91"/>
      <c r="GO87" s="91"/>
      <c r="GP87" s="91"/>
      <c r="GQ87" s="91"/>
      <c r="GR87" s="91"/>
      <c r="GS87" s="91"/>
      <c r="GT87" s="91"/>
      <c r="GU87" s="91"/>
      <c r="GV87" s="91"/>
      <c r="GW87" s="91"/>
      <c r="GX87" s="91"/>
      <c r="GY87" s="91"/>
      <c r="GZ87" s="91"/>
      <c r="HA87" s="91"/>
      <c r="HB87" s="91"/>
      <c r="HC87" s="91"/>
      <c r="HD87" s="91"/>
      <c r="HE87" s="91"/>
      <c r="HF87" s="91"/>
      <c r="HG87" s="91"/>
      <c r="HH87" s="91"/>
      <c r="HI87" s="91"/>
      <c r="HJ87" s="91"/>
      <c r="HK87" s="91"/>
      <c r="HL87" s="91"/>
      <c r="HM87" s="91"/>
      <c r="HN87" s="91"/>
      <c r="HO87" s="91"/>
      <c r="HP87" s="91"/>
      <c r="HQ87" s="91"/>
      <c r="HR87" s="91"/>
      <c r="HS87" s="91"/>
      <c r="HT87" s="91"/>
      <c r="HU87" s="91"/>
      <c r="HV87" s="91"/>
      <c r="HW87" s="91"/>
      <c r="HX87" s="91"/>
      <c r="HY87" s="91"/>
      <c r="HZ87" s="91"/>
      <c r="IA87" s="91"/>
    </row>
    <row r="88" spans="1:482" x14ac:dyDescent="0.3">
      <c r="AN88" s="91"/>
      <c r="BA88" s="91"/>
      <c r="BB88" s="91"/>
      <c r="BC88" s="91"/>
      <c r="BD88" s="91"/>
      <c r="BE88" s="91"/>
      <c r="BF88" s="91"/>
      <c r="BG88" s="91"/>
      <c r="BH88" s="91"/>
      <c r="BI88" s="91"/>
      <c r="BJ88" s="91"/>
      <c r="BK88" s="91"/>
      <c r="BL88" s="91"/>
      <c r="BM88" s="91"/>
      <c r="BN88" s="91"/>
      <c r="BO88" s="91"/>
      <c r="BP88" s="91"/>
      <c r="BQ88" s="91"/>
      <c r="BR88" s="91"/>
      <c r="BS88" s="91"/>
      <c r="BT88" s="91"/>
      <c r="BU88" s="91"/>
      <c r="BV88" s="91"/>
      <c r="BW88" s="91"/>
      <c r="BX88" s="91"/>
      <c r="BY88" s="91"/>
      <c r="BZ88" s="91"/>
      <c r="CA88" s="91"/>
      <c r="CB88" s="91"/>
      <c r="CC88" s="91"/>
      <c r="CD88" s="91"/>
      <c r="CE88" s="91"/>
      <c r="CF88" s="91"/>
      <c r="CG88" s="91"/>
      <c r="CH88" s="91"/>
      <c r="CI88" s="91"/>
      <c r="CJ88" s="91"/>
      <c r="CK88" s="91"/>
      <c r="CL88" s="91"/>
      <c r="CM88" s="91"/>
      <c r="CN88" s="91"/>
      <c r="CO88" s="91"/>
      <c r="CP88" s="91"/>
      <c r="CQ88" s="91"/>
      <c r="CR88" s="91"/>
      <c r="CS88" s="91"/>
      <c r="CT88" s="91"/>
      <c r="CU88" s="91"/>
      <c r="CV88" s="91"/>
      <c r="CW88" s="91"/>
      <c r="CX88" s="91"/>
      <c r="CY88" s="91"/>
      <c r="CZ88" s="91"/>
      <c r="DA88" s="91"/>
      <c r="DB88" s="91"/>
      <c r="DC88" s="91"/>
      <c r="DD88" s="91"/>
      <c r="DE88" s="91"/>
      <c r="DF88" s="91"/>
      <c r="DG88" s="91"/>
      <c r="DH88" s="91"/>
      <c r="DI88" s="91"/>
      <c r="DJ88" s="91"/>
      <c r="DK88" s="91"/>
      <c r="DL88" s="91"/>
      <c r="DM88" s="91"/>
      <c r="DN88" s="91"/>
      <c r="DO88" s="91"/>
      <c r="DP88" s="91"/>
      <c r="DQ88" s="91"/>
      <c r="DR88" s="91"/>
      <c r="DS88" s="91"/>
      <c r="DT88" s="91"/>
      <c r="DU88" s="91"/>
      <c r="DV88" s="91"/>
      <c r="DW88" s="91"/>
      <c r="DX88" s="91"/>
      <c r="DY88" s="91"/>
      <c r="DZ88" s="91"/>
      <c r="EA88" s="91"/>
      <c r="EB88" s="91"/>
      <c r="EC88" s="91"/>
      <c r="ED88" s="91"/>
      <c r="EE88" s="91"/>
      <c r="EF88" s="91"/>
      <c r="EG88" s="91"/>
      <c r="EH88" s="91"/>
      <c r="EI88" s="91"/>
      <c r="EJ88" s="91"/>
      <c r="EK88" s="91"/>
      <c r="EL88" s="91"/>
      <c r="EM88" s="91"/>
      <c r="EN88" s="91"/>
      <c r="EO88" s="91"/>
      <c r="EP88" s="91"/>
      <c r="EQ88" s="91"/>
      <c r="ER88" s="91"/>
      <c r="ES88" s="91"/>
      <c r="ET88" s="91"/>
      <c r="EU88" s="91"/>
      <c r="EV88" s="91"/>
      <c r="EW88" s="91"/>
      <c r="EX88" s="91"/>
      <c r="EY88" s="91"/>
      <c r="EZ88" s="91"/>
      <c r="FA88" s="91"/>
      <c r="FB88" s="91"/>
      <c r="FC88" s="91"/>
      <c r="FD88" s="91"/>
      <c r="FE88" s="91"/>
      <c r="FF88" s="91"/>
      <c r="FG88" s="91"/>
      <c r="FH88" s="91"/>
      <c r="FI88" s="91"/>
      <c r="FJ88" s="91"/>
      <c r="FK88" s="91"/>
      <c r="FL88" s="91"/>
      <c r="FM88" s="91"/>
      <c r="FN88" s="91"/>
      <c r="FO88" s="91"/>
      <c r="FP88" s="91"/>
      <c r="FQ88" s="91"/>
      <c r="FR88" s="91"/>
      <c r="FS88" s="91"/>
      <c r="FT88" s="91"/>
      <c r="FU88" s="91"/>
      <c r="FV88" s="91"/>
      <c r="FW88" s="91"/>
      <c r="FX88" s="91"/>
      <c r="FY88" s="91"/>
      <c r="FZ88" s="91"/>
      <c r="GA88" s="91"/>
      <c r="GB88" s="91"/>
      <c r="GC88" s="91"/>
      <c r="GD88" s="91"/>
      <c r="GE88" s="91"/>
      <c r="GF88" s="91"/>
      <c r="GG88" s="91"/>
      <c r="GH88" s="91"/>
      <c r="GI88" s="91"/>
      <c r="GJ88" s="91"/>
      <c r="GK88" s="91"/>
      <c r="GL88" s="91"/>
      <c r="GM88" s="91"/>
      <c r="GN88" s="91"/>
      <c r="GO88" s="91"/>
      <c r="GP88" s="91"/>
      <c r="GQ88" s="91"/>
      <c r="GR88" s="91"/>
      <c r="GS88" s="91"/>
      <c r="GT88" s="91"/>
      <c r="GU88" s="91"/>
      <c r="GV88" s="91"/>
      <c r="GW88" s="91"/>
      <c r="GX88" s="91"/>
      <c r="GY88" s="91"/>
      <c r="GZ88" s="91"/>
      <c r="HA88" s="91"/>
      <c r="HB88" s="91"/>
      <c r="HC88" s="91"/>
      <c r="HD88" s="91"/>
      <c r="HE88" s="91"/>
      <c r="HF88" s="91"/>
      <c r="HG88" s="91"/>
      <c r="HH88" s="91"/>
      <c r="HI88" s="91"/>
      <c r="HJ88" s="91"/>
      <c r="HK88" s="91"/>
      <c r="HL88" s="91"/>
      <c r="HM88" s="91"/>
      <c r="HN88" s="91"/>
      <c r="HO88" s="91"/>
      <c r="HP88" s="91"/>
      <c r="HQ88" s="91"/>
      <c r="HR88" s="91"/>
      <c r="HS88" s="91"/>
      <c r="HT88" s="91"/>
      <c r="HU88" s="91"/>
      <c r="HV88" s="91"/>
      <c r="HW88" s="91"/>
      <c r="HX88" s="91"/>
      <c r="HY88" s="91"/>
      <c r="HZ88" s="91"/>
      <c r="IA88" s="91"/>
    </row>
    <row r="89" spans="1:482" x14ac:dyDescent="0.3">
      <c r="AN89" s="91"/>
      <c r="BA89" s="91"/>
      <c r="BB89" s="91"/>
      <c r="BC89" s="91"/>
      <c r="BD89" s="91"/>
      <c r="BE89" s="91"/>
      <c r="BF89" s="91"/>
      <c r="BG89" s="91"/>
      <c r="BH89" s="91"/>
      <c r="BI89" s="91"/>
      <c r="BJ89" s="91"/>
      <c r="BK89" s="91"/>
      <c r="BL89" s="91"/>
      <c r="BM89" s="91"/>
      <c r="BN89" s="91"/>
      <c r="BO89" s="91"/>
      <c r="BP89" s="91"/>
      <c r="BQ89" s="91"/>
      <c r="BR89" s="91"/>
      <c r="BS89" s="91"/>
      <c r="BT89" s="91"/>
      <c r="BU89" s="91"/>
      <c r="BV89" s="91"/>
      <c r="BW89" s="91"/>
      <c r="BX89" s="91"/>
      <c r="BY89" s="91"/>
      <c r="BZ89" s="91"/>
      <c r="CA89" s="91"/>
      <c r="CB89" s="91"/>
      <c r="CC89" s="91"/>
      <c r="CD89" s="91"/>
      <c r="CE89" s="91"/>
      <c r="CF89" s="91"/>
      <c r="CG89" s="91"/>
      <c r="CH89" s="91"/>
      <c r="CI89" s="91"/>
      <c r="CJ89" s="91"/>
      <c r="CK89" s="91"/>
      <c r="CL89" s="91"/>
      <c r="CM89" s="91"/>
      <c r="CN89" s="91"/>
      <c r="CO89" s="91"/>
      <c r="CP89" s="91"/>
      <c r="CQ89" s="91"/>
      <c r="CR89" s="91"/>
      <c r="CS89" s="91"/>
      <c r="CT89" s="91"/>
      <c r="CU89" s="91"/>
      <c r="CV89" s="91"/>
      <c r="CW89" s="91"/>
      <c r="CX89" s="91"/>
      <c r="CY89" s="91"/>
      <c r="CZ89" s="91"/>
      <c r="DA89" s="91"/>
      <c r="DB89" s="91"/>
      <c r="DC89" s="91"/>
      <c r="DD89" s="91"/>
      <c r="DE89" s="91"/>
      <c r="DF89" s="91"/>
      <c r="DG89" s="91"/>
      <c r="DH89" s="91"/>
      <c r="DI89" s="91"/>
      <c r="DJ89" s="91"/>
      <c r="DK89" s="91"/>
      <c r="DL89" s="91"/>
      <c r="DM89" s="91"/>
      <c r="DN89" s="91"/>
      <c r="DO89" s="91"/>
      <c r="DP89" s="91"/>
      <c r="DQ89" s="91"/>
      <c r="DR89" s="91"/>
      <c r="DS89" s="91"/>
      <c r="DT89" s="91"/>
      <c r="DU89" s="91"/>
      <c r="DV89" s="91"/>
      <c r="DW89" s="91"/>
      <c r="DX89" s="91"/>
      <c r="DY89" s="91"/>
      <c r="DZ89" s="91"/>
      <c r="EA89" s="91"/>
      <c r="EB89" s="91"/>
      <c r="EC89" s="91"/>
      <c r="ED89" s="91"/>
      <c r="EE89" s="91"/>
      <c r="EF89" s="91"/>
      <c r="EG89" s="91"/>
      <c r="EH89" s="91"/>
      <c r="EI89" s="91"/>
      <c r="EJ89" s="91"/>
      <c r="EK89" s="91"/>
      <c r="EL89" s="91"/>
      <c r="EM89" s="91"/>
      <c r="EN89" s="91"/>
      <c r="EO89" s="91"/>
      <c r="EP89" s="91"/>
      <c r="EQ89" s="91"/>
      <c r="ER89" s="91"/>
      <c r="ES89" s="91"/>
      <c r="ET89" s="91"/>
      <c r="EU89" s="91"/>
      <c r="EV89" s="91"/>
      <c r="EW89" s="91"/>
      <c r="EX89" s="91"/>
      <c r="EY89" s="91"/>
      <c r="EZ89" s="91"/>
      <c r="FA89" s="91"/>
      <c r="FB89" s="91"/>
      <c r="FC89" s="91"/>
      <c r="FD89" s="91"/>
      <c r="FE89" s="91"/>
      <c r="FF89" s="91"/>
      <c r="FG89" s="91"/>
      <c r="FH89" s="91"/>
      <c r="FI89" s="91"/>
      <c r="FJ89" s="91"/>
      <c r="FK89" s="91"/>
      <c r="FL89" s="91"/>
      <c r="FM89" s="91"/>
      <c r="FN89" s="91"/>
      <c r="FO89" s="91"/>
      <c r="FP89" s="91"/>
      <c r="FQ89" s="91"/>
      <c r="FR89" s="91"/>
      <c r="FS89" s="91"/>
      <c r="FT89" s="91"/>
      <c r="FU89" s="91"/>
      <c r="FV89" s="91"/>
      <c r="FW89" s="91"/>
      <c r="FX89" s="91"/>
      <c r="FY89" s="91"/>
      <c r="FZ89" s="91"/>
      <c r="GA89" s="91"/>
      <c r="GB89" s="91"/>
      <c r="GC89" s="91"/>
      <c r="GD89" s="91"/>
      <c r="GE89" s="91"/>
      <c r="GF89" s="91"/>
      <c r="GG89" s="91"/>
      <c r="GH89" s="91"/>
      <c r="GI89" s="91"/>
      <c r="GJ89" s="91"/>
      <c r="GK89" s="91"/>
      <c r="GL89" s="91"/>
      <c r="GM89" s="91"/>
      <c r="GN89" s="91"/>
      <c r="GO89" s="91"/>
      <c r="GP89" s="91"/>
      <c r="GQ89" s="91"/>
      <c r="GR89" s="91"/>
      <c r="GS89" s="91"/>
      <c r="GT89" s="91"/>
      <c r="GU89" s="91"/>
      <c r="GV89" s="91"/>
      <c r="GW89" s="91"/>
      <c r="GX89" s="91"/>
      <c r="GY89" s="91"/>
      <c r="GZ89" s="91"/>
      <c r="HA89" s="91"/>
      <c r="HB89" s="91"/>
      <c r="HC89" s="91"/>
      <c r="HD89" s="91"/>
      <c r="HE89" s="91"/>
      <c r="HF89" s="91"/>
      <c r="HG89" s="91"/>
      <c r="HH89" s="91"/>
      <c r="HI89" s="91"/>
      <c r="HJ89" s="91"/>
      <c r="HK89" s="91"/>
      <c r="HL89" s="91"/>
      <c r="HM89" s="91"/>
      <c r="HN89" s="91"/>
      <c r="HO89" s="91"/>
      <c r="HP89" s="91"/>
      <c r="HQ89" s="91"/>
      <c r="HR89" s="91"/>
      <c r="HS89" s="91"/>
      <c r="HT89" s="91"/>
      <c r="HU89" s="91"/>
      <c r="HV89" s="91"/>
      <c r="HW89" s="91"/>
      <c r="HX89" s="91"/>
      <c r="HY89" s="91"/>
      <c r="HZ89" s="91"/>
      <c r="IA89" s="91"/>
    </row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41C55-DDB2-4CD2-9FD5-8EDF63864E0D}">
  <dimension ref="A1:AB134"/>
  <sheetViews>
    <sheetView workbookViewId="0">
      <pane ySplit="1" topLeftCell="A2" activePane="bottomLeft" state="frozen"/>
      <selection pane="bottomLeft" activeCell="L2" sqref="L2"/>
    </sheetView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294</v>
      </c>
      <c r="U1" t="s">
        <v>29</v>
      </c>
      <c r="V1" t="s">
        <v>32</v>
      </c>
      <c r="W1" t="s">
        <v>33</v>
      </c>
      <c r="X1" t="s">
        <v>143</v>
      </c>
      <c r="Y1" t="s">
        <v>145</v>
      </c>
      <c r="Z1" t="s">
        <v>295</v>
      </c>
      <c r="AA1" t="s">
        <v>296</v>
      </c>
      <c r="AB1" t="s">
        <v>352</v>
      </c>
    </row>
    <row r="2" spans="1:28" x14ac:dyDescent="0.35">
      <c r="A2" t="s">
        <v>508</v>
      </c>
      <c r="B2" t="s">
        <v>19</v>
      </c>
      <c r="C2" t="s">
        <v>20</v>
      </c>
      <c r="D2" t="s">
        <v>20</v>
      </c>
      <c r="E2" t="s">
        <v>26</v>
      </c>
      <c r="F2" t="s">
        <v>509</v>
      </c>
      <c r="G2" t="s">
        <v>48</v>
      </c>
      <c r="H2" t="s">
        <v>24</v>
      </c>
      <c r="I2" t="s">
        <v>25</v>
      </c>
      <c r="J2">
        <v>40.691676999999999</v>
      </c>
      <c r="K2">
        <v>-111.85533</v>
      </c>
      <c r="L2" s="133" t="s">
        <v>510</v>
      </c>
      <c r="M2" s="2">
        <v>600000</v>
      </c>
      <c r="N2" s="2">
        <v>4</v>
      </c>
      <c r="O2" s="2">
        <v>2</v>
      </c>
      <c r="P2" s="2">
        <v>1568</v>
      </c>
      <c r="Q2" s="2"/>
      <c r="R2" s="2">
        <v>2383</v>
      </c>
      <c r="S2" s="2"/>
      <c r="T2" s="2">
        <v>2.1217361111111108</v>
      </c>
      <c r="U2" t="s">
        <v>30</v>
      </c>
      <c r="V2" s="2">
        <v>382.65306122448982</v>
      </c>
      <c r="W2" s="2">
        <v>250</v>
      </c>
      <c r="X2" s="2">
        <v>295</v>
      </c>
      <c r="Y2" s="2">
        <v>215</v>
      </c>
      <c r="Z2" s="2">
        <v>2903.75090118045</v>
      </c>
      <c r="AA2" s="2">
        <v>3413.75090118045</v>
      </c>
      <c r="AB2">
        <f>(M2&gt;Pivot!$Q$1)*1</f>
        <v>0</v>
      </c>
    </row>
    <row r="3" spans="1:28" x14ac:dyDescent="0.35">
      <c r="A3" t="s">
        <v>511</v>
      </c>
      <c r="B3" t="s">
        <v>19</v>
      </c>
      <c r="C3" t="s">
        <v>20</v>
      </c>
      <c r="D3" t="s">
        <v>20</v>
      </c>
      <c r="E3" t="s">
        <v>26</v>
      </c>
      <c r="F3" t="s">
        <v>512</v>
      </c>
      <c r="G3" t="s">
        <v>48</v>
      </c>
      <c r="H3" t="s">
        <v>24</v>
      </c>
      <c r="I3" t="s">
        <v>25</v>
      </c>
      <c r="J3">
        <v>40.696506999999997</v>
      </c>
      <c r="K3">
        <v>-111.86199999999999</v>
      </c>
      <c r="L3" t="s">
        <v>513</v>
      </c>
      <c r="M3" s="2">
        <v>1140000</v>
      </c>
      <c r="N3" s="2">
        <v>8</v>
      </c>
      <c r="O3" s="2">
        <v>4</v>
      </c>
      <c r="P3" s="2">
        <v>4242</v>
      </c>
      <c r="Q3" s="2">
        <v>1108500</v>
      </c>
      <c r="R3" s="2">
        <v>2537</v>
      </c>
      <c r="S3" s="2">
        <v>980000</v>
      </c>
      <c r="T3" s="2">
        <v>34.064282407407397</v>
      </c>
      <c r="U3" t="s">
        <v>30</v>
      </c>
      <c r="V3" s="2">
        <v>268.74115983026871</v>
      </c>
      <c r="W3" s="2">
        <v>237.5</v>
      </c>
      <c r="X3" s="2">
        <v>560.5</v>
      </c>
      <c r="Y3" s="2">
        <v>408.5</v>
      </c>
      <c r="Z3" s="2">
        <v>5517.1267122428544</v>
      </c>
      <c r="AA3" s="2">
        <v>6486.1267122428544</v>
      </c>
      <c r="AB3">
        <f>(M3&gt;Pivot!$Q$1)*1</f>
        <v>1</v>
      </c>
    </row>
    <row r="4" spans="1:28" x14ac:dyDescent="0.35">
      <c r="A4" t="s">
        <v>514</v>
      </c>
      <c r="B4" t="s">
        <v>19</v>
      </c>
      <c r="C4" t="s">
        <v>20</v>
      </c>
      <c r="D4" t="s">
        <v>20</v>
      </c>
      <c r="E4" t="s">
        <v>26</v>
      </c>
      <c r="F4" t="s">
        <v>515</v>
      </c>
      <c r="G4" t="s">
        <v>48</v>
      </c>
      <c r="H4" t="s">
        <v>24</v>
      </c>
      <c r="I4" t="s">
        <v>25</v>
      </c>
      <c r="J4">
        <v>40.694389999999999</v>
      </c>
      <c r="K4">
        <v>-111.87045000000001</v>
      </c>
      <c r="L4" t="s">
        <v>516</v>
      </c>
      <c r="M4" s="2">
        <v>610000</v>
      </c>
      <c r="N4" s="2">
        <v>4</v>
      </c>
      <c r="O4" s="2">
        <v>2</v>
      </c>
      <c r="P4" s="2">
        <v>1968</v>
      </c>
      <c r="Q4" s="2">
        <v>605100</v>
      </c>
      <c r="R4" s="2">
        <v>2133</v>
      </c>
      <c r="S4" s="2"/>
      <c r="T4" s="2">
        <v>10.52726851851852</v>
      </c>
      <c r="U4" t="s">
        <v>30</v>
      </c>
      <c r="V4" s="2">
        <v>309.95934959349592</v>
      </c>
      <c r="W4" s="2">
        <v>254.16666666666671</v>
      </c>
      <c r="X4" s="2">
        <v>299.91666666666669</v>
      </c>
      <c r="Y4" s="2">
        <v>218.58333333333329</v>
      </c>
      <c r="Z4" s="2">
        <v>2952.1467495334568</v>
      </c>
      <c r="AA4" s="2">
        <v>3470.6467495334568</v>
      </c>
      <c r="AB4">
        <f>(M4&gt;Pivot!$Q$1)*1</f>
        <v>0</v>
      </c>
    </row>
    <row r="5" spans="1:28" x14ac:dyDescent="0.35">
      <c r="A5" t="s">
        <v>376</v>
      </c>
      <c r="B5" t="s">
        <v>19</v>
      </c>
      <c r="C5" t="s">
        <v>20</v>
      </c>
      <c r="D5" t="s">
        <v>20</v>
      </c>
      <c r="E5" t="s">
        <v>26</v>
      </c>
      <c r="F5" t="s">
        <v>377</v>
      </c>
      <c r="G5" t="s">
        <v>48</v>
      </c>
      <c r="H5" t="s">
        <v>28</v>
      </c>
      <c r="I5" t="s">
        <v>25</v>
      </c>
      <c r="J5">
        <v>40.698459999999997</v>
      </c>
      <c r="K5">
        <v>-111.87179</v>
      </c>
      <c r="L5" t="s">
        <v>378</v>
      </c>
      <c r="M5" s="2">
        <v>615000</v>
      </c>
      <c r="N5" s="2">
        <v>6</v>
      </c>
      <c r="O5" s="2">
        <v>2</v>
      </c>
      <c r="P5" s="2">
        <v>1668</v>
      </c>
      <c r="Q5" s="2">
        <v>606900</v>
      </c>
      <c r="R5" s="2">
        <v>2188</v>
      </c>
      <c r="S5" s="2">
        <v>464600</v>
      </c>
      <c r="T5" s="2">
        <v>108.0657523148148</v>
      </c>
      <c r="U5" t="s">
        <v>30</v>
      </c>
      <c r="V5" s="2">
        <v>368.70503597122303</v>
      </c>
      <c r="W5" s="2">
        <v>170.83333333333329</v>
      </c>
      <c r="X5" s="2">
        <v>302.375</v>
      </c>
      <c r="Y5" s="2">
        <v>220.375</v>
      </c>
      <c r="Z5" s="2">
        <v>2976.3446737099612</v>
      </c>
      <c r="AA5" s="2">
        <v>3499.0946737099612</v>
      </c>
      <c r="AB5">
        <f>(M5&gt;Pivot!$Q$1)*1</f>
        <v>0</v>
      </c>
    </row>
    <row r="6" spans="1:28" x14ac:dyDescent="0.35">
      <c r="A6" t="s">
        <v>517</v>
      </c>
      <c r="B6" t="s">
        <v>19</v>
      </c>
      <c r="C6" t="s">
        <v>20</v>
      </c>
      <c r="D6" t="s">
        <v>20</v>
      </c>
      <c r="E6" t="s">
        <v>26</v>
      </c>
      <c r="F6" t="s">
        <v>518</v>
      </c>
      <c r="G6" t="s">
        <v>48</v>
      </c>
      <c r="H6" t="s">
        <v>24</v>
      </c>
      <c r="I6" t="s">
        <v>25</v>
      </c>
      <c r="J6">
        <v>40.690437000000003</v>
      </c>
      <c r="K6">
        <v>-111.86790999999999</v>
      </c>
      <c r="L6" t="s">
        <v>519</v>
      </c>
      <c r="M6" s="2">
        <v>615000</v>
      </c>
      <c r="N6" s="2">
        <v>4</v>
      </c>
      <c r="O6" s="2">
        <v>2</v>
      </c>
      <c r="P6" s="2">
        <v>1800</v>
      </c>
      <c r="Q6" s="2">
        <v>608100</v>
      </c>
      <c r="R6" s="2">
        <v>1960</v>
      </c>
      <c r="S6" s="2">
        <v>471700</v>
      </c>
      <c r="T6" s="2">
        <v>24.064629629629628</v>
      </c>
      <c r="U6" t="s">
        <v>30</v>
      </c>
      <c r="V6" s="2">
        <v>341.66666666666669</v>
      </c>
      <c r="W6" s="2">
        <v>256.25</v>
      </c>
      <c r="X6" s="2">
        <v>302.375</v>
      </c>
      <c r="Y6" s="2">
        <v>220.375</v>
      </c>
      <c r="Z6" s="2">
        <v>2976.3446737099612</v>
      </c>
      <c r="AA6" s="2">
        <v>3499.0946737099612</v>
      </c>
      <c r="AB6">
        <f>(M6&gt;Pivot!$Q$1)*1</f>
        <v>0</v>
      </c>
    </row>
    <row r="7" spans="1:28" x14ac:dyDescent="0.35">
      <c r="A7" t="s">
        <v>419</v>
      </c>
      <c r="B7" t="s">
        <v>19</v>
      </c>
      <c r="C7" t="s">
        <v>20</v>
      </c>
      <c r="D7" t="s">
        <v>20</v>
      </c>
      <c r="E7" t="s">
        <v>26</v>
      </c>
      <c r="F7" t="s">
        <v>420</v>
      </c>
      <c r="G7" t="s">
        <v>421</v>
      </c>
      <c r="H7" t="s">
        <v>30</v>
      </c>
      <c r="I7" t="s">
        <v>25</v>
      </c>
      <c r="J7">
        <v>40.675710000000002</v>
      </c>
      <c r="K7">
        <v>-111.87102</v>
      </c>
      <c r="L7" t="s">
        <v>422</v>
      </c>
      <c r="M7" s="2">
        <v>657000</v>
      </c>
      <c r="N7" s="2">
        <v>4</v>
      </c>
      <c r="O7" s="2">
        <v>3</v>
      </c>
      <c r="P7" s="2">
        <v>2048</v>
      </c>
      <c r="Q7" s="2">
        <v>656000</v>
      </c>
      <c r="R7" s="2">
        <v>2560</v>
      </c>
      <c r="S7" s="2">
        <v>439200</v>
      </c>
      <c r="T7" s="2">
        <v>96.759710648148143</v>
      </c>
      <c r="U7" t="s">
        <v>30</v>
      </c>
      <c r="V7" s="2">
        <v>320.80078125</v>
      </c>
      <c r="W7" s="2">
        <v>273.75</v>
      </c>
      <c r="X7" s="2">
        <v>323.02499999999998</v>
      </c>
      <c r="Y7" s="2">
        <v>235.42500000000001</v>
      </c>
      <c r="Z7" s="2">
        <v>3179.6072367925922</v>
      </c>
      <c r="AA7" s="2">
        <v>3738.057236792592</v>
      </c>
      <c r="AB7">
        <f>(M7&gt;Pivot!$Q$1)*1</f>
        <v>1</v>
      </c>
    </row>
    <row r="8" spans="1:28" x14ac:dyDescent="0.35">
      <c r="A8" t="s">
        <v>297</v>
      </c>
      <c r="B8" t="s">
        <v>19</v>
      </c>
      <c r="C8" t="s">
        <v>20</v>
      </c>
      <c r="D8" t="s">
        <v>20</v>
      </c>
      <c r="E8" t="s">
        <v>26</v>
      </c>
      <c r="F8" t="s">
        <v>298</v>
      </c>
      <c r="G8" t="s">
        <v>34</v>
      </c>
      <c r="H8" t="s">
        <v>24</v>
      </c>
      <c r="I8" t="s">
        <v>25</v>
      </c>
      <c r="J8">
        <v>40.664496999999997</v>
      </c>
      <c r="K8">
        <v>-111.85357</v>
      </c>
      <c r="L8" t="s">
        <v>299</v>
      </c>
      <c r="M8" s="2">
        <v>950000</v>
      </c>
      <c r="N8" s="2">
        <v>4</v>
      </c>
      <c r="O8" s="2">
        <v>4</v>
      </c>
      <c r="P8" s="2">
        <v>3423</v>
      </c>
      <c r="Q8" s="2">
        <v>935000</v>
      </c>
      <c r="R8" s="2">
        <v>2785</v>
      </c>
      <c r="S8" s="2">
        <v>1001800</v>
      </c>
      <c r="T8" s="2">
        <v>143.06533564814811</v>
      </c>
      <c r="U8" t="s">
        <v>30</v>
      </c>
      <c r="V8" s="2">
        <v>277.53432661408118</v>
      </c>
      <c r="W8" s="2">
        <v>395.83333333333331</v>
      </c>
      <c r="X8" s="2">
        <v>467.08333333333331</v>
      </c>
      <c r="Y8" s="2">
        <v>340.41666666666669</v>
      </c>
      <c r="Z8" s="2">
        <v>4597.6055935357108</v>
      </c>
      <c r="AA8" s="2">
        <v>5405.1055935357108</v>
      </c>
      <c r="AB8">
        <f>(M8&gt;Pivot!$Q$1)*1</f>
        <v>1</v>
      </c>
    </row>
    <row r="9" spans="1:28" x14ac:dyDescent="0.35">
      <c r="A9" t="s">
        <v>520</v>
      </c>
      <c r="B9" t="s">
        <v>19</v>
      </c>
      <c r="C9" t="s">
        <v>20</v>
      </c>
      <c r="D9" t="s">
        <v>20</v>
      </c>
      <c r="E9" t="s">
        <v>26</v>
      </c>
      <c r="F9" t="s">
        <v>521</v>
      </c>
      <c r="G9" t="s">
        <v>48</v>
      </c>
      <c r="H9" t="s">
        <v>28</v>
      </c>
      <c r="I9" t="s">
        <v>25</v>
      </c>
      <c r="J9">
        <v>40.698129999999999</v>
      </c>
      <c r="K9">
        <v>-111.87179</v>
      </c>
      <c r="L9" t="s">
        <v>522</v>
      </c>
      <c r="M9" s="2">
        <v>720000</v>
      </c>
      <c r="N9" s="2">
        <v>4</v>
      </c>
      <c r="O9" s="2">
        <v>4</v>
      </c>
      <c r="P9" s="2">
        <v>2200</v>
      </c>
      <c r="Q9" s="2">
        <v>708200</v>
      </c>
      <c r="R9" s="2">
        <v>2013</v>
      </c>
      <c r="S9" s="2">
        <v>555600</v>
      </c>
      <c r="T9" s="2">
        <v>13.064004629629631</v>
      </c>
      <c r="U9" t="s">
        <v>30</v>
      </c>
      <c r="V9" s="2">
        <v>327.27272727272731</v>
      </c>
      <c r="W9" s="2">
        <v>300</v>
      </c>
      <c r="X9" s="2">
        <v>354</v>
      </c>
      <c r="Y9" s="2">
        <v>258</v>
      </c>
      <c r="Z9" s="2">
        <v>3484.5010814165389</v>
      </c>
      <c r="AA9" s="2">
        <v>4096.5010814165389</v>
      </c>
      <c r="AB9">
        <f>(M9&gt;Pivot!$Q$1)*1</f>
        <v>1</v>
      </c>
    </row>
    <row r="10" spans="1:28" x14ac:dyDescent="0.35">
      <c r="A10" t="s">
        <v>379</v>
      </c>
      <c r="B10" t="s">
        <v>19</v>
      </c>
      <c r="C10" t="s">
        <v>20</v>
      </c>
      <c r="D10" t="s">
        <v>20</v>
      </c>
      <c r="E10" t="s">
        <v>26</v>
      </c>
      <c r="F10" t="s">
        <v>380</v>
      </c>
      <c r="G10" t="s">
        <v>35</v>
      </c>
      <c r="H10" t="s">
        <v>24</v>
      </c>
      <c r="I10" t="s">
        <v>25</v>
      </c>
      <c r="J10">
        <v>40.675020000000004</v>
      </c>
      <c r="K10">
        <v>-111.85489</v>
      </c>
      <c r="L10" t="s">
        <v>381</v>
      </c>
      <c r="M10" s="2">
        <v>629900</v>
      </c>
      <c r="N10" s="2">
        <v>2</v>
      </c>
      <c r="O10" s="2">
        <v>3</v>
      </c>
      <c r="P10" s="2">
        <v>2600</v>
      </c>
      <c r="Q10" s="2">
        <v>624500</v>
      </c>
      <c r="R10" s="2">
        <v>2019</v>
      </c>
      <c r="S10" s="2"/>
      <c r="T10" s="2">
        <v>112.064537037037</v>
      </c>
      <c r="U10" t="s">
        <v>30</v>
      </c>
      <c r="V10" s="2">
        <v>242.2692307692308</v>
      </c>
      <c r="W10" s="2">
        <v>524.91666666666663</v>
      </c>
      <c r="X10" s="2">
        <v>309.70083333333332</v>
      </c>
      <c r="Y10" s="2">
        <v>225.7141666666667</v>
      </c>
      <c r="Z10" s="2">
        <v>3048.454487755941</v>
      </c>
      <c r="AA10" s="2">
        <v>3583.869487755941</v>
      </c>
      <c r="AB10">
        <f>(M10&gt;Pivot!$Q$1)*1</f>
        <v>0</v>
      </c>
    </row>
    <row r="11" spans="1:28" x14ac:dyDescent="0.35">
      <c r="A11" t="s">
        <v>523</v>
      </c>
      <c r="B11" t="s">
        <v>19</v>
      </c>
      <c r="C11" t="s">
        <v>20</v>
      </c>
      <c r="D11" t="s">
        <v>20</v>
      </c>
      <c r="E11" t="s">
        <v>26</v>
      </c>
      <c r="F11" t="s">
        <v>524</v>
      </c>
      <c r="G11" t="s">
        <v>34</v>
      </c>
      <c r="H11" t="s">
        <v>525</v>
      </c>
      <c r="I11" t="s">
        <v>25</v>
      </c>
      <c r="J11">
        <v>40.661749999999998</v>
      </c>
      <c r="K11">
        <v>-111.83512</v>
      </c>
      <c r="L11" t="s">
        <v>526</v>
      </c>
      <c r="M11" s="2">
        <v>774900</v>
      </c>
      <c r="N11" s="2">
        <v>3</v>
      </c>
      <c r="O11" s="2">
        <v>3</v>
      </c>
      <c r="P11" s="2">
        <v>1870</v>
      </c>
      <c r="Q11" s="2">
        <v>772000</v>
      </c>
      <c r="R11" s="2"/>
      <c r="S11" s="2"/>
      <c r="T11" s="2">
        <v>24.06420138888889</v>
      </c>
      <c r="U11" t="s">
        <v>30</v>
      </c>
      <c r="V11" s="2">
        <v>414.38502673796791</v>
      </c>
      <c r="W11" s="2">
        <v>430.5</v>
      </c>
      <c r="X11" s="2">
        <v>380.99250000000001</v>
      </c>
      <c r="Y11" s="2">
        <v>277.67250000000001</v>
      </c>
      <c r="Z11" s="2">
        <v>3750.1942888745498</v>
      </c>
      <c r="AA11" s="2">
        <v>4408.8592888745497</v>
      </c>
      <c r="AB11">
        <f>(M11&gt;Pivot!$Q$1)*1</f>
        <v>1</v>
      </c>
    </row>
    <row r="12" spans="1:28" x14ac:dyDescent="0.35">
      <c r="A12" t="s">
        <v>527</v>
      </c>
      <c r="B12" t="s">
        <v>19</v>
      </c>
      <c r="C12" t="s">
        <v>20</v>
      </c>
      <c r="D12" t="s">
        <v>20</v>
      </c>
      <c r="E12" t="s">
        <v>26</v>
      </c>
      <c r="F12" t="s">
        <v>528</v>
      </c>
      <c r="G12" t="s">
        <v>48</v>
      </c>
      <c r="H12" t="s">
        <v>24</v>
      </c>
      <c r="I12" t="s">
        <v>25</v>
      </c>
      <c r="J12">
        <v>40.69294</v>
      </c>
      <c r="K12">
        <v>-111.86499999999999</v>
      </c>
      <c r="L12" t="s">
        <v>529</v>
      </c>
      <c r="M12" s="2">
        <v>1800000</v>
      </c>
      <c r="N12" s="2">
        <v>16</v>
      </c>
      <c r="O12" s="2">
        <v>8</v>
      </c>
      <c r="P12" s="2">
        <v>6032</v>
      </c>
      <c r="Q12" s="2">
        <v>1698000</v>
      </c>
      <c r="R12" s="2">
        <v>1798</v>
      </c>
      <c r="S12" s="2"/>
      <c r="T12" s="2">
        <v>26.064178240740741</v>
      </c>
      <c r="U12" t="s">
        <v>30</v>
      </c>
      <c r="V12" s="2">
        <v>298.40848806366051</v>
      </c>
      <c r="W12" s="2">
        <v>187.5</v>
      </c>
      <c r="X12" s="2">
        <v>885</v>
      </c>
      <c r="Y12" s="2">
        <v>645</v>
      </c>
      <c r="Z12" s="2">
        <v>8711.2527035413477</v>
      </c>
      <c r="AA12" s="2">
        <v>10241.25270354135</v>
      </c>
      <c r="AB12">
        <f>(M12&gt;Pivot!$Q$1)*1</f>
        <v>1</v>
      </c>
    </row>
    <row r="13" spans="1:28" x14ac:dyDescent="0.35">
      <c r="A13" t="s">
        <v>300</v>
      </c>
      <c r="B13" t="s">
        <v>19</v>
      </c>
      <c r="C13" t="s">
        <v>20</v>
      </c>
      <c r="D13" t="s">
        <v>20</v>
      </c>
      <c r="E13" t="s">
        <v>26</v>
      </c>
      <c r="F13" t="s">
        <v>301</v>
      </c>
      <c r="G13" t="s">
        <v>48</v>
      </c>
      <c r="H13" t="s">
        <v>30</v>
      </c>
      <c r="I13" t="s">
        <v>25</v>
      </c>
      <c r="J13">
        <v>40.697069999999997</v>
      </c>
      <c r="K13">
        <v>-111.86984</v>
      </c>
      <c r="L13" t="s">
        <v>302</v>
      </c>
      <c r="M13" s="2">
        <v>1890000</v>
      </c>
      <c r="N13" s="2">
        <v>13</v>
      </c>
      <c r="O13" s="2">
        <v>9</v>
      </c>
      <c r="P13" s="2">
        <v>7220</v>
      </c>
      <c r="Q13" s="2"/>
      <c r="R13" s="2">
        <v>1761</v>
      </c>
      <c r="S13" s="2">
        <v>432800</v>
      </c>
      <c r="T13" s="2">
        <v>177.0656944444444</v>
      </c>
      <c r="U13" t="s">
        <v>30</v>
      </c>
      <c r="V13" s="2">
        <v>261.77285318559558</v>
      </c>
      <c r="W13" s="2">
        <v>242.30769230769229</v>
      </c>
      <c r="X13" s="2">
        <v>929.25</v>
      </c>
      <c r="Y13" s="2">
        <v>677.25</v>
      </c>
      <c r="Z13" s="2">
        <v>9146.8153387184138</v>
      </c>
      <c r="AA13" s="2">
        <v>10753.31533871841</v>
      </c>
      <c r="AB13">
        <f>(M13&gt;Pivot!$Q$1)*1</f>
        <v>1</v>
      </c>
    </row>
    <row r="14" spans="1:28" x14ac:dyDescent="0.35">
      <c r="A14" t="s">
        <v>530</v>
      </c>
      <c r="B14" t="s">
        <v>19</v>
      </c>
      <c r="C14" t="s">
        <v>20</v>
      </c>
      <c r="D14" t="s">
        <v>20</v>
      </c>
      <c r="E14" t="s">
        <v>26</v>
      </c>
      <c r="F14" t="s">
        <v>531</v>
      </c>
      <c r="G14" t="s">
        <v>48</v>
      </c>
      <c r="H14" t="s">
        <v>24</v>
      </c>
      <c r="I14" t="s">
        <v>25</v>
      </c>
      <c r="J14">
        <v>40.694369999999999</v>
      </c>
      <c r="K14">
        <v>-111.866356</v>
      </c>
      <c r="L14" t="s">
        <v>532</v>
      </c>
      <c r="M14" s="2">
        <v>1900000</v>
      </c>
      <c r="N14" s="2">
        <v>6</v>
      </c>
      <c r="O14" s="2">
        <v>6</v>
      </c>
      <c r="P14" s="2">
        <v>7073</v>
      </c>
      <c r="Q14" s="2">
        <v>1838700</v>
      </c>
      <c r="R14" s="2">
        <v>3034</v>
      </c>
      <c r="S14" s="2"/>
      <c r="T14" s="2">
        <v>48.065462962962961</v>
      </c>
      <c r="U14" t="s">
        <v>30</v>
      </c>
      <c r="V14" s="2">
        <v>268.6271737593666</v>
      </c>
      <c r="W14" s="2">
        <v>527.77777777777783</v>
      </c>
      <c r="X14" s="2">
        <v>934.16666666666663</v>
      </c>
      <c r="Y14" s="2">
        <v>680.83333333333337</v>
      </c>
      <c r="Z14" s="2">
        <v>9195.2111870714216</v>
      </c>
      <c r="AA14" s="2">
        <v>10810.21118707142</v>
      </c>
      <c r="AB14">
        <f>(M14&gt;Pivot!$Q$1)*1</f>
        <v>1</v>
      </c>
    </row>
    <row r="15" spans="1:28" x14ac:dyDescent="0.35">
      <c r="A15" t="s">
        <v>533</v>
      </c>
      <c r="B15" t="s">
        <v>19</v>
      </c>
      <c r="C15" t="s">
        <v>20</v>
      </c>
      <c r="D15" t="s">
        <v>20</v>
      </c>
      <c r="E15" t="s">
        <v>26</v>
      </c>
      <c r="F15" t="s">
        <v>534</v>
      </c>
      <c r="G15" t="s">
        <v>34</v>
      </c>
      <c r="H15" t="s">
        <v>525</v>
      </c>
      <c r="I15" t="s">
        <v>25</v>
      </c>
      <c r="J15">
        <v>40.661749999999998</v>
      </c>
      <c r="K15">
        <v>-111.83512</v>
      </c>
      <c r="L15" t="s">
        <v>535</v>
      </c>
      <c r="M15" s="2">
        <v>774900</v>
      </c>
      <c r="N15" s="2">
        <v>3</v>
      </c>
      <c r="O15" s="2">
        <v>3</v>
      </c>
      <c r="P15" s="2">
        <v>1870</v>
      </c>
      <c r="Q15" s="2">
        <v>772000</v>
      </c>
      <c r="R15" s="2"/>
      <c r="S15" s="2"/>
      <c r="T15" s="2">
        <v>24.06420138888889</v>
      </c>
      <c r="U15" t="s">
        <v>30</v>
      </c>
      <c r="V15" s="2">
        <v>414.38502673796791</v>
      </c>
      <c r="W15" s="2">
        <v>430.5</v>
      </c>
      <c r="X15" s="2">
        <v>380.99250000000001</v>
      </c>
      <c r="Y15" s="2">
        <v>277.67250000000001</v>
      </c>
      <c r="Z15" s="2">
        <v>3750.1942888745498</v>
      </c>
      <c r="AA15" s="2">
        <v>4408.8592888745497</v>
      </c>
      <c r="AB15">
        <f>(M15&gt;Pivot!$Q$1)*1</f>
        <v>1</v>
      </c>
    </row>
    <row r="16" spans="1:28" x14ac:dyDescent="0.35">
      <c r="A16" t="s">
        <v>536</v>
      </c>
      <c r="B16" t="s">
        <v>19</v>
      </c>
      <c r="C16" t="s">
        <v>20</v>
      </c>
      <c r="D16" t="s">
        <v>20</v>
      </c>
      <c r="E16" t="s">
        <v>26</v>
      </c>
      <c r="F16" t="s">
        <v>537</v>
      </c>
      <c r="G16" t="s">
        <v>36</v>
      </c>
      <c r="H16" t="s">
        <v>24</v>
      </c>
      <c r="I16" t="s">
        <v>25</v>
      </c>
      <c r="J16">
        <v>40.773594000000003</v>
      </c>
      <c r="K16">
        <v>-111.86375</v>
      </c>
      <c r="L16" t="s">
        <v>538</v>
      </c>
      <c r="M16" s="2">
        <v>850000</v>
      </c>
      <c r="N16" s="2">
        <v>5</v>
      </c>
      <c r="O16" s="2">
        <v>3</v>
      </c>
      <c r="P16" s="2">
        <v>2551</v>
      </c>
      <c r="Q16" s="2">
        <v>832800</v>
      </c>
      <c r="R16" s="2">
        <v>2380</v>
      </c>
      <c r="S16" s="2"/>
      <c r="T16" s="2">
        <v>18.063402777777782</v>
      </c>
      <c r="U16" t="s">
        <v>31</v>
      </c>
      <c r="V16" s="2">
        <v>333.20266562132502</v>
      </c>
      <c r="W16" s="2">
        <v>283.33333333333331</v>
      </c>
      <c r="X16" s="2">
        <v>417.91666666666669</v>
      </c>
      <c r="Y16" s="2">
        <v>304.58333333333331</v>
      </c>
      <c r="Z16" s="2">
        <v>4113.647110005636</v>
      </c>
      <c r="AA16" s="2">
        <v>4836.147110005636</v>
      </c>
      <c r="AB16">
        <f>(M16&gt;Pivot!$Q$1)*1</f>
        <v>1</v>
      </c>
    </row>
    <row r="17" spans="1:28" x14ac:dyDescent="0.35">
      <c r="A17" t="s">
        <v>539</v>
      </c>
      <c r="B17" t="s">
        <v>19</v>
      </c>
      <c r="C17" t="s">
        <v>20</v>
      </c>
      <c r="D17" t="s">
        <v>20</v>
      </c>
      <c r="E17" t="s">
        <v>26</v>
      </c>
      <c r="F17" t="s">
        <v>540</v>
      </c>
      <c r="G17" t="s">
        <v>36</v>
      </c>
      <c r="H17" t="s">
        <v>24</v>
      </c>
      <c r="I17" t="s">
        <v>25</v>
      </c>
      <c r="J17">
        <v>40.776490000000003</v>
      </c>
      <c r="K17">
        <v>-111.87108000000001</v>
      </c>
      <c r="L17" t="s">
        <v>541</v>
      </c>
      <c r="M17" s="2">
        <v>1000000</v>
      </c>
      <c r="N17" s="2">
        <v>4</v>
      </c>
      <c r="O17" s="2">
        <v>4</v>
      </c>
      <c r="P17" s="2">
        <v>3468</v>
      </c>
      <c r="Q17" s="2">
        <v>969400</v>
      </c>
      <c r="R17" s="2">
        <v>1758</v>
      </c>
      <c r="S17" s="2">
        <v>1067600</v>
      </c>
      <c r="T17" s="2">
        <v>11.0633912037037</v>
      </c>
      <c r="U17" t="s">
        <v>31</v>
      </c>
      <c r="V17" s="2">
        <v>288.35063437139559</v>
      </c>
      <c r="W17" s="2">
        <v>416.66666666666669</v>
      </c>
      <c r="X17" s="2">
        <v>491.66666666666669</v>
      </c>
      <c r="Y17" s="2">
        <v>358.33333333333331</v>
      </c>
      <c r="Z17" s="2">
        <v>4839.5848353007486</v>
      </c>
      <c r="AA17" s="2">
        <v>5689.5848353007486</v>
      </c>
      <c r="AB17">
        <f>(M17&gt;Pivot!$Q$1)*1</f>
        <v>1</v>
      </c>
    </row>
    <row r="18" spans="1:28" x14ac:dyDescent="0.35">
      <c r="A18" t="s">
        <v>542</v>
      </c>
      <c r="B18" t="s">
        <v>19</v>
      </c>
      <c r="C18" t="s">
        <v>20</v>
      </c>
      <c r="D18" t="s">
        <v>20</v>
      </c>
      <c r="E18" t="s">
        <v>26</v>
      </c>
      <c r="F18" t="s">
        <v>543</v>
      </c>
      <c r="G18" t="s">
        <v>36</v>
      </c>
      <c r="H18" t="s">
        <v>24</v>
      </c>
      <c r="I18" t="s">
        <v>25</v>
      </c>
      <c r="J18">
        <v>40.784202999999998</v>
      </c>
      <c r="K18">
        <v>-111.88693000000001</v>
      </c>
      <c r="L18" t="s">
        <v>544</v>
      </c>
      <c r="M18" s="2">
        <v>899000</v>
      </c>
      <c r="N18" s="2">
        <v>4</v>
      </c>
      <c r="O18" s="2">
        <v>2</v>
      </c>
      <c r="P18" s="2">
        <v>2218</v>
      </c>
      <c r="Q18" s="2">
        <v>878200</v>
      </c>
      <c r="R18" s="2">
        <v>2163</v>
      </c>
      <c r="S18" s="2">
        <v>739700</v>
      </c>
      <c r="T18" s="2">
        <v>44.906087962962957</v>
      </c>
      <c r="U18" t="s">
        <v>31</v>
      </c>
      <c r="V18" s="2">
        <v>405.3201082055906</v>
      </c>
      <c r="W18" s="2">
        <v>374.58333333333331</v>
      </c>
      <c r="X18" s="2">
        <v>442.00833333333333</v>
      </c>
      <c r="Y18" s="2">
        <v>322.14166666666671</v>
      </c>
      <c r="Z18" s="2">
        <v>4350.7867669353727</v>
      </c>
      <c r="AA18" s="2">
        <v>5114.9367669353724</v>
      </c>
      <c r="AB18">
        <f>(M18&gt;Pivot!$Q$1)*1</f>
        <v>1</v>
      </c>
    </row>
    <row r="19" spans="1:28" x14ac:dyDescent="0.35">
      <c r="A19" t="s">
        <v>545</v>
      </c>
      <c r="B19" t="s">
        <v>19</v>
      </c>
      <c r="C19" t="s">
        <v>20</v>
      </c>
      <c r="D19" t="s">
        <v>20</v>
      </c>
      <c r="E19" t="s">
        <v>26</v>
      </c>
      <c r="F19" t="s">
        <v>546</v>
      </c>
      <c r="G19" t="s">
        <v>36</v>
      </c>
      <c r="H19" t="s">
        <v>24</v>
      </c>
      <c r="I19" t="s">
        <v>25</v>
      </c>
      <c r="J19">
        <v>40.77637</v>
      </c>
      <c r="K19">
        <v>-111.8653</v>
      </c>
      <c r="L19" t="s">
        <v>547</v>
      </c>
      <c r="M19" s="2">
        <v>750000</v>
      </c>
      <c r="N19" s="2">
        <v>4</v>
      </c>
      <c r="O19" s="2">
        <v>2</v>
      </c>
      <c r="P19" s="2">
        <v>1360</v>
      </c>
      <c r="Q19" s="2">
        <v>736500</v>
      </c>
      <c r="R19" s="2"/>
      <c r="S19" s="2"/>
      <c r="T19" s="2">
        <v>32.065081018518519</v>
      </c>
      <c r="U19" t="s">
        <v>31</v>
      </c>
      <c r="V19" s="2">
        <v>551.47058823529414</v>
      </c>
      <c r="W19" s="2">
        <v>312.5</v>
      </c>
      <c r="X19" s="2">
        <v>368.75</v>
      </c>
      <c r="Y19" s="2">
        <v>268.75</v>
      </c>
      <c r="Z19" s="2">
        <v>3629.6886264755608</v>
      </c>
      <c r="AA19" s="2">
        <v>4267.1886264755613</v>
      </c>
      <c r="AB19">
        <f>(M19&gt;Pivot!$Q$1)*1</f>
        <v>1</v>
      </c>
    </row>
    <row r="20" spans="1:28" x14ac:dyDescent="0.35">
      <c r="A20" t="s">
        <v>548</v>
      </c>
      <c r="B20" t="s">
        <v>19</v>
      </c>
      <c r="C20" t="s">
        <v>20</v>
      </c>
      <c r="D20" t="s">
        <v>20</v>
      </c>
      <c r="E20" t="s">
        <v>26</v>
      </c>
      <c r="F20" t="s">
        <v>549</v>
      </c>
      <c r="G20" t="s">
        <v>36</v>
      </c>
      <c r="H20" t="s">
        <v>24</v>
      </c>
      <c r="I20" t="s">
        <v>25</v>
      </c>
      <c r="J20">
        <v>40.772033999999998</v>
      </c>
      <c r="K20">
        <v>-111.88472</v>
      </c>
      <c r="L20" t="s">
        <v>550</v>
      </c>
      <c r="M20" s="2">
        <v>6400000</v>
      </c>
      <c r="N20" s="2">
        <v>16</v>
      </c>
      <c r="O20" s="2">
        <v>16</v>
      </c>
      <c r="P20" s="2">
        <v>9104</v>
      </c>
      <c r="Q20" s="2">
        <v>5985700</v>
      </c>
      <c r="R20" s="2"/>
      <c r="S20" s="2"/>
      <c r="T20" s="2">
        <v>19.064409722222219</v>
      </c>
      <c r="U20" t="s">
        <v>31</v>
      </c>
      <c r="V20" s="2">
        <v>702.98769771528998</v>
      </c>
      <c r="W20" s="2">
        <v>666.66666666666663</v>
      </c>
      <c r="X20" s="2">
        <v>3146.666666666667</v>
      </c>
      <c r="Y20" s="2">
        <v>2293.333333333333</v>
      </c>
      <c r="Z20" s="2">
        <v>30973.342945924789</v>
      </c>
      <c r="AA20" s="2">
        <v>36413.342945924793</v>
      </c>
      <c r="AB20">
        <f>(M20&gt;Pivot!$Q$1)*1</f>
        <v>1</v>
      </c>
    </row>
    <row r="21" spans="1:28" x14ac:dyDescent="0.35">
      <c r="A21" t="s">
        <v>551</v>
      </c>
      <c r="B21" t="s">
        <v>19</v>
      </c>
      <c r="C21" t="s">
        <v>20</v>
      </c>
      <c r="D21" t="s">
        <v>20</v>
      </c>
      <c r="E21" t="s">
        <v>26</v>
      </c>
      <c r="F21" t="s">
        <v>552</v>
      </c>
      <c r="G21" t="s">
        <v>36</v>
      </c>
      <c r="H21" t="s">
        <v>24</v>
      </c>
      <c r="I21" t="s">
        <v>25</v>
      </c>
      <c r="J21">
        <v>40.774639999999998</v>
      </c>
      <c r="K21">
        <v>-111.86738</v>
      </c>
      <c r="L21" t="s">
        <v>553</v>
      </c>
      <c r="M21" s="2">
        <v>715000</v>
      </c>
      <c r="N21" s="2">
        <v>3</v>
      </c>
      <c r="O21" s="2">
        <v>4</v>
      </c>
      <c r="P21" s="2">
        <v>2000</v>
      </c>
      <c r="Q21" s="2">
        <v>702000</v>
      </c>
      <c r="R21" s="2"/>
      <c r="S21" s="2"/>
      <c r="T21" s="2">
        <v>28.06444444444444</v>
      </c>
      <c r="U21" t="s">
        <v>31</v>
      </c>
      <c r="V21" s="2">
        <v>357.5</v>
      </c>
      <c r="W21" s="2">
        <v>397.22222222222217</v>
      </c>
      <c r="X21" s="2">
        <v>351.54166666666669</v>
      </c>
      <c r="Y21" s="2">
        <v>256.20833333333331</v>
      </c>
      <c r="Z21" s="2">
        <v>3460.303157240035</v>
      </c>
      <c r="AA21" s="2">
        <v>4068.053157240035</v>
      </c>
      <c r="AB21">
        <f>(M21&gt;Pivot!$Q$1)*1</f>
        <v>1</v>
      </c>
    </row>
    <row r="22" spans="1:28" x14ac:dyDescent="0.35">
      <c r="A22" t="s">
        <v>62</v>
      </c>
      <c r="B22" t="s">
        <v>19</v>
      </c>
      <c r="C22" t="s">
        <v>20</v>
      </c>
      <c r="D22" t="s">
        <v>20</v>
      </c>
      <c r="E22" t="s">
        <v>26</v>
      </c>
      <c r="F22" t="s">
        <v>63</v>
      </c>
      <c r="G22" t="s">
        <v>36</v>
      </c>
      <c r="H22" t="s">
        <v>24</v>
      </c>
      <c r="I22" t="s">
        <v>25</v>
      </c>
      <c r="J22">
        <v>40.774949999999997</v>
      </c>
      <c r="K22">
        <v>-111.88482999999999</v>
      </c>
      <c r="L22" t="s">
        <v>64</v>
      </c>
      <c r="M22" s="2">
        <v>3699000</v>
      </c>
      <c r="N22" s="2">
        <v>30</v>
      </c>
      <c r="O22" s="2">
        <v>22</v>
      </c>
      <c r="P22" s="2">
        <v>14859</v>
      </c>
      <c r="Q22" s="2"/>
      <c r="R22" s="2">
        <v>2222</v>
      </c>
      <c r="S22" s="2">
        <v>624000</v>
      </c>
      <c r="T22" s="2">
        <v>228.06342592592591</v>
      </c>
      <c r="U22" t="s">
        <v>31</v>
      </c>
      <c r="V22" s="2">
        <v>248.94003634161109</v>
      </c>
      <c r="W22" s="2">
        <v>205.5</v>
      </c>
      <c r="X22" s="2">
        <v>1818.675</v>
      </c>
      <c r="Y22" s="2">
        <v>1325.4749999999999</v>
      </c>
      <c r="Z22" s="2">
        <v>17901.62430577747</v>
      </c>
      <c r="AA22" s="2">
        <v>21045.774305777471</v>
      </c>
      <c r="AB22">
        <f>(M22&gt;Pivot!$Q$1)*1</f>
        <v>1</v>
      </c>
    </row>
    <row r="23" spans="1:28" x14ac:dyDescent="0.35">
      <c r="A23" t="s">
        <v>554</v>
      </c>
      <c r="B23" t="s">
        <v>19</v>
      </c>
      <c r="C23" t="s">
        <v>20</v>
      </c>
      <c r="D23" t="s">
        <v>20</v>
      </c>
      <c r="E23" t="s">
        <v>26</v>
      </c>
      <c r="F23" t="s">
        <v>555</v>
      </c>
      <c r="G23" t="s">
        <v>36</v>
      </c>
      <c r="H23" t="s">
        <v>24</v>
      </c>
      <c r="I23" t="s">
        <v>25</v>
      </c>
      <c r="J23">
        <v>40.772033999999998</v>
      </c>
      <c r="K23">
        <v>-111.869225</v>
      </c>
      <c r="L23" t="s">
        <v>556</v>
      </c>
      <c r="M23" s="2">
        <v>1725000</v>
      </c>
      <c r="N23" s="2">
        <v>11</v>
      </c>
      <c r="O23" s="2">
        <v>10</v>
      </c>
      <c r="P23" s="2">
        <v>5287</v>
      </c>
      <c r="Q23" s="2">
        <v>1619400</v>
      </c>
      <c r="R23" s="2">
        <v>1789</v>
      </c>
      <c r="S23" s="2"/>
      <c r="T23" s="2">
        <v>43.065324074074077</v>
      </c>
      <c r="U23" t="s">
        <v>31</v>
      </c>
      <c r="V23" s="2">
        <v>326.2719878948364</v>
      </c>
      <c r="W23" s="2">
        <v>261.36363636363637</v>
      </c>
      <c r="X23" s="2">
        <v>848.125</v>
      </c>
      <c r="Y23" s="2">
        <v>618.125</v>
      </c>
      <c r="Z23" s="2">
        <v>8348.2838408937914</v>
      </c>
      <c r="AA23" s="2">
        <v>9814.5338408937914</v>
      </c>
      <c r="AB23">
        <f>(M23&gt;Pivot!$Q$1)*1</f>
        <v>1</v>
      </c>
    </row>
    <row r="24" spans="1:28" x14ac:dyDescent="0.35">
      <c r="A24" t="s">
        <v>424</v>
      </c>
      <c r="B24" t="s">
        <v>19</v>
      </c>
      <c r="C24" t="s">
        <v>20</v>
      </c>
      <c r="D24" t="s">
        <v>20</v>
      </c>
      <c r="E24" t="s">
        <v>26</v>
      </c>
      <c r="F24" t="s">
        <v>425</v>
      </c>
      <c r="G24" t="s">
        <v>36</v>
      </c>
      <c r="H24" t="s">
        <v>24</v>
      </c>
      <c r="I24" t="s">
        <v>25</v>
      </c>
      <c r="J24">
        <v>40.780506000000003</v>
      </c>
      <c r="K24">
        <v>-111.88079999999999</v>
      </c>
      <c r="L24" t="s">
        <v>426</v>
      </c>
      <c r="M24" s="2">
        <v>1225000</v>
      </c>
      <c r="N24" s="2">
        <v>6</v>
      </c>
      <c r="O24" s="2">
        <v>4</v>
      </c>
      <c r="P24" s="2">
        <v>3820</v>
      </c>
      <c r="Q24" s="2">
        <v>1173700</v>
      </c>
      <c r="R24" s="2">
        <v>3300</v>
      </c>
      <c r="S24" s="2">
        <v>1111100</v>
      </c>
      <c r="T24" s="2">
        <v>67.065659722222222</v>
      </c>
      <c r="U24" t="s">
        <v>31</v>
      </c>
      <c r="V24" s="2">
        <v>320.68062827225128</v>
      </c>
      <c r="W24" s="2">
        <v>340.27777777777783</v>
      </c>
      <c r="X24" s="2">
        <v>602.29166666666663</v>
      </c>
      <c r="Y24" s="2">
        <v>438.95833333333331</v>
      </c>
      <c r="Z24" s="2">
        <v>5928.4914232434176</v>
      </c>
      <c r="AA24" s="2">
        <v>6969.7414232434176</v>
      </c>
      <c r="AB24">
        <f>(M24&gt;Pivot!$Q$1)*1</f>
        <v>1</v>
      </c>
    </row>
    <row r="25" spans="1:28" x14ac:dyDescent="0.35">
      <c r="A25" t="s">
        <v>303</v>
      </c>
      <c r="B25" t="s">
        <v>19</v>
      </c>
      <c r="C25" t="s">
        <v>20</v>
      </c>
      <c r="D25" t="s">
        <v>20</v>
      </c>
      <c r="E25" t="s">
        <v>26</v>
      </c>
      <c r="F25" t="s">
        <v>304</v>
      </c>
      <c r="G25" t="s">
        <v>36</v>
      </c>
      <c r="H25" t="s">
        <v>24</v>
      </c>
      <c r="I25" t="s">
        <v>25</v>
      </c>
      <c r="J25">
        <v>40.771000000000001</v>
      </c>
      <c r="K25">
        <v>-111.875755</v>
      </c>
      <c r="L25" t="s">
        <v>305</v>
      </c>
      <c r="M25" s="2">
        <v>960000</v>
      </c>
      <c r="N25" s="2">
        <v>6</v>
      </c>
      <c r="O25" s="2">
        <v>4</v>
      </c>
      <c r="P25" s="2">
        <v>3600</v>
      </c>
      <c r="Q25" s="2">
        <v>945700</v>
      </c>
      <c r="R25" s="2">
        <v>2096</v>
      </c>
      <c r="S25" s="2">
        <v>733600</v>
      </c>
      <c r="T25" s="2">
        <v>106.06527777777779</v>
      </c>
      <c r="U25" t="s">
        <v>31</v>
      </c>
      <c r="V25" s="2">
        <v>266.66666666666669</v>
      </c>
      <c r="W25" s="2">
        <v>266.66666666666669</v>
      </c>
      <c r="X25" s="2">
        <v>472</v>
      </c>
      <c r="Y25" s="2">
        <v>344</v>
      </c>
      <c r="Z25" s="2">
        <v>4646.0014418887185</v>
      </c>
      <c r="AA25" s="2">
        <v>5462.0014418887185</v>
      </c>
      <c r="AB25">
        <f>(M25&gt;Pivot!$Q$1)*1</f>
        <v>1</v>
      </c>
    </row>
    <row r="26" spans="1:28" x14ac:dyDescent="0.35">
      <c r="A26" t="s">
        <v>75</v>
      </c>
      <c r="B26" t="s">
        <v>19</v>
      </c>
      <c r="C26" t="s">
        <v>20</v>
      </c>
      <c r="D26" t="s">
        <v>20</v>
      </c>
      <c r="E26" t="s">
        <v>26</v>
      </c>
      <c r="F26" t="s">
        <v>76</v>
      </c>
      <c r="G26" t="s">
        <v>37</v>
      </c>
      <c r="H26" t="s">
        <v>24</v>
      </c>
      <c r="I26" t="s">
        <v>25</v>
      </c>
      <c r="J26">
        <v>40.769350000000003</v>
      </c>
      <c r="K26">
        <v>-111.85893</v>
      </c>
      <c r="L26" t="s">
        <v>77</v>
      </c>
      <c r="M26" s="2">
        <v>2750000</v>
      </c>
      <c r="N26" s="2">
        <v>10</v>
      </c>
      <c r="O26" s="2">
        <v>8</v>
      </c>
      <c r="P26" s="2">
        <v>7607</v>
      </c>
      <c r="Q26" s="2"/>
      <c r="R26" s="2"/>
      <c r="S26" s="2"/>
      <c r="T26" s="2">
        <v>222.06342592592591</v>
      </c>
      <c r="U26" t="s">
        <v>31</v>
      </c>
      <c r="V26" s="2">
        <v>361.50913632180891</v>
      </c>
      <c r="W26" s="2">
        <v>458.33333333333331</v>
      </c>
      <c r="X26" s="2">
        <v>1352.083333333333</v>
      </c>
      <c r="Y26" s="2">
        <v>985.41666666666663</v>
      </c>
      <c r="Z26" s="2">
        <v>13308.85829707706</v>
      </c>
      <c r="AA26" s="2">
        <v>15646.35829707706</v>
      </c>
      <c r="AB26">
        <f>(M26&gt;Pivot!$Q$1)*1</f>
        <v>1</v>
      </c>
    </row>
    <row r="27" spans="1:28" x14ac:dyDescent="0.35">
      <c r="A27" t="s">
        <v>382</v>
      </c>
      <c r="B27" t="s">
        <v>19</v>
      </c>
      <c r="C27" t="s">
        <v>20</v>
      </c>
      <c r="D27" t="s">
        <v>20</v>
      </c>
      <c r="E27" t="s">
        <v>26</v>
      </c>
      <c r="F27" t="s">
        <v>383</v>
      </c>
      <c r="G27" t="s">
        <v>36</v>
      </c>
      <c r="H27" t="s">
        <v>24</v>
      </c>
      <c r="I27" t="s">
        <v>25</v>
      </c>
      <c r="J27">
        <v>40.772616999999997</v>
      </c>
      <c r="K27">
        <v>-111.86219</v>
      </c>
      <c r="L27" t="s">
        <v>384</v>
      </c>
      <c r="M27" s="2">
        <v>1175000</v>
      </c>
      <c r="N27" s="2">
        <v>6</v>
      </c>
      <c r="O27" s="2">
        <v>4</v>
      </c>
      <c r="P27" s="2">
        <v>3017</v>
      </c>
      <c r="Q27" s="2">
        <v>1140300</v>
      </c>
      <c r="R27" s="2">
        <v>1302</v>
      </c>
      <c r="S27" s="2">
        <v>852300</v>
      </c>
      <c r="T27" s="2">
        <v>125.0640509259259</v>
      </c>
      <c r="U27" t="s">
        <v>31</v>
      </c>
      <c r="V27" s="2">
        <v>389.45972820682789</v>
      </c>
      <c r="W27" s="2">
        <v>326.38888888888891</v>
      </c>
      <c r="X27" s="2">
        <v>577.70833333333337</v>
      </c>
      <c r="Y27" s="2">
        <v>421.04166666666669</v>
      </c>
      <c r="Z27" s="2">
        <v>5686.5121814783797</v>
      </c>
      <c r="AA27" s="2">
        <v>6685.2621814783797</v>
      </c>
      <c r="AB27">
        <f>(M27&gt;Pivot!$Q$1)*1</f>
        <v>1</v>
      </c>
    </row>
    <row r="28" spans="1:28" x14ac:dyDescent="0.35">
      <c r="A28" t="s">
        <v>557</v>
      </c>
      <c r="B28" t="s">
        <v>19</v>
      </c>
      <c r="C28" t="s">
        <v>20</v>
      </c>
      <c r="D28" t="s">
        <v>20</v>
      </c>
      <c r="E28" t="s">
        <v>26</v>
      </c>
      <c r="F28" t="s">
        <v>558</v>
      </c>
      <c r="G28" t="s">
        <v>36</v>
      </c>
      <c r="H28" t="s">
        <v>24</v>
      </c>
      <c r="I28" t="s">
        <v>25</v>
      </c>
      <c r="J28">
        <v>40.776566000000003</v>
      </c>
      <c r="K28">
        <v>-111.87536</v>
      </c>
      <c r="L28" t="s">
        <v>559</v>
      </c>
      <c r="M28" s="2">
        <v>1100000</v>
      </c>
      <c r="N28" s="2">
        <v>6</v>
      </c>
      <c r="O28" s="2">
        <v>4</v>
      </c>
      <c r="P28" s="2">
        <v>3475</v>
      </c>
      <c r="Q28" s="2">
        <v>1063800</v>
      </c>
      <c r="R28" s="2">
        <v>3341</v>
      </c>
      <c r="S28" s="2">
        <v>656900</v>
      </c>
      <c r="T28" s="2">
        <v>11.0633912037037</v>
      </c>
      <c r="U28" t="s">
        <v>31</v>
      </c>
      <c r="V28" s="2">
        <v>316.54676258992811</v>
      </c>
      <c r="W28" s="2">
        <v>305.55555555555549</v>
      </c>
      <c r="X28" s="2">
        <v>540.83333333333337</v>
      </c>
      <c r="Y28" s="2">
        <v>394.16666666666669</v>
      </c>
      <c r="Z28" s="2">
        <v>5323.5433188308234</v>
      </c>
      <c r="AA28" s="2">
        <v>6258.5433188308234</v>
      </c>
      <c r="AB28">
        <f>(M28&gt;Pivot!$Q$1)*1</f>
        <v>1</v>
      </c>
    </row>
    <row r="29" spans="1:28" x14ac:dyDescent="0.35">
      <c r="A29" t="s">
        <v>430</v>
      </c>
      <c r="B29" t="s">
        <v>19</v>
      </c>
      <c r="C29" t="s">
        <v>20</v>
      </c>
      <c r="D29" t="s">
        <v>20</v>
      </c>
      <c r="E29" t="s">
        <v>26</v>
      </c>
      <c r="F29" t="s">
        <v>431</v>
      </c>
      <c r="G29" t="s">
        <v>36</v>
      </c>
      <c r="H29" t="s">
        <v>24</v>
      </c>
      <c r="I29" t="s">
        <v>25</v>
      </c>
      <c r="J29">
        <v>40.770960000000002</v>
      </c>
      <c r="K29">
        <v>-111.87565600000001</v>
      </c>
      <c r="L29" t="s">
        <v>432</v>
      </c>
      <c r="M29" s="2">
        <v>979000</v>
      </c>
      <c r="N29" s="2"/>
      <c r="O29" s="2">
        <v>0</v>
      </c>
      <c r="P29" s="2">
        <v>3600</v>
      </c>
      <c r="Q29" s="2">
        <v>953100</v>
      </c>
      <c r="R29" s="2">
        <v>1942</v>
      </c>
      <c r="S29" s="2"/>
      <c r="T29" s="2">
        <v>66.086342592592587</v>
      </c>
      <c r="U29" t="s">
        <v>31</v>
      </c>
      <c r="V29" s="2">
        <v>271.94444444444451</v>
      </c>
      <c r="W29" s="2">
        <v>1631.666666666667</v>
      </c>
      <c r="X29" s="2">
        <v>481.34166666666658</v>
      </c>
      <c r="Y29" s="2">
        <v>350.80833333333328</v>
      </c>
      <c r="Z29" s="2">
        <v>4737.9535537594329</v>
      </c>
      <c r="AA29" s="2">
        <v>5570.1035537594335</v>
      </c>
      <c r="AB29">
        <f>(M29&gt;Pivot!$Q$1)*1</f>
        <v>1</v>
      </c>
    </row>
    <row r="30" spans="1:28" x14ac:dyDescent="0.35">
      <c r="A30" t="s">
        <v>427</v>
      </c>
      <c r="B30" t="s">
        <v>19</v>
      </c>
      <c r="C30" t="s">
        <v>20</v>
      </c>
      <c r="D30" t="s">
        <v>20</v>
      </c>
      <c r="E30" t="s">
        <v>26</v>
      </c>
      <c r="F30" t="s">
        <v>428</v>
      </c>
      <c r="G30" t="s">
        <v>36</v>
      </c>
      <c r="H30" t="s">
        <v>24</v>
      </c>
      <c r="I30" t="s">
        <v>25</v>
      </c>
      <c r="J30">
        <v>40.779803999999999</v>
      </c>
      <c r="K30">
        <v>-111.89279999999999</v>
      </c>
      <c r="L30" t="s">
        <v>429</v>
      </c>
      <c r="M30" s="2">
        <v>2192000</v>
      </c>
      <c r="N30" s="2">
        <v>16</v>
      </c>
      <c r="O30" s="2">
        <v>8</v>
      </c>
      <c r="P30" s="2">
        <v>7000</v>
      </c>
      <c r="Q30" s="2">
        <v>2009300</v>
      </c>
      <c r="R30" s="2">
        <v>2552</v>
      </c>
      <c r="S30" s="2"/>
      <c r="T30" s="2">
        <v>71.84600694444444</v>
      </c>
      <c r="U30" t="s">
        <v>31</v>
      </c>
      <c r="V30" s="2">
        <v>313.14285714285722</v>
      </c>
      <c r="W30" s="2">
        <v>228.33333333333329</v>
      </c>
      <c r="X30" s="2">
        <v>1077.7333333333329</v>
      </c>
      <c r="Y30" s="2">
        <v>785.4666666666667</v>
      </c>
      <c r="Z30" s="2">
        <v>10608.36995897924</v>
      </c>
      <c r="AA30" s="2">
        <v>12471.56995897924</v>
      </c>
      <c r="AB30">
        <f>(M30&gt;Pivot!$Q$1)*1</f>
        <v>1</v>
      </c>
    </row>
    <row r="31" spans="1:28" x14ac:dyDescent="0.35">
      <c r="A31" t="s">
        <v>65</v>
      </c>
      <c r="B31" t="s">
        <v>19</v>
      </c>
      <c r="C31" t="s">
        <v>20</v>
      </c>
      <c r="D31" t="s">
        <v>20</v>
      </c>
      <c r="E31" t="s">
        <v>26</v>
      </c>
      <c r="F31" t="s">
        <v>66</v>
      </c>
      <c r="G31" t="s">
        <v>36</v>
      </c>
      <c r="H31" t="s">
        <v>24</v>
      </c>
      <c r="I31" t="s">
        <v>25</v>
      </c>
      <c r="J31">
        <v>40.771355</v>
      </c>
      <c r="K31">
        <v>-111.88500999999999</v>
      </c>
      <c r="L31" t="s">
        <v>67</v>
      </c>
      <c r="M31" s="2">
        <v>4795000</v>
      </c>
      <c r="N31" s="2">
        <v>28</v>
      </c>
      <c r="O31" s="2">
        <v>21</v>
      </c>
      <c r="P31" s="2">
        <v>14850</v>
      </c>
      <c r="Q31" s="2"/>
      <c r="R31" s="2"/>
      <c r="S31" s="2"/>
      <c r="T31" s="2">
        <v>233.06461805555551</v>
      </c>
      <c r="U31" t="s">
        <v>31</v>
      </c>
      <c r="V31" s="2">
        <v>322.89562289562292</v>
      </c>
      <c r="W31" s="2">
        <v>285.41666666666669</v>
      </c>
      <c r="X31" s="2">
        <v>2357.541666666667</v>
      </c>
      <c r="Y31" s="2">
        <v>1718.208333333333</v>
      </c>
      <c r="Z31" s="2">
        <v>23205.809285267089</v>
      </c>
      <c r="AA31" s="2">
        <v>27281.559285267089</v>
      </c>
      <c r="AB31">
        <f>(M31&gt;Pivot!$Q$1)*1</f>
        <v>1</v>
      </c>
    </row>
    <row r="32" spans="1:28" x14ac:dyDescent="0.35">
      <c r="A32" t="s">
        <v>560</v>
      </c>
      <c r="B32" t="s">
        <v>19</v>
      </c>
      <c r="C32" t="s">
        <v>20</v>
      </c>
      <c r="D32" t="s">
        <v>20</v>
      </c>
      <c r="E32" t="s">
        <v>26</v>
      </c>
      <c r="F32" t="s">
        <v>561</v>
      </c>
      <c r="G32" t="s">
        <v>36</v>
      </c>
      <c r="H32" t="s">
        <v>24</v>
      </c>
      <c r="I32" t="s">
        <v>25</v>
      </c>
      <c r="J32">
        <v>40.784846999999999</v>
      </c>
      <c r="K32">
        <v>-111.89469</v>
      </c>
      <c r="L32" t="s">
        <v>562</v>
      </c>
      <c r="M32" s="2">
        <v>645000</v>
      </c>
      <c r="N32" s="2">
        <v>2</v>
      </c>
      <c r="O32" s="2">
        <v>2</v>
      </c>
      <c r="P32" s="2">
        <v>1367</v>
      </c>
      <c r="Q32" s="2">
        <v>628600</v>
      </c>
      <c r="R32" s="2">
        <v>2546</v>
      </c>
      <c r="S32" s="2"/>
      <c r="T32" s="2">
        <v>3.134282407407408</v>
      </c>
      <c r="U32" t="s">
        <v>24</v>
      </c>
      <c r="V32" s="2">
        <v>471.83613752743241</v>
      </c>
      <c r="W32" s="2">
        <v>537.5</v>
      </c>
      <c r="X32" s="2">
        <v>317.125</v>
      </c>
      <c r="Y32" s="2">
        <v>231.125</v>
      </c>
      <c r="Z32" s="2">
        <v>3121.5322187689831</v>
      </c>
      <c r="AA32" s="2">
        <v>3669.7822187689831</v>
      </c>
      <c r="AB32">
        <f>(M32&gt;Pivot!$Q$1)*1</f>
        <v>0</v>
      </c>
    </row>
    <row r="33" spans="1:28" x14ac:dyDescent="0.35">
      <c r="A33" t="s">
        <v>388</v>
      </c>
      <c r="B33" t="s">
        <v>19</v>
      </c>
      <c r="C33" t="s">
        <v>20</v>
      </c>
      <c r="D33" t="s">
        <v>20</v>
      </c>
      <c r="E33" t="s">
        <v>26</v>
      </c>
      <c r="F33" t="s">
        <v>389</v>
      </c>
      <c r="G33" t="s">
        <v>37</v>
      </c>
      <c r="H33" t="s">
        <v>24</v>
      </c>
      <c r="I33" t="s">
        <v>25</v>
      </c>
      <c r="J33">
        <v>40.761184999999998</v>
      </c>
      <c r="K33">
        <v>-111.85792499999999</v>
      </c>
      <c r="L33" t="s">
        <v>390</v>
      </c>
      <c r="M33" s="2">
        <v>879000</v>
      </c>
      <c r="N33" s="2">
        <v>6</v>
      </c>
      <c r="O33" s="2">
        <v>5</v>
      </c>
      <c r="P33" s="2">
        <v>3072</v>
      </c>
      <c r="Q33" s="2">
        <v>847400</v>
      </c>
      <c r="R33" s="2">
        <v>3100</v>
      </c>
      <c r="S33" s="2">
        <v>846400</v>
      </c>
      <c r="T33" s="2">
        <v>106.8586458333333</v>
      </c>
      <c r="U33" t="s">
        <v>24</v>
      </c>
      <c r="V33" s="2">
        <v>286.1328125</v>
      </c>
      <c r="W33" s="2">
        <v>244.16666666666671</v>
      </c>
      <c r="X33" s="2">
        <v>432.17500000000001</v>
      </c>
      <c r="Y33" s="2">
        <v>314.97500000000002</v>
      </c>
      <c r="Z33" s="2">
        <v>4253.9950702293581</v>
      </c>
      <c r="AA33" s="2">
        <v>5001.1450702293578</v>
      </c>
      <c r="AB33">
        <f>(M33&gt;Pivot!$Q$1)*1</f>
        <v>1</v>
      </c>
    </row>
    <row r="34" spans="1:28" x14ac:dyDescent="0.35">
      <c r="A34" t="s">
        <v>563</v>
      </c>
      <c r="B34" t="s">
        <v>19</v>
      </c>
      <c r="C34" t="s">
        <v>20</v>
      </c>
      <c r="D34" t="s">
        <v>20</v>
      </c>
      <c r="E34" t="s">
        <v>26</v>
      </c>
      <c r="F34" t="s">
        <v>564</v>
      </c>
      <c r="G34" t="s">
        <v>38</v>
      </c>
      <c r="H34" t="s">
        <v>24</v>
      </c>
      <c r="I34" t="s">
        <v>25</v>
      </c>
      <c r="J34">
        <v>40.756886000000002</v>
      </c>
      <c r="K34">
        <v>-111.87811000000001</v>
      </c>
      <c r="L34" t="s">
        <v>565</v>
      </c>
      <c r="M34" s="2">
        <v>1200000</v>
      </c>
      <c r="N34" s="2">
        <v>8</v>
      </c>
      <c r="O34" s="2">
        <v>4</v>
      </c>
      <c r="P34" s="2">
        <v>2422</v>
      </c>
      <c r="Q34" s="2">
        <v>1161000</v>
      </c>
      <c r="R34" s="2">
        <v>1529</v>
      </c>
      <c r="S34" s="2">
        <v>1033900</v>
      </c>
      <c r="T34" s="2">
        <v>1.1549652777777779</v>
      </c>
      <c r="U34" t="s">
        <v>24</v>
      </c>
      <c r="V34" s="2">
        <v>495.45829892650698</v>
      </c>
      <c r="W34" s="2">
        <v>250</v>
      </c>
      <c r="X34" s="2">
        <v>590</v>
      </c>
      <c r="Y34" s="2">
        <v>430</v>
      </c>
      <c r="Z34" s="2">
        <v>5807.5018023608991</v>
      </c>
      <c r="AA34" s="2">
        <v>6827.5018023608991</v>
      </c>
      <c r="AB34">
        <f>(M34&gt;Pivot!$Q$1)*1</f>
        <v>1</v>
      </c>
    </row>
    <row r="35" spans="1:28" x14ac:dyDescent="0.35">
      <c r="A35" t="s">
        <v>566</v>
      </c>
      <c r="B35" t="s">
        <v>19</v>
      </c>
      <c r="C35" t="s">
        <v>20</v>
      </c>
      <c r="D35" t="s">
        <v>20</v>
      </c>
      <c r="E35" t="s">
        <v>26</v>
      </c>
      <c r="F35" t="s">
        <v>567</v>
      </c>
      <c r="G35" t="s">
        <v>48</v>
      </c>
      <c r="H35" t="s">
        <v>24</v>
      </c>
      <c r="I35" t="s">
        <v>25</v>
      </c>
      <c r="J35">
        <v>40.717019999999998</v>
      </c>
      <c r="K35">
        <v>-111.839355</v>
      </c>
      <c r="L35" t="s">
        <v>568</v>
      </c>
      <c r="M35" s="2">
        <v>685000</v>
      </c>
      <c r="N35" s="2">
        <v>4</v>
      </c>
      <c r="O35" s="2">
        <v>2</v>
      </c>
      <c r="P35" s="2">
        <v>2466</v>
      </c>
      <c r="Q35" s="2"/>
      <c r="R35" s="2">
        <v>2084</v>
      </c>
      <c r="S35" s="2">
        <v>655400</v>
      </c>
      <c r="T35" s="2">
        <v>9.8127199074074074</v>
      </c>
      <c r="U35" t="s">
        <v>24</v>
      </c>
      <c r="V35" s="2">
        <v>277.77777777777783</v>
      </c>
      <c r="W35" s="2">
        <v>285.41666666666669</v>
      </c>
      <c r="X35" s="2">
        <v>336.79166666666669</v>
      </c>
      <c r="Y35" s="2">
        <v>245.45833333333329</v>
      </c>
      <c r="Z35" s="2">
        <v>3315.1156121810131</v>
      </c>
      <c r="AA35" s="2">
        <v>3897.3656121810131</v>
      </c>
      <c r="AB35">
        <f>(M35&gt;Pivot!$Q$1)*1</f>
        <v>1</v>
      </c>
    </row>
    <row r="36" spans="1:28" x14ac:dyDescent="0.35">
      <c r="A36" t="s">
        <v>569</v>
      </c>
      <c r="B36" t="s">
        <v>19</v>
      </c>
      <c r="C36" t="s">
        <v>20</v>
      </c>
      <c r="D36" t="s">
        <v>20</v>
      </c>
      <c r="E36" t="s">
        <v>26</v>
      </c>
      <c r="F36" t="s">
        <v>570</v>
      </c>
      <c r="G36" t="s">
        <v>37</v>
      </c>
      <c r="H36" t="s">
        <v>24</v>
      </c>
      <c r="I36" t="s">
        <v>25</v>
      </c>
      <c r="J36">
        <v>40.758113999999999</v>
      </c>
      <c r="K36">
        <v>-111.85791999999999</v>
      </c>
      <c r="L36" t="s">
        <v>571</v>
      </c>
      <c r="M36" s="2">
        <v>1100000</v>
      </c>
      <c r="N36" s="2">
        <v>5</v>
      </c>
      <c r="O36" s="2">
        <v>5</v>
      </c>
      <c r="P36" s="2">
        <v>2921</v>
      </c>
      <c r="Q36" s="2">
        <v>1056500</v>
      </c>
      <c r="R36" s="2">
        <v>1961</v>
      </c>
      <c r="S36" s="2"/>
      <c r="T36" s="2">
        <v>20.063437499999999</v>
      </c>
      <c r="U36" t="s">
        <v>24</v>
      </c>
      <c r="V36" s="2">
        <v>376.58336186237591</v>
      </c>
      <c r="W36" s="2">
        <v>366.66666666666669</v>
      </c>
      <c r="X36" s="2">
        <v>540.83333333333337</v>
      </c>
      <c r="Y36" s="2">
        <v>394.16666666666669</v>
      </c>
      <c r="Z36" s="2">
        <v>5323.5433188308234</v>
      </c>
      <c r="AA36" s="2">
        <v>6258.5433188308234</v>
      </c>
      <c r="AB36">
        <f>(M36&gt;Pivot!$Q$1)*1</f>
        <v>1</v>
      </c>
    </row>
    <row r="37" spans="1:28" x14ac:dyDescent="0.35">
      <c r="A37" t="s">
        <v>572</v>
      </c>
      <c r="B37" t="s">
        <v>19</v>
      </c>
      <c r="C37" t="s">
        <v>20</v>
      </c>
      <c r="D37" t="s">
        <v>20</v>
      </c>
      <c r="E37" t="s">
        <v>26</v>
      </c>
      <c r="F37" t="s">
        <v>573</v>
      </c>
      <c r="G37" t="s">
        <v>43</v>
      </c>
      <c r="H37" t="s">
        <v>24</v>
      </c>
      <c r="I37" t="s">
        <v>25</v>
      </c>
      <c r="J37">
        <v>40.72842</v>
      </c>
      <c r="K37">
        <v>-111.85432</v>
      </c>
      <c r="L37" t="s">
        <v>574</v>
      </c>
      <c r="M37" s="2">
        <v>625000</v>
      </c>
      <c r="N37" s="2">
        <v>3</v>
      </c>
      <c r="O37" s="2">
        <v>2</v>
      </c>
      <c r="P37" s="2">
        <v>1618</v>
      </c>
      <c r="Q37" s="2">
        <v>607000</v>
      </c>
      <c r="R37" s="2">
        <v>2061</v>
      </c>
      <c r="S37" s="2">
        <v>504200</v>
      </c>
      <c r="T37" s="2">
        <v>24.064675925925929</v>
      </c>
      <c r="U37" t="s">
        <v>24</v>
      </c>
      <c r="V37" s="2">
        <v>386.27935723114962</v>
      </c>
      <c r="W37" s="2">
        <v>347.22222222222217</v>
      </c>
      <c r="X37" s="2">
        <v>307.29166666666669</v>
      </c>
      <c r="Y37" s="2">
        <v>223.95833333333329</v>
      </c>
      <c r="Z37" s="2">
        <v>3024.740522062968</v>
      </c>
      <c r="AA37" s="2">
        <v>3555.990522062968</v>
      </c>
      <c r="AB37">
        <f>(M37&gt;Pivot!$Q$1)*1</f>
        <v>0</v>
      </c>
    </row>
    <row r="38" spans="1:28" x14ac:dyDescent="0.35">
      <c r="A38" t="s">
        <v>575</v>
      </c>
      <c r="B38" t="s">
        <v>19</v>
      </c>
      <c r="C38" t="s">
        <v>20</v>
      </c>
      <c r="D38" t="s">
        <v>20</v>
      </c>
      <c r="E38" t="s">
        <v>26</v>
      </c>
      <c r="F38" t="s">
        <v>576</v>
      </c>
      <c r="G38" t="s">
        <v>39</v>
      </c>
      <c r="H38" t="s">
        <v>24</v>
      </c>
      <c r="I38" t="s">
        <v>25</v>
      </c>
      <c r="J38">
        <v>40.728897000000003</v>
      </c>
      <c r="K38">
        <v>-111.89107</v>
      </c>
      <c r="L38" t="s">
        <v>577</v>
      </c>
      <c r="M38" s="2">
        <v>999995</v>
      </c>
      <c r="N38" s="2">
        <v>4</v>
      </c>
      <c r="O38" s="2">
        <v>2</v>
      </c>
      <c r="P38" s="2">
        <v>2748</v>
      </c>
      <c r="Q38" s="2">
        <v>994400</v>
      </c>
      <c r="R38" s="2"/>
      <c r="S38" s="2"/>
      <c r="T38" s="2">
        <v>109.95902777777781</v>
      </c>
      <c r="U38" t="s">
        <v>24</v>
      </c>
      <c r="V38" s="2">
        <v>363.89919941775838</v>
      </c>
      <c r="W38" s="2">
        <v>416.66458333333333</v>
      </c>
      <c r="X38" s="2">
        <v>491.66420833333331</v>
      </c>
      <c r="Y38" s="2">
        <v>358.33154166666668</v>
      </c>
      <c r="Z38" s="2">
        <v>4839.5606373765713</v>
      </c>
      <c r="AA38" s="2">
        <v>5689.5563873765714</v>
      </c>
      <c r="AB38">
        <f>(M38&gt;Pivot!$Q$1)*1</f>
        <v>1</v>
      </c>
    </row>
    <row r="39" spans="1:28" x14ac:dyDescent="0.35">
      <c r="A39" t="s">
        <v>578</v>
      </c>
      <c r="B39" t="s">
        <v>19</v>
      </c>
      <c r="C39" t="s">
        <v>20</v>
      </c>
      <c r="D39" t="s">
        <v>20</v>
      </c>
      <c r="E39" t="s">
        <v>26</v>
      </c>
      <c r="F39" t="s">
        <v>579</v>
      </c>
      <c r="G39" t="s">
        <v>37</v>
      </c>
      <c r="H39" t="s">
        <v>24</v>
      </c>
      <c r="I39" t="s">
        <v>25</v>
      </c>
      <c r="J39">
        <v>40.751860000000001</v>
      </c>
      <c r="K39">
        <v>-111.87447</v>
      </c>
      <c r="L39" t="s">
        <v>580</v>
      </c>
      <c r="M39" s="2">
        <v>659000</v>
      </c>
      <c r="N39" s="2">
        <v>4</v>
      </c>
      <c r="O39" s="2">
        <v>2</v>
      </c>
      <c r="P39" s="2">
        <v>1920</v>
      </c>
      <c r="Q39" s="2">
        <v>648400</v>
      </c>
      <c r="R39" s="2">
        <v>1694</v>
      </c>
      <c r="S39" s="2">
        <v>482900</v>
      </c>
      <c r="T39" s="2">
        <v>21.03253472222222</v>
      </c>
      <c r="U39" t="s">
        <v>24</v>
      </c>
      <c r="V39" s="2">
        <v>343.22916666666669</v>
      </c>
      <c r="W39" s="2">
        <v>274.58333333333331</v>
      </c>
      <c r="X39" s="2">
        <v>324.00833333333333</v>
      </c>
      <c r="Y39" s="2">
        <v>236.14166666666671</v>
      </c>
      <c r="Z39" s="2">
        <v>3189.286406463194</v>
      </c>
      <c r="AA39" s="2">
        <v>3749.4364064631941</v>
      </c>
      <c r="AB39">
        <f>(M39&gt;Pivot!$Q$1)*1</f>
        <v>1</v>
      </c>
    </row>
    <row r="40" spans="1:28" x14ac:dyDescent="0.35">
      <c r="A40" t="s">
        <v>81</v>
      </c>
      <c r="B40" t="s">
        <v>19</v>
      </c>
      <c r="C40" t="s">
        <v>20</v>
      </c>
      <c r="D40" t="s">
        <v>20</v>
      </c>
      <c r="E40" t="s">
        <v>26</v>
      </c>
      <c r="F40" t="s">
        <v>82</v>
      </c>
      <c r="G40" t="s">
        <v>38</v>
      </c>
      <c r="H40" t="s">
        <v>24</v>
      </c>
      <c r="I40" t="s">
        <v>25</v>
      </c>
      <c r="J40">
        <v>40.752197000000002</v>
      </c>
      <c r="K40">
        <v>-111.879265</v>
      </c>
      <c r="L40" t="s">
        <v>83</v>
      </c>
      <c r="M40" s="2">
        <v>550000</v>
      </c>
      <c r="N40" s="2">
        <v>3</v>
      </c>
      <c r="O40" s="2">
        <v>2</v>
      </c>
      <c r="P40" s="2">
        <v>2314</v>
      </c>
      <c r="Q40" s="2">
        <v>547200</v>
      </c>
      <c r="R40" s="2">
        <v>2010</v>
      </c>
      <c r="S40" s="2">
        <v>586700</v>
      </c>
      <c r="T40" s="2">
        <v>200.06400462962961</v>
      </c>
      <c r="U40" t="s">
        <v>24</v>
      </c>
      <c r="V40" s="2">
        <v>237.6836646499568</v>
      </c>
      <c r="W40" s="2">
        <v>305.55555555555549</v>
      </c>
      <c r="X40" s="2">
        <v>270.41666666666669</v>
      </c>
      <c r="Y40" s="2">
        <v>197.08333333333329</v>
      </c>
      <c r="Z40" s="2">
        <v>2661.7716594154122</v>
      </c>
      <c r="AA40" s="2">
        <v>3129.2716594154122</v>
      </c>
      <c r="AB40">
        <f>(M40&gt;Pivot!$Q$1)*1</f>
        <v>0</v>
      </c>
    </row>
    <row r="41" spans="1:28" x14ac:dyDescent="0.35">
      <c r="A41" t="s">
        <v>581</v>
      </c>
      <c r="B41" t="s">
        <v>19</v>
      </c>
      <c r="C41" t="s">
        <v>20</v>
      </c>
      <c r="D41" t="s">
        <v>20</v>
      </c>
      <c r="E41" t="s">
        <v>26</v>
      </c>
      <c r="F41" t="s">
        <v>582</v>
      </c>
      <c r="G41" t="s">
        <v>43</v>
      </c>
      <c r="H41" t="s">
        <v>24</v>
      </c>
      <c r="I41" t="s">
        <v>25</v>
      </c>
      <c r="J41">
        <v>40.734394000000002</v>
      </c>
      <c r="K41">
        <v>-111.87721000000001</v>
      </c>
      <c r="L41" t="s">
        <v>583</v>
      </c>
      <c r="M41" s="2">
        <v>724900</v>
      </c>
      <c r="N41" s="2">
        <v>8</v>
      </c>
      <c r="O41" s="2">
        <v>4</v>
      </c>
      <c r="P41" s="2">
        <v>3000</v>
      </c>
      <c r="Q41" s="2">
        <v>709600</v>
      </c>
      <c r="R41" s="2">
        <v>2193</v>
      </c>
      <c r="S41" s="2">
        <v>648500</v>
      </c>
      <c r="T41" s="2">
        <v>83.06424768518518</v>
      </c>
      <c r="U41" t="s">
        <v>24</v>
      </c>
      <c r="V41" s="2">
        <v>241.6333333333333</v>
      </c>
      <c r="W41" s="2">
        <v>151.02083333333329</v>
      </c>
      <c r="X41" s="2">
        <v>356.40916666666658</v>
      </c>
      <c r="Y41" s="2">
        <v>259.75583333333333</v>
      </c>
      <c r="Z41" s="2">
        <v>3508.2150471095129</v>
      </c>
      <c r="AA41" s="2">
        <v>4124.3800471095128</v>
      </c>
      <c r="AB41">
        <f>(M41&gt;Pivot!$Q$1)*1</f>
        <v>1</v>
      </c>
    </row>
    <row r="42" spans="1:28" x14ac:dyDescent="0.35">
      <c r="A42" t="s">
        <v>584</v>
      </c>
      <c r="B42" t="s">
        <v>19</v>
      </c>
      <c r="C42" t="s">
        <v>20</v>
      </c>
      <c r="D42" t="s">
        <v>20</v>
      </c>
      <c r="E42" t="s">
        <v>26</v>
      </c>
      <c r="F42" t="s">
        <v>585</v>
      </c>
      <c r="G42" t="s">
        <v>37</v>
      </c>
      <c r="H42" t="s">
        <v>24</v>
      </c>
      <c r="I42" t="s">
        <v>25</v>
      </c>
      <c r="J42">
        <v>40.758139999999997</v>
      </c>
      <c r="K42">
        <v>-111.86563</v>
      </c>
      <c r="L42" t="s">
        <v>586</v>
      </c>
      <c r="M42" s="2">
        <v>649000</v>
      </c>
      <c r="N42" s="2">
        <v>8</v>
      </c>
      <c r="O42" s="2">
        <v>9</v>
      </c>
      <c r="P42" s="2">
        <v>5780</v>
      </c>
      <c r="Q42" s="2">
        <v>587600</v>
      </c>
      <c r="R42" s="2">
        <v>2209</v>
      </c>
      <c r="S42" s="2">
        <v>287600</v>
      </c>
      <c r="T42" s="2">
        <v>34.065243055555563</v>
      </c>
      <c r="U42" t="s">
        <v>24</v>
      </c>
      <c r="V42" s="2">
        <v>112.28373702422149</v>
      </c>
      <c r="W42" s="2">
        <v>135.20833333333329</v>
      </c>
      <c r="X42" s="2">
        <v>319.09166666666658</v>
      </c>
      <c r="Y42" s="2">
        <v>232.55833333333331</v>
      </c>
      <c r="Z42" s="2">
        <v>3140.8905581101858</v>
      </c>
      <c r="AA42" s="2">
        <v>3692.5405581101859</v>
      </c>
      <c r="AB42">
        <f>(M42&gt;Pivot!$Q$1)*1</f>
        <v>0</v>
      </c>
    </row>
    <row r="43" spans="1:28" x14ac:dyDescent="0.35">
      <c r="A43" t="s">
        <v>41</v>
      </c>
      <c r="B43" t="s">
        <v>19</v>
      </c>
      <c r="C43" t="s">
        <v>20</v>
      </c>
      <c r="D43" t="s">
        <v>20</v>
      </c>
      <c r="E43" t="s">
        <v>26</v>
      </c>
      <c r="F43" t="s">
        <v>42</v>
      </c>
      <c r="G43" t="s">
        <v>43</v>
      </c>
      <c r="H43" t="s">
        <v>24</v>
      </c>
      <c r="I43" t="s">
        <v>25</v>
      </c>
      <c r="J43">
        <v>40.733234000000003</v>
      </c>
      <c r="K43">
        <v>-111.86441000000001</v>
      </c>
      <c r="L43" t="s">
        <v>44</v>
      </c>
      <c r="M43" s="2">
        <v>1375000</v>
      </c>
      <c r="N43" s="2">
        <v>7</v>
      </c>
      <c r="O43" s="2">
        <v>7</v>
      </c>
      <c r="P43" s="2">
        <v>3110</v>
      </c>
      <c r="Q43" s="2"/>
      <c r="R43" s="2">
        <v>2152</v>
      </c>
      <c r="S43" s="2">
        <v>1092000</v>
      </c>
      <c r="T43" s="2">
        <v>374.06459490740741</v>
      </c>
      <c r="U43" t="s">
        <v>24</v>
      </c>
      <c r="V43" s="2">
        <v>442.12218649517678</v>
      </c>
      <c r="W43" s="2">
        <v>327.38095238095241</v>
      </c>
      <c r="X43" s="2">
        <v>676.04166666666663</v>
      </c>
      <c r="Y43" s="2">
        <v>492.70833333333331</v>
      </c>
      <c r="Z43" s="2">
        <v>6654.4291485385293</v>
      </c>
      <c r="AA43" s="2">
        <v>7823.1791485385293</v>
      </c>
      <c r="AB43">
        <f>(M43&gt;Pivot!$Q$1)*1</f>
        <v>1</v>
      </c>
    </row>
    <row r="44" spans="1:28" x14ac:dyDescent="0.35">
      <c r="A44" t="s">
        <v>587</v>
      </c>
      <c r="B44" t="s">
        <v>19</v>
      </c>
      <c r="C44" t="s">
        <v>20</v>
      </c>
      <c r="D44" t="s">
        <v>20</v>
      </c>
      <c r="E44" t="s">
        <v>26</v>
      </c>
      <c r="F44" t="s">
        <v>588</v>
      </c>
      <c r="G44" t="s">
        <v>36</v>
      </c>
      <c r="H44" t="s">
        <v>24</v>
      </c>
      <c r="I44" t="s">
        <v>25</v>
      </c>
      <c r="J44">
        <v>40.784846999999999</v>
      </c>
      <c r="K44">
        <v>-111.89469</v>
      </c>
      <c r="L44" t="s">
        <v>589</v>
      </c>
      <c r="M44" s="2">
        <v>645000</v>
      </c>
      <c r="N44" s="2"/>
      <c r="O44" s="2"/>
      <c r="P44" s="2">
        <v>1</v>
      </c>
      <c r="Q44" s="2"/>
      <c r="R44" s="2">
        <v>3189</v>
      </c>
      <c r="S44" s="2"/>
      <c r="T44" s="2">
        <v>3.134282407407408</v>
      </c>
      <c r="U44" t="s">
        <v>24</v>
      </c>
      <c r="V44" s="2">
        <v>645000</v>
      </c>
      <c r="W44" s="2">
        <v>1075</v>
      </c>
      <c r="X44" s="2">
        <v>317.125</v>
      </c>
      <c r="Y44" s="2">
        <v>231.125</v>
      </c>
      <c r="Z44" s="2">
        <v>3121.5322187689831</v>
      </c>
      <c r="AA44" s="2">
        <v>3669.7822187689831</v>
      </c>
      <c r="AB44">
        <f>(M44&gt;Pivot!$Q$1)*1</f>
        <v>0</v>
      </c>
    </row>
    <row r="45" spans="1:28" x14ac:dyDescent="0.35">
      <c r="A45" t="s">
        <v>307</v>
      </c>
      <c r="B45" t="s">
        <v>19</v>
      </c>
      <c r="C45" t="s">
        <v>20</v>
      </c>
      <c r="D45" t="s">
        <v>20</v>
      </c>
      <c r="E45" t="s">
        <v>26</v>
      </c>
      <c r="F45" t="s">
        <v>308</v>
      </c>
      <c r="G45" t="s">
        <v>43</v>
      </c>
      <c r="H45" t="s">
        <v>24</v>
      </c>
      <c r="I45" t="s">
        <v>25</v>
      </c>
      <c r="J45">
        <v>40.733333999999999</v>
      </c>
      <c r="K45">
        <v>-111.86573</v>
      </c>
      <c r="L45" t="s">
        <v>309</v>
      </c>
      <c r="M45" s="2">
        <v>10580000</v>
      </c>
      <c r="N45" s="2">
        <v>40</v>
      </c>
      <c r="O45" s="2">
        <v>50</v>
      </c>
      <c r="P45" s="2">
        <v>25000</v>
      </c>
      <c r="Q45" s="2"/>
      <c r="R45" s="2"/>
      <c r="S45" s="2"/>
      <c r="T45" s="2">
        <v>145.06571759259259</v>
      </c>
      <c r="U45" t="s">
        <v>24</v>
      </c>
      <c r="V45" s="2">
        <v>423.2</v>
      </c>
      <c r="W45" s="2">
        <v>440.83333333333331</v>
      </c>
      <c r="X45" s="2">
        <v>5201.833333333333</v>
      </c>
      <c r="Y45" s="2">
        <v>3791.166666666667</v>
      </c>
      <c r="Z45" s="2">
        <v>51202.807557481923</v>
      </c>
      <c r="AA45" s="2">
        <v>60195.807557481923</v>
      </c>
      <c r="AB45">
        <f>(M45&gt;Pivot!$Q$1)*1</f>
        <v>1</v>
      </c>
    </row>
    <row r="46" spans="1:28" x14ac:dyDescent="0.35">
      <c r="A46" t="s">
        <v>590</v>
      </c>
      <c r="B46" t="s">
        <v>19</v>
      </c>
      <c r="C46" t="s">
        <v>20</v>
      </c>
      <c r="D46" t="s">
        <v>20</v>
      </c>
      <c r="E46" t="s">
        <v>26</v>
      </c>
      <c r="F46" t="s">
        <v>591</v>
      </c>
      <c r="G46" t="s">
        <v>46</v>
      </c>
      <c r="H46" t="s">
        <v>24</v>
      </c>
      <c r="I46" t="s">
        <v>25</v>
      </c>
      <c r="J46">
        <v>40.742274999999999</v>
      </c>
      <c r="K46">
        <v>-111.92435999999999</v>
      </c>
      <c r="L46" t="s">
        <v>592</v>
      </c>
      <c r="M46" s="2">
        <v>649900</v>
      </c>
      <c r="N46" s="2">
        <v>8</v>
      </c>
      <c r="O46" s="2">
        <v>4</v>
      </c>
      <c r="P46" s="2">
        <v>3100</v>
      </c>
      <c r="Q46" s="2">
        <v>636400</v>
      </c>
      <c r="R46" s="2">
        <v>1904</v>
      </c>
      <c r="S46" s="2">
        <v>577600</v>
      </c>
      <c r="T46" s="2">
        <v>30.064525462962958</v>
      </c>
      <c r="U46" t="s">
        <v>24</v>
      </c>
      <c r="V46" s="2">
        <v>209.64516129032259</v>
      </c>
      <c r="W46" s="2">
        <v>135.39583333333329</v>
      </c>
      <c r="X46" s="2">
        <v>319.53416666666658</v>
      </c>
      <c r="Y46" s="2">
        <v>232.88083333333341</v>
      </c>
      <c r="Z46" s="2">
        <v>3145.246184461957</v>
      </c>
      <c r="AA46" s="2">
        <v>3697.661184461957</v>
      </c>
      <c r="AB46">
        <f>(M46&gt;Pivot!$Q$1)*1</f>
        <v>0</v>
      </c>
    </row>
    <row r="47" spans="1:28" x14ac:dyDescent="0.35">
      <c r="A47" t="s">
        <v>593</v>
      </c>
      <c r="B47" t="s">
        <v>19</v>
      </c>
      <c r="C47" t="s">
        <v>20</v>
      </c>
      <c r="D47" t="s">
        <v>20</v>
      </c>
      <c r="E47" t="s">
        <v>26</v>
      </c>
      <c r="F47" t="s">
        <v>594</v>
      </c>
      <c r="G47" t="s">
        <v>48</v>
      </c>
      <c r="H47" t="s">
        <v>24</v>
      </c>
      <c r="I47" t="s">
        <v>25</v>
      </c>
      <c r="J47">
        <v>40.716476</v>
      </c>
      <c r="K47">
        <v>-111.83841</v>
      </c>
      <c r="L47" t="s">
        <v>595</v>
      </c>
      <c r="M47" s="2">
        <v>834900</v>
      </c>
      <c r="N47" s="2">
        <v>5</v>
      </c>
      <c r="O47" s="2">
        <v>3</v>
      </c>
      <c r="P47" s="2">
        <v>2628</v>
      </c>
      <c r="Q47" s="2">
        <v>825200</v>
      </c>
      <c r="R47" s="2">
        <v>2393</v>
      </c>
      <c r="S47" s="2">
        <v>595800</v>
      </c>
      <c r="T47" s="2">
        <v>38.537696759259262</v>
      </c>
      <c r="U47" t="s">
        <v>24</v>
      </c>
      <c r="V47" s="2">
        <v>317.69406392694071</v>
      </c>
      <c r="W47" s="2">
        <v>278.3</v>
      </c>
      <c r="X47" s="2">
        <v>410.49250000000001</v>
      </c>
      <c r="Y47" s="2">
        <v>299.17250000000001</v>
      </c>
      <c r="Z47" s="2">
        <v>4040.5693789925949</v>
      </c>
      <c r="AA47" s="2">
        <v>4750.2343789925953</v>
      </c>
      <c r="AB47">
        <f>(M47&gt;Pivot!$Q$1)*1</f>
        <v>1</v>
      </c>
    </row>
    <row r="48" spans="1:28" x14ac:dyDescent="0.35">
      <c r="A48" t="s">
        <v>394</v>
      </c>
      <c r="B48" t="s">
        <v>19</v>
      </c>
      <c r="C48" t="s">
        <v>20</v>
      </c>
      <c r="D48" t="s">
        <v>20</v>
      </c>
      <c r="E48" t="s">
        <v>26</v>
      </c>
      <c r="F48" t="s">
        <v>395</v>
      </c>
      <c r="G48" t="s">
        <v>37</v>
      </c>
      <c r="H48" t="s">
        <v>24</v>
      </c>
      <c r="I48" t="s">
        <v>25</v>
      </c>
      <c r="J48">
        <v>40.752968000000003</v>
      </c>
      <c r="K48">
        <v>-111.873375</v>
      </c>
      <c r="L48" t="s">
        <v>396</v>
      </c>
      <c r="M48" s="2">
        <v>705000</v>
      </c>
      <c r="N48" s="2">
        <v>4</v>
      </c>
      <c r="O48" s="2">
        <v>2</v>
      </c>
      <c r="P48" s="2">
        <v>2626</v>
      </c>
      <c r="Q48" s="2">
        <v>695100</v>
      </c>
      <c r="R48" s="2">
        <v>2125</v>
      </c>
      <c r="S48" s="2">
        <v>486000</v>
      </c>
      <c r="T48" s="2">
        <v>113.0602546296296</v>
      </c>
      <c r="U48" t="s">
        <v>24</v>
      </c>
      <c r="V48" s="2">
        <v>268.46915460776847</v>
      </c>
      <c r="W48" s="2">
        <v>293.75</v>
      </c>
      <c r="X48" s="2">
        <v>346.625</v>
      </c>
      <c r="Y48" s="2">
        <v>252.625</v>
      </c>
      <c r="Z48" s="2">
        <v>3411.9073088870282</v>
      </c>
      <c r="AA48" s="2">
        <v>4011.1573088870282</v>
      </c>
      <c r="AB48">
        <f>(M48&gt;Pivot!$Q$1)*1</f>
        <v>1</v>
      </c>
    </row>
    <row r="49" spans="1:28" x14ac:dyDescent="0.35">
      <c r="A49" t="s">
        <v>433</v>
      </c>
      <c r="B49" t="s">
        <v>19</v>
      </c>
      <c r="C49" t="s">
        <v>20</v>
      </c>
      <c r="D49" t="s">
        <v>20</v>
      </c>
      <c r="E49" t="s">
        <v>26</v>
      </c>
      <c r="F49" t="s">
        <v>434</v>
      </c>
      <c r="G49" t="s">
        <v>40</v>
      </c>
      <c r="H49" t="s">
        <v>24</v>
      </c>
      <c r="I49" t="s">
        <v>25</v>
      </c>
      <c r="J49">
        <v>40.771439999999998</v>
      </c>
      <c r="K49">
        <v>-111.90842000000001</v>
      </c>
      <c r="L49" t="s">
        <v>435</v>
      </c>
      <c r="M49" s="2">
        <v>6750000</v>
      </c>
      <c r="N49" s="2">
        <v>22</v>
      </c>
      <c r="O49" s="2">
        <v>22</v>
      </c>
      <c r="P49" s="2">
        <v>29563</v>
      </c>
      <c r="Q49" s="2">
        <v>6091600</v>
      </c>
      <c r="R49" s="2"/>
      <c r="S49" s="2"/>
      <c r="T49" s="2">
        <v>72.065243055555555</v>
      </c>
      <c r="U49" t="s">
        <v>24</v>
      </c>
      <c r="V49" s="2">
        <v>228.32594797550991</v>
      </c>
      <c r="W49" s="2">
        <v>511.36363636363637</v>
      </c>
      <c r="X49" s="2">
        <v>3318.75</v>
      </c>
      <c r="Y49" s="2">
        <v>2418.75</v>
      </c>
      <c r="Z49" s="2">
        <v>32667.197638280049</v>
      </c>
      <c r="AA49" s="2">
        <v>38404.697638280049</v>
      </c>
      <c r="AB49">
        <f>(M49&gt;Pivot!$Q$1)*1</f>
        <v>1</v>
      </c>
    </row>
    <row r="50" spans="1:28" x14ac:dyDescent="0.35">
      <c r="A50" t="s">
        <v>596</v>
      </c>
      <c r="B50" t="s">
        <v>19</v>
      </c>
      <c r="C50" t="s">
        <v>20</v>
      </c>
      <c r="D50" t="s">
        <v>20</v>
      </c>
      <c r="E50" t="s">
        <v>26</v>
      </c>
      <c r="F50" t="s">
        <v>597</v>
      </c>
      <c r="G50" t="s">
        <v>37</v>
      </c>
      <c r="H50" t="s">
        <v>24</v>
      </c>
      <c r="I50" t="s">
        <v>25</v>
      </c>
      <c r="J50">
        <v>40.75226</v>
      </c>
      <c r="K50">
        <v>-111.876205</v>
      </c>
      <c r="L50" t="s">
        <v>598</v>
      </c>
      <c r="M50" s="2">
        <v>749000</v>
      </c>
      <c r="N50" s="2">
        <v>4</v>
      </c>
      <c r="O50" s="2">
        <v>3</v>
      </c>
      <c r="P50" s="2">
        <v>3324</v>
      </c>
      <c r="Q50" s="2">
        <v>731300</v>
      </c>
      <c r="R50" s="2">
        <v>2725</v>
      </c>
      <c r="S50" s="2">
        <v>659900</v>
      </c>
      <c r="T50" s="2">
        <v>25.07303240740741</v>
      </c>
      <c r="U50" t="s">
        <v>24</v>
      </c>
      <c r="V50" s="2">
        <v>225.3309265944645</v>
      </c>
      <c r="W50" s="2">
        <v>312.08333333333331</v>
      </c>
      <c r="X50" s="2">
        <v>368.25833333333333</v>
      </c>
      <c r="Y50" s="2">
        <v>268.39166666666671</v>
      </c>
      <c r="Z50" s="2">
        <v>3624.849041640261</v>
      </c>
      <c r="AA50" s="2">
        <v>4261.4990416402607</v>
      </c>
      <c r="AB50">
        <f>(M50&gt;Pivot!$Q$1)*1</f>
        <v>1</v>
      </c>
    </row>
    <row r="51" spans="1:28" x14ac:dyDescent="0.35">
      <c r="A51" t="s">
        <v>445</v>
      </c>
      <c r="B51" t="s">
        <v>19</v>
      </c>
      <c r="C51" t="s">
        <v>20</v>
      </c>
      <c r="D51" t="s">
        <v>20</v>
      </c>
      <c r="E51" t="s">
        <v>26</v>
      </c>
      <c r="F51" t="s">
        <v>446</v>
      </c>
      <c r="G51" t="s">
        <v>37</v>
      </c>
      <c r="H51" t="s">
        <v>24</v>
      </c>
      <c r="I51" t="s">
        <v>25</v>
      </c>
      <c r="J51">
        <v>40.753647000000001</v>
      </c>
      <c r="K51">
        <v>-111.87439000000001</v>
      </c>
      <c r="L51" t="s">
        <v>447</v>
      </c>
      <c r="M51" s="2">
        <v>749000</v>
      </c>
      <c r="N51" s="2">
        <v>4</v>
      </c>
      <c r="O51" s="2">
        <v>2</v>
      </c>
      <c r="P51" s="2">
        <v>2369</v>
      </c>
      <c r="Q51" s="2">
        <v>741900</v>
      </c>
      <c r="R51" s="2">
        <v>2192</v>
      </c>
      <c r="S51" s="2">
        <v>635100</v>
      </c>
      <c r="T51" s="2">
        <v>104.065462962963</v>
      </c>
      <c r="U51" t="s">
        <v>24</v>
      </c>
      <c r="V51" s="2">
        <v>316.16715913887708</v>
      </c>
      <c r="W51" s="2">
        <v>312.08333333333331</v>
      </c>
      <c r="X51" s="2">
        <v>368.25833333333333</v>
      </c>
      <c r="Y51" s="2">
        <v>268.39166666666671</v>
      </c>
      <c r="Z51" s="2">
        <v>3624.849041640261</v>
      </c>
      <c r="AA51" s="2">
        <v>4261.4990416402607</v>
      </c>
      <c r="AB51">
        <f>(M51&gt;Pivot!$Q$1)*1</f>
        <v>1</v>
      </c>
    </row>
    <row r="52" spans="1:28" x14ac:dyDescent="0.35">
      <c r="A52" t="s">
        <v>599</v>
      </c>
      <c r="B52" t="s">
        <v>19</v>
      </c>
      <c r="C52" t="s">
        <v>20</v>
      </c>
      <c r="D52" t="s">
        <v>20</v>
      </c>
      <c r="E52" t="s">
        <v>26</v>
      </c>
      <c r="F52" t="s">
        <v>600</v>
      </c>
      <c r="G52" t="s">
        <v>48</v>
      </c>
      <c r="H52" t="s">
        <v>24</v>
      </c>
      <c r="I52" t="s">
        <v>25</v>
      </c>
      <c r="J52">
        <v>40.719147</v>
      </c>
      <c r="K52">
        <v>-111.85550000000001</v>
      </c>
      <c r="L52" t="s">
        <v>601</v>
      </c>
      <c r="M52" s="2">
        <v>659900</v>
      </c>
      <c r="N52" s="2">
        <v>3</v>
      </c>
      <c r="O52" s="2">
        <v>2</v>
      </c>
      <c r="P52" s="2">
        <v>1610</v>
      </c>
      <c r="Q52" s="2"/>
      <c r="R52" s="2">
        <v>2439</v>
      </c>
      <c r="S52" s="2">
        <v>431100</v>
      </c>
      <c r="T52" s="2">
        <v>18.028240740740738</v>
      </c>
      <c r="U52" t="s">
        <v>24</v>
      </c>
      <c r="V52" s="2">
        <v>409.87577639751561</v>
      </c>
      <c r="W52" s="2">
        <v>366.61111111111109</v>
      </c>
      <c r="X52" s="2">
        <v>324.45083333333332</v>
      </c>
      <c r="Y52" s="2">
        <v>236.4641666666667</v>
      </c>
      <c r="Z52" s="2">
        <v>3193.6420328149638</v>
      </c>
      <c r="AA52" s="2">
        <v>3754.5570328149638</v>
      </c>
      <c r="AB52">
        <f>(M52&gt;Pivot!$Q$1)*1</f>
        <v>1</v>
      </c>
    </row>
    <row r="53" spans="1:28" x14ac:dyDescent="0.35">
      <c r="A53" t="s">
        <v>602</v>
      </c>
      <c r="B53" t="s">
        <v>19</v>
      </c>
      <c r="C53" t="s">
        <v>20</v>
      </c>
      <c r="D53" t="s">
        <v>20</v>
      </c>
      <c r="E53" t="s">
        <v>26</v>
      </c>
      <c r="F53" t="s">
        <v>603</v>
      </c>
      <c r="G53" t="s">
        <v>43</v>
      </c>
      <c r="H53" t="s">
        <v>24</v>
      </c>
      <c r="I53" t="s">
        <v>25</v>
      </c>
      <c r="J53">
        <v>40.736910000000002</v>
      </c>
      <c r="K53">
        <v>-111.85458</v>
      </c>
      <c r="L53" t="s">
        <v>604</v>
      </c>
      <c r="M53" s="2">
        <v>999900</v>
      </c>
      <c r="N53" s="2">
        <v>4</v>
      </c>
      <c r="O53" s="2">
        <v>3</v>
      </c>
      <c r="P53" s="2">
        <v>2679</v>
      </c>
      <c r="Q53" s="2">
        <v>969200</v>
      </c>
      <c r="R53" s="2">
        <v>2098</v>
      </c>
      <c r="S53" s="2">
        <v>907100</v>
      </c>
      <c r="T53" s="2">
        <v>49.063981481481477</v>
      </c>
      <c r="U53" t="s">
        <v>24</v>
      </c>
      <c r="V53" s="2">
        <v>373.2362821948488</v>
      </c>
      <c r="W53" s="2">
        <v>416.625</v>
      </c>
      <c r="X53" s="2">
        <v>491.61750000000001</v>
      </c>
      <c r="Y53" s="2">
        <v>358.29750000000001</v>
      </c>
      <c r="Z53" s="2">
        <v>4839.1008768172187</v>
      </c>
      <c r="AA53" s="2">
        <v>5689.0158768172187</v>
      </c>
      <c r="AB53">
        <f>(M53&gt;Pivot!$Q$1)*1</f>
        <v>1</v>
      </c>
    </row>
    <row r="54" spans="1:28" x14ac:dyDescent="0.35">
      <c r="A54" t="s">
        <v>403</v>
      </c>
      <c r="B54" t="s">
        <v>19</v>
      </c>
      <c r="C54" t="s">
        <v>20</v>
      </c>
      <c r="D54" t="s">
        <v>20</v>
      </c>
      <c r="E54" t="s">
        <v>26</v>
      </c>
      <c r="F54" t="s">
        <v>404</v>
      </c>
      <c r="G54" t="s">
        <v>43</v>
      </c>
      <c r="H54" t="s">
        <v>24</v>
      </c>
      <c r="I54" t="s">
        <v>25</v>
      </c>
      <c r="J54">
        <v>40.736584000000001</v>
      </c>
      <c r="K54">
        <v>-111.85817</v>
      </c>
      <c r="L54" t="s">
        <v>405</v>
      </c>
      <c r="M54" s="2">
        <v>734999</v>
      </c>
      <c r="N54" s="2">
        <v>4</v>
      </c>
      <c r="O54" s="2">
        <v>2</v>
      </c>
      <c r="P54" s="2">
        <v>2597</v>
      </c>
      <c r="Q54" s="2">
        <v>724400</v>
      </c>
      <c r="R54" s="2">
        <v>1804</v>
      </c>
      <c r="S54" s="2">
        <v>648700</v>
      </c>
      <c r="T54" s="2">
        <v>134.0643634259259</v>
      </c>
      <c r="U54" t="s">
        <v>24</v>
      </c>
      <c r="V54" s="2">
        <v>283.01848286484397</v>
      </c>
      <c r="W54" s="2">
        <v>306.24958333333331</v>
      </c>
      <c r="X54" s="2">
        <v>361.37450833333332</v>
      </c>
      <c r="Y54" s="2">
        <v>263.37464166666672</v>
      </c>
      <c r="Z54" s="2">
        <v>3557.0900143612148</v>
      </c>
      <c r="AA54" s="2">
        <v>4181.8391643612149</v>
      </c>
      <c r="AB54">
        <f>(M54&gt;Pivot!$Q$1)*1</f>
        <v>1</v>
      </c>
    </row>
    <row r="55" spans="1:28" x14ac:dyDescent="0.35">
      <c r="A55" t="s">
        <v>313</v>
      </c>
      <c r="B55" t="s">
        <v>19</v>
      </c>
      <c r="C55" t="s">
        <v>20</v>
      </c>
      <c r="D55" t="s">
        <v>20</v>
      </c>
      <c r="E55" t="s">
        <v>26</v>
      </c>
      <c r="F55" t="s">
        <v>314</v>
      </c>
      <c r="G55" t="s">
        <v>45</v>
      </c>
      <c r="H55" t="s">
        <v>24</v>
      </c>
      <c r="I55" t="s">
        <v>25</v>
      </c>
      <c r="J55">
        <v>40.723396000000001</v>
      </c>
      <c r="K55">
        <v>-111.81278</v>
      </c>
      <c r="L55" t="s">
        <v>315</v>
      </c>
      <c r="M55" s="2">
        <v>850000</v>
      </c>
      <c r="N55" s="2">
        <v>4</v>
      </c>
      <c r="O55" s="2">
        <v>3</v>
      </c>
      <c r="P55" s="2">
        <v>3018</v>
      </c>
      <c r="Q55" s="2">
        <v>832400</v>
      </c>
      <c r="R55" s="2">
        <v>2717</v>
      </c>
      <c r="S55" s="2">
        <v>862300</v>
      </c>
      <c r="T55" s="2">
        <v>163.06445601851851</v>
      </c>
      <c r="U55" t="s">
        <v>24</v>
      </c>
      <c r="V55" s="2">
        <v>281.64347249834327</v>
      </c>
      <c r="W55" s="2">
        <v>354.16666666666669</v>
      </c>
      <c r="X55" s="2">
        <v>417.91666666666669</v>
      </c>
      <c r="Y55" s="2">
        <v>304.58333333333331</v>
      </c>
      <c r="Z55" s="2">
        <v>4113.647110005636</v>
      </c>
      <c r="AA55" s="2">
        <v>4836.147110005636</v>
      </c>
      <c r="AB55">
        <f>(M55&gt;Pivot!$Q$1)*1</f>
        <v>1</v>
      </c>
    </row>
    <row r="56" spans="1:28" x14ac:dyDescent="0.35">
      <c r="A56" t="s">
        <v>605</v>
      </c>
      <c r="B56" t="s">
        <v>19</v>
      </c>
      <c r="C56" t="s">
        <v>20</v>
      </c>
      <c r="D56" t="s">
        <v>20</v>
      </c>
      <c r="E56" t="s">
        <v>26</v>
      </c>
      <c r="F56" t="s">
        <v>606</v>
      </c>
      <c r="G56" t="s">
        <v>38</v>
      </c>
      <c r="H56" t="s">
        <v>24</v>
      </c>
      <c r="I56" t="s">
        <v>25</v>
      </c>
      <c r="J56">
        <v>40.761560000000003</v>
      </c>
      <c r="K56">
        <v>-111.88194</v>
      </c>
      <c r="L56" t="s">
        <v>607</v>
      </c>
      <c r="M56" s="2">
        <v>700000</v>
      </c>
      <c r="N56" s="2">
        <v>6</v>
      </c>
      <c r="O56" s="2">
        <v>4</v>
      </c>
      <c r="P56" s="2">
        <v>3500</v>
      </c>
      <c r="Q56" s="2">
        <v>681500</v>
      </c>
      <c r="R56" s="2">
        <v>1488</v>
      </c>
      <c r="S56" s="2">
        <v>958100</v>
      </c>
      <c r="T56" s="2">
        <v>34.06521990740741</v>
      </c>
      <c r="U56" t="s">
        <v>24</v>
      </c>
      <c r="V56" s="2">
        <v>200</v>
      </c>
      <c r="W56" s="2">
        <v>194.44444444444451</v>
      </c>
      <c r="X56" s="2">
        <v>344.16666666666669</v>
      </c>
      <c r="Y56" s="2">
        <v>250.83333333333329</v>
      </c>
      <c r="Z56" s="2">
        <v>3387.7093847105239</v>
      </c>
      <c r="AA56" s="2">
        <v>3982.7093847105239</v>
      </c>
      <c r="AB56">
        <f>(M56&gt;Pivot!$Q$1)*1</f>
        <v>1</v>
      </c>
    </row>
    <row r="57" spans="1:28" x14ac:dyDescent="0.35">
      <c r="A57" t="s">
        <v>608</v>
      </c>
      <c r="B57" t="s">
        <v>19</v>
      </c>
      <c r="C57" t="s">
        <v>20</v>
      </c>
      <c r="D57" t="s">
        <v>20</v>
      </c>
      <c r="E57" t="s">
        <v>26</v>
      </c>
      <c r="F57" t="s">
        <v>609</v>
      </c>
      <c r="G57" t="s">
        <v>37</v>
      </c>
      <c r="H57" t="s">
        <v>24</v>
      </c>
      <c r="I57" t="s">
        <v>25</v>
      </c>
      <c r="J57">
        <v>40.757458</v>
      </c>
      <c r="K57">
        <v>-111.86866000000001</v>
      </c>
      <c r="L57" t="s">
        <v>610</v>
      </c>
      <c r="M57" s="2">
        <v>950000</v>
      </c>
      <c r="N57" s="2">
        <v>4</v>
      </c>
      <c r="O57" s="2">
        <v>2</v>
      </c>
      <c r="P57" s="2">
        <v>2005</v>
      </c>
      <c r="Q57" s="2">
        <v>914000</v>
      </c>
      <c r="R57" s="2">
        <v>2263</v>
      </c>
      <c r="S57" s="2">
        <v>599900</v>
      </c>
      <c r="T57" s="2">
        <v>11.063414351851851</v>
      </c>
      <c r="U57" t="s">
        <v>24</v>
      </c>
      <c r="V57" s="2">
        <v>473.81546134663341</v>
      </c>
      <c r="W57" s="2">
        <v>395.83333333333331</v>
      </c>
      <c r="X57" s="2">
        <v>467.08333333333331</v>
      </c>
      <c r="Y57" s="2">
        <v>340.41666666666669</v>
      </c>
      <c r="Z57" s="2">
        <v>4597.6055935357108</v>
      </c>
      <c r="AA57" s="2">
        <v>5405.1055935357108</v>
      </c>
      <c r="AB57">
        <f>(M57&gt;Pivot!$Q$1)*1</f>
        <v>1</v>
      </c>
    </row>
    <row r="58" spans="1:28" x14ac:dyDescent="0.35">
      <c r="A58" t="s">
        <v>611</v>
      </c>
      <c r="B58" t="s">
        <v>19</v>
      </c>
      <c r="C58" t="s">
        <v>20</v>
      </c>
      <c r="D58" t="s">
        <v>20</v>
      </c>
      <c r="E58" t="s">
        <v>26</v>
      </c>
      <c r="F58" t="s">
        <v>612</v>
      </c>
      <c r="G58" t="s">
        <v>43</v>
      </c>
      <c r="H58" t="s">
        <v>24</v>
      </c>
      <c r="I58" t="s">
        <v>25</v>
      </c>
      <c r="J58">
        <v>40.737389999999998</v>
      </c>
      <c r="K58">
        <v>-111.86140399999999</v>
      </c>
      <c r="L58" t="s">
        <v>613</v>
      </c>
      <c r="M58" s="2">
        <v>1450000</v>
      </c>
      <c r="N58" s="2">
        <v>8</v>
      </c>
      <c r="O58" s="2">
        <v>4</v>
      </c>
      <c r="P58" s="2">
        <v>4642</v>
      </c>
      <c r="Q58" s="2">
        <v>1385300</v>
      </c>
      <c r="R58" s="2">
        <v>2098</v>
      </c>
      <c r="S58" s="2"/>
      <c r="T58" s="2">
        <v>46.065509259259258</v>
      </c>
      <c r="U58" t="s">
        <v>24</v>
      </c>
      <c r="V58" s="2">
        <v>312.36535975872471</v>
      </c>
      <c r="W58" s="2">
        <v>302.08333333333331</v>
      </c>
      <c r="X58" s="2">
        <v>712.91666666666663</v>
      </c>
      <c r="Y58" s="2">
        <v>519.58333333333337</v>
      </c>
      <c r="Z58" s="2">
        <v>7017.3980111860856</v>
      </c>
      <c r="AA58" s="2">
        <v>8249.8980111860856</v>
      </c>
      <c r="AB58">
        <f>(M58&gt;Pivot!$Q$1)*1</f>
        <v>1</v>
      </c>
    </row>
    <row r="59" spans="1:28" x14ac:dyDescent="0.35">
      <c r="A59" t="s">
        <v>439</v>
      </c>
      <c r="B59" t="s">
        <v>19</v>
      </c>
      <c r="C59" t="s">
        <v>20</v>
      </c>
      <c r="D59" t="s">
        <v>20</v>
      </c>
      <c r="E59" t="s">
        <v>26</v>
      </c>
      <c r="F59" t="s">
        <v>440</v>
      </c>
      <c r="G59" t="s">
        <v>46</v>
      </c>
      <c r="H59" t="s">
        <v>24</v>
      </c>
      <c r="I59" t="s">
        <v>25</v>
      </c>
      <c r="J59">
        <v>40.761208000000003</v>
      </c>
      <c r="K59">
        <v>-111.91632</v>
      </c>
      <c r="L59" t="s">
        <v>441</v>
      </c>
      <c r="M59" s="2">
        <v>549000</v>
      </c>
      <c r="N59" s="2">
        <v>4</v>
      </c>
      <c r="O59" s="2">
        <v>2</v>
      </c>
      <c r="P59" s="2">
        <v>1779</v>
      </c>
      <c r="Q59" s="2">
        <v>542500</v>
      </c>
      <c r="R59" s="2">
        <v>1701</v>
      </c>
      <c r="S59" s="2">
        <v>509000</v>
      </c>
      <c r="T59" s="2">
        <v>80.064537037037042</v>
      </c>
      <c r="U59" t="s">
        <v>24</v>
      </c>
      <c r="V59" s="2">
        <v>308.60033726812821</v>
      </c>
      <c r="W59" s="2">
        <v>228.75</v>
      </c>
      <c r="X59" s="2">
        <v>269.92500000000001</v>
      </c>
      <c r="Y59" s="2">
        <v>196.72499999999999</v>
      </c>
      <c r="Z59" s="2">
        <v>2656.932074580111</v>
      </c>
      <c r="AA59" s="2">
        <v>3123.5820745801111</v>
      </c>
      <c r="AB59">
        <f>(M59&gt;Pivot!$Q$1)*1</f>
        <v>0</v>
      </c>
    </row>
    <row r="60" spans="1:28" x14ac:dyDescent="0.35">
      <c r="A60" t="s">
        <v>614</v>
      </c>
      <c r="B60" t="s">
        <v>19</v>
      </c>
      <c r="C60" t="s">
        <v>20</v>
      </c>
      <c r="D60" t="s">
        <v>20</v>
      </c>
      <c r="E60" t="s">
        <v>26</v>
      </c>
      <c r="F60" t="s">
        <v>615</v>
      </c>
      <c r="G60" t="s">
        <v>37</v>
      </c>
      <c r="H60" t="s">
        <v>24</v>
      </c>
      <c r="I60" t="s">
        <v>25</v>
      </c>
      <c r="J60">
        <v>40.76511</v>
      </c>
      <c r="K60">
        <v>-111.85885</v>
      </c>
      <c r="L60" t="s">
        <v>616</v>
      </c>
      <c r="M60" s="2">
        <v>1700000</v>
      </c>
      <c r="N60" s="2">
        <v>8</v>
      </c>
      <c r="O60" s="2">
        <v>7</v>
      </c>
      <c r="P60" s="2">
        <v>5212</v>
      </c>
      <c r="Q60" s="2">
        <v>1660100</v>
      </c>
      <c r="R60" s="2">
        <v>1939</v>
      </c>
      <c r="S60" s="2"/>
      <c r="T60" s="2">
        <v>11.06340277777778</v>
      </c>
      <c r="U60" t="s">
        <v>24</v>
      </c>
      <c r="V60" s="2">
        <v>326.17037605525712</v>
      </c>
      <c r="W60" s="2">
        <v>354.16666666666669</v>
      </c>
      <c r="X60" s="2">
        <v>835.83333333333337</v>
      </c>
      <c r="Y60" s="2">
        <v>609.16666666666663</v>
      </c>
      <c r="Z60" s="2">
        <v>8227.294220011272</v>
      </c>
      <c r="AA60" s="2">
        <v>9672.294220011272</v>
      </c>
      <c r="AB60">
        <f>(M60&gt;Pivot!$Q$1)*1</f>
        <v>1</v>
      </c>
    </row>
    <row r="61" spans="1:28" x14ac:dyDescent="0.35">
      <c r="A61" t="s">
        <v>617</v>
      </c>
      <c r="B61" t="s">
        <v>19</v>
      </c>
      <c r="C61" t="s">
        <v>20</v>
      </c>
      <c r="D61" t="s">
        <v>20</v>
      </c>
      <c r="E61" t="s">
        <v>26</v>
      </c>
      <c r="F61" t="s">
        <v>618</v>
      </c>
      <c r="G61" t="s">
        <v>47</v>
      </c>
      <c r="H61" t="s">
        <v>27</v>
      </c>
      <c r="I61" t="s">
        <v>25</v>
      </c>
      <c r="J61">
        <v>40.699849999999998</v>
      </c>
      <c r="K61">
        <v>-111.96956</v>
      </c>
      <c r="L61" t="s">
        <v>619</v>
      </c>
      <c r="M61" s="2">
        <v>602000</v>
      </c>
      <c r="N61" s="2">
        <v>6</v>
      </c>
      <c r="O61" s="2">
        <v>4</v>
      </c>
      <c r="P61" s="2">
        <v>2448</v>
      </c>
      <c r="Q61" s="2">
        <v>592400</v>
      </c>
      <c r="R61" s="2">
        <v>1981</v>
      </c>
      <c r="S61" s="2">
        <v>430300</v>
      </c>
      <c r="T61" s="2">
        <v>52.064895833333331</v>
      </c>
      <c r="U61" t="s">
        <v>24</v>
      </c>
      <c r="V61" s="2">
        <v>245.9150326797386</v>
      </c>
      <c r="W61" s="2">
        <v>167.2222222222222</v>
      </c>
      <c r="X61" s="2">
        <v>295.98333333333329</v>
      </c>
      <c r="Y61" s="2">
        <v>215.7166666666667</v>
      </c>
      <c r="Z61" s="2">
        <v>2913.4300708510509</v>
      </c>
      <c r="AA61" s="2">
        <v>3425.1300708510512</v>
      </c>
      <c r="AB61">
        <f>(M61&gt;Pivot!$Q$1)*1</f>
        <v>0</v>
      </c>
    </row>
    <row r="62" spans="1:28" x14ac:dyDescent="0.35">
      <c r="A62" t="s">
        <v>310</v>
      </c>
      <c r="B62" t="s">
        <v>19</v>
      </c>
      <c r="C62" t="s">
        <v>20</v>
      </c>
      <c r="D62" t="s">
        <v>20</v>
      </c>
      <c r="E62" t="s">
        <v>26</v>
      </c>
      <c r="F62" t="s">
        <v>311</v>
      </c>
      <c r="G62" t="s">
        <v>43</v>
      </c>
      <c r="H62" t="s">
        <v>24</v>
      </c>
      <c r="I62" t="s">
        <v>25</v>
      </c>
      <c r="J62">
        <v>40.745040000000003</v>
      </c>
      <c r="K62">
        <v>-111.865005</v>
      </c>
      <c r="L62" t="s">
        <v>312</v>
      </c>
      <c r="M62" s="2">
        <v>1250000</v>
      </c>
      <c r="N62" s="2">
        <v>6</v>
      </c>
      <c r="O62" s="2">
        <v>5</v>
      </c>
      <c r="P62" s="2">
        <v>3700</v>
      </c>
      <c r="Q62" s="2">
        <v>1201800</v>
      </c>
      <c r="R62" s="2">
        <v>3179</v>
      </c>
      <c r="S62" s="2"/>
      <c r="T62" s="2">
        <v>145.91894675925931</v>
      </c>
      <c r="U62" t="s">
        <v>24</v>
      </c>
      <c r="V62" s="2">
        <v>337.83783783783781</v>
      </c>
      <c r="W62" s="2">
        <v>347.22222222222217</v>
      </c>
      <c r="X62" s="2">
        <v>614.58333333333337</v>
      </c>
      <c r="Y62" s="2">
        <v>447.91666666666669</v>
      </c>
      <c r="Z62" s="2">
        <v>6049.481044125936</v>
      </c>
      <c r="AA62" s="2">
        <v>7111.981044125936</v>
      </c>
      <c r="AB62">
        <f>(M62&gt;Pivot!$Q$1)*1</f>
        <v>1</v>
      </c>
    </row>
    <row r="63" spans="1:28" x14ac:dyDescent="0.35">
      <c r="A63" t="s">
        <v>442</v>
      </c>
      <c r="B63" t="s">
        <v>19</v>
      </c>
      <c r="C63" t="s">
        <v>20</v>
      </c>
      <c r="D63" t="s">
        <v>20</v>
      </c>
      <c r="E63" t="s">
        <v>26</v>
      </c>
      <c r="F63" t="s">
        <v>443</v>
      </c>
      <c r="G63" t="s">
        <v>48</v>
      </c>
      <c r="H63" t="s">
        <v>24</v>
      </c>
      <c r="I63" t="s">
        <v>25</v>
      </c>
      <c r="J63">
        <v>40.708410000000001</v>
      </c>
      <c r="K63">
        <v>-111.85303999999999</v>
      </c>
      <c r="L63" t="s">
        <v>444</v>
      </c>
      <c r="M63" s="2">
        <v>805000</v>
      </c>
      <c r="N63" s="2">
        <v>6</v>
      </c>
      <c r="O63" s="2">
        <v>4</v>
      </c>
      <c r="P63" s="2">
        <v>3098</v>
      </c>
      <c r="Q63" s="2">
        <v>785800</v>
      </c>
      <c r="R63" s="2">
        <v>2234</v>
      </c>
      <c r="S63" s="2">
        <v>675900</v>
      </c>
      <c r="T63" s="2">
        <v>81.065115740740737</v>
      </c>
      <c r="U63" t="s">
        <v>24</v>
      </c>
      <c r="V63" s="2">
        <v>259.84506132989031</v>
      </c>
      <c r="W63" s="2">
        <v>223.61111111111109</v>
      </c>
      <c r="X63" s="2">
        <v>395.79166666666669</v>
      </c>
      <c r="Y63" s="2">
        <v>288.45833333333331</v>
      </c>
      <c r="Z63" s="2">
        <v>3895.865792417103</v>
      </c>
      <c r="AA63" s="2">
        <v>4580.1157924171021</v>
      </c>
      <c r="AB63">
        <f>(M63&gt;Pivot!$Q$1)*1</f>
        <v>1</v>
      </c>
    </row>
    <row r="64" spans="1:28" x14ac:dyDescent="0.35">
      <c r="A64" t="s">
        <v>319</v>
      </c>
      <c r="B64" t="s">
        <v>19</v>
      </c>
      <c r="C64" t="s">
        <v>20</v>
      </c>
      <c r="D64" t="s">
        <v>20</v>
      </c>
      <c r="E64" t="s">
        <v>26</v>
      </c>
      <c r="F64" t="s">
        <v>320</v>
      </c>
      <c r="G64" t="s">
        <v>321</v>
      </c>
      <c r="H64" t="s">
        <v>24</v>
      </c>
      <c r="I64" t="s">
        <v>25</v>
      </c>
      <c r="J64">
        <v>40.732044000000002</v>
      </c>
      <c r="K64">
        <v>-111.81836</v>
      </c>
      <c r="L64" t="s">
        <v>322</v>
      </c>
      <c r="M64" s="2">
        <v>885000</v>
      </c>
      <c r="N64" s="2">
        <v>5</v>
      </c>
      <c r="O64" s="2">
        <v>4</v>
      </c>
      <c r="P64" s="2">
        <v>2235</v>
      </c>
      <c r="Q64" s="2">
        <v>871100</v>
      </c>
      <c r="R64" s="2">
        <v>3054</v>
      </c>
      <c r="S64" s="2">
        <v>691700</v>
      </c>
      <c r="T64" s="2">
        <v>159.06607638888889</v>
      </c>
      <c r="U64" t="s">
        <v>24</v>
      </c>
      <c r="V64" s="2">
        <v>395.9731543624161</v>
      </c>
      <c r="W64" s="2">
        <v>295</v>
      </c>
      <c r="X64" s="2">
        <v>435.125</v>
      </c>
      <c r="Y64" s="2">
        <v>317.125</v>
      </c>
      <c r="Z64" s="2">
        <v>4283.0325792411622</v>
      </c>
      <c r="AA64" s="2">
        <v>5035.2825792411622</v>
      </c>
      <c r="AB64">
        <f>(M64&gt;Pivot!$Q$1)*1</f>
        <v>1</v>
      </c>
    </row>
    <row r="65" spans="1:28" x14ac:dyDescent="0.35">
      <c r="A65" t="s">
        <v>457</v>
      </c>
      <c r="B65" t="s">
        <v>19</v>
      </c>
      <c r="C65" t="s">
        <v>20</v>
      </c>
      <c r="D65" t="s">
        <v>20</v>
      </c>
      <c r="E65" t="s">
        <v>26</v>
      </c>
      <c r="F65" t="s">
        <v>458</v>
      </c>
      <c r="G65" t="s">
        <v>40</v>
      </c>
      <c r="H65" t="s">
        <v>24</v>
      </c>
      <c r="I65" t="s">
        <v>25</v>
      </c>
      <c r="J65">
        <v>40.781196999999999</v>
      </c>
      <c r="K65">
        <v>-111.93891000000001</v>
      </c>
      <c r="L65" t="s">
        <v>459</v>
      </c>
      <c r="M65" s="2">
        <v>799000</v>
      </c>
      <c r="N65" s="2">
        <v>8</v>
      </c>
      <c r="O65" s="2">
        <v>4</v>
      </c>
      <c r="P65" s="2">
        <v>2520</v>
      </c>
      <c r="Q65" s="2">
        <v>791700</v>
      </c>
      <c r="R65" s="2">
        <v>1882</v>
      </c>
      <c r="S65" s="2"/>
      <c r="T65" s="2">
        <v>57.064560185185186</v>
      </c>
      <c r="U65" t="s">
        <v>24</v>
      </c>
      <c r="V65" s="2">
        <v>317.06349206349199</v>
      </c>
      <c r="W65" s="2">
        <v>166.45833333333329</v>
      </c>
      <c r="X65" s="2">
        <v>392.84166666666658</v>
      </c>
      <c r="Y65" s="2">
        <v>286.30833333333328</v>
      </c>
      <c r="Z65" s="2">
        <v>3866.828283405298</v>
      </c>
      <c r="AA65" s="2">
        <v>4545.9782834052976</v>
      </c>
      <c r="AB65">
        <f>(M65&gt;Pivot!$Q$1)*1</f>
        <v>1</v>
      </c>
    </row>
    <row r="66" spans="1:28" x14ac:dyDescent="0.35">
      <c r="A66" t="s">
        <v>620</v>
      </c>
      <c r="B66" t="s">
        <v>19</v>
      </c>
      <c r="C66" t="s">
        <v>20</v>
      </c>
      <c r="D66" t="s">
        <v>20</v>
      </c>
      <c r="E66" t="s">
        <v>26</v>
      </c>
      <c r="F66" t="s">
        <v>621</v>
      </c>
      <c r="G66" t="s">
        <v>47</v>
      </c>
      <c r="H66" t="s">
        <v>27</v>
      </c>
      <c r="I66" t="s">
        <v>25</v>
      </c>
      <c r="J66">
        <v>40.698096999999997</v>
      </c>
      <c r="K66">
        <v>-111.95910000000001</v>
      </c>
      <c r="L66" t="s">
        <v>622</v>
      </c>
      <c r="M66" s="2">
        <v>599000</v>
      </c>
      <c r="N66" s="2">
        <v>6</v>
      </c>
      <c r="O66" s="2">
        <v>2</v>
      </c>
      <c r="P66" s="2">
        <v>2268</v>
      </c>
      <c r="Q66" s="2">
        <v>588800</v>
      </c>
      <c r="R66" s="2">
        <v>2208</v>
      </c>
      <c r="S66" s="2">
        <v>434800</v>
      </c>
      <c r="T66" s="2">
        <v>20.064027777777781</v>
      </c>
      <c r="U66" t="s">
        <v>24</v>
      </c>
      <c r="V66" s="2">
        <v>264.10934744268081</v>
      </c>
      <c r="W66" s="2">
        <v>166.38888888888891</v>
      </c>
      <c r="X66" s="2">
        <v>294.50833333333333</v>
      </c>
      <c r="Y66" s="2">
        <v>214.64166666666671</v>
      </c>
      <c r="Z66" s="2">
        <v>2898.911316345148</v>
      </c>
      <c r="AA66" s="2">
        <v>3408.061316345148</v>
      </c>
      <c r="AB66">
        <f>(M66&gt;Pivot!$Q$1)*1</f>
        <v>0</v>
      </c>
    </row>
    <row r="67" spans="1:28" x14ac:dyDescent="0.35">
      <c r="A67" t="s">
        <v>448</v>
      </c>
      <c r="B67" t="s">
        <v>19</v>
      </c>
      <c r="C67" t="s">
        <v>20</v>
      </c>
      <c r="D67" t="s">
        <v>20</v>
      </c>
      <c r="E67" t="s">
        <v>26</v>
      </c>
      <c r="F67" t="s">
        <v>449</v>
      </c>
      <c r="G67" t="s">
        <v>43</v>
      </c>
      <c r="H67" t="s">
        <v>24</v>
      </c>
      <c r="I67" t="s">
        <v>25</v>
      </c>
      <c r="J67">
        <v>40.730186000000003</v>
      </c>
      <c r="K67">
        <v>-111.86490000000001</v>
      </c>
      <c r="L67" t="s">
        <v>450</v>
      </c>
      <c r="M67" s="2">
        <v>1200000</v>
      </c>
      <c r="N67" s="2">
        <v>5</v>
      </c>
      <c r="O67" s="2">
        <v>4</v>
      </c>
      <c r="P67" s="2">
        <v>3601</v>
      </c>
      <c r="Q67" s="2">
        <v>1159800</v>
      </c>
      <c r="R67" s="2">
        <v>1924</v>
      </c>
      <c r="S67" s="2">
        <v>1008900</v>
      </c>
      <c r="T67" s="2">
        <v>95.065590277777773</v>
      </c>
      <c r="U67" t="s">
        <v>24</v>
      </c>
      <c r="V67" s="2">
        <v>333.24076645376277</v>
      </c>
      <c r="W67" s="2">
        <v>400</v>
      </c>
      <c r="X67" s="2">
        <v>590</v>
      </c>
      <c r="Y67" s="2">
        <v>430</v>
      </c>
      <c r="Z67" s="2">
        <v>5807.5018023608991</v>
      </c>
      <c r="AA67" s="2">
        <v>6827.5018023608991</v>
      </c>
      <c r="AB67">
        <f>(M67&gt;Pivot!$Q$1)*1</f>
        <v>1</v>
      </c>
    </row>
    <row r="68" spans="1:28" x14ac:dyDescent="0.35">
      <c r="A68" t="s">
        <v>316</v>
      </c>
      <c r="B68" t="s">
        <v>19</v>
      </c>
      <c r="C68" t="s">
        <v>20</v>
      </c>
      <c r="D68" t="s">
        <v>20</v>
      </c>
      <c r="E68" t="s">
        <v>26</v>
      </c>
      <c r="F68" t="s">
        <v>317</v>
      </c>
      <c r="G68" t="s">
        <v>39</v>
      </c>
      <c r="H68" t="s">
        <v>24</v>
      </c>
      <c r="I68" t="s">
        <v>25</v>
      </c>
      <c r="J68">
        <v>40.696815000000001</v>
      </c>
      <c r="K68">
        <v>-111.88309</v>
      </c>
      <c r="L68" t="s">
        <v>318</v>
      </c>
      <c r="M68" s="2">
        <v>815000</v>
      </c>
      <c r="N68" s="2">
        <v>4</v>
      </c>
      <c r="O68" s="2">
        <v>4</v>
      </c>
      <c r="P68" s="2">
        <v>2072</v>
      </c>
      <c r="Q68" s="2">
        <v>808300</v>
      </c>
      <c r="R68" s="2">
        <v>2260</v>
      </c>
      <c r="S68" s="2">
        <v>580400</v>
      </c>
      <c r="T68" s="2">
        <v>166.06319444444441</v>
      </c>
      <c r="U68" t="s">
        <v>24</v>
      </c>
      <c r="V68" s="2">
        <v>393.33976833976828</v>
      </c>
      <c r="W68" s="2">
        <v>339.58333333333331</v>
      </c>
      <c r="X68" s="2">
        <v>400.70833333333331</v>
      </c>
      <c r="Y68" s="2">
        <v>292.04166666666669</v>
      </c>
      <c r="Z68" s="2">
        <v>3944.2616407701098</v>
      </c>
      <c r="AA68" s="2">
        <v>4637.0116407701098</v>
      </c>
      <c r="AB68">
        <f>(M68&gt;Pivot!$Q$1)*1</f>
        <v>1</v>
      </c>
    </row>
    <row r="69" spans="1:28" x14ac:dyDescent="0.35">
      <c r="A69" t="s">
        <v>623</v>
      </c>
      <c r="B69" t="s">
        <v>19</v>
      </c>
      <c r="C69" t="s">
        <v>20</v>
      </c>
      <c r="D69" t="s">
        <v>20</v>
      </c>
      <c r="E69" t="s">
        <v>26</v>
      </c>
      <c r="F69" t="s">
        <v>624</v>
      </c>
      <c r="G69" t="s">
        <v>48</v>
      </c>
      <c r="H69" t="s">
        <v>24</v>
      </c>
      <c r="I69" t="s">
        <v>25</v>
      </c>
      <c r="J69">
        <v>40.713090000000001</v>
      </c>
      <c r="K69">
        <v>-111.87687</v>
      </c>
      <c r="L69" t="s">
        <v>625</v>
      </c>
      <c r="M69" s="2">
        <v>6750000</v>
      </c>
      <c r="N69" s="2">
        <v>27</v>
      </c>
      <c r="O69" s="2">
        <v>29</v>
      </c>
      <c r="P69" s="2">
        <v>15062</v>
      </c>
      <c r="Q69" s="2">
        <v>6483100</v>
      </c>
      <c r="R69" s="2"/>
      <c r="S69" s="2"/>
      <c r="T69" s="2">
        <v>52.065439814814823</v>
      </c>
      <c r="U69" t="s">
        <v>24</v>
      </c>
      <c r="V69" s="2">
        <v>448.14765635373789</v>
      </c>
      <c r="W69" s="2">
        <v>416.66666666666669</v>
      </c>
      <c r="X69" s="2">
        <v>3318.75</v>
      </c>
      <c r="Y69" s="2">
        <v>2418.75</v>
      </c>
      <c r="Z69" s="2">
        <v>32667.197638280049</v>
      </c>
      <c r="AA69" s="2">
        <v>38404.697638280049</v>
      </c>
      <c r="AB69">
        <f>(M69&gt;Pivot!$Q$1)*1</f>
        <v>1</v>
      </c>
    </row>
    <row r="70" spans="1:28" x14ac:dyDescent="0.35">
      <c r="A70" t="s">
        <v>626</v>
      </c>
      <c r="B70" t="s">
        <v>19</v>
      </c>
      <c r="C70" t="s">
        <v>20</v>
      </c>
      <c r="D70" t="s">
        <v>20</v>
      </c>
      <c r="E70" t="s">
        <v>26</v>
      </c>
      <c r="F70" t="s">
        <v>627</v>
      </c>
      <c r="G70" t="s">
        <v>38</v>
      </c>
      <c r="H70" t="s">
        <v>24</v>
      </c>
      <c r="I70" t="s">
        <v>25</v>
      </c>
      <c r="J70">
        <v>40.743355000000001</v>
      </c>
      <c r="K70">
        <v>-111.88206</v>
      </c>
      <c r="L70" t="s">
        <v>628</v>
      </c>
      <c r="M70" s="2">
        <v>925000</v>
      </c>
      <c r="N70" s="2">
        <v>4</v>
      </c>
      <c r="O70" s="2">
        <v>5</v>
      </c>
      <c r="P70" s="2">
        <v>2900</v>
      </c>
      <c r="Q70" s="2"/>
      <c r="R70" s="2">
        <v>3864</v>
      </c>
      <c r="S70" s="2">
        <v>778700</v>
      </c>
      <c r="T70" s="2">
        <v>27.063344907407409</v>
      </c>
      <c r="U70" t="s">
        <v>24</v>
      </c>
      <c r="V70" s="2">
        <v>318.9655172413793</v>
      </c>
      <c r="W70" s="2">
        <v>385.41666666666669</v>
      </c>
      <c r="X70" s="2">
        <v>454.79166666666669</v>
      </c>
      <c r="Y70" s="2">
        <v>331.45833333333331</v>
      </c>
      <c r="Z70" s="2">
        <v>4476.6159726531923</v>
      </c>
      <c r="AA70" s="2">
        <v>5262.8659726531923</v>
      </c>
      <c r="AB70">
        <f>(M70&gt;Pivot!$Q$1)*1</f>
        <v>1</v>
      </c>
    </row>
    <row r="71" spans="1:28" x14ac:dyDescent="0.35">
      <c r="A71" t="s">
        <v>629</v>
      </c>
      <c r="B71" t="s">
        <v>19</v>
      </c>
      <c r="C71" t="s">
        <v>20</v>
      </c>
      <c r="D71" t="s">
        <v>20</v>
      </c>
      <c r="E71" t="s">
        <v>26</v>
      </c>
      <c r="F71" t="s">
        <v>630</v>
      </c>
      <c r="G71" t="s">
        <v>47</v>
      </c>
      <c r="H71" t="s">
        <v>27</v>
      </c>
      <c r="I71" t="s">
        <v>25</v>
      </c>
      <c r="J71">
        <v>40.720370000000003</v>
      </c>
      <c r="K71">
        <v>-111.93143999999999</v>
      </c>
      <c r="L71" t="s">
        <v>631</v>
      </c>
      <c r="M71" s="2">
        <v>499900</v>
      </c>
      <c r="N71" s="2">
        <v>4</v>
      </c>
      <c r="O71" s="2">
        <v>2</v>
      </c>
      <c r="P71" s="2">
        <v>1672</v>
      </c>
      <c r="Q71" s="2">
        <v>494000</v>
      </c>
      <c r="R71" s="2">
        <v>1975</v>
      </c>
      <c r="S71" s="2">
        <v>371400</v>
      </c>
      <c r="T71" s="2">
        <v>8.0631597222222222</v>
      </c>
      <c r="U71" t="s">
        <v>24</v>
      </c>
      <c r="V71" s="2">
        <v>298.98325358851667</v>
      </c>
      <c r="W71" s="2">
        <v>208.29166666666671</v>
      </c>
      <c r="X71" s="2">
        <v>245.78416666666669</v>
      </c>
      <c r="Y71" s="2">
        <v>179.13083333333341</v>
      </c>
      <c r="Z71" s="2">
        <v>2419.3084591668439</v>
      </c>
      <c r="AA71" s="2">
        <v>2844.2234591668439</v>
      </c>
      <c r="AB71">
        <f>(M71&gt;Pivot!$Q$1)*1</f>
        <v>0</v>
      </c>
    </row>
    <row r="72" spans="1:28" x14ac:dyDescent="0.35">
      <c r="A72" t="s">
        <v>632</v>
      </c>
      <c r="B72" t="s">
        <v>19</v>
      </c>
      <c r="C72" t="s">
        <v>20</v>
      </c>
      <c r="D72" t="s">
        <v>20</v>
      </c>
      <c r="E72" t="s">
        <v>26</v>
      </c>
      <c r="F72" t="s">
        <v>633</v>
      </c>
      <c r="G72" t="s">
        <v>47</v>
      </c>
      <c r="H72" t="s">
        <v>27</v>
      </c>
      <c r="I72" t="s">
        <v>25</v>
      </c>
      <c r="J72">
        <v>40.702956999999998</v>
      </c>
      <c r="K72">
        <v>-111.95367</v>
      </c>
      <c r="L72" t="s">
        <v>634</v>
      </c>
      <c r="M72" s="2">
        <v>530000</v>
      </c>
      <c r="N72" s="2">
        <v>4</v>
      </c>
      <c r="O72" s="2">
        <v>4</v>
      </c>
      <c r="P72" s="2">
        <v>1198</v>
      </c>
      <c r="Q72" s="2">
        <v>525200</v>
      </c>
      <c r="R72" s="2">
        <v>1821</v>
      </c>
      <c r="S72" s="2">
        <v>445500</v>
      </c>
      <c r="T72" s="2">
        <v>11.06337962962963</v>
      </c>
      <c r="U72" t="s">
        <v>24</v>
      </c>
      <c r="V72" s="2">
        <v>442.4040066777963</v>
      </c>
      <c r="W72" s="2">
        <v>220.83333333333329</v>
      </c>
      <c r="X72" s="2">
        <v>260.58333333333331</v>
      </c>
      <c r="Y72" s="2">
        <v>189.91666666666671</v>
      </c>
      <c r="Z72" s="2">
        <v>2564.9799627093971</v>
      </c>
      <c r="AA72" s="2">
        <v>3015.4799627093971</v>
      </c>
      <c r="AB72">
        <f>(M72&gt;Pivot!$Q$1)*1</f>
        <v>0</v>
      </c>
    </row>
    <row r="73" spans="1:28" x14ac:dyDescent="0.35">
      <c r="A73" t="s">
        <v>409</v>
      </c>
      <c r="B73" t="s">
        <v>19</v>
      </c>
      <c r="C73" t="s">
        <v>20</v>
      </c>
      <c r="D73" t="s">
        <v>20</v>
      </c>
      <c r="E73" t="s">
        <v>26</v>
      </c>
      <c r="F73" t="s">
        <v>410</v>
      </c>
      <c r="G73" t="s">
        <v>48</v>
      </c>
      <c r="H73" t="s">
        <v>24</v>
      </c>
      <c r="I73" t="s">
        <v>25</v>
      </c>
      <c r="J73">
        <v>40.713329999999999</v>
      </c>
      <c r="K73">
        <v>-111.83592</v>
      </c>
      <c r="L73" t="s">
        <v>411</v>
      </c>
      <c r="M73" s="2">
        <v>1250000</v>
      </c>
      <c r="N73" s="2">
        <v>8</v>
      </c>
      <c r="O73" s="2">
        <v>4</v>
      </c>
      <c r="P73" s="2">
        <v>3360</v>
      </c>
      <c r="Q73" s="2">
        <v>1210600</v>
      </c>
      <c r="R73" s="2">
        <v>2490</v>
      </c>
      <c r="S73" s="2">
        <v>1075700</v>
      </c>
      <c r="T73" s="2">
        <v>116.065462962963</v>
      </c>
      <c r="U73" t="s">
        <v>24</v>
      </c>
      <c r="V73" s="2">
        <v>372.02380952380952</v>
      </c>
      <c r="W73" s="2">
        <v>260.41666666666669</v>
      </c>
      <c r="X73" s="2">
        <v>614.58333333333337</v>
      </c>
      <c r="Y73" s="2">
        <v>447.91666666666669</v>
      </c>
      <c r="Z73" s="2">
        <v>6049.481044125936</v>
      </c>
      <c r="AA73" s="2">
        <v>7111.981044125936</v>
      </c>
      <c r="AB73">
        <f>(M73&gt;Pivot!$Q$1)*1</f>
        <v>1</v>
      </c>
    </row>
    <row r="74" spans="1:28" x14ac:dyDescent="0.35">
      <c r="A74" t="s">
        <v>406</v>
      </c>
      <c r="B74" t="s">
        <v>19</v>
      </c>
      <c r="C74" t="s">
        <v>20</v>
      </c>
      <c r="D74" t="s">
        <v>20</v>
      </c>
      <c r="E74" t="s">
        <v>26</v>
      </c>
      <c r="F74" t="s">
        <v>407</v>
      </c>
      <c r="G74" t="s">
        <v>46</v>
      </c>
      <c r="H74" t="s">
        <v>24</v>
      </c>
      <c r="I74" t="s">
        <v>25</v>
      </c>
      <c r="J74">
        <v>40.739759999999997</v>
      </c>
      <c r="K74">
        <v>-111.91839</v>
      </c>
      <c r="L74" t="s">
        <v>408</v>
      </c>
      <c r="M74" s="2">
        <v>925000</v>
      </c>
      <c r="N74" s="2">
        <v>6</v>
      </c>
      <c r="O74" s="2">
        <v>4</v>
      </c>
      <c r="P74" s="2">
        <v>3100</v>
      </c>
      <c r="Q74" s="2">
        <v>915800</v>
      </c>
      <c r="R74" s="2"/>
      <c r="S74" s="2">
        <v>551700</v>
      </c>
      <c r="T74" s="2">
        <v>110.96518518518521</v>
      </c>
      <c r="U74" t="s">
        <v>24</v>
      </c>
      <c r="V74" s="2">
        <v>298.38709677419348</v>
      </c>
      <c r="W74" s="2">
        <v>256.94444444444451</v>
      </c>
      <c r="X74" s="2">
        <v>454.79166666666669</v>
      </c>
      <c r="Y74" s="2">
        <v>331.45833333333331</v>
      </c>
      <c r="Z74" s="2">
        <v>4476.6159726531923</v>
      </c>
      <c r="AA74" s="2">
        <v>5262.8659726531923</v>
      </c>
      <c r="AB74">
        <f>(M74&gt;Pivot!$Q$1)*1</f>
        <v>1</v>
      </c>
    </row>
    <row r="75" spans="1:28" x14ac:dyDescent="0.35">
      <c r="A75" t="s">
        <v>84</v>
      </c>
      <c r="B75" t="s">
        <v>19</v>
      </c>
      <c r="C75" t="s">
        <v>20</v>
      </c>
      <c r="D75" t="s">
        <v>20</v>
      </c>
      <c r="E75" t="s">
        <v>26</v>
      </c>
      <c r="F75" t="s">
        <v>85</v>
      </c>
      <c r="G75" t="s">
        <v>43</v>
      </c>
      <c r="H75" t="s">
        <v>24</v>
      </c>
      <c r="I75" t="s">
        <v>25</v>
      </c>
      <c r="J75">
        <v>40.740906000000003</v>
      </c>
      <c r="K75">
        <v>-111.86</v>
      </c>
      <c r="L75" t="s">
        <v>86</v>
      </c>
      <c r="M75" s="2">
        <v>799000</v>
      </c>
      <c r="N75" s="2">
        <v>3</v>
      </c>
      <c r="O75" s="2">
        <v>3</v>
      </c>
      <c r="P75" s="2">
        <v>2154</v>
      </c>
      <c r="Q75" s="2">
        <v>777600</v>
      </c>
      <c r="R75" s="2">
        <v>2118</v>
      </c>
      <c r="S75" s="2">
        <v>533300</v>
      </c>
      <c r="T75" s="2">
        <v>288.06585648148149</v>
      </c>
      <c r="U75" t="s">
        <v>24</v>
      </c>
      <c r="V75" s="2">
        <v>370.93779015784588</v>
      </c>
      <c r="W75" s="2">
        <v>443.88888888888891</v>
      </c>
      <c r="X75" s="2">
        <v>392.84166666666658</v>
      </c>
      <c r="Y75" s="2">
        <v>286.30833333333328</v>
      </c>
      <c r="Z75" s="2">
        <v>3866.828283405298</v>
      </c>
      <c r="AA75" s="2">
        <v>4545.9782834052976</v>
      </c>
      <c r="AB75">
        <f>(M75&gt;Pivot!$Q$1)*1</f>
        <v>1</v>
      </c>
    </row>
    <row r="76" spans="1:28" x14ac:dyDescent="0.35">
      <c r="A76" t="s">
        <v>436</v>
      </c>
      <c r="B76" t="s">
        <v>19</v>
      </c>
      <c r="C76" t="s">
        <v>20</v>
      </c>
      <c r="D76" t="s">
        <v>20</v>
      </c>
      <c r="E76" t="s">
        <v>26</v>
      </c>
      <c r="F76" t="s">
        <v>437</v>
      </c>
      <c r="G76" t="s">
        <v>38</v>
      </c>
      <c r="H76" t="s">
        <v>24</v>
      </c>
      <c r="I76" t="s">
        <v>25</v>
      </c>
      <c r="J76">
        <v>40.750140000000002</v>
      </c>
      <c r="K76">
        <v>-111.880486</v>
      </c>
      <c r="L76" t="s">
        <v>438</v>
      </c>
      <c r="M76" s="2">
        <v>824900</v>
      </c>
      <c r="N76" s="2">
        <v>4</v>
      </c>
      <c r="O76" s="2">
        <v>4</v>
      </c>
      <c r="P76" s="2">
        <v>2306</v>
      </c>
      <c r="Q76" s="2">
        <v>800900</v>
      </c>
      <c r="R76" s="2">
        <v>2195</v>
      </c>
      <c r="S76" s="2">
        <v>607500</v>
      </c>
      <c r="T76" s="2">
        <v>59.064247685185187</v>
      </c>
      <c r="U76" t="s">
        <v>24</v>
      </c>
      <c r="V76" s="2">
        <v>357.71899392888122</v>
      </c>
      <c r="W76" s="2">
        <v>343.70833333333331</v>
      </c>
      <c r="X76" s="2">
        <v>405.57583333333332</v>
      </c>
      <c r="Y76" s="2">
        <v>295.5891666666667</v>
      </c>
      <c r="Z76" s="2">
        <v>3992.1735306395881</v>
      </c>
      <c r="AA76" s="2">
        <v>4693.3385306395876</v>
      </c>
      <c r="AB76">
        <f>(M76&gt;Pivot!$Q$1)*1</f>
        <v>1</v>
      </c>
    </row>
    <row r="77" spans="1:28" x14ac:dyDescent="0.35">
      <c r="A77" t="s">
        <v>78</v>
      </c>
      <c r="B77" t="s">
        <v>19</v>
      </c>
      <c r="C77" t="s">
        <v>20</v>
      </c>
      <c r="D77" t="s">
        <v>20</v>
      </c>
      <c r="E77" t="s">
        <v>26</v>
      </c>
      <c r="F77" t="s">
        <v>79</v>
      </c>
      <c r="G77" t="s">
        <v>43</v>
      </c>
      <c r="H77" t="s">
        <v>24</v>
      </c>
      <c r="I77" t="s">
        <v>25</v>
      </c>
      <c r="J77">
        <v>40.727158000000003</v>
      </c>
      <c r="K77">
        <v>-111.86712</v>
      </c>
      <c r="L77" t="s">
        <v>80</v>
      </c>
      <c r="M77" s="2">
        <v>1149000</v>
      </c>
      <c r="N77" s="2">
        <v>6</v>
      </c>
      <c r="O77" s="2">
        <v>5</v>
      </c>
      <c r="P77" s="2">
        <v>4052</v>
      </c>
      <c r="Q77" s="2">
        <v>1106700</v>
      </c>
      <c r="R77" s="2">
        <v>3017</v>
      </c>
      <c r="S77" s="2">
        <v>1158700</v>
      </c>
      <c r="T77" s="2">
        <v>187.0645023148148</v>
      </c>
      <c r="U77" t="s">
        <v>24</v>
      </c>
      <c r="V77" s="2">
        <v>283.56367226061212</v>
      </c>
      <c r="W77" s="2">
        <v>319.16666666666669</v>
      </c>
      <c r="X77" s="2">
        <v>564.92499999999995</v>
      </c>
      <c r="Y77" s="2">
        <v>411.72500000000002</v>
      </c>
      <c r="Z77" s="2">
        <v>5560.6829757605601</v>
      </c>
      <c r="AA77" s="2">
        <v>6537.3329757605597</v>
      </c>
      <c r="AB77">
        <f>(M77&gt;Pivot!$Q$1)*1</f>
        <v>1</v>
      </c>
    </row>
    <row r="78" spans="1:28" x14ac:dyDescent="0.35">
      <c r="A78" t="s">
        <v>454</v>
      </c>
      <c r="B78" t="s">
        <v>19</v>
      </c>
      <c r="C78" t="s">
        <v>20</v>
      </c>
      <c r="D78" t="s">
        <v>20</v>
      </c>
      <c r="E78" t="s">
        <v>26</v>
      </c>
      <c r="F78" t="s">
        <v>455</v>
      </c>
      <c r="G78" t="s">
        <v>43</v>
      </c>
      <c r="H78" t="s">
        <v>24</v>
      </c>
      <c r="I78" t="s">
        <v>25</v>
      </c>
      <c r="J78">
        <v>40.740955</v>
      </c>
      <c r="K78">
        <v>-111.87247499999999</v>
      </c>
      <c r="L78" t="s">
        <v>456</v>
      </c>
      <c r="M78" s="2">
        <v>1100000</v>
      </c>
      <c r="N78" s="2">
        <v>6</v>
      </c>
      <c r="O78" s="2">
        <v>4</v>
      </c>
      <c r="P78" s="2">
        <v>2730</v>
      </c>
      <c r="Q78" s="2">
        <v>1061000</v>
      </c>
      <c r="R78" s="2">
        <v>2159</v>
      </c>
      <c r="S78" s="2"/>
      <c r="T78" s="2">
        <v>73.063252314814818</v>
      </c>
      <c r="U78" t="s">
        <v>24</v>
      </c>
      <c r="V78" s="2">
        <v>402.93040293040292</v>
      </c>
      <c r="W78" s="2">
        <v>305.55555555555549</v>
      </c>
      <c r="X78" s="2">
        <v>540.83333333333337</v>
      </c>
      <c r="Y78" s="2">
        <v>394.16666666666669</v>
      </c>
      <c r="Z78" s="2">
        <v>5323.5433188308234</v>
      </c>
      <c r="AA78" s="2">
        <v>6258.5433188308234</v>
      </c>
      <c r="AB78">
        <f>(M78&gt;Pivot!$Q$1)*1</f>
        <v>1</v>
      </c>
    </row>
    <row r="79" spans="1:28" x14ac:dyDescent="0.35">
      <c r="A79" t="s">
        <v>397</v>
      </c>
      <c r="B79" t="s">
        <v>19</v>
      </c>
      <c r="C79" t="s">
        <v>20</v>
      </c>
      <c r="D79" t="s">
        <v>20</v>
      </c>
      <c r="E79" t="s">
        <v>26</v>
      </c>
      <c r="F79" t="s">
        <v>398</v>
      </c>
      <c r="G79" t="s">
        <v>47</v>
      </c>
      <c r="H79" t="s">
        <v>27</v>
      </c>
      <c r="I79" t="s">
        <v>25</v>
      </c>
      <c r="J79">
        <v>40.710909999999998</v>
      </c>
      <c r="K79">
        <v>-111.96133</v>
      </c>
      <c r="L79" t="s">
        <v>399</v>
      </c>
      <c r="M79" s="2">
        <v>485000</v>
      </c>
      <c r="N79" s="2">
        <v>4</v>
      </c>
      <c r="O79" s="2">
        <v>2</v>
      </c>
      <c r="P79" s="2">
        <v>1374</v>
      </c>
      <c r="Q79" s="2">
        <v>484000</v>
      </c>
      <c r="R79" s="2">
        <v>1751</v>
      </c>
      <c r="S79" s="2">
        <v>375600</v>
      </c>
      <c r="T79" s="2">
        <v>24.06321759259259</v>
      </c>
      <c r="U79" t="s">
        <v>24</v>
      </c>
      <c r="V79" s="2">
        <v>352.98398835516741</v>
      </c>
      <c r="W79" s="2">
        <v>202.08333333333329</v>
      </c>
      <c r="X79" s="2">
        <v>238.45833333333329</v>
      </c>
      <c r="Y79" s="2">
        <v>173.79166666666671</v>
      </c>
      <c r="Z79" s="2">
        <v>2347.1986451208631</v>
      </c>
      <c r="AA79" s="2">
        <v>2759.4486451208631</v>
      </c>
      <c r="AB79">
        <f>(M79&gt;Pivot!$Q$1)*1</f>
        <v>0</v>
      </c>
    </row>
    <row r="80" spans="1:28" x14ac:dyDescent="0.35">
      <c r="A80" t="s">
        <v>96</v>
      </c>
      <c r="B80" t="s">
        <v>19</v>
      </c>
      <c r="C80" t="s">
        <v>20</v>
      </c>
      <c r="D80" t="s">
        <v>20</v>
      </c>
      <c r="E80" t="s">
        <v>26</v>
      </c>
      <c r="F80" t="s">
        <v>97</v>
      </c>
      <c r="G80" t="s">
        <v>37</v>
      </c>
      <c r="H80" t="s">
        <v>24</v>
      </c>
      <c r="I80" t="s">
        <v>25</v>
      </c>
      <c r="J80">
        <v>40.764270000000003</v>
      </c>
      <c r="K80">
        <v>-111.865906</v>
      </c>
      <c r="L80" t="s">
        <v>98</v>
      </c>
      <c r="M80" s="2">
        <v>1799000</v>
      </c>
      <c r="N80" s="2">
        <v>16</v>
      </c>
      <c r="O80" s="2">
        <v>8</v>
      </c>
      <c r="P80" s="2">
        <v>7793</v>
      </c>
      <c r="Q80" s="2"/>
      <c r="R80" s="2">
        <v>2041</v>
      </c>
      <c r="S80" s="2"/>
      <c r="T80" s="2">
        <v>187.08079861111111</v>
      </c>
      <c r="U80" t="s">
        <v>24</v>
      </c>
      <c r="V80" s="2">
        <v>230.84819709996151</v>
      </c>
      <c r="W80" s="2">
        <v>187.39583333333329</v>
      </c>
      <c r="X80" s="2">
        <v>884.50833333333333</v>
      </c>
      <c r="Y80" s="2">
        <v>644.64166666666665</v>
      </c>
      <c r="Z80" s="2">
        <v>8706.4131187060466</v>
      </c>
      <c r="AA80" s="2">
        <v>10235.56311870605</v>
      </c>
      <c r="AB80">
        <f>(M80&gt;Pivot!$Q$1)*1</f>
        <v>1</v>
      </c>
    </row>
    <row r="81" spans="1:28" x14ac:dyDescent="0.35">
      <c r="A81" t="s">
        <v>635</v>
      </c>
      <c r="B81" t="s">
        <v>19</v>
      </c>
      <c r="C81" t="s">
        <v>20</v>
      </c>
      <c r="D81" t="s">
        <v>20</v>
      </c>
      <c r="E81" t="s">
        <v>26</v>
      </c>
      <c r="F81" t="s">
        <v>636</v>
      </c>
      <c r="G81" t="s">
        <v>43</v>
      </c>
      <c r="H81" t="s">
        <v>24</v>
      </c>
      <c r="I81" t="s">
        <v>25</v>
      </c>
      <c r="J81">
        <v>40.742040000000003</v>
      </c>
      <c r="K81">
        <v>-111.86924</v>
      </c>
      <c r="L81" t="s">
        <v>637</v>
      </c>
      <c r="M81" s="2">
        <v>1300000</v>
      </c>
      <c r="N81" s="2">
        <v>6</v>
      </c>
      <c r="O81" s="2">
        <v>4</v>
      </c>
      <c r="P81" s="2">
        <v>3248</v>
      </c>
      <c r="Q81" s="2">
        <v>1256300</v>
      </c>
      <c r="R81" s="2">
        <v>3125</v>
      </c>
      <c r="S81" s="2"/>
      <c r="T81" s="2">
        <v>53.065358796296287</v>
      </c>
      <c r="U81" t="s">
        <v>24</v>
      </c>
      <c r="V81" s="2">
        <v>400.2463054187192</v>
      </c>
      <c r="W81" s="2">
        <v>361.11111111111109</v>
      </c>
      <c r="X81" s="2">
        <v>639.16666666666663</v>
      </c>
      <c r="Y81" s="2">
        <v>465.83333333333331</v>
      </c>
      <c r="Z81" s="2">
        <v>6291.460285890973</v>
      </c>
      <c r="AA81" s="2">
        <v>7396.460285890973</v>
      </c>
      <c r="AB81">
        <f>(M81&gt;Pivot!$Q$1)*1</f>
        <v>1</v>
      </c>
    </row>
    <row r="82" spans="1:28" x14ac:dyDescent="0.35">
      <c r="A82" t="s">
        <v>99</v>
      </c>
      <c r="B82" t="s">
        <v>19</v>
      </c>
      <c r="C82" t="s">
        <v>20</v>
      </c>
      <c r="D82" t="s">
        <v>20</v>
      </c>
      <c r="E82" t="s">
        <v>26</v>
      </c>
      <c r="F82" t="s">
        <v>100</v>
      </c>
      <c r="G82" t="s">
        <v>36</v>
      </c>
      <c r="H82" t="s">
        <v>24</v>
      </c>
      <c r="I82" t="s">
        <v>25</v>
      </c>
      <c r="J82">
        <v>40.780074999999997</v>
      </c>
      <c r="K82">
        <v>-111.89901999999999</v>
      </c>
      <c r="L82" t="s">
        <v>101</v>
      </c>
      <c r="M82" s="2">
        <v>835000</v>
      </c>
      <c r="N82" s="2">
        <v>6</v>
      </c>
      <c r="O82" s="2">
        <v>3</v>
      </c>
      <c r="P82" s="2">
        <v>3557</v>
      </c>
      <c r="Q82" s="2">
        <v>821100</v>
      </c>
      <c r="R82" s="2">
        <v>2245</v>
      </c>
      <c r="S82" s="2"/>
      <c r="T82" s="2">
        <v>213.06398148148151</v>
      </c>
      <c r="U82" t="s">
        <v>24</v>
      </c>
      <c r="V82" s="2">
        <v>234.74838346921561</v>
      </c>
      <c r="W82" s="2">
        <v>231.94444444444451</v>
      </c>
      <c r="X82" s="2">
        <v>410.54166666666669</v>
      </c>
      <c r="Y82" s="2">
        <v>299.20833333333331</v>
      </c>
      <c r="Z82" s="2">
        <v>4041.0533374761249</v>
      </c>
      <c r="AA82" s="2">
        <v>4750.8033374761253</v>
      </c>
      <c r="AB82">
        <f>(M82&gt;Pivot!$Q$1)*1</f>
        <v>1</v>
      </c>
    </row>
    <row r="83" spans="1:28" x14ac:dyDescent="0.35">
      <c r="A83" t="s">
        <v>87</v>
      </c>
      <c r="B83" t="s">
        <v>19</v>
      </c>
      <c r="C83" t="s">
        <v>20</v>
      </c>
      <c r="D83" t="s">
        <v>20</v>
      </c>
      <c r="E83" t="s">
        <v>26</v>
      </c>
      <c r="F83" t="s">
        <v>88</v>
      </c>
      <c r="G83" t="s">
        <v>38</v>
      </c>
      <c r="H83" t="s">
        <v>24</v>
      </c>
      <c r="I83" t="s">
        <v>25</v>
      </c>
      <c r="J83">
        <v>40.764446</v>
      </c>
      <c r="K83">
        <v>-111.88206</v>
      </c>
      <c r="L83" t="s">
        <v>89</v>
      </c>
      <c r="M83" s="2">
        <v>2300000</v>
      </c>
      <c r="N83" s="2">
        <v>20</v>
      </c>
      <c r="O83" s="2">
        <v>15</v>
      </c>
      <c r="P83" s="2">
        <v>7711</v>
      </c>
      <c r="Q83" s="2">
        <v>2214700</v>
      </c>
      <c r="R83" s="2"/>
      <c r="S83" s="2"/>
      <c r="T83" s="2">
        <v>207.0652199074074</v>
      </c>
      <c r="U83" t="s">
        <v>24</v>
      </c>
      <c r="V83" s="2">
        <v>298.27519128517702</v>
      </c>
      <c r="W83" s="2">
        <v>191.66666666666671</v>
      </c>
      <c r="X83" s="2">
        <v>1130.833333333333</v>
      </c>
      <c r="Y83" s="2">
        <v>824.16666666666663</v>
      </c>
      <c r="Z83" s="2">
        <v>11131.045121191721</v>
      </c>
      <c r="AA83" s="2">
        <v>13086.045121191721</v>
      </c>
      <c r="AB83">
        <f>(M83&gt;Pivot!$Q$1)*1</f>
        <v>1</v>
      </c>
    </row>
    <row r="84" spans="1:28" x14ac:dyDescent="0.35">
      <c r="A84" t="s">
        <v>472</v>
      </c>
      <c r="B84" t="s">
        <v>19</v>
      </c>
      <c r="C84" t="s">
        <v>20</v>
      </c>
      <c r="D84" t="s">
        <v>20</v>
      </c>
      <c r="E84" t="s">
        <v>26</v>
      </c>
      <c r="F84" t="s">
        <v>473</v>
      </c>
      <c r="G84" t="s">
        <v>46</v>
      </c>
      <c r="H84" t="s">
        <v>24</v>
      </c>
      <c r="I84" t="s">
        <v>25</v>
      </c>
      <c r="J84">
        <v>40.759697000000003</v>
      </c>
      <c r="K84">
        <v>-111.91641</v>
      </c>
      <c r="L84" t="s">
        <v>474</v>
      </c>
      <c r="M84" s="2">
        <v>789900</v>
      </c>
      <c r="N84" s="2">
        <v>7</v>
      </c>
      <c r="O84" s="2">
        <v>3</v>
      </c>
      <c r="P84" s="2">
        <v>3649</v>
      </c>
      <c r="Q84" s="2">
        <v>778400</v>
      </c>
      <c r="R84" s="2">
        <v>1645</v>
      </c>
      <c r="S84" s="2">
        <v>652000</v>
      </c>
      <c r="T84" s="2">
        <v>89.064444444444447</v>
      </c>
      <c r="U84" t="s">
        <v>24</v>
      </c>
      <c r="V84" s="2">
        <v>216.47026582625381</v>
      </c>
      <c r="W84" s="2">
        <v>188.07142857142861</v>
      </c>
      <c r="X84" s="2">
        <v>388.36750000000001</v>
      </c>
      <c r="Y84" s="2">
        <v>283.04750000000001</v>
      </c>
      <c r="Z84" s="2">
        <v>3822.788061404061</v>
      </c>
      <c r="AA84" s="2">
        <v>4494.2030614040614</v>
      </c>
      <c r="AB84">
        <f>(M84&gt;Pivot!$Q$1)*1</f>
        <v>1</v>
      </c>
    </row>
    <row r="85" spans="1:28" x14ac:dyDescent="0.35">
      <c r="A85" t="s">
        <v>638</v>
      </c>
      <c r="B85" t="s">
        <v>19</v>
      </c>
      <c r="C85" t="s">
        <v>20</v>
      </c>
      <c r="D85" t="s">
        <v>20</v>
      </c>
      <c r="E85" t="s">
        <v>26</v>
      </c>
      <c r="F85" t="s">
        <v>639</v>
      </c>
      <c r="G85" t="s">
        <v>37</v>
      </c>
      <c r="H85" t="s">
        <v>24</v>
      </c>
      <c r="I85" t="s">
        <v>25</v>
      </c>
      <c r="J85">
        <v>40.765487999999998</v>
      </c>
      <c r="K85">
        <v>-111.85766</v>
      </c>
      <c r="L85" t="s">
        <v>640</v>
      </c>
      <c r="M85" s="2">
        <v>5300000</v>
      </c>
      <c r="N85" s="2">
        <v>24</v>
      </c>
      <c r="O85" s="2">
        <v>23</v>
      </c>
      <c r="P85" s="2">
        <v>21780</v>
      </c>
      <c r="Q85" s="2">
        <v>4895400</v>
      </c>
      <c r="R85" s="2"/>
      <c r="S85" s="2"/>
      <c r="T85" s="2">
        <v>18.064363425925929</v>
      </c>
      <c r="U85" t="s">
        <v>24</v>
      </c>
      <c r="V85" s="2">
        <v>243.34251606978879</v>
      </c>
      <c r="W85" s="2">
        <v>368.05555555555549</v>
      </c>
      <c r="X85" s="2">
        <v>2605.833333333333</v>
      </c>
      <c r="Y85" s="2">
        <v>1899.166666666667</v>
      </c>
      <c r="Z85" s="2">
        <v>25649.799627093969</v>
      </c>
      <c r="AA85" s="2">
        <v>30154.799627093969</v>
      </c>
      <c r="AB85">
        <f>(M85&gt;Pivot!$Q$1)*1</f>
        <v>1</v>
      </c>
    </row>
    <row r="86" spans="1:28" x14ac:dyDescent="0.35">
      <c r="A86" t="s">
        <v>641</v>
      </c>
      <c r="B86" t="s">
        <v>19</v>
      </c>
      <c r="C86" t="s">
        <v>20</v>
      </c>
      <c r="D86" t="s">
        <v>20</v>
      </c>
      <c r="E86" t="s">
        <v>26</v>
      </c>
      <c r="F86" t="s">
        <v>642</v>
      </c>
      <c r="G86" t="s">
        <v>43</v>
      </c>
      <c r="H86" t="s">
        <v>24</v>
      </c>
      <c r="I86" t="s">
        <v>25</v>
      </c>
      <c r="J86">
        <v>40.734203000000001</v>
      </c>
      <c r="K86">
        <v>-111.86731</v>
      </c>
      <c r="L86" t="s">
        <v>643</v>
      </c>
      <c r="M86" s="2">
        <v>1550000</v>
      </c>
      <c r="N86" s="2">
        <v>9</v>
      </c>
      <c r="O86" s="2">
        <v>7</v>
      </c>
      <c r="P86" s="2">
        <v>4400</v>
      </c>
      <c r="Q86" s="2">
        <v>1448000</v>
      </c>
      <c r="R86" s="2"/>
      <c r="S86" s="2"/>
      <c r="T86" s="2">
        <v>33.063541666666673</v>
      </c>
      <c r="U86" t="s">
        <v>24</v>
      </c>
      <c r="V86" s="2">
        <v>352.27272727272731</v>
      </c>
      <c r="W86" s="2">
        <v>287.03703703703701</v>
      </c>
      <c r="X86" s="2">
        <v>762.08333333333337</v>
      </c>
      <c r="Y86" s="2">
        <v>555.41666666666663</v>
      </c>
      <c r="Z86" s="2">
        <v>7501.3564947161603</v>
      </c>
      <c r="AA86" s="2">
        <v>8818.8564947161613</v>
      </c>
      <c r="AB86">
        <f>(M86&gt;Pivot!$Q$1)*1</f>
        <v>1</v>
      </c>
    </row>
    <row r="87" spans="1:28" x14ac:dyDescent="0.35">
      <c r="A87" t="s">
        <v>391</v>
      </c>
      <c r="B87" t="s">
        <v>19</v>
      </c>
      <c r="C87" t="s">
        <v>20</v>
      </c>
      <c r="D87" t="s">
        <v>20</v>
      </c>
      <c r="E87" t="s">
        <v>26</v>
      </c>
      <c r="F87" t="s">
        <v>392</v>
      </c>
      <c r="G87" t="s">
        <v>43</v>
      </c>
      <c r="H87" t="s">
        <v>24</v>
      </c>
      <c r="I87" t="s">
        <v>25</v>
      </c>
      <c r="J87">
        <v>40.729750000000003</v>
      </c>
      <c r="K87">
        <v>-111.84547000000001</v>
      </c>
      <c r="L87" t="s">
        <v>393</v>
      </c>
      <c r="M87" s="2">
        <v>799900</v>
      </c>
      <c r="N87" s="2">
        <v>4</v>
      </c>
      <c r="O87" s="2">
        <v>2</v>
      </c>
      <c r="P87" s="2">
        <v>1975</v>
      </c>
      <c r="Q87" s="2">
        <v>785900</v>
      </c>
      <c r="R87" s="2">
        <v>2151</v>
      </c>
      <c r="S87" s="2">
        <v>523500</v>
      </c>
      <c r="T87" s="2">
        <v>108.0649421296296</v>
      </c>
      <c r="U87" t="s">
        <v>24</v>
      </c>
      <c r="V87" s="2">
        <v>405.01265822784808</v>
      </c>
      <c r="W87" s="2">
        <v>333.29166666666669</v>
      </c>
      <c r="X87" s="2">
        <v>393.28416666666658</v>
      </c>
      <c r="Y87" s="2">
        <v>286.63083333333333</v>
      </c>
      <c r="Z87" s="2">
        <v>3871.1839097570692</v>
      </c>
      <c r="AA87" s="2">
        <v>4551.0989097570691</v>
      </c>
      <c r="AB87">
        <f>(M87&gt;Pivot!$Q$1)*1</f>
        <v>1</v>
      </c>
    </row>
    <row r="88" spans="1:28" x14ac:dyDescent="0.35">
      <c r="A88" t="s">
        <v>644</v>
      </c>
      <c r="B88" t="s">
        <v>19</v>
      </c>
      <c r="C88" t="s">
        <v>20</v>
      </c>
      <c r="D88" t="s">
        <v>20</v>
      </c>
      <c r="E88" t="s">
        <v>26</v>
      </c>
      <c r="F88" t="s">
        <v>645</v>
      </c>
      <c r="G88" t="s">
        <v>43</v>
      </c>
      <c r="H88" t="s">
        <v>24</v>
      </c>
      <c r="I88" t="s">
        <v>25</v>
      </c>
      <c r="J88">
        <v>40.750549999999997</v>
      </c>
      <c r="K88">
        <v>-111.86999</v>
      </c>
      <c r="L88" t="s">
        <v>646</v>
      </c>
      <c r="M88" s="2">
        <v>1200000</v>
      </c>
      <c r="N88" s="2">
        <v>6</v>
      </c>
      <c r="O88" s="2">
        <v>5</v>
      </c>
      <c r="P88" s="2">
        <v>2856</v>
      </c>
      <c r="Q88" s="2">
        <v>1149700</v>
      </c>
      <c r="R88" s="2">
        <v>1678</v>
      </c>
      <c r="S88" s="2">
        <v>840090</v>
      </c>
      <c r="T88" s="2">
        <v>27.063449074074079</v>
      </c>
      <c r="U88" t="s">
        <v>24</v>
      </c>
      <c r="V88" s="2">
        <v>420.16806722689068</v>
      </c>
      <c r="W88" s="2">
        <v>333.33333333333331</v>
      </c>
      <c r="X88" s="2">
        <v>590</v>
      </c>
      <c r="Y88" s="2">
        <v>430</v>
      </c>
      <c r="Z88" s="2">
        <v>5807.5018023608991</v>
      </c>
      <c r="AA88" s="2">
        <v>6827.5018023608991</v>
      </c>
      <c r="AB88">
        <f>(M88&gt;Pivot!$Q$1)*1</f>
        <v>1</v>
      </c>
    </row>
    <row r="89" spans="1:28" x14ac:dyDescent="0.35">
      <c r="A89" t="s">
        <v>327</v>
      </c>
      <c r="B89" t="s">
        <v>19</v>
      </c>
      <c r="C89" t="s">
        <v>20</v>
      </c>
      <c r="D89" t="s">
        <v>20</v>
      </c>
      <c r="E89" t="s">
        <v>26</v>
      </c>
      <c r="F89" t="s">
        <v>328</v>
      </c>
      <c r="G89" t="s">
        <v>39</v>
      </c>
      <c r="H89" t="s">
        <v>24</v>
      </c>
      <c r="I89" t="s">
        <v>25</v>
      </c>
      <c r="J89">
        <v>40.702984000000001</v>
      </c>
      <c r="K89">
        <v>-111.88108</v>
      </c>
      <c r="L89" t="s">
        <v>329</v>
      </c>
      <c r="M89" s="2">
        <v>1125000</v>
      </c>
      <c r="N89" s="2">
        <v>8</v>
      </c>
      <c r="O89" s="2">
        <v>4</v>
      </c>
      <c r="P89" s="2">
        <v>2992</v>
      </c>
      <c r="Q89" s="2">
        <v>1101200</v>
      </c>
      <c r="R89" s="2">
        <v>1616</v>
      </c>
      <c r="S89" s="2">
        <v>955100</v>
      </c>
      <c r="T89" s="2">
        <v>156.06511574074071</v>
      </c>
      <c r="U89" t="s">
        <v>24</v>
      </c>
      <c r="V89" s="2">
        <v>376.00267379679138</v>
      </c>
      <c r="W89" s="2">
        <v>234.375</v>
      </c>
      <c r="X89" s="2">
        <v>553.125</v>
      </c>
      <c r="Y89" s="2">
        <v>403.125</v>
      </c>
      <c r="Z89" s="2">
        <v>5444.5329397133428</v>
      </c>
      <c r="AA89" s="2">
        <v>6400.7829397133428</v>
      </c>
      <c r="AB89">
        <f>(M89&gt;Pivot!$Q$1)*1</f>
        <v>1</v>
      </c>
    </row>
    <row r="90" spans="1:28" x14ac:dyDescent="0.35">
      <c r="A90" t="s">
        <v>647</v>
      </c>
      <c r="B90" t="s">
        <v>19</v>
      </c>
      <c r="C90" t="s">
        <v>20</v>
      </c>
      <c r="D90" t="s">
        <v>20</v>
      </c>
      <c r="E90" t="s">
        <v>26</v>
      </c>
      <c r="F90" t="s">
        <v>648</v>
      </c>
      <c r="G90" t="s">
        <v>37</v>
      </c>
      <c r="H90" t="s">
        <v>24</v>
      </c>
      <c r="I90" t="s">
        <v>25</v>
      </c>
      <c r="J90">
        <v>40.764015000000001</v>
      </c>
      <c r="K90">
        <v>-111.86609</v>
      </c>
      <c r="L90" t="s">
        <v>649</v>
      </c>
      <c r="M90" s="2">
        <v>699000</v>
      </c>
      <c r="N90" s="2">
        <v>7</v>
      </c>
      <c r="O90" s="2">
        <v>4</v>
      </c>
      <c r="P90" s="2">
        <v>2840</v>
      </c>
      <c r="Q90" s="2">
        <v>677300</v>
      </c>
      <c r="R90" s="2">
        <v>2064</v>
      </c>
      <c r="S90" s="2">
        <v>582700</v>
      </c>
      <c r="T90" s="2">
        <v>187.08079861111111</v>
      </c>
      <c r="U90" t="s">
        <v>24</v>
      </c>
      <c r="V90" s="2">
        <v>246.12676056338029</v>
      </c>
      <c r="W90" s="2">
        <v>166.42857142857139</v>
      </c>
      <c r="X90" s="2">
        <v>343.67500000000001</v>
      </c>
      <c r="Y90" s="2">
        <v>250.47499999999999</v>
      </c>
      <c r="Z90" s="2">
        <v>3382.8697998752241</v>
      </c>
      <c r="AA90" s="2">
        <v>3977.0197998752242</v>
      </c>
      <c r="AB90">
        <f>(M90&gt;Pivot!$Q$1)*1</f>
        <v>1</v>
      </c>
    </row>
    <row r="91" spans="1:28" x14ac:dyDescent="0.35">
      <c r="A91" t="s">
        <v>650</v>
      </c>
      <c r="B91" t="s">
        <v>19</v>
      </c>
      <c r="C91" t="s">
        <v>20</v>
      </c>
      <c r="D91" t="s">
        <v>20</v>
      </c>
      <c r="E91" t="s">
        <v>26</v>
      </c>
      <c r="F91" t="s">
        <v>651</v>
      </c>
      <c r="G91" t="s">
        <v>47</v>
      </c>
      <c r="H91" t="s">
        <v>27</v>
      </c>
      <c r="I91" t="s">
        <v>25</v>
      </c>
      <c r="J91">
        <v>40.688693999999998</v>
      </c>
      <c r="K91">
        <v>-111.959</v>
      </c>
      <c r="L91" t="s">
        <v>652</v>
      </c>
      <c r="M91" s="2">
        <v>800000</v>
      </c>
      <c r="N91" s="2">
        <v>6</v>
      </c>
      <c r="O91" s="2">
        <v>4</v>
      </c>
      <c r="P91" s="2">
        <v>3019</v>
      </c>
      <c r="Q91" s="2"/>
      <c r="R91" s="2">
        <v>1721</v>
      </c>
      <c r="S91" s="2">
        <v>377400</v>
      </c>
      <c r="T91" s="2">
        <v>44.046770833333333</v>
      </c>
      <c r="U91" t="s">
        <v>24</v>
      </c>
      <c r="V91" s="2">
        <v>264.98840675720442</v>
      </c>
      <c r="W91" s="2">
        <v>222.2222222222222</v>
      </c>
      <c r="X91" s="2">
        <v>393.33333333333331</v>
      </c>
      <c r="Y91" s="2">
        <v>286.66666666666669</v>
      </c>
      <c r="Z91" s="2">
        <v>3871.6678682405991</v>
      </c>
      <c r="AA91" s="2">
        <v>4551.6678682405991</v>
      </c>
      <c r="AB91">
        <f>(M91&gt;Pivot!$Q$1)*1</f>
        <v>1</v>
      </c>
    </row>
    <row r="92" spans="1:28" x14ac:dyDescent="0.35">
      <c r="A92" t="s">
        <v>330</v>
      </c>
      <c r="B92" t="s">
        <v>19</v>
      </c>
      <c r="C92" t="s">
        <v>20</v>
      </c>
      <c r="D92" t="s">
        <v>20</v>
      </c>
      <c r="E92" t="s">
        <v>26</v>
      </c>
      <c r="F92" t="s">
        <v>331</v>
      </c>
      <c r="G92" t="s">
        <v>37</v>
      </c>
      <c r="H92" t="s">
        <v>24</v>
      </c>
      <c r="I92" t="s">
        <v>25</v>
      </c>
      <c r="J92">
        <v>40.751567999999999</v>
      </c>
      <c r="K92">
        <v>-111.876274</v>
      </c>
      <c r="L92" t="s">
        <v>332</v>
      </c>
      <c r="M92" s="2">
        <v>1150000</v>
      </c>
      <c r="N92" s="2">
        <v>6</v>
      </c>
      <c r="O92" s="2">
        <v>5</v>
      </c>
      <c r="P92" s="2">
        <v>3525</v>
      </c>
      <c r="Q92" s="2">
        <v>1104500</v>
      </c>
      <c r="R92" s="2">
        <v>3002</v>
      </c>
      <c r="S92" s="2">
        <v>759280</v>
      </c>
      <c r="T92" s="2">
        <v>166.0634490740741</v>
      </c>
      <c r="U92" t="s">
        <v>24</v>
      </c>
      <c r="V92" s="2">
        <v>326.24113475177307</v>
      </c>
      <c r="W92" s="2">
        <v>319.44444444444451</v>
      </c>
      <c r="X92" s="2">
        <v>565.41666666666663</v>
      </c>
      <c r="Y92" s="2">
        <v>412.08333333333331</v>
      </c>
      <c r="Z92" s="2">
        <v>5565.5225605958613</v>
      </c>
      <c r="AA92" s="2">
        <v>6543.0225605958613</v>
      </c>
      <c r="AB92">
        <f>(M92&gt;Pivot!$Q$1)*1</f>
        <v>1</v>
      </c>
    </row>
    <row r="93" spans="1:28" x14ac:dyDescent="0.35">
      <c r="A93" t="s">
        <v>68</v>
      </c>
      <c r="B93" t="s">
        <v>19</v>
      </c>
      <c r="C93" t="s">
        <v>20</v>
      </c>
      <c r="D93" t="s">
        <v>20</v>
      </c>
      <c r="E93" t="s">
        <v>26</v>
      </c>
      <c r="F93" t="s">
        <v>69</v>
      </c>
      <c r="G93" t="s">
        <v>46</v>
      </c>
      <c r="H93" t="s">
        <v>24</v>
      </c>
      <c r="I93" t="s">
        <v>25</v>
      </c>
      <c r="J93">
        <v>40.742863</v>
      </c>
      <c r="K93">
        <v>-111.91367</v>
      </c>
      <c r="L93" t="s">
        <v>70</v>
      </c>
      <c r="M93" s="2">
        <v>460000</v>
      </c>
      <c r="N93" s="2">
        <v>4</v>
      </c>
      <c r="O93" s="2">
        <v>2</v>
      </c>
      <c r="P93" s="2">
        <v>1846</v>
      </c>
      <c r="Q93" s="2">
        <v>453700</v>
      </c>
      <c r="R93" s="2">
        <v>1825</v>
      </c>
      <c r="S93" s="2">
        <v>343300</v>
      </c>
      <c r="T93" s="2">
        <v>12.06355324074074</v>
      </c>
      <c r="U93" t="s">
        <v>24</v>
      </c>
      <c r="V93" s="2">
        <v>249.18743228602381</v>
      </c>
      <c r="W93" s="2">
        <v>191.66666666666671</v>
      </c>
      <c r="X93" s="2">
        <v>226.16666666666671</v>
      </c>
      <c r="Y93" s="2">
        <v>164.83333333333329</v>
      </c>
      <c r="Z93" s="2">
        <v>2226.2090242383442</v>
      </c>
      <c r="AA93" s="2">
        <v>2617.2090242383442</v>
      </c>
      <c r="AB93">
        <f>(M93&gt;Pivot!$Q$1)*1</f>
        <v>0</v>
      </c>
    </row>
    <row r="94" spans="1:28" x14ac:dyDescent="0.35">
      <c r="A94" t="s">
        <v>90</v>
      </c>
      <c r="B94" t="s">
        <v>19</v>
      </c>
      <c r="C94" t="s">
        <v>20</v>
      </c>
      <c r="D94" t="s">
        <v>20</v>
      </c>
      <c r="E94" t="s">
        <v>26</v>
      </c>
      <c r="F94" t="s">
        <v>91</v>
      </c>
      <c r="G94" t="s">
        <v>39</v>
      </c>
      <c r="H94" t="s">
        <v>24</v>
      </c>
      <c r="I94" t="s">
        <v>25</v>
      </c>
      <c r="J94">
        <v>40.737633000000002</v>
      </c>
      <c r="K94">
        <v>-111.88714</v>
      </c>
      <c r="L94" t="s">
        <v>92</v>
      </c>
      <c r="M94" s="2">
        <v>930000</v>
      </c>
      <c r="N94" s="2">
        <v>6</v>
      </c>
      <c r="O94" s="2">
        <v>4</v>
      </c>
      <c r="P94" s="2">
        <v>2726</v>
      </c>
      <c r="Q94" s="2">
        <v>920000</v>
      </c>
      <c r="R94" s="2">
        <v>2264</v>
      </c>
      <c r="S94" s="2">
        <v>836700</v>
      </c>
      <c r="T94" s="2">
        <v>199.06424768518519</v>
      </c>
      <c r="U94" t="s">
        <v>24</v>
      </c>
      <c r="V94" s="2">
        <v>341.15920763022751</v>
      </c>
      <c r="W94" s="2">
        <v>258.33333333333331</v>
      </c>
      <c r="X94" s="2">
        <v>457.25</v>
      </c>
      <c r="Y94" s="2">
        <v>333.25</v>
      </c>
      <c r="Z94" s="2">
        <v>4500.8138968296962</v>
      </c>
      <c r="AA94" s="2">
        <v>5291.3138968296962</v>
      </c>
      <c r="AB94">
        <f>(M94&gt;Pivot!$Q$1)*1</f>
        <v>1</v>
      </c>
    </row>
    <row r="95" spans="1:28" x14ac:dyDescent="0.35">
      <c r="A95" t="s">
        <v>93</v>
      </c>
      <c r="B95" t="s">
        <v>19</v>
      </c>
      <c r="C95" t="s">
        <v>20</v>
      </c>
      <c r="D95" t="s">
        <v>20</v>
      </c>
      <c r="E95" t="s">
        <v>26</v>
      </c>
      <c r="F95" t="s">
        <v>94</v>
      </c>
      <c r="G95" t="s">
        <v>37</v>
      </c>
      <c r="H95" t="s">
        <v>24</v>
      </c>
      <c r="I95" t="s">
        <v>25</v>
      </c>
      <c r="J95">
        <v>40.763240000000003</v>
      </c>
      <c r="K95">
        <v>-111.872055</v>
      </c>
      <c r="L95" t="s">
        <v>95</v>
      </c>
      <c r="M95" s="2">
        <v>2400000</v>
      </c>
      <c r="N95" s="2">
        <v>18</v>
      </c>
      <c r="O95" s="2">
        <v>14</v>
      </c>
      <c r="P95" s="2">
        <v>8176</v>
      </c>
      <c r="Q95" s="2">
        <v>2279000</v>
      </c>
      <c r="R95" s="2">
        <v>2052</v>
      </c>
      <c r="S95" s="2"/>
      <c r="T95" s="2">
        <v>261.06512731481479</v>
      </c>
      <c r="U95" t="s">
        <v>24</v>
      </c>
      <c r="V95" s="2">
        <v>293.54207436399219</v>
      </c>
      <c r="W95" s="2">
        <v>222.2222222222222</v>
      </c>
      <c r="X95" s="2">
        <v>1180</v>
      </c>
      <c r="Y95" s="2">
        <v>860</v>
      </c>
      <c r="Z95" s="2">
        <v>11615.0036047218</v>
      </c>
      <c r="AA95" s="2">
        <v>13655.0036047218</v>
      </c>
      <c r="AB95">
        <f>(M95&gt;Pivot!$Q$1)*1</f>
        <v>1</v>
      </c>
    </row>
    <row r="96" spans="1:28" x14ac:dyDescent="0.35">
      <c r="A96" t="s">
        <v>71</v>
      </c>
      <c r="B96" t="s">
        <v>19</v>
      </c>
      <c r="C96" t="s">
        <v>20</v>
      </c>
      <c r="D96" t="s">
        <v>20</v>
      </c>
      <c r="E96" t="s">
        <v>26</v>
      </c>
      <c r="F96" t="s">
        <v>72</v>
      </c>
      <c r="G96" t="s">
        <v>37</v>
      </c>
      <c r="H96" t="s">
        <v>24</v>
      </c>
      <c r="I96" t="s">
        <v>25</v>
      </c>
      <c r="J96">
        <v>40.760399999999997</v>
      </c>
      <c r="K96">
        <v>-111.857445</v>
      </c>
      <c r="L96" t="s">
        <v>73</v>
      </c>
      <c r="M96" s="2">
        <v>2300000</v>
      </c>
      <c r="N96" s="2">
        <v>16</v>
      </c>
      <c r="O96" s="2">
        <v>8</v>
      </c>
      <c r="P96" s="2">
        <v>9563</v>
      </c>
      <c r="Q96" s="2"/>
      <c r="R96" s="2">
        <v>1863</v>
      </c>
      <c r="S96" s="2"/>
      <c r="T96" s="2">
        <v>240.0634490740741</v>
      </c>
      <c r="U96" t="s">
        <v>24</v>
      </c>
      <c r="V96" s="2">
        <v>240.51030011502669</v>
      </c>
      <c r="W96" s="2">
        <v>239.58333333333329</v>
      </c>
      <c r="X96" s="2">
        <v>1130.833333333333</v>
      </c>
      <c r="Y96" s="2">
        <v>824.16666666666663</v>
      </c>
      <c r="Z96" s="2">
        <v>11131.045121191721</v>
      </c>
      <c r="AA96" s="2">
        <v>13086.045121191721</v>
      </c>
      <c r="AB96">
        <f>(M96&gt;Pivot!$Q$1)*1</f>
        <v>1</v>
      </c>
    </row>
    <row r="97" spans="1:28" x14ac:dyDescent="0.35">
      <c r="A97" t="s">
        <v>333</v>
      </c>
      <c r="B97" t="s">
        <v>19</v>
      </c>
      <c r="C97" t="s">
        <v>20</v>
      </c>
      <c r="D97" t="s">
        <v>20</v>
      </c>
      <c r="E97" t="s">
        <v>26</v>
      </c>
      <c r="F97" t="s">
        <v>334</v>
      </c>
      <c r="G97" t="s">
        <v>37</v>
      </c>
      <c r="H97" t="s">
        <v>24</v>
      </c>
      <c r="I97" t="s">
        <v>25</v>
      </c>
      <c r="J97">
        <v>40.765697000000003</v>
      </c>
      <c r="K97">
        <v>-111.86479</v>
      </c>
      <c r="L97" t="s">
        <v>335</v>
      </c>
      <c r="M97" s="2">
        <v>490000</v>
      </c>
      <c r="N97" s="2"/>
      <c r="O97" s="2"/>
      <c r="P97" s="2">
        <v>1</v>
      </c>
      <c r="Q97" s="2"/>
      <c r="R97" s="2"/>
      <c r="S97" s="2"/>
      <c r="T97" s="2">
        <v>157.06645833333329</v>
      </c>
      <c r="U97" t="s">
        <v>24</v>
      </c>
      <c r="V97" s="2">
        <v>490000</v>
      </c>
      <c r="W97" s="2">
        <v>816.66666666666663</v>
      </c>
      <c r="X97" s="2">
        <v>240.91666666666671</v>
      </c>
      <c r="Y97" s="2">
        <v>175.58333333333329</v>
      </c>
      <c r="Z97" s="2">
        <v>2371.396569297367</v>
      </c>
      <c r="AA97" s="2">
        <v>2787.896569297367</v>
      </c>
      <c r="AB97">
        <f>(M97&gt;Pivot!$Q$1)*1</f>
        <v>0</v>
      </c>
    </row>
    <row r="98" spans="1:28" x14ac:dyDescent="0.35">
      <c r="A98" t="s">
        <v>653</v>
      </c>
      <c r="B98" t="s">
        <v>19</v>
      </c>
      <c r="C98" t="s">
        <v>20</v>
      </c>
      <c r="D98" t="s">
        <v>20</v>
      </c>
      <c r="E98" t="s">
        <v>26</v>
      </c>
      <c r="F98" t="s">
        <v>654</v>
      </c>
      <c r="G98" t="s">
        <v>47</v>
      </c>
      <c r="H98" t="s">
        <v>27</v>
      </c>
      <c r="I98" t="s">
        <v>25</v>
      </c>
      <c r="J98">
        <v>40.716006999999998</v>
      </c>
      <c r="K98">
        <v>-111.942314</v>
      </c>
      <c r="L98" t="s">
        <v>655</v>
      </c>
      <c r="M98" s="2">
        <v>830000</v>
      </c>
      <c r="N98" s="2">
        <v>8</v>
      </c>
      <c r="O98" s="2">
        <v>4</v>
      </c>
      <c r="P98" s="2">
        <v>3372</v>
      </c>
      <c r="Q98" s="2">
        <v>807900</v>
      </c>
      <c r="R98" s="2">
        <v>1555</v>
      </c>
      <c r="S98" s="2">
        <v>527200</v>
      </c>
      <c r="T98" s="2">
        <v>26.06481481481481</v>
      </c>
      <c r="U98" t="s">
        <v>24</v>
      </c>
      <c r="V98" s="2">
        <v>246.14472123368921</v>
      </c>
      <c r="W98" s="2">
        <v>172.91666666666671</v>
      </c>
      <c r="X98" s="2">
        <v>408.08333333333331</v>
      </c>
      <c r="Y98" s="2">
        <v>297.41666666666669</v>
      </c>
      <c r="Z98" s="2">
        <v>4016.855413299621</v>
      </c>
      <c r="AA98" s="2">
        <v>4722.3554132996214</v>
      </c>
      <c r="AB98">
        <f>(M98&gt;Pivot!$Q$1)*1</f>
        <v>1</v>
      </c>
    </row>
    <row r="99" spans="1:28" x14ac:dyDescent="0.35">
      <c r="A99" t="s">
        <v>656</v>
      </c>
      <c r="B99" t="s">
        <v>19</v>
      </c>
      <c r="C99" t="s">
        <v>20</v>
      </c>
      <c r="D99" t="s">
        <v>20</v>
      </c>
      <c r="E99" t="s">
        <v>26</v>
      </c>
      <c r="F99" t="s">
        <v>657</v>
      </c>
      <c r="G99" t="s">
        <v>36</v>
      </c>
      <c r="H99" t="s">
        <v>24</v>
      </c>
      <c r="I99" t="s">
        <v>25</v>
      </c>
      <c r="J99">
        <v>40.786247000000003</v>
      </c>
      <c r="K99">
        <v>-111.89892999999999</v>
      </c>
      <c r="L99" t="s">
        <v>658</v>
      </c>
      <c r="M99" s="2">
        <v>5750000</v>
      </c>
      <c r="N99" s="2">
        <v>26</v>
      </c>
      <c r="O99" s="2">
        <v>23</v>
      </c>
      <c r="P99" s="2">
        <v>16800</v>
      </c>
      <c r="Q99" s="2">
        <v>5213400</v>
      </c>
      <c r="R99" s="2">
        <v>2189</v>
      </c>
      <c r="S99" s="2"/>
      <c r="T99" s="2">
        <v>33.06521990740741</v>
      </c>
      <c r="U99" t="s">
        <v>24</v>
      </c>
      <c r="V99" s="2">
        <v>342.26190476190482</v>
      </c>
      <c r="W99" s="2">
        <v>368.58974358974359</v>
      </c>
      <c r="X99" s="2">
        <v>2827.083333333333</v>
      </c>
      <c r="Y99" s="2">
        <v>2060.416666666667</v>
      </c>
      <c r="Z99" s="2">
        <v>27827.612802979311</v>
      </c>
      <c r="AA99" s="2">
        <v>32715.112802979311</v>
      </c>
      <c r="AB99">
        <f>(M99&gt;Pivot!$Q$1)*1</f>
        <v>1</v>
      </c>
    </row>
    <row r="100" spans="1:28" x14ac:dyDescent="0.35">
      <c r="A100" t="s">
        <v>659</v>
      </c>
      <c r="B100" t="s">
        <v>19</v>
      </c>
      <c r="C100" t="s">
        <v>20</v>
      </c>
      <c r="D100" t="s">
        <v>20</v>
      </c>
      <c r="E100" t="s">
        <v>26</v>
      </c>
      <c r="F100" t="s">
        <v>660</v>
      </c>
      <c r="G100" t="s">
        <v>48</v>
      </c>
      <c r="H100" t="s">
        <v>24</v>
      </c>
      <c r="I100" t="s">
        <v>25</v>
      </c>
      <c r="J100">
        <v>40.710537000000002</v>
      </c>
      <c r="K100">
        <v>-111.843346</v>
      </c>
      <c r="L100" t="s">
        <v>661</v>
      </c>
      <c r="M100" s="2">
        <v>779900</v>
      </c>
      <c r="N100" s="2">
        <v>4</v>
      </c>
      <c r="O100" s="2">
        <v>2</v>
      </c>
      <c r="P100" s="2">
        <v>1645</v>
      </c>
      <c r="Q100" s="2">
        <v>763700</v>
      </c>
      <c r="R100" s="2">
        <v>1877</v>
      </c>
      <c r="S100" s="2">
        <v>503600</v>
      </c>
      <c r="T100" s="2">
        <v>37.065347222222222</v>
      </c>
      <c r="U100" t="s">
        <v>24</v>
      </c>
      <c r="V100" s="2">
        <v>474.10334346504561</v>
      </c>
      <c r="W100" s="2">
        <v>324.95833333333331</v>
      </c>
      <c r="X100" s="2">
        <v>383.45083333333332</v>
      </c>
      <c r="Y100" s="2">
        <v>279.4641666666667</v>
      </c>
      <c r="Z100" s="2">
        <v>3774.3922130510541</v>
      </c>
      <c r="AA100" s="2">
        <v>4437.3072130510536</v>
      </c>
      <c r="AB100">
        <f>(M100&gt;Pivot!$Q$1)*1</f>
        <v>1</v>
      </c>
    </row>
    <row r="101" spans="1:28" x14ac:dyDescent="0.35">
      <c r="A101" t="s">
        <v>469</v>
      </c>
      <c r="B101" t="s">
        <v>19</v>
      </c>
      <c r="C101" t="s">
        <v>20</v>
      </c>
      <c r="D101" t="s">
        <v>20</v>
      </c>
      <c r="E101" t="s">
        <v>26</v>
      </c>
      <c r="F101" t="s">
        <v>470</v>
      </c>
      <c r="G101" t="s">
        <v>39</v>
      </c>
      <c r="H101" t="s">
        <v>24</v>
      </c>
      <c r="I101" t="s">
        <v>25</v>
      </c>
      <c r="J101">
        <v>40.695605999999998</v>
      </c>
      <c r="K101">
        <v>-111.87947</v>
      </c>
      <c r="L101" t="s">
        <v>471</v>
      </c>
      <c r="M101" s="2">
        <v>2200000</v>
      </c>
      <c r="N101" s="2">
        <v>18</v>
      </c>
      <c r="O101" s="2">
        <v>12</v>
      </c>
      <c r="P101" s="2">
        <v>8663</v>
      </c>
      <c r="Q101" s="2">
        <v>2003000</v>
      </c>
      <c r="R101" s="2">
        <v>1833</v>
      </c>
      <c r="S101" s="2">
        <v>567000</v>
      </c>
      <c r="T101" s="2">
        <v>167.0656134259259</v>
      </c>
      <c r="U101" t="s">
        <v>24</v>
      </c>
      <c r="V101" s="2">
        <v>253.95359575204901</v>
      </c>
      <c r="W101" s="2">
        <v>203.7037037037037</v>
      </c>
      <c r="X101" s="2">
        <v>1081.666666666667</v>
      </c>
      <c r="Y101" s="2">
        <v>788.33333333333337</v>
      </c>
      <c r="Z101" s="2">
        <v>10647.08663766165</v>
      </c>
      <c r="AA101" s="2">
        <v>12517.08663766165</v>
      </c>
      <c r="AB101">
        <f>(M101&gt;Pivot!$Q$1)*1</f>
        <v>1</v>
      </c>
    </row>
    <row r="102" spans="1:28" x14ac:dyDescent="0.35">
      <c r="A102" t="s">
        <v>460</v>
      </c>
      <c r="B102" t="s">
        <v>19</v>
      </c>
      <c r="C102" t="s">
        <v>20</v>
      </c>
      <c r="D102" t="s">
        <v>20</v>
      </c>
      <c r="E102" t="s">
        <v>26</v>
      </c>
      <c r="F102" t="s">
        <v>461</v>
      </c>
      <c r="G102" t="s">
        <v>43</v>
      </c>
      <c r="H102" t="s">
        <v>24</v>
      </c>
      <c r="I102" t="s">
        <v>25</v>
      </c>
      <c r="J102">
        <v>40.733756999999997</v>
      </c>
      <c r="K102">
        <v>-111.861664</v>
      </c>
      <c r="L102" t="s">
        <v>462</v>
      </c>
      <c r="M102" s="2">
        <v>1250000</v>
      </c>
      <c r="N102" s="2">
        <v>6</v>
      </c>
      <c r="O102" s="2">
        <v>6</v>
      </c>
      <c r="P102" s="2">
        <v>5215</v>
      </c>
      <c r="Q102" s="2">
        <v>1203400</v>
      </c>
      <c r="R102" s="2">
        <v>2712</v>
      </c>
      <c r="S102" s="2"/>
      <c r="T102" s="2">
        <v>104.06565972222219</v>
      </c>
      <c r="U102" t="s">
        <v>24</v>
      </c>
      <c r="V102" s="2">
        <v>239.69319271332691</v>
      </c>
      <c r="W102" s="2">
        <v>347.22222222222217</v>
      </c>
      <c r="X102" s="2">
        <v>614.58333333333337</v>
      </c>
      <c r="Y102" s="2">
        <v>447.91666666666669</v>
      </c>
      <c r="Z102" s="2">
        <v>6049.481044125936</v>
      </c>
      <c r="AA102" s="2">
        <v>7111.981044125936</v>
      </c>
      <c r="AB102">
        <f>(M102&gt;Pivot!$Q$1)*1</f>
        <v>1</v>
      </c>
    </row>
    <row r="103" spans="1:28" x14ac:dyDescent="0.35">
      <c r="A103" t="s">
        <v>662</v>
      </c>
      <c r="B103" t="s">
        <v>19</v>
      </c>
      <c r="C103" t="s">
        <v>20</v>
      </c>
      <c r="D103" t="s">
        <v>20</v>
      </c>
      <c r="E103" t="s">
        <v>26</v>
      </c>
      <c r="F103" t="s">
        <v>663</v>
      </c>
      <c r="G103" t="s">
        <v>39</v>
      </c>
      <c r="H103" t="s">
        <v>24</v>
      </c>
      <c r="I103" t="s">
        <v>25</v>
      </c>
      <c r="J103">
        <v>40.739310000000003</v>
      </c>
      <c r="K103">
        <v>-111.88208</v>
      </c>
      <c r="L103" t="s">
        <v>664</v>
      </c>
      <c r="M103" s="2">
        <v>2125000</v>
      </c>
      <c r="N103" s="2">
        <v>16</v>
      </c>
      <c r="O103" s="2">
        <v>8</v>
      </c>
      <c r="P103" s="2">
        <v>6986</v>
      </c>
      <c r="Q103" s="2">
        <v>2052200</v>
      </c>
      <c r="R103" s="2">
        <v>1554</v>
      </c>
      <c r="S103" s="2"/>
      <c r="T103" s="2">
        <v>41.063229166666673</v>
      </c>
      <c r="U103" t="s">
        <v>24</v>
      </c>
      <c r="V103" s="2">
        <v>304.17978814772403</v>
      </c>
      <c r="W103" s="2">
        <v>221.35416666666671</v>
      </c>
      <c r="X103" s="2">
        <v>1044.791666666667</v>
      </c>
      <c r="Y103" s="2">
        <v>761.45833333333337</v>
      </c>
      <c r="Z103" s="2">
        <v>10284.117775014091</v>
      </c>
      <c r="AA103" s="2">
        <v>12090.367775014091</v>
      </c>
      <c r="AB103">
        <f>(M103&gt;Pivot!$Q$1)*1</f>
        <v>1</v>
      </c>
    </row>
    <row r="104" spans="1:28" x14ac:dyDescent="0.35">
      <c r="A104" t="s">
        <v>466</v>
      </c>
      <c r="B104" t="s">
        <v>19</v>
      </c>
      <c r="C104" t="s">
        <v>20</v>
      </c>
      <c r="D104" t="s">
        <v>20</v>
      </c>
      <c r="E104" t="s">
        <v>26</v>
      </c>
      <c r="F104" t="s">
        <v>467</v>
      </c>
      <c r="G104" t="s">
        <v>39</v>
      </c>
      <c r="H104" t="s">
        <v>24</v>
      </c>
      <c r="I104" t="s">
        <v>25</v>
      </c>
      <c r="J104">
        <v>40.716132999999999</v>
      </c>
      <c r="K104">
        <v>-111.88236999999999</v>
      </c>
      <c r="L104" t="s">
        <v>468</v>
      </c>
      <c r="M104" s="2">
        <v>3800000</v>
      </c>
      <c r="N104" s="2">
        <v>23</v>
      </c>
      <c r="O104" s="2">
        <v>18</v>
      </c>
      <c r="P104" s="2">
        <v>12314</v>
      </c>
      <c r="Q104" s="2">
        <v>3486600</v>
      </c>
      <c r="R104" s="2">
        <v>1417</v>
      </c>
      <c r="S104" s="2"/>
      <c r="T104" s="2">
        <v>70.065729166666671</v>
      </c>
      <c r="U104" t="s">
        <v>24</v>
      </c>
      <c r="V104" s="2">
        <v>308.59184667857721</v>
      </c>
      <c r="W104" s="2">
        <v>275.36231884057969</v>
      </c>
      <c r="X104" s="2">
        <v>1868.333333333333</v>
      </c>
      <c r="Y104" s="2">
        <v>1361.666666666667</v>
      </c>
      <c r="Z104" s="2">
        <v>18390.42237414284</v>
      </c>
      <c r="AA104" s="2">
        <v>21620.42237414284</v>
      </c>
      <c r="AB104">
        <f>(M104&gt;Pivot!$Q$1)*1</f>
        <v>1</v>
      </c>
    </row>
    <row r="105" spans="1:28" x14ac:dyDescent="0.35">
      <c r="A105" t="s">
        <v>475</v>
      </c>
      <c r="B105" t="s">
        <v>19</v>
      </c>
      <c r="C105" t="s">
        <v>20</v>
      </c>
      <c r="D105" t="s">
        <v>20</v>
      </c>
      <c r="E105" t="s">
        <v>26</v>
      </c>
      <c r="F105" t="s">
        <v>476</v>
      </c>
      <c r="G105" t="s">
        <v>39</v>
      </c>
      <c r="H105" t="s">
        <v>24</v>
      </c>
      <c r="I105" t="s">
        <v>25</v>
      </c>
      <c r="J105">
        <v>40.70243</v>
      </c>
      <c r="K105">
        <v>-111.87799</v>
      </c>
      <c r="L105" t="s">
        <v>477</v>
      </c>
      <c r="M105" s="2">
        <v>725000</v>
      </c>
      <c r="N105" s="2">
        <v>4</v>
      </c>
      <c r="O105" s="2">
        <v>2</v>
      </c>
      <c r="P105" s="2">
        <v>1608</v>
      </c>
      <c r="Q105" s="2"/>
      <c r="R105" s="2">
        <v>2067</v>
      </c>
      <c r="S105" s="2">
        <v>390100</v>
      </c>
      <c r="T105" s="2">
        <v>281.06583333333327</v>
      </c>
      <c r="U105" t="s">
        <v>24</v>
      </c>
      <c r="V105" s="2">
        <v>450.87064676616922</v>
      </c>
      <c r="W105" s="2">
        <v>302.08333333333331</v>
      </c>
      <c r="X105" s="2">
        <v>356.45833333333331</v>
      </c>
      <c r="Y105" s="2">
        <v>259.79166666666669</v>
      </c>
      <c r="Z105" s="2">
        <v>3508.6990055930428</v>
      </c>
      <c r="AA105" s="2">
        <v>4124.9490055930428</v>
      </c>
      <c r="AB105">
        <f>(M105&gt;Pivot!$Q$1)*1</f>
        <v>1</v>
      </c>
    </row>
    <row r="106" spans="1:28" x14ac:dyDescent="0.35">
      <c r="A106" t="s">
        <v>323</v>
      </c>
      <c r="B106" t="s">
        <v>19</v>
      </c>
      <c r="C106" t="s">
        <v>20</v>
      </c>
      <c r="D106" t="s">
        <v>20</v>
      </c>
      <c r="E106" t="s">
        <v>26</v>
      </c>
      <c r="F106" t="s">
        <v>324</v>
      </c>
      <c r="G106" t="s">
        <v>38</v>
      </c>
      <c r="H106" t="s">
        <v>24</v>
      </c>
      <c r="I106" t="s">
        <v>25</v>
      </c>
      <c r="J106">
        <v>40.762577</v>
      </c>
      <c r="K106">
        <v>-111.87992</v>
      </c>
      <c r="L106" t="s">
        <v>325</v>
      </c>
      <c r="M106" s="2">
        <v>1530000</v>
      </c>
      <c r="N106" s="2">
        <v>9</v>
      </c>
      <c r="O106" s="2">
        <v>9</v>
      </c>
      <c r="P106" s="2">
        <v>3951</v>
      </c>
      <c r="Q106" s="2">
        <v>1394400</v>
      </c>
      <c r="R106" s="2"/>
      <c r="S106" s="2"/>
      <c r="T106" s="2">
        <v>178.0657291666667</v>
      </c>
      <c r="U106" t="s">
        <v>24</v>
      </c>
      <c r="V106" s="2">
        <v>387.24373576309802</v>
      </c>
      <c r="W106" s="2">
        <v>283.33333333333331</v>
      </c>
      <c r="X106" s="2">
        <v>752.25</v>
      </c>
      <c r="Y106" s="2">
        <v>548.25</v>
      </c>
      <c r="Z106" s="2">
        <v>7404.5647980101458</v>
      </c>
      <c r="AA106" s="2">
        <v>8705.0647980101458</v>
      </c>
      <c r="AB106">
        <f>(M106&gt;Pivot!$Q$1)*1</f>
        <v>1</v>
      </c>
    </row>
    <row r="107" spans="1:28" x14ac:dyDescent="0.35">
      <c r="A107" t="s">
        <v>451</v>
      </c>
      <c r="B107" t="s">
        <v>19</v>
      </c>
      <c r="C107" t="s">
        <v>20</v>
      </c>
      <c r="D107" t="s">
        <v>20</v>
      </c>
      <c r="E107" t="s">
        <v>26</v>
      </c>
      <c r="F107" t="s">
        <v>452</v>
      </c>
      <c r="G107" t="s">
        <v>47</v>
      </c>
      <c r="H107" t="s">
        <v>27</v>
      </c>
      <c r="I107" t="s">
        <v>25</v>
      </c>
      <c r="J107">
        <v>40.704169999999998</v>
      </c>
      <c r="K107">
        <v>-111.96131</v>
      </c>
      <c r="L107" t="s">
        <v>453</v>
      </c>
      <c r="M107" s="2">
        <v>869000</v>
      </c>
      <c r="N107" s="2">
        <v>7</v>
      </c>
      <c r="O107" s="2">
        <v>4</v>
      </c>
      <c r="P107" s="2">
        <v>3410</v>
      </c>
      <c r="Q107" s="2">
        <v>844500</v>
      </c>
      <c r="R107" s="2">
        <v>2303</v>
      </c>
      <c r="S107" s="2">
        <v>329800</v>
      </c>
      <c r="T107" s="2">
        <v>72.065578703703707</v>
      </c>
      <c r="U107" t="s">
        <v>24</v>
      </c>
      <c r="V107" s="2">
        <v>254.83870967741939</v>
      </c>
      <c r="W107" s="2">
        <v>206.9047619047619</v>
      </c>
      <c r="X107" s="2">
        <v>427.25833333333333</v>
      </c>
      <c r="Y107" s="2">
        <v>311.39166666666671</v>
      </c>
      <c r="Z107" s="2">
        <v>4205.5992218763504</v>
      </c>
      <c r="AA107" s="2">
        <v>4944.24922187635</v>
      </c>
      <c r="AB107">
        <f>(M107&gt;Pivot!$Q$1)*1</f>
        <v>1</v>
      </c>
    </row>
    <row r="108" spans="1:28" x14ac:dyDescent="0.35">
      <c r="A108" t="s">
        <v>481</v>
      </c>
      <c r="B108" t="s">
        <v>19</v>
      </c>
      <c r="C108" t="s">
        <v>20</v>
      </c>
      <c r="D108" t="s">
        <v>20</v>
      </c>
      <c r="E108" t="s">
        <v>26</v>
      </c>
      <c r="F108" t="s">
        <v>482</v>
      </c>
      <c r="G108" t="s">
        <v>39</v>
      </c>
      <c r="H108" t="s">
        <v>24</v>
      </c>
      <c r="I108" t="s">
        <v>25</v>
      </c>
      <c r="J108">
        <v>40.702682000000003</v>
      </c>
      <c r="K108">
        <v>-111.88231</v>
      </c>
      <c r="L108" t="s">
        <v>483</v>
      </c>
      <c r="M108" s="2">
        <v>1550000</v>
      </c>
      <c r="N108" s="2">
        <v>8</v>
      </c>
      <c r="O108" s="2">
        <v>8</v>
      </c>
      <c r="P108" s="2">
        <v>4160</v>
      </c>
      <c r="Q108" s="2">
        <v>1495100</v>
      </c>
      <c r="R108" s="2">
        <v>1470</v>
      </c>
      <c r="S108" s="2">
        <v>567900</v>
      </c>
      <c r="T108" s="2">
        <v>97.06583333333333</v>
      </c>
      <c r="U108" t="s">
        <v>24</v>
      </c>
      <c r="V108" s="2">
        <v>372.59615384615392</v>
      </c>
      <c r="W108" s="2">
        <v>322.91666666666669</v>
      </c>
      <c r="X108" s="2">
        <v>762.08333333333337</v>
      </c>
      <c r="Y108" s="2">
        <v>555.41666666666663</v>
      </c>
      <c r="Z108" s="2">
        <v>7501.3564947161603</v>
      </c>
      <c r="AA108" s="2">
        <v>8818.8564947161613</v>
      </c>
      <c r="AB108">
        <f>(M108&gt;Pivot!$Q$1)*1</f>
        <v>1</v>
      </c>
    </row>
    <row r="109" spans="1:28" x14ac:dyDescent="0.35">
      <c r="A109" t="s">
        <v>412</v>
      </c>
      <c r="B109" t="s">
        <v>19</v>
      </c>
      <c r="C109" t="s">
        <v>20</v>
      </c>
      <c r="D109" t="s">
        <v>20</v>
      </c>
      <c r="E109" t="s">
        <v>26</v>
      </c>
      <c r="F109" t="s">
        <v>413</v>
      </c>
      <c r="G109" t="s">
        <v>39</v>
      </c>
      <c r="H109" t="s">
        <v>24</v>
      </c>
      <c r="I109" t="s">
        <v>25</v>
      </c>
      <c r="J109">
        <v>40.700085000000001</v>
      </c>
      <c r="K109">
        <v>-111.87787</v>
      </c>
      <c r="L109" t="s">
        <v>414</v>
      </c>
      <c r="M109" s="2">
        <v>1200000</v>
      </c>
      <c r="N109" s="2">
        <v>3</v>
      </c>
      <c r="O109" s="2">
        <v>3</v>
      </c>
      <c r="P109" s="2">
        <v>4115</v>
      </c>
      <c r="Q109" s="2"/>
      <c r="R109" s="2">
        <v>2270</v>
      </c>
      <c r="S109" s="2"/>
      <c r="T109" s="2">
        <v>124.0652314814815</v>
      </c>
      <c r="U109" t="s">
        <v>24</v>
      </c>
      <c r="V109" s="2">
        <v>291.61603888213853</v>
      </c>
      <c r="W109" s="2">
        <v>666.66666666666663</v>
      </c>
      <c r="X109" s="2">
        <v>590</v>
      </c>
      <c r="Y109" s="2">
        <v>430</v>
      </c>
      <c r="Z109" s="2">
        <v>5807.5018023608991</v>
      </c>
      <c r="AA109" s="2">
        <v>6827.5018023608991</v>
      </c>
      <c r="AB109">
        <f>(M109&gt;Pivot!$Q$1)*1</f>
        <v>1</v>
      </c>
    </row>
    <row r="110" spans="1:28" x14ac:dyDescent="0.35">
      <c r="A110" t="s">
        <v>478</v>
      </c>
      <c r="B110" t="s">
        <v>19</v>
      </c>
      <c r="C110" t="s">
        <v>20</v>
      </c>
      <c r="D110" t="s">
        <v>20</v>
      </c>
      <c r="E110" t="s">
        <v>26</v>
      </c>
      <c r="F110" t="s">
        <v>479</v>
      </c>
      <c r="G110" t="s">
        <v>39</v>
      </c>
      <c r="H110" t="s">
        <v>24</v>
      </c>
      <c r="I110" t="s">
        <v>25</v>
      </c>
      <c r="J110">
        <v>40.738460000000003</v>
      </c>
      <c r="K110">
        <v>-111.88434599999999</v>
      </c>
      <c r="L110" t="s">
        <v>480</v>
      </c>
      <c r="M110" s="2">
        <v>899000</v>
      </c>
      <c r="N110" s="2">
        <v>4</v>
      </c>
      <c r="O110" s="2">
        <v>4</v>
      </c>
      <c r="P110" s="2">
        <v>2403</v>
      </c>
      <c r="Q110" s="2">
        <v>893400</v>
      </c>
      <c r="R110" s="2">
        <v>2287</v>
      </c>
      <c r="S110" s="2"/>
      <c r="T110" s="2">
        <v>93.065601851851852</v>
      </c>
      <c r="U110" t="s">
        <v>24</v>
      </c>
      <c r="V110" s="2">
        <v>374.11568872243032</v>
      </c>
      <c r="W110" s="2">
        <v>374.58333333333331</v>
      </c>
      <c r="X110" s="2">
        <v>442.00833333333333</v>
      </c>
      <c r="Y110" s="2">
        <v>322.14166666666671</v>
      </c>
      <c r="Z110" s="2">
        <v>4350.7867669353727</v>
      </c>
      <c r="AA110" s="2">
        <v>5114.9367669353724</v>
      </c>
      <c r="AB110">
        <f>(M110&gt;Pivot!$Q$1)*1</f>
        <v>1</v>
      </c>
    </row>
    <row r="111" spans="1:28" x14ac:dyDescent="0.35">
      <c r="A111" t="s">
        <v>463</v>
      </c>
      <c r="B111" t="s">
        <v>19</v>
      </c>
      <c r="C111" t="s">
        <v>20</v>
      </c>
      <c r="D111" t="s">
        <v>20</v>
      </c>
      <c r="E111" t="s">
        <v>26</v>
      </c>
      <c r="F111" t="s">
        <v>464</v>
      </c>
      <c r="G111" t="s">
        <v>38</v>
      </c>
      <c r="H111" t="s">
        <v>24</v>
      </c>
      <c r="I111" t="s">
        <v>25</v>
      </c>
      <c r="J111">
        <v>40.743429999999996</v>
      </c>
      <c r="K111">
        <v>-111.88557</v>
      </c>
      <c r="L111" t="s">
        <v>465</v>
      </c>
      <c r="M111" s="2">
        <v>849900</v>
      </c>
      <c r="N111" s="2">
        <v>7</v>
      </c>
      <c r="O111" s="2">
        <v>4</v>
      </c>
      <c r="P111" s="2">
        <v>3134</v>
      </c>
      <c r="Q111" s="2">
        <v>813200</v>
      </c>
      <c r="R111" s="2">
        <v>2806</v>
      </c>
      <c r="S111" s="2">
        <v>503800</v>
      </c>
      <c r="T111" s="2">
        <v>86.06578703703704</v>
      </c>
      <c r="U111" t="s">
        <v>24</v>
      </c>
      <c r="V111" s="2">
        <v>271.1869814932993</v>
      </c>
      <c r="W111" s="2">
        <v>202.35714285714289</v>
      </c>
      <c r="X111" s="2">
        <v>417.86750000000001</v>
      </c>
      <c r="Y111" s="2">
        <v>304.54750000000001</v>
      </c>
      <c r="Z111" s="2">
        <v>4113.1631515221061</v>
      </c>
      <c r="AA111" s="2">
        <v>4835.5781515221061</v>
      </c>
      <c r="AB111">
        <f>(M111&gt;Pivot!$Q$1)*1</f>
        <v>1</v>
      </c>
    </row>
    <row r="112" spans="1:28" x14ac:dyDescent="0.35">
      <c r="A112" t="s">
        <v>487</v>
      </c>
      <c r="B112" t="s">
        <v>19</v>
      </c>
      <c r="C112" t="s">
        <v>20</v>
      </c>
      <c r="D112" t="s">
        <v>20</v>
      </c>
      <c r="E112" t="s">
        <v>26</v>
      </c>
      <c r="F112" t="s">
        <v>488</v>
      </c>
      <c r="G112" t="s">
        <v>39</v>
      </c>
      <c r="H112" t="s">
        <v>24</v>
      </c>
      <c r="I112" t="s">
        <v>25</v>
      </c>
      <c r="J112">
        <v>40.698753000000004</v>
      </c>
      <c r="K112">
        <v>-111.88248400000001</v>
      </c>
      <c r="L112" t="s">
        <v>489</v>
      </c>
      <c r="M112" s="2">
        <v>1200000</v>
      </c>
      <c r="N112" s="2">
        <v>8</v>
      </c>
      <c r="O112" s="2">
        <v>4</v>
      </c>
      <c r="P112" s="2">
        <v>3600</v>
      </c>
      <c r="Q112" s="2">
        <v>1163700</v>
      </c>
      <c r="R112" s="2">
        <v>2042</v>
      </c>
      <c r="S112" s="2">
        <v>841400</v>
      </c>
      <c r="T112" s="2">
        <v>95.06583333333333</v>
      </c>
      <c r="U112" t="s">
        <v>24</v>
      </c>
      <c r="V112" s="2">
        <v>333.33333333333331</v>
      </c>
      <c r="W112" s="2">
        <v>250</v>
      </c>
      <c r="X112" s="2">
        <v>590</v>
      </c>
      <c r="Y112" s="2">
        <v>430</v>
      </c>
      <c r="Z112" s="2">
        <v>5807.5018023608991</v>
      </c>
      <c r="AA112" s="2">
        <v>6827.5018023608991</v>
      </c>
      <c r="AB112">
        <f>(M112&gt;Pivot!$Q$1)*1</f>
        <v>1</v>
      </c>
    </row>
    <row r="113" spans="1:28" x14ac:dyDescent="0.35">
      <c r="A113" t="s">
        <v>400</v>
      </c>
      <c r="B113" t="s">
        <v>19</v>
      </c>
      <c r="C113" t="s">
        <v>20</v>
      </c>
      <c r="D113" t="s">
        <v>20</v>
      </c>
      <c r="E113" t="s">
        <v>26</v>
      </c>
      <c r="F113" t="s">
        <v>401</v>
      </c>
      <c r="G113" t="s">
        <v>39</v>
      </c>
      <c r="H113" t="s">
        <v>28</v>
      </c>
      <c r="I113" t="s">
        <v>25</v>
      </c>
      <c r="J113">
        <v>40.715183000000003</v>
      </c>
      <c r="K113">
        <v>-111.88566</v>
      </c>
      <c r="L113" t="s">
        <v>402</v>
      </c>
      <c r="M113" s="2">
        <v>605000</v>
      </c>
      <c r="N113" s="2">
        <v>3</v>
      </c>
      <c r="O113" s="2">
        <v>2</v>
      </c>
      <c r="P113" s="2">
        <v>1155</v>
      </c>
      <c r="Q113" s="2">
        <v>598300</v>
      </c>
      <c r="R113" s="2">
        <v>1765</v>
      </c>
      <c r="S113" s="2">
        <v>500100</v>
      </c>
      <c r="T113" s="2">
        <v>109.0656481481481</v>
      </c>
      <c r="U113" t="s">
        <v>24</v>
      </c>
      <c r="V113" s="2">
        <v>523.80952380952385</v>
      </c>
      <c r="W113" s="2">
        <v>336.11111111111109</v>
      </c>
      <c r="X113" s="2">
        <v>297.45833333333331</v>
      </c>
      <c r="Y113" s="2">
        <v>216.79166666666671</v>
      </c>
      <c r="Z113" s="2">
        <v>2927.948825356953</v>
      </c>
      <c r="AA113" s="2">
        <v>3442.198825356953</v>
      </c>
      <c r="AB113">
        <f>(M113&gt;Pivot!$Q$1)*1</f>
        <v>0</v>
      </c>
    </row>
    <row r="114" spans="1:28" x14ac:dyDescent="0.35">
      <c r="A114" t="s">
        <v>385</v>
      </c>
      <c r="B114" t="s">
        <v>19</v>
      </c>
      <c r="C114" t="s">
        <v>20</v>
      </c>
      <c r="D114" t="s">
        <v>20</v>
      </c>
      <c r="E114" t="s">
        <v>26</v>
      </c>
      <c r="F114" t="s">
        <v>386</v>
      </c>
      <c r="G114" t="s">
        <v>48</v>
      </c>
      <c r="H114" t="s">
        <v>24</v>
      </c>
      <c r="I114" t="s">
        <v>25</v>
      </c>
      <c r="J114">
        <v>40.716594999999998</v>
      </c>
      <c r="K114">
        <v>-111.86792</v>
      </c>
      <c r="L114" t="s">
        <v>387</v>
      </c>
      <c r="M114" s="2">
        <v>925000</v>
      </c>
      <c r="N114" s="2">
        <v>5</v>
      </c>
      <c r="O114" s="2">
        <v>3</v>
      </c>
      <c r="P114" s="2">
        <v>3036</v>
      </c>
      <c r="Q114" s="2"/>
      <c r="R114" s="2">
        <v>2344</v>
      </c>
      <c r="S114" s="2">
        <v>821800</v>
      </c>
      <c r="T114" s="2">
        <v>107.0654513888889</v>
      </c>
      <c r="U114" t="s">
        <v>24</v>
      </c>
      <c r="V114" s="2">
        <v>304.67720685111988</v>
      </c>
      <c r="W114" s="2">
        <v>308.33333333333331</v>
      </c>
      <c r="X114" s="2">
        <v>454.79166666666669</v>
      </c>
      <c r="Y114" s="2">
        <v>331.45833333333331</v>
      </c>
      <c r="Z114" s="2">
        <v>4476.6159726531923</v>
      </c>
      <c r="AA114" s="2">
        <v>5262.8659726531923</v>
      </c>
      <c r="AB114">
        <f>(M114&gt;Pivot!$Q$1)*1</f>
        <v>1</v>
      </c>
    </row>
    <row r="115" spans="1:28" x14ac:dyDescent="0.35">
      <c r="A115" t="s">
        <v>665</v>
      </c>
      <c r="B115" t="s">
        <v>19</v>
      </c>
      <c r="C115" t="s">
        <v>20</v>
      </c>
      <c r="D115" t="s">
        <v>20</v>
      </c>
      <c r="E115" t="s">
        <v>26</v>
      </c>
      <c r="F115" t="s">
        <v>666</v>
      </c>
      <c r="G115" t="s">
        <v>46</v>
      </c>
      <c r="H115" t="s">
        <v>24</v>
      </c>
      <c r="I115" t="s">
        <v>25</v>
      </c>
      <c r="J115">
        <v>40.763297999999999</v>
      </c>
      <c r="K115">
        <v>-111.91715000000001</v>
      </c>
      <c r="L115" t="s">
        <v>667</v>
      </c>
      <c r="M115" s="2">
        <v>445000</v>
      </c>
      <c r="N115" s="2">
        <v>2</v>
      </c>
      <c r="O115" s="2">
        <v>2</v>
      </c>
      <c r="P115" s="2">
        <v>1144</v>
      </c>
      <c r="Q115" s="2">
        <v>439100</v>
      </c>
      <c r="R115" s="2">
        <v>2194</v>
      </c>
      <c r="S115" s="2">
        <v>295800</v>
      </c>
      <c r="T115" s="2">
        <v>35.065300925925918</v>
      </c>
      <c r="U115" t="s">
        <v>24</v>
      </c>
      <c r="V115" s="2">
        <v>388.98601398601397</v>
      </c>
      <c r="W115" s="2">
        <v>370.83333333333331</v>
      </c>
      <c r="X115" s="2">
        <v>218.79166666666671</v>
      </c>
      <c r="Y115" s="2">
        <v>159.45833333333329</v>
      </c>
      <c r="Z115" s="2">
        <v>2153.6152517088331</v>
      </c>
      <c r="AA115" s="2">
        <v>2531.8652517088331</v>
      </c>
      <c r="AB115">
        <f>(M115&gt;Pivot!$Q$1)*1</f>
        <v>0</v>
      </c>
    </row>
    <row r="116" spans="1:28" x14ac:dyDescent="0.35">
      <c r="A116" t="s">
        <v>484</v>
      </c>
      <c r="B116" t="s">
        <v>19</v>
      </c>
      <c r="C116" t="s">
        <v>20</v>
      </c>
      <c r="D116" t="s">
        <v>20</v>
      </c>
      <c r="E116" t="s">
        <v>26</v>
      </c>
      <c r="F116" t="s">
        <v>485</v>
      </c>
      <c r="G116" t="s">
        <v>40</v>
      </c>
      <c r="H116" t="s">
        <v>24</v>
      </c>
      <c r="I116" t="s">
        <v>25</v>
      </c>
      <c r="J116">
        <v>40.775370000000002</v>
      </c>
      <c r="K116">
        <v>-111.94047500000001</v>
      </c>
      <c r="L116" t="s">
        <v>486</v>
      </c>
      <c r="M116" s="2">
        <v>2000000</v>
      </c>
      <c r="N116" s="2">
        <v>4</v>
      </c>
      <c r="O116" s="2">
        <v>4</v>
      </c>
      <c r="P116" s="2">
        <v>2800</v>
      </c>
      <c r="Q116" s="2">
        <v>1856300</v>
      </c>
      <c r="R116" s="2"/>
      <c r="S116" s="2"/>
      <c r="T116" s="2">
        <v>89.065810185185185</v>
      </c>
      <c r="U116" t="s">
        <v>24</v>
      </c>
      <c r="V116" s="2">
        <v>714.28571428571433</v>
      </c>
      <c r="W116" s="2">
        <v>833.33333333333337</v>
      </c>
      <c r="X116" s="2">
        <v>983.33333333333337</v>
      </c>
      <c r="Y116" s="2">
        <v>716.66666666666663</v>
      </c>
      <c r="Z116" s="2">
        <v>9679.1696706014973</v>
      </c>
      <c r="AA116" s="2">
        <v>11379.169670601499</v>
      </c>
      <c r="AB116">
        <f>(M116&gt;Pivot!$Q$1)*1</f>
        <v>1</v>
      </c>
    </row>
    <row r="117" spans="1:28" x14ac:dyDescent="0.35">
      <c r="A117" t="s">
        <v>490</v>
      </c>
      <c r="B117" t="s">
        <v>19</v>
      </c>
      <c r="C117" t="s">
        <v>20</v>
      </c>
      <c r="D117" t="s">
        <v>20</v>
      </c>
      <c r="E117" t="s">
        <v>26</v>
      </c>
      <c r="F117" t="s">
        <v>491</v>
      </c>
      <c r="G117" t="s">
        <v>40</v>
      </c>
      <c r="H117" t="s">
        <v>24</v>
      </c>
      <c r="I117" t="s">
        <v>25</v>
      </c>
      <c r="J117">
        <v>40.770879999999998</v>
      </c>
      <c r="K117">
        <v>-111.91804999999999</v>
      </c>
      <c r="L117" t="s">
        <v>492</v>
      </c>
      <c r="M117" s="2">
        <v>990000</v>
      </c>
      <c r="N117" s="2"/>
      <c r="O117" s="2"/>
      <c r="P117" s="2">
        <v>1</v>
      </c>
      <c r="Q117" s="2"/>
      <c r="R117" s="2"/>
      <c r="S117" s="2"/>
      <c r="T117" s="2">
        <v>115.0653240740741</v>
      </c>
      <c r="U117" t="s">
        <v>24</v>
      </c>
      <c r="V117" s="2">
        <v>990000</v>
      </c>
      <c r="W117" s="2">
        <v>1650</v>
      </c>
      <c r="X117" s="2">
        <v>486.75</v>
      </c>
      <c r="Y117" s="2">
        <v>354.75</v>
      </c>
      <c r="Z117" s="2">
        <v>4791.1889869477409</v>
      </c>
      <c r="AA117" s="2">
        <v>5632.6889869477409</v>
      </c>
      <c r="AB117">
        <f>(M117&gt;Pivot!$Q$1)*1</f>
        <v>1</v>
      </c>
    </row>
    <row r="118" spans="1:28" x14ac:dyDescent="0.35">
      <c r="A118" t="s">
        <v>668</v>
      </c>
      <c r="B118" t="s">
        <v>19</v>
      </c>
      <c r="C118" t="s">
        <v>20</v>
      </c>
      <c r="D118" t="s">
        <v>20</v>
      </c>
      <c r="E118" t="s">
        <v>26</v>
      </c>
      <c r="F118" t="s">
        <v>669</v>
      </c>
      <c r="G118" t="s">
        <v>43</v>
      </c>
      <c r="H118" t="s">
        <v>24</v>
      </c>
      <c r="I118" t="s">
        <v>25</v>
      </c>
      <c r="J118">
        <v>40.727609999999999</v>
      </c>
      <c r="K118">
        <v>-111.86702</v>
      </c>
      <c r="L118" t="s">
        <v>670</v>
      </c>
      <c r="M118" s="2">
        <v>1070000</v>
      </c>
      <c r="N118" s="2"/>
      <c r="O118" s="2"/>
      <c r="P118" s="2">
        <v>1</v>
      </c>
      <c r="Q118" s="2"/>
      <c r="R118" s="2">
        <v>1552</v>
      </c>
      <c r="S118" s="2">
        <v>1289300</v>
      </c>
      <c r="T118" s="2">
        <v>25.064745370370371</v>
      </c>
      <c r="U118" t="s">
        <v>24</v>
      </c>
      <c r="V118" s="2">
        <v>1070000</v>
      </c>
      <c r="W118" s="2">
        <v>1783.333333333333</v>
      </c>
      <c r="X118" s="2">
        <v>526.08333333333337</v>
      </c>
      <c r="Y118" s="2">
        <v>383.41666666666669</v>
      </c>
      <c r="Z118" s="2">
        <v>5178.3557737718011</v>
      </c>
      <c r="AA118" s="2">
        <v>6087.8557737718011</v>
      </c>
      <c r="AB118">
        <f>(M118&gt;Pivot!$Q$1)*1</f>
        <v>1</v>
      </c>
    </row>
    <row r="119" spans="1:28" x14ac:dyDescent="0.35">
      <c r="A119" t="s">
        <v>671</v>
      </c>
      <c r="B119" t="s">
        <v>19</v>
      </c>
      <c r="C119" t="s">
        <v>20</v>
      </c>
      <c r="D119" t="s">
        <v>20</v>
      </c>
      <c r="E119" t="s">
        <v>26</v>
      </c>
      <c r="F119" t="s">
        <v>672</v>
      </c>
      <c r="G119" t="s">
        <v>53</v>
      </c>
      <c r="H119" t="s">
        <v>51</v>
      </c>
      <c r="I119" t="s">
        <v>25</v>
      </c>
      <c r="J119">
        <v>40.263869999999997</v>
      </c>
      <c r="K119">
        <v>-111.67659</v>
      </c>
      <c r="L119" t="s">
        <v>673</v>
      </c>
      <c r="M119" s="2">
        <v>799900</v>
      </c>
      <c r="N119" s="2">
        <v>6</v>
      </c>
      <c r="O119" s="2">
        <v>4</v>
      </c>
      <c r="P119" s="2">
        <v>3232</v>
      </c>
      <c r="Q119" s="2">
        <v>770400</v>
      </c>
      <c r="R119" s="2">
        <v>1891</v>
      </c>
      <c r="S119" s="2">
        <v>585500</v>
      </c>
      <c r="T119" s="2">
        <v>1.177175925925926</v>
      </c>
      <c r="U119" t="s">
        <v>51</v>
      </c>
      <c r="V119" s="2">
        <v>247.49381188118809</v>
      </c>
      <c r="W119" s="2">
        <v>222.19444444444451</v>
      </c>
      <c r="X119" s="2">
        <v>299.96249999999998</v>
      </c>
      <c r="Y119" s="2">
        <v>286.63083333333333</v>
      </c>
      <c r="Z119" s="2">
        <v>3871.1839097570692</v>
      </c>
      <c r="AA119" s="2">
        <v>4457.7772430904024</v>
      </c>
      <c r="AB119">
        <f>(M119&gt;Pivot!$Q$1)*1</f>
        <v>1</v>
      </c>
    </row>
    <row r="120" spans="1:28" x14ac:dyDescent="0.35">
      <c r="A120" t="s">
        <v>674</v>
      </c>
      <c r="B120" t="s">
        <v>19</v>
      </c>
      <c r="C120" t="s">
        <v>20</v>
      </c>
      <c r="D120" t="s">
        <v>20</v>
      </c>
      <c r="E120" t="s">
        <v>26</v>
      </c>
      <c r="F120" t="s">
        <v>675</v>
      </c>
      <c r="G120" t="s">
        <v>50</v>
      </c>
      <c r="H120" t="s">
        <v>51</v>
      </c>
      <c r="I120" t="s">
        <v>25</v>
      </c>
      <c r="J120">
        <v>40.238906999999998</v>
      </c>
      <c r="K120">
        <v>-111.70005</v>
      </c>
      <c r="L120" t="s">
        <v>676</v>
      </c>
      <c r="M120" s="2">
        <v>400000</v>
      </c>
      <c r="N120" s="2">
        <v>3</v>
      </c>
      <c r="O120" s="2">
        <v>2</v>
      </c>
      <c r="P120" s="2">
        <v>1294</v>
      </c>
      <c r="Q120" s="2">
        <v>399400</v>
      </c>
      <c r="R120" s="2"/>
      <c r="S120" s="2"/>
      <c r="T120" s="2">
        <v>17.06424768518519</v>
      </c>
      <c r="U120" t="s">
        <v>51</v>
      </c>
      <c r="V120" s="2">
        <v>309.1190108191654</v>
      </c>
      <c r="W120" s="2">
        <v>222.2222222222222</v>
      </c>
      <c r="X120" s="2">
        <v>150</v>
      </c>
      <c r="Y120" s="2">
        <v>143.33333333333329</v>
      </c>
      <c r="Z120" s="2">
        <v>1935.8339341203</v>
      </c>
      <c r="AA120" s="2">
        <v>2229.167267453633</v>
      </c>
      <c r="AB120">
        <f>(M120&gt;Pivot!$Q$1)*1</f>
        <v>0</v>
      </c>
    </row>
    <row r="121" spans="1:28" x14ac:dyDescent="0.35">
      <c r="A121" t="s">
        <v>677</v>
      </c>
      <c r="B121" t="s">
        <v>19</v>
      </c>
      <c r="C121" t="s">
        <v>20</v>
      </c>
      <c r="D121" t="s">
        <v>20</v>
      </c>
      <c r="E121" t="s">
        <v>26</v>
      </c>
      <c r="F121" t="s">
        <v>678</v>
      </c>
      <c r="G121" t="s">
        <v>50</v>
      </c>
      <c r="H121" t="s">
        <v>51</v>
      </c>
      <c r="I121" t="s">
        <v>25</v>
      </c>
      <c r="J121">
        <v>40.230778000000001</v>
      </c>
      <c r="K121">
        <v>-111.66539</v>
      </c>
      <c r="L121" t="s">
        <v>679</v>
      </c>
      <c r="M121" s="2">
        <v>399900</v>
      </c>
      <c r="N121" s="2">
        <v>3</v>
      </c>
      <c r="O121" s="2">
        <v>2</v>
      </c>
      <c r="P121" s="2">
        <v>1804</v>
      </c>
      <c r="Q121" s="2"/>
      <c r="R121" s="2">
        <v>2059</v>
      </c>
      <c r="S121" s="2">
        <v>400900</v>
      </c>
      <c r="T121" s="2">
        <v>29.763900462962962</v>
      </c>
      <c r="U121" t="s">
        <v>51</v>
      </c>
      <c r="V121" s="2">
        <v>221.67405764966739</v>
      </c>
      <c r="W121" s="2">
        <v>222.16666666666671</v>
      </c>
      <c r="X121" s="2">
        <v>149.96250000000001</v>
      </c>
      <c r="Y121" s="2">
        <v>143.29750000000001</v>
      </c>
      <c r="Z121" s="2">
        <v>1935.3499756367689</v>
      </c>
      <c r="AA121" s="2">
        <v>2228.6099756367689</v>
      </c>
      <c r="AB121">
        <f>(M121&gt;Pivot!$Q$1)*1</f>
        <v>0</v>
      </c>
    </row>
    <row r="122" spans="1:28" x14ac:dyDescent="0.35">
      <c r="A122" t="s">
        <v>680</v>
      </c>
      <c r="B122" t="s">
        <v>19</v>
      </c>
      <c r="C122" t="s">
        <v>20</v>
      </c>
      <c r="D122" t="s">
        <v>20</v>
      </c>
      <c r="E122" t="s">
        <v>26</v>
      </c>
      <c r="F122" t="s">
        <v>681</v>
      </c>
      <c r="G122" t="s">
        <v>50</v>
      </c>
      <c r="H122" t="s">
        <v>51</v>
      </c>
      <c r="I122" t="s">
        <v>25</v>
      </c>
      <c r="J122">
        <v>40.231617</v>
      </c>
      <c r="K122">
        <v>-111.67399</v>
      </c>
      <c r="L122" t="s">
        <v>682</v>
      </c>
      <c r="M122" s="2">
        <v>495000</v>
      </c>
      <c r="N122" s="2">
        <v>3</v>
      </c>
      <c r="O122" s="2">
        <v>2</v>
      </c>
      <c r="P122" s="2">
        <v>1872</v>
      </c>
      <c r="Q122" s="2">
        <v>486200</v>
      </c>
      <c r="R122" s="2">
        <v>1280</v>
      </c>
      <c r="S122" s="2">
        <v>410500</v>
      </c>
      <c r="T122" s="2">
        <v>1.8396296296296299</v>
      </c>
      <c r="U122" t="s">
        <v>51</v>
      </c>
      <c r="V122" s="2">
        <v>264.42307692307691</v>
      </c>
      <c r="W122" s="2">
        <v>275</v>
      </c>
      <c r="X122" s="2">
        <v>185.625</v>
      </c>
      <c r="Y122" s="2">
        <v>177.375</v>
      </c>
      <c r="Z122" s="2">
        <v>2395.59449347387</v>
      </c>
      <c r="AA122" s="2">
        <v>2758.59449347387</v>
      </c>
      <c r="AB122">
        <f>(M122&gt;Pivot!$Q$1)*1</f>
        <v>0</v>
      </c>
    </row>
    <row r="123" spans="1:28" x14ac:dyDescent="0.35">
      <c r="A123" t="s">
        <v>683</v>
      </c>
      <c r="B123" t="s">
        <v>19</v>
      </c>
      <c r="C123" t="s">
        <v>20</v>
      </c>
      <c r="D123" t="s">
        <v>20</v>
      </c>
      <c r="E123" t="s">
        <v>26</v>
      </c>
      <c r="F123" t="s">
        <v>684</v>
      </c>
      <c r="G123" t="s">
        <v>52</v>
      </c>
      <c r="H123" t="s">
        <v>51</v>
      </c>
      <c r="I123" t="s">
        <v>25</v>
      </c>
      <c r="J123">
        <v>40.204773000000003</v>
      </c>
      <c r="K123">
        <v>-111.62407</v>
      </c>
      <c r="L123" t="s">
        <v>685</v>
      </c>
      <c r="M123" s="2">
        <v>1050000</v>
      </c>
      <c r="N123" s="2">
        <v>12</v>
      </c>
      <c r="O123" s="2">
        <v>4</v>
      </c>
      <c r="P123" s="2">
        <v>4658</v>
      </c>
      <c r="Q123" s="2">
        <v>1022000</v>
      </c>
      <c r="R123" s="2"/>
      <c r="S123" s="2"/>
      <c r="T123" s="2">
        <v>53.064224537037028</v>
      </c>
      <c r="U123" t="s">
        <v>51</v>
      </c>
      <c r="V123" s="2">
        <v>225.4186346071275</v>
      </c>
      <c r="W123" s="2">
        <v>145.83333333333329</v>
      </c>
      <c r="X123" s="2">
        <v>393.75</v>
      </c>
      <c r="Y123" s="2">
        <v>376.25</v>
      </c>
      <c r="Z123" s="2">
        <v>5081.5640770657856</v>
      </c>
      <c r="AA123" s="2">
        <v>5851.5640770657856</v>
      </c>
      <c r="AB123">
        <f>(M123&gt;Pivot!$Q$1)*1</f>
        <v>1</v>
      </c>
    </row>
    <row r="124" spans="1:28" x14ac:dyDescent="0.35">
      <c r="A124" t="s">
        <v>686</v>
      </c>
      <c r="B124" t="s">
        <v>19</v>
      </c>
      <c r="C124" t="s">
        <v>20</v>
      </c>
      <c r="D124" t="s">
        <v>20</v>
      </c>
      <c r="E124" t="s">
        <v>26</v>
      </c>
      <c r="F124" t="s">
        <v>687</v>
      </c>
      <c r="G124" t="s">
        <v>53</v>
      </c>
      <c r="H124" t="s">
        <v>51</v>
      </c>
      <c r="I124" t="s">
        <v>25</v>
      </c>
      <c r="J124">
        <v>40.260306999999997</v>
      </c>
      <c r="K124">
        <v>-111.67125</v>
      </c>
      <c r="L124" t="s">
        <v>688</v>
      </c>
      <c r="M124" s="2">
        <v>850000</v>
      </c>
      <c r="N124" s="2">
        <v>8</v>
      </c>
      <c r="O124" s="2">
        <v>4</v>
      </c>
      <c r="P124" s="2">
        <v>3300</v>
      </c>
      <c r="Q124" s="2">
        <v>810900</v>
      </c>
      <c r="R124" s="2">
        <v>1708</v>
      </c>
      <c r="S124" s="2">
        <v>616000</v>
      </c>
      <c r="T124" s="2">
        <v>1.988240740740741</v>
      </c>
      <c r="U124" t="s">
        <v>51</v>
      </c>
      <c r="V124" s="2">
        <v>257.57575757575762</v>
      </c>
      <c r="W124" s="2">
        <v>177.08333333333329</v>
      </c>
      <c r="X124" s="2">
        <v>318.74999999999989</v>
      </c>
      <c r="Y124" s="2">
        <v>304.58333333333331</v>
      </c>
      <c r="Z124" s="2">
        <v>4113.647110005636</v>
      </c>
      <c r="AA124" s="2">
        <v>4736.9804433389691</v>
      </c>
    </row>
    <row r="125" spans="1:28" x14ac:dyDescent="0.35">
      <c r="A125" t="s">
        <v>689</v>
      </c>
      <c r="B125" t="s">
        <v>19</v>
      </c>
      <c r="C125" t="s">
        <v>20</v>
      </c>
      <c r="D125" t="s">
        <v>20</v>
      </c>
      <c r="E125" t="s">
        <v>26</v>
      </c>
      <c r="F125" t="s">
        <v>690</v>
      </c>
      <c r="G125" t="s">
        <v>50</v>
      </c>
      <c r="H125" t="s">
        <v>51</v>
      </c>
      <c r="I125" t="s">
        <v>25</v>
      </c>
      <c r="J125">
        <v>40.230193999999997</v>
      </c>
      <c r="K125">
        <v>-111.67487</v>
      </c>
      <c r="L125" t="s">
        <v>691</v>
      </c>
      <c r="M125" s="2">
        <v>389900</v>
      </c>
      <c r="N125" s="2">
        <v>3</v>
      </c>
      <c r="O125" s="2">
        <v>2</v>
      </c>
      <c r="P125" s="2">
        <v>1368</v>
      </c>
      <c r="Q125" s="2"/>
      <c r="R125" s="2">
        <v>1626</v>
      </c>
      <c r="S125" s="2"/>
      <c r="T125" s="2">
        <v>1.8396296296296299</v>
      </c>
      <c r="U125" t="s">
        <v>51</v>
      </c>
      <c r="V125" s="2">
        <v>285.01461988304101</v>
      </c>
      <c r="W125" s="2">
        <v>216.61111111111109</v>
      </c>
      <c r="X125" s="2">
        <v>146.21250000000001</v>
      </c>
      <c r="Y125" s="2">
        <v>139.7141666666667</v>
      </c>
      <c r="Z125" s="2">
        <v>1886.9541272837621</v>
      </c>
      <c r="AA125" s="2">
        <v>2172.8807939504291</v>
      </c>
    </row>
    <row r="126" spans="1:28" x14ac:dyDescent="0.35">
      <c r="A126" t="s">
        <v>105</v>
      </c>
      <c r="B126" t="s">
        <v>19</v>
      </c>
      <c r="C126" t="s">
        <v>20</v>
      </c>
      <c r="D126" t="s">
        <v>20</v>
      </c>
      <c r="E126" t="s">
        <v>26</v>
      </c>
      <c r="F126" t="s">
        <v>106</v>
      </c>
      <c r="G126" t="s">
        <v>53</v>
      </c>
      <c r="H126" t="s">
        <v>51</v>
      </c>
      <c r="I126" t="s">
        <v>25</v>
      </c>
      <c r="J126">
        <v>40.271275000000003</v>
      </c>
      <c r="K126">
        <v>-111.65772</v>
      </c>
      <c r="L126" t="s">
        <v>107</v>
      </c>
      <c r="M126" s="2">
        <v>465000</v>
      </c>
      <c r="N126" s="2">
        <v>3</v>
      </c>
      <c r="O126" s="2">
        <v>3</v>
      </c>
      <c r="P126" s="2">
        <v>1947</v>
      </c>
      <c r="Q126" s="2">
        <v>464700</v>
      </c>
      <c r="R126" s="2">
        <v>1565</v>
      </c>
      <c r="S126" s="2">
        <v>459100</v>
      </c>
      <c r="T126" s="2">
        <v>34.064004629629629</v>
      </c>
      <c r="U126" t="s">
        <v>51</v>
      </c>
      <c r="V126" s="2">
        <v>238.828967642527</v>
      </c>
      <c r="W126" s="2">
        <v>258.33333333333331</v>
      </c>
      <c r="X126" s="2">
        <v>174.375</v>
      </c>
      <c r="Y126" s="2">
        <v>166.625</v>
      </c>
      <c r="Z126" s="2">
        <v>2250.4069484148481</v>
      </c>
      <c r="AA126" s="2">
        <v>2591.4069484148481</v>
      </c>
    </row>
    <row r="127" spans="1:28" x14ac:dyDescent="0.35">
      <c r="A127" t="s">
        <v>493</v>
      </c>
      <c r="B127" t="s">
        <v>19</v>
      </c>
      <c r="C127" t="s">
        <v>20</v>
      </c>
      <c r="D127" t="s">
        <v>20</v>
      </c>
      <c r="E127" t="s">
        <v>26</v>
      </c>
      <c r="F127" t="s">
        <v>494</v>
      </c>
      <c r="G127" t="s">
        <v>53</v>
      </c>
      <c r="H127" t="s">
        <v>51</v>
      </c>
      <c r="I127" t="s">
        <v>25</v>
      </c>
      <c r="J127">
        <v>40.247112000000001</v>
      </c>
      <c r="K127">
        <v>-111.69002</v>
      </c>
      <c r="L127" t="s">
        <v>495</v>
      </c>
      <c r="M127" s="2">
        <v>435000</v>
      </c>
      <c r="N127" s="2">
        <v>3</v>
      </c>
      <c r="O127" s="2">
        <v>2</v>
      </c>
      <c r="P127" s="2">
        <v>1236</v>
      </c>
      <c r="Q127" s="2">
        <v>430900</v>
      </c>
      <c r="R127" s="2">
        <v>1404</v>
      </c>
      <c r="S127" s="2">
        <v>354200</v>
      </c>
      <c r="T127" s="2">
        <v>86.065798611111106</v>
      </c>
      <c r="U127" t="s">
        <v>51</v>
      </c>
      <c r="V127" s="2">
        <v>351.94174757281547</v>
      </c>
      <c r="W127" s="2">
        <v>241.66666666666671</v>
      </c>
      <c r="X127" s="2">
        <v>163.125</v>
      </c>
      <c r="Y127" s="2">
        <v>155.875</v>
      </c>
      <c r="Z127" s="2">
        <v>2105.2194033558262</v>
      </c>
      <c r="AA127" s="2">
        <v>2424.2194033558262</v>
      </c>
    </row>
    <row r="128" spans="1:28" x14ac:dyDescent="0.35">
      <c r="A128" t="s">
        <v>692</v>
      </c>
      <c r="B128" t="s">
        <v>19</v>
      </c>
      <c r="C128" t="s">
        <v>20</v>
      </c>
      <c r="D128" t="s">
        <v>20</v>
      </c>
      <c r="E128" t="s">
        <v>26</v>
      </c>
      <c r="F128" t="s">
        <v>693</v>
      </c>
      <c r="G128" t="s">
        <v>52</v>
      </c>
      <c r="H128" t="s">
        <v>51</v>
      </c>
      <c r="I128" t="s">
        <v>25</v>
      </c>
      <c r="J128">
        <v>40.227245000000003</v>
      </c>
      <c r="K128">
        <v>-111.64981</v>
      </c>
      <c r="L128" t="s">
        <v>694</v>
      </c>
      <c r="M128" s="2">
        <v>909000</v>
      </c>
      <c r="N128" s="2">
        <v>4</v>
      </c>
      <c r="O128" s="2">
        <v>4</v>
      </c>
      <c r="P128" s="2">
        <v>2417</v>
      </c>
      <c r="Q128" s="2">
        <v>880200</v>
      </c>
      <c r="R128" s="2">
        <v>1296</v>
      </c>
      <c r="S128" s="2">
        <v>632300</v>
      </c>
      <c r="T128" s="2">
        <v>27.064479166666668</v>
      </c>
      <c r="U128" t="s">
        <v>51</v>
      </c>
      <c r="V128" s="2">
        <v>376.08605709557298</v>
      </c>
      <c r="W128" s="2">
        <v>378.75</v>
      </c>
      <c r="X128" s="2">
        <v>340.87499999999989</v>
      </c>
      <c r="Y128" s="2">
        <v>325.72500000000002</v>
      </c>
      <c r="Z128" s="2">
        <v>4399.1826152883796</v>
      </c>
      <c r="AA128" s="2">
        <v>5065.7826152883808</v>
      </c>
    </row>
    <row r="129" spans="1:27" x14ac:dyDescent="0.35">
      <c r="A129" t="s">
        <v>102</v>
      </c>
      <c r="B129" t="s">
        <v>19</v>
      </c>
      <c r="C129" t="s">
        <v>20</v>
      </c>
      <c r="D129" t="s">
        <v>20</v>
      </c>
      <c r="E129" t="s">
        <v>26</v>
      </c>
      <c r="F129" t="s">
        <v>103</v>
      </c>
      <c r="G129" t="s">
        <v>52</v>
      </c>
      <c r="H129" t="s">
        <v>51</v>
      </c>
      <c r="I129" t="s">
        <v>25</v>
      </c>
      <c r="J129">
        <v>40.239890000000003</v>
      </c>
      <c r="K129">
        <v>-111.65461999999999</v>
      </c>
      <c r="L129" t="s">
        <v>104</v>
      </c>
      <c r="M129" s="2">
        <v>847900</v>
      </c>
      <c r="N129" s="2">
        <v>7</v>
      </c>
      <c r="O129" s="2">
        <v>2</v>
      </c>
      <c r="P129" s="2">
        <v>2930</v>
      </c>
      <c r="Q129" s="2"/>
      <c r="R129" s="2">
        <v>1508</v>
      </c>
      <c r="S129" s="2">
        <v>587300</v>
      </c>
      <c r="T129" s="2">
        <v>185.0647222222222</v>
      </c>
      <c r="U129" t="s">
        <v>51</v>
      </c>
      <c r="V129" s="2">
        <v>289.38566552901023</v>
      </c>
      <c r="W129" s="2">
        <v>201.88095238095241</v>
      </c>
      <c r="X129" s="2">
        <v>317.96249999999998</v>
      </c>
      <c r="Y129" s="2">
        <v>303.83083333333332</v>
      </c>
      <c r="Z129" s="2">
        <v>4103.4839818515047</v>
      </c>
      <c r="AA129" s="2">
        <v>4725.2773151848378</v>
      </c>
    </row>
    <row r="130" spans="1:27" x14ac:dyDescent="0.35">
      <c r="A130" t="s">
        <v>108</v>
      </c>
      <c r="B130" t="s">
        <v>19</v>
      </c>
      <c r="C130" t="s">
        <v>20</v>
      </c>
      <c r="D130" t="s">
        <v>20</v>
      </c>
      <c r="E130" t="s">
        <v>26</v>
      </c>
      <c r="F130" t="s">
        <v>109</v>
      </c>
      <c r="G130" t="s">
        <v>52</v>
      </c>
      <c r="H130" t="s">
        <v>51</v>
      </c>
      <c r="I130" t="s">
        <v>25</v>
      </c>
      <c r="J130">
        <v>40.231437999999997</v>
      </c>
      <c r="K130">
        <v>-111.65384</v>
      </c>
      <c r="L130" t="s">
        <v>110</v>
      </c>
      <c r="M130" s="2">
        <v>925000</v>
      </c>
      <c r="N130" s="2">
        <v>8</v>
      </c>
      <c r="O130" s="2">
        <v>4</v>
      </c>
      <c r="P130" s="2">
        <v>4716</v>
      </c>
      <c r="Q130" s="2"/>
      <c r="R130" s="2">
        <v>2363</v>
      </c>
      <c r="S130" s="2">
        <v>734300</v>
      </c>
      <c r="T130" s="2">
        <v>208.0656712962963</v>
      </c>
      <c r="U130" t="s">
        <v>51</v>
      </c>
      <c r="V130" s="2">
        <v>196.14079728583539</v>
      </c>
      <c r="W130" s="2">
        <v>192.70833333333329</v>
      </c>
      <c r="X130" s="2">
        <v>346.875</v>
      </c>
      <c r="Y130" s="2">
        <v>331.45833333333331</v>
      </c>
      <c r="Z130" s="2">
        <v>4476.6159726531923</v>
      </c>
      <c r="AA130" s="2">
        <v>5154.9493059865254</v>
      </c>
    </row>
    <row r="131" spans="1:27" x14ac:dyDescent="0.35">
      <c r="A131" t="s">
        <v>415</v>
      </c>
      <c r="B131" t="s">
        <v>19</v>
      </c>
      <c r="C131" t="s">
        <v>20</v>
      </c>
      <c r="D131" t="s">
        <v>20</v>
      </c>
      <c r="E131" t="s">
        <v>26</v>
      </c>
      <c r="F131" t="s">
        <v>416</v>
      </c>
      <c r="G131" t="s">
        <v>52</v>
      </c>
      <c r="H131" t="s">
        <v>51</v>
      </c>
      <c r="I131" t="s">
        <v>25</v>
      </c>
      <c r="J131">
        <v>40.218110000000003</v>
      </c>
      <c r="K131">
        <v>-111.61442599999999</v>
      </c>
      <c r="L131" t="s">
        <v>417</v>
      </c>
      <c r="M131" s="2">
        <v>700000</v>
      </c>
      <c r="N131" s="2">
        <v>2</v>
      </c>
      <c r="O131" s="2">
        <v>2</v>
      </c>
      <c r="P131" s="2">
        <v>2200</v>
      </c>
      <c r="Q131" s="2">
        <v>689000</v>
      </c>
      <c r="R131" s="2">
        <v>1769</v>
      </c>
      <c r="S131" s="2">
        <v>410200</v>
      </c>
      <c r="T131" s="2">
        <v>127.06511574074069</v>
      </c>
      <c r="U131" t="s">
        <v>51</v>
      </c>
      <c r="V131" s="2">
        <v>318.18181818181819</v>
      </c>
      <c r="W131" s="2">
        <v>583.33333333333337</v>
      </c>
      <c r="X131" s="2">
        <v>262.49999999999989</v>
      </c>
      <c r="Y131" s="2">
        <v>250.83333333333329</v>
      </c>
      <c r="Z131" s="2">
        <v>3387.7093847105239</v>
      </c>
      <c r="AA131" s="2">
        <v>3901.0427180438569</v>
      </c>
    </row>
    <row r="132" spans="1:27" x14ac:dyDescent="0.35">
      <c r="A132" t="s">
        <v>497</v>
      </c>
      <c r="B132" t="s">
        <v>19</v>
      </c>
      <c r="C132" t="s">
        <v>20</v>
      </c>
      <c r="D132" t="s">
        <v>20</v>
      </c>
      <c r="E132" t="s">
        <v>26</v>
      </c>
      <c r="F132" t="s">
        <v>498</v>
      </c>
      <c r="G132" t="s">
        <v>53</v>
      </c>
      <c r="H132" t="s">
        <v>51</v>
      </c>
      <c r="I132" t="s">
        <v>25</v>
      </c>
      <c r="J132">
        <v>40.244556000000003</v>
      </c>
      <c r="K132">
        <v>-111.669014</v>
      </c>
      <c r="L132" t="s">
        <v>499</v>
      </c>
      <c r="M132" s="2">
        <v>499900</v>
      </c>
      <c r="N132" s="2">
        <v>4</v>
      </c>
      <c r="O132" s="2">
        <v>2</v>
      </c>
      <c r="P132" s="2">
        <v>1500</v>
      </c>
      <c r="Q132" s="2">
        <v>493100</v>
      </c>
      <c r="R132" s="2">
        <v>1353</v>
      </c>
      <c r="S132" s="2">
        <v>367400</v>
      </c>
      <c r="T132" s="2">
        <v>71.526631944444446</v>
      </c>
      <c r="U132" t="s">
        <v>51</v>
      </c>
      <c r="V132" s="2">
        <v>333.26666666666671</v>
      </c>
      <c r="W132" s="2">
        <v>208.29166666666671</v>
      </c>
      <c r="X132" s="2">
        <v>187.46250000000001</v>
      </c>
      <c r="Y132" s="2">
        <v>179.13083333333341</v>
      </c>
      <c r="Z132" s="2">
        <v>2419.3084591668439</v>
      </c>
      <c r="AA132" s="2">
        <v>2785.9017925001781</v>
      </c>
    </row>
    <row r="133" spans="1:27" x14ac:dyDescent="0.35">
      <c r="A133" t="s">
        <v>695</v>
      </c>
      <c r="B133" t="s">
        <v>19</v>
      </c>
      <c r="C133" t="s">
        <v>20</v>
      </c>
      <c r="D133" t="s">
        <v>20</v>
      </c>
      <c r="E133" t="s">
        <v>26</v>
      </c>
      <c r="F133" t="s">
        <v>696</v>
      </c>
      <c r="G133" t="s">
        <v>496</v>
      </c>
      <c r="H133" t="s">
        <v>54</v>
      </c>
      <c r="I133" t="s">
        <v>25</v>
      </c>
      <c r="J133">
        <v>40.26923</v>
      </c>
      <c r="K133">
        <v>-111.68397</v>
      </c>
      <c r="L133" t="s">
        <v>697</v>
      </c>
      <c r="M133" s="2">
        <v>1399999</v>
      </c>
      <c r="N133" s="2">
        <v>12</v>
      </c>
      <c r="O133" s="2">
        <v>4</v>
      </c>
      <c r="P133" s="2">
        <v>4152</v>
      </c>
      <c r="Q133" s="2">
        <v>1355900</v>
      </c>
      <c r="R133" s="2">
        <v>1831</v>
      </c>
      <c r="S133" s="2"/>
      <c r="T133" s="2">
        <v>32.065081018518519</v>
      </c>
      <c r="U133" t="s">
        <v>51</v>
      </c>
      <c r="V133" s="2">
        <v>337.18665703275531</v>
      </c>
      <c r="W133" s="2">
        <v>194.44430555555559</v>
      </c>
      <c r="X133" s="2">
        <v>524.99962499999992</v>
      </c>
      <c r="Y133" s="2">
        <v>501.66630833333329</v>
      </c>
      <c r="Z133" s="2">
        <v>6775.4139298362124</v>
      </c>
      <c r="AA133" s="2">
        <v>7802.0798631695452</v>
      </c>
    </row>
    <row r="134" spans="1:27" x14ac:dyDescent="0.35">
      <c r="A134" t="s">
        <v>111</v>
      </c>
      <c r="B134" t="s">
        <v>19</v>
      </c>
      <c r="C134" t="s">
        <v>20</v>
      </c>
      <c r="D134" t="s">
        <v>20</v>
      </c>
      <c r="E134" t="s">
        <v>26</v>
      </c>
      <c r="F134" t="s">
        <v>112</v>
      </c>
      <c r="G134" t="s">
        <v>50</v>
      </c>
      <c r="H134" t="s">
        <v>51</v>
      </c>
      <c r="I134" t="s">
        <v>25</v>
      </c>
      <c r="J134">
        <v>40.234917000000003</v>
      </c>
      <c r="K134">
        <v>-111.67675</v>
      </c>
      <c r="L134" t="s">
        <v>113</v>
      </c>
      <c r="M134" s="2">
        <v>525000</v>
      </c>
      <c r="N134" s="2">
        <v>2</v>
      </c>
      <c r="O134" s="2">
        <v>2</v>
      </c>
      <c r="P134" s="2">
        <v>1225</v>
      </c>
      <c r="Q134" s="2">
        <v>523700</v>
      </c>
      <c r="R134" s="2">
        <v>1375</v>
      </c>
      <c r="S134" s="2">
        <v>409300</v>
      </c>
      <c r="T134" s="2">
        <v>207.06482638888889</v>
      </c>
      <c r="U134" t="s">
        <v>51</v>
      </c>
      <c r="V134" s="2">
        <v>428.57142857142861</v>
      </c>
      <c r="W134" s="2">
        <v>437.5</v>
      </c>
      <c r="X134" s="2">
        <v>196.875</v>
      </c>
      <c r="Y134" s="2">
        <v>188.125</v>
      </c>
      <c r="Z134" s="2">
        <v>2540.7820385328928</v>
      </c>
      <c r="AA134" s="2">
        <v>2925.7820385328928</v>
      </c>
    </row>
  </sheetData>
  <autoFilter ref="A1:W123" xr:uid="{B8841C55-DDB2-4CD2-9FD5-8EDF63864E0D}"/>
  <hyperlinks>
    <hyperlink ref="L2" r:id="rId1" xr:uid="{111A7A7D-2FC8-4703-88D6-8D1DDF17848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003B8-5CD7-4EA6-AFCC-B292C958FB50}">
  <dimension ref="A1:P277"/>
  <sheetViews>
    <sheetView zoomScale="124" zoomScaleNormal="40" workbookViewId="0">
      <selection activeCell="B2" sqref="B2"/>
    </sheetView>
  </sheetViews>
  <sheetFormatPr defaultRowHeight="14.5" x14ac:dyDescent="0.35"/>
  <cols>
    <col min="1" max="1" width="9" bestFit="1" customWidth="1"/>
    <col min="2" max="2" width="9.7265625" bestFit="1" customWidth="1"/>
    <col min="3" max="3" width="8.81640625" customWidth="1"/>
    <col min="4" max="4" width="9" bestFit="1" customWidth="1"/>
    <col min="15" max="16" width="9" bestFit="1" customWidth="1"/>
  </cols>
  <sheetData>
    <row r="1" spans="2:5" ht="15" thickBot="1" x14ac:dyDescent="0.4">
      <c r="C1" t="s">
        <v>137</v>
      </c>
    </row>
    <row r="2" spans="2:5" ht="15" thickBot="1" x14ac:dyDescent="0.4">
      <c r="B2" s="99">
        <f>DATE(D2,1,1)</f>
        <v>43831</v>
      </c>
      <c r="C2" s="100">
        <v>3.62</v>
      </c>
      <c r="D2">
        <v>2020</v>
      </c>
    </row>
    <row r="3" spans="2:5" ht="15" thickBot="1" x14ac:dyDescent="0.4">
      <c r="B3" s="99">
        <f>EDATE(B2,1)</f>
        <v>43862</v>
      </c>
      <c r="C3" s="100">
        <v>3.47</v>
      </c>
      <c r="E3" s="101" t="s">
        <v>285</v>
      </c>
    </row>
    <row r="4" spans="2:5" ht="15" thickBot="1" x14ac:dyDescent="0.4">
      <c r="B4" s="99">
        <f t="shared" ref="B4:B13" si="0">EDATE(B3,1)</f>
        <v>43891</v>
      </c>
      <c r="C4" s="100">
        <v>3.45</v>
      </c>
    </row>
    <row r="5" spans="2:5" ht="15" thickBot="1" x14ac:dyDescent="0.4">
      <c r="B5" s="99">
        <f t="shared" si="0"/>
        <v>43922</v>
      </c>
      <c r="C5" s="100">
        <v>3.31</v>
      </c>
    </row>
    <row r="6" spans="2:5" ht="15" thickBot="1" x14ac:dyDescent="0.4">
      <c r="B6" s="99">
        <f t="shared" si="0"/>
        <v>43952</v>
      </c>
      <c r="C6" s="100">
        <v>3.23</v>
      </c>
    </row>
    <row r="7" spans="2:5" ht="15" thickBot="1" x14ac:dyDescent="0.4">
      <c r="B7" s="99">
        <f t="shared" si="0"/>
        <v>43983</v>
      </c>
      <c r="C7" s="100">
        <v>3.16</v>
      </c>
    </row>
    <row r="8" spans="2:5" ht="15" thickBot="1" x14ac:dyDescent="0.4">
      <c r="B8" s="99">
        <f t="shared" si="0"/>
        <v>44013</v>
      </c>
      <c r="C8" s="100">
        <v>3.02</v>
      </c>
    </row>
    <row r="9" spans="2:5" ht="15" thickBot="1" x14ac:dyDescent="0.4">
      <c r="B9" s="99">
        <f t="shared" si="0"/>
        <v>44044</v>
      </c>
      <c r="C9" s="100">
        <v>2.94</v>
      </c>
    </row>
    <row r="10" spans="2:5" ht="15" thickBot="1" x14ac:dyDescent="0.4">
      <c r="B10" s="99">
        <f t="shared" si="0"/>
        <v>44075</v>
      </c>
      <c r="C10" s="100">
        <v>2.89</v>
      </c>
    </row>
    <row r="11" spans="2:5" ht="15" thickBot="1" x14ac:dyDescent="0.4">
      <c r="B11" s="99">
        <f t="shared" si="0"/>
        <v>44105</v>
      </c>
      <c r="C11" s="100">
        <v>2.89</v>
      </c>
    </row>
    <row r="12" spans="2:5" ht="15" thickBot="1" x14ac:dyDescent="0.4">
      <c r="B12" s="99">
        <f t="shared" si="0"/>
        <v>44136</v>
      </c>
      <c r="C12" s="100">
        <v>2.89</v>
      </c>
    </row>
    <row r="13" spans="2:5" ht="15" thickBot="1" x14ac:dyDescent="0.4">
      <c r="B13" s="99">
        <f t="shared" si="0"/>
        <v>44166</v>
      </c>
      <c r="C13" s="100">
        <v>2.89</v>
      </c>
    </row>
    <row r="14" spans="2:5" ht="15" thickBot="1" x14ac:dyDescent="0.4">
      <c r="B14" s="99">
        <f>DATE(D14,1,1)</f>
        <v>43466</v>
      </c>
      <c r="C14" s="100">
        <v>4.46</v>
      </c>
      <c r="D14">
        <v>2019</v>
      </c>
    </row>
    <row r="15" spans="2:5" ht="15" thickBot="1" x14ac:dyDescent="0.4">
      <c r="B15" s="99">
        <f>EDATE(B14,1)</f>
        <v>43497</v>
      </c>
      <c r="C15" s="100">
        <v>4.37</v>
      </c>
      <c r="D15" s="100"/>
    </row>
    <row r="16" spans="2:5" ht="15" thickBot="1" x14ac:dyDescent="0.4">
      <c r="B16" s="99">
        <f t="shared" ref="B16:B25" si="1">EDATE(B15,1)</f>
        <v>43525</v>
      </c>
      <c r="C16" s="100">
        <v>4.2699999999999996</v>
      </c>
      <c r="D16" s="100"/>
    </row>
    <row r="17" spans="1:16" ht="15" thickBot="1" x14ac:dyDescent="0.4">
      <c r="B17" s="99">
        <f t="shared" si="1"/>
        <v>43556</v>
      </c>
      <c r="C17" s="100">
        <v>4.1399999999999997</v>
      </c>
      <c r="D17" s="100"/>
    </row>
    <row r="18" spans="1:16" ht="15" thickBot="1" x14ac:dyDescent="0.4">
      <c r="B18" s="99">
        <f t="shared" si="1"/>
        <v>43586</v>
      </c>
      <c r="C18" s="100">
        <v>4.07</v>
      </c>
      <c r="D18" s="100"/>
    </row>
    <row r="19" spans="1:16" ht="15" thickBot="1" x14ac:dyDescent="0.4">
      <c r="B19" s="99">
        <f t="shared" si="1"/>
        <v>43617</v>
      </c>
      <c r="C19" s="100">
        <v>3.8</v>
      </c>
      <c r="D19" s="100"/>
    </row>
    <row r="20" spans="1:16" ht="15" thickBot="1" x14ac:dyDescent="0.4">
      <c r="B20" s="99">
        <f t="shared" si="1"/>
        <v>43647</v>
      </c>
      <c r="C20" s="100">
        <v>3.77</v>
      </c>
      <c r="D20" s="100"/>
    </row>
    <row r="21" spans="1:16" ht="15" thickBot="1" x14ac:dyDescent="0.4">
      <c r="B21" s="99">
        <f t="shared" si="1"/>
        <v>43678</v>
      </c>
      <c r="C21" s="100">
        <v>3.62</v>
      </c>
      <c r="D21" s="100"/>
    </row>
    <row r="22" spans="1:16" ht="15" thickBot="1" x14ac:dyDescent="0.4">
      <c r="B22" s="99">
        <f t="shared" si="1"/>
        <v>43709</v>
      </c>
      <c r="C22" s="100">
        <v>3.61</v>
      </c>
      <c r="D22" s="100"/>
    </row>
    <row r="23" spans="1:16" ht="15" thickBot="1" x14ac:dyDescent="0.4">
      <c r="B23" s="99">
        <f t="shared" si="1"/>
        <v>43739</v>
      </c>
      <c r="C23" s="100">
        <v>3.69</v>
      </c>
      <c r="D23" s="100"/>
    </row>
    <row r="24" spans="1:16" ht="15" thickBot="1" x14ac:dyDescent="0.4">
      <c r="B24" s="99">
        <f t="shared" si="1"/>
        <v>43770</v>
      </c>
      <c r="C24" s="100">
        <v>3.7</v>
      </c>
      <c r="D24" s="100"/>
    </row>
    <row r="25" spans="1:16" ht="15" thickBot="1" x14ac:dyDescent="0.4">
      <c r="B25" s="99">
        <f t="shared" si="1"/>
        <v>43800</v>
      </c>
      <c r="C25" s="100">
        <v>3.72</v>
      </c>
      <c r="D25" s="100"/>
      <c r="E25" s="102"/>
      <c r="G25" s="100"/>
      <c r="I25" s="100"/>
      <c r="K25" s="100"/>
      <c r="M25" s="100"/>
      <c r="O25" s="100"/>
    </row>
    <row r="26" spans="1:16" ht="15" thickBot="1" x14ac:dyDescent="0.4">
      <c r="A26">
        <v>2018</v>
      </c>
      <c r="B26" s="99">
        <f>DATE(A26,1,1)</f>
        <v>43101</v>
      </c>
      <c r="C26" s="100">
        <v>4.03</v>
      </c>
      <c r="E26" s="102"/>
      <c r="G26" s="100"/>
      <c r="I26" s="100"/>
      <c r="K26" s="100"/>
      <c r="M26" s="100"/>
      <c r="O26" s="100"/>
    </row>
    <row r="27" spans="1:16" ht="15" thickBot="1" x14ac:dyDescent="0.4">
      <c r="B27" s="99">
        <f>EDATE(B26,1)</f>
        <v>43132</v>
      </c>
      <c r="C27" s="100">
        <v>4.33</v>
      </c>
      <c r="D27" s="100"/>
      <c r="E27" s="102"/>
      <c r="G27" s="100"/>
      <c r="I27" s="100"/>
      <c r="K27" s="100"/>
      <c r="M27" s="100"/>
      <c r="O27" s="100"/>
    </row>
    <row r="28" spans="1:16" ht="15" thickBot="1" x14ac:dyDescent="0.4">
      <c r="B28" s="99">
        <f t="shared" ref="B28:B37" si="2">EDATE(B27,1)</f>
        <v>43160</v>
      </c>
      <c r="C28" s="100">
        <v>4.4400000000000004</v>
      </c>
      <c r="D28" s="100"/>
      <c r="E28" s="102"/>
      <c r="G28" s="100"/>
      <c r="I28" s="100"/>
      <c r="K28" s="100"/>
      <c r="M28" s="100"/>
      <c r="O28" s="100"/>
    </row>
    <row r="29" spans="1:16" ht="15" thickBot="1" x14ac:dyDescent="0.4">
      <c r="B29" s="99">
        <f t="shared" si="2"/>
        <v>43191</v>
      </c>
      <c r="C29" s="100">
        <v>4.47</v>
      </c>
      <c r="D29" s="100"/>
      <c r="E29" s="102"/>
      <c r="G29" s="100"/>
      <c r="I29" s="100"/>
      <c r="K29" s="100"/>
      <c r="M29" s="100"/>
      <c r="O29" s="100"/>
    </row>
    <row r="30" spans="1:16" ht="15" thickBot="1" x14ac:dyDescent="0.4">
      <c r="B30" s="99">
        <f t="shared" si="2"/>
        <v>43221</v>
      </c>
      <c r="C30" s="100">
        <v>4.59</v>
      </c>
      <c r="D30" s="100"/>
      <c r="E30" s="102"/>
      <c r="G30" s="100"/>
      <c r="I30" s="100"/>
      <c r="K30" s="100"/>
      <c r="M30" s="100"/>
      <c r="O30" s="100"/>
    </row>
    <row r="31" spans="1:16" ht="15" thickBot="1" x14ac:dyDescent="0.4">
      <c r="B31" s="99">
        <f t="shared" si="2"/>
        <v>43252</v>
      </c>
      <c r="C31" s="100">
        <v>4.57</v>
      </c>
      <c r="D31" s="100"/>
      <c r="E31" s="102"/>
      <c r="G31" s="100"/>
      <c r="I31" s="100"/>
      <c r="K31" s="100"/>
      <c r="M31" s="100"/>
      <c r="O31" s="100"/>
      <c r="P31" t="s">
        <v>286</v>
      </c>
    </row>
    <row r="32" spans="1:16" ht="15" thickBot="1" x14ac:dyDescent="0.4">
      <c r="B32" s="99">
        <f t="shared" si="2"/>
        <v>43282</v>
      </c>
      <c r="C32" s="100">
        <v>4.53</v>
      </c>
      <c r="D32" s="100"/>
      <c r="E32" s="102"/>
      <c r="G32" s="100"/>
      <c r="I32" s="100"/>
      <c r="K32" s="100"/>
      <c r="M32" s="100"/>
      <c r="O32" s="103">
        <f>O33+1</f>
        <v>2020</v>
      </c>
      <c r="P32">
        <v>3.2</v>
      </c>
    </row>
    <row r="33" spans="1:16" ht="15" thickBot="1" x14ac:dyDescent="0.4">
      <c r="B33" s="99">
        <f t="shared" si="2"/>
        <v>43313</v>
      </c>
      <c r="C33" s="100">
        <v>4.55</v>
      </c>
      <c r="D33" s="100"/>
      <c r="E33" s="102"/>
      <c r="G33" s="100"/>
      <c r="I33" s="100"/>
      <c r="K33" s="100"/>
      <c r="M33" s="100"/>
      <c r="O33" s="103">
        <f>O34+1</f>
        <v>2019</v>
      </c>
      <c r="P33">
        <v>3.94</v>
      </c>
    </row>
    <row r="34" spans="1:16" ht="15" thickBot="1" x14ac:dyDescent="0.4">
      <c r="B34" s="99">
        <f t="shared" si="2"/>
        <v>43344</v>
      </c>
      <c r="C34" s="100">
        <v>4.63</v>
      </c>
      <c r="D34" s="100"/>
      <c r="E34" s="102"/>
      <c r="G34" s="100"/>
      <c r="I34" s="100"/>
      <c r="K34" s="100"/>
      <c r="M34" s="100"/>
      <c r="O34" s="103">
        <f>O35+1</f>
        <v>2018</v>
      </c>
      <c r="P34">
        <v>4.54</v>
      </c>
    </row>
    <row r="35" spans="1:16" ht="15" thickBot="1" x14ac:dyDescent="0.4">
      <c r="B35" s="99">
        <f t="shared" si="2"/>
        <v>43374</v>
      </c>
      <c r="C35" s="100">
        <v>4.83</v>
      </c>
      <c r="D35" s="100"/>
      <c r="E35" s="102"/>
      <c r="G35" s="100"/>
      <c r="I35" s="100"/>
      <c r="K35" s="100"/>
      <c r="M35" s="100"/>
      <c r="O35" s="103">
        <f>O36+1</f>
        <v>2017</v>
      </c>
      <c r="P35">
        <v>3.99</v>
      </c>
    </row>
    <row r="36" spans="1:16" ht="15" thickBot="1" x14ac:dyDescent="0.4">
      <c r="B36" s="99">
        <f t="shared" si="2"/>
        <v>43405</v>
      </c>
      <c r="C36" s="100">
        <v>4.87</v>
      </c>
      <c r="D36" s="100"/>
      <c r="E36" s="104"/>
      <c r="G36" s="103"/>
      <c r="I36" s="103"/>
      <c r="K36" s="103"/>
      <c r="M36" s="103"/>
      <c r="O36" s="103">
        <f>O37+1</f>
        <v>2016</v>
      </c>
      <c r="P36">
        <v>3.65</v>
      </c>
    </row>
    <row r="37" spans="1:16" ht="15" thickBot="1" x14ac:dyDescent="0.4">
      <c r="B37" s="99">
        <f t="shared" si="2"/>
        <v>43435</v>
      </c>
      <c r="C37" s="100">
        <v>4.6399999999999997</v>
      </c>
      <c r="D37" s="100"/>
      <c r="E37" s="100"/>
      <c r="F37" s="100"/>
      <c r="G37" s="100"/>
      <c r="H37" s="100"/>
      <c r="I37" s="100"/>
      <c r="J37" s="100"/>
      <c r="K37" s="100"/>
      <c r="L37" s="100"/>
      <c r="O37">
        <v>2015</v>
      </c>
      <c r="P37">
        <v>3.85</v>
      </c>
    </row>
    <row r="38" spans="1:16" ht="15" thickBot="1" x14ac:dyDescent="0.4">
      <c r="A38">
        <f>A26-1</f>
        <v>2017</v>
      </c>
      <c r="B38" s="99">
        <f>DATE(A38,1,1)</f>
        <v>42736</v>
      </c>
      <c r="C38" s="100">
        <v>4.1500000000000004</v>
      </c>
      <c r="D38" s="103"/>
      <c r="E38" s="103"/>
      <c r="F38" s="103"/>
      <c r="G38" s="105"/>
      <c r="H38" s="105"/>
      <c r="I38" s="105"/>
      <c r="J38" s="105"/>
      <c r="K38" s="105"/>
      <c r="L38" s="105"/>
      <c r="O38">
        <v>2014</v>
      </c>
      <c r="P38">
        <v>4.17</v>
      </c>
    </row>
    <row r="39" spans="1:16" ht="15" thickBot="1" x14ac:dyDescent="0.4">
      <c r="B39" s="99">
        <f>EDATE(B38,1)</f>
        <v>42767</v>
      </c>
      <c r="C39" s="100">
        <v>4.17</v>
      </c>
      <c r="O39">
        <v>2013</v>
      </c>
      <c r="P39">
        <v>3.98</v>
      </c>
    </row>
    <row r="40" spans="1:16" ht="15" thickBot="1" x14ac:dyDescent="0.4">
      <c r="B40" s="99">
        <f t="shared" ref="B40:B49" si="3">EDATE(B39,1)</f>
        <v>42795</v>
      </c>
      <c r="C40" s="100">
        <v>4.2</v>
      </c>
      <c r="O40">
        <v>2012</v>
      </c>
      <c r="P40">
        <v>3.66</v>
      </c>
    </row>
    <row r="41" spans="1:16" ht="15" thickBot="1" x14ac:dyDescent="0.4">
      <c r="B41" s="99">
        <f t="shared" si="3"/>
        <v>42826</v>
      </c>
      <c r="C41" s="100">
        <v>4.05</v>
      </c>
      <c r="O41">
        <v>2011</v>
      </c>
      <c r="P41">
        <v>4.45</v>
      </c>
    </row>
    <row r="42" spans="1:16" ht="15" thickBot="1" x14ac:dyDescent="0.4">
      <c r="B42" s="99">
        <f t="shared" si="3"/>
        <v>42856</v>
      </c>
      <c r="C42" s="100">
        <v>4.01</v>
      </c>
      <c r="O42">
        <v>2010</v>
      </c>
      <c r="P42">
        <v>4.6900000000000004</v>
      </c>
    </row>
    <row r="43" spans="1:16" ht="15" thickBot="1" x14ac:dyDescent="0.4">
      <c r="B43" s="99">
        <f t="shared" si="3"/>
        <v>42887</v>
      </c>
      <c r="C43" s="100">
        <v>3.9</v>
      </c>
      <c r="O43">
        <v>2009</v>
      </c>
      <c r="P43">
        <v>5.04</v>
      </c>
    </row>
    <row r="44" spans="1:16" ht="15" thickBot="1" x14ac:dyDescent="0.4">
      <c r="B44" s="99">
        <f t="shared" si="3"/>
        <v>42917</v>
      </c>
      <c r="C44" s="100">
        <v>3.97</v>
      </c>
      <c r="O44">
        <v>2008</v>
      </c>
      <c r="P44">
        <v>6.03</v>
      </c>
    </row>
    <row r="45" spans="1:16" ht="15" thickBot="1" x14ac:dyDescent="0.4">
      <c r="B45" s="99">
        <f t="shared" si="3"/>
        <v>42948</v>
      </c>
      <c r="C45" s="100">
        <v>3.88</v>
      </c>
      <c r="O45">
        <f>O44-1</f>
        <v>2007</v>
      </c>
      <c r="P45">
        <v>6.34</v>
      </c>
    </row>
    <row r="46" spans="1:16" ht="15" thickBot="1" x14ac:dyDescent="0.4">
      <c r="B46" s="99">
        <f t="shared" si="3"/>
        <v>42979</v>
      </c>
      <c r="C46" s="100">
        <v>3.81</v>
      </c>
      <c r="O46">
        <f t="shared" ref="O46:O59" si="4">O45-1</f>
        <v>2006</v>
      </c>
      <c r="P46">
        <v>6.41</v>
      </c>
    </row>
    <row r="47" spans="1:16" ht="15" thickBot="1" x14ac:dyDescent="0.4">
      <c r="B47" s="99">
        <f t="shared" si="3"/>
        <v>43009</v>
      </c>
      <c r="C47" s="100" t="s">
        <v>287</v>
      </c>
      <c r="O47">
        <f t="shared" si="4"/>
        <v>2005</v>
      </c>
      <c r="P47">
        <v>5.87</v>
      </c>
    </row>
    <row r="48" spans="1:16" ht="15" thickBot="1" x14ac:dyDescent="0.4">
      <c r="B48" s="99">
        <f t="shared" si="3"/>
        <v>43040</v>
      </c>
      <c r="C48" s="100">
        <v>3.92</v>
      </c>
      <c r="O48">
        <f t="shared" si="4"/>
        <v>2004</v>
      </c>
      <c r="P48">
        <v>5.84</v>
      </c>
    </row>
    <row r="49" spans="1:16" ht="15" thickBot="1" x14ac:dyDescent="0.4">
      <c r="B49" s="99">
        <f t="shared" si="3"/>
        <v>43070</v>
      </c>
      <c r="C49" s="103">
        <v>3.95</v>
      </c>
      <c r="O49">
        <f t="shared" si="4"/>
        <v>2003</v>
      </c>
      <c r="P49">
        <v>5.83</v>
      </c>
    </row>
    <row r="50" spans="1:16" ht="15" thickBot="1" x14ac:dyDescent="0.4">
      <c r="A50">
        <f>A38-1</f>
        <v>2016</v>
      </c>
      <c r="B50" s="99">
        <f>DATE(A50,1,1)</f>
        <v>42370</v>
      </c>
      <c r="C50" s="100">
        <v>3.87</v>
      </c>
      <c r="O50">
        <f t="shared" si="4"/>
        <v>2002</v>
      </c>
      <c r="P50">
        <v>6.54</v>
      </c>
    </row>
    <row r="51" spans="1:16" ht="15" thickBot="1" x14ac:dyDescent="0.4">
      <c r="B51" s="99">
        <f>EDATE(B50,1)</f>
        <v>42401</v>
      </c>
      <c r="C51" s="100">
        <v>3.66</v>
      </c>
      <c r="O51">
        <f t="shared" si="4"/>
        <v>2001</v>
      </c>
      <c r="P51">
        <v>6.97</v>
      </c>
    </row>
    <row r="52" spans="1:16" ht="15" thickBot="1" x14ac:dyDescent="0.4">
      <c r="B52" s="99">
        <f t="shared" ref="B52:B61" si="5">EDATE(B51,1)</f>
        <v>42430</v>
      </c>
      <c r="C52" s="100">
        <v>3.69</v>
      </c>
      <c r="O52">
        <f t="shared" si="4"/>
        <v>2000</v>
      </c>
      <c r="P52">
        <v>8.0500000000000007</v>
      </c>
    </row>
    <row r="53" spans="1:16" ht="15" thickBot="1" x14ac:dyDescent="0.4">
      <c r="B53" s="99">
        <f t="shared" si="5"/>
        <v>42461</v>
      </c>
      <c r="C53" s="100">
        <v>3.61</v>
      </c>
      <c r="O53">
        <f t="shared" si="4"/>
        <v>1999</v>
      </c>
      <c r="P53">
        <v>7.44</v>
      </c>
    </row>
    <row r="54" spans="1:16" ht="15" thickBot="1" x14ac:dyDescent="0.4">
      <c r="B54" s="99">
        <f t="shared" si="5"/>
        <v>42491</v>
      </c>
      <c r="C54" s="100">
        <v>3.6</v>
      </c>
      <c r="O54">
        <f t="shared" si="4"/>
        <v>1998</v>
      </c>
      <c r="P54">
        <v>6.94</v>
      </c>
    </row>
    <row r="55" spans="1:16" ht="15" thickBot="1" x14ac:dyDescent="0.4">
      <c r="B55" s="99">
        <f t="shared" si="5"/>
        <v>42522</v>
      </c>
      <c r="C55" s="100">
        <v>3.57</v>
      </c>
      <c r="O55">
        <f t="shared" si="4"/>
        <v>1997</v>
      </c>
      <c r="P55">
        <v>7.6</v>
      </c>
    </row>
    <row r="56" spans="1:16" ht="15" thickBot="1" x14ac:dyDescent="0.4">
      <c r="B56" s="99">
        <f t="shared" si="5"/>
        <v>42552</v>
      </c>
      <c r="C56" s="100">
        <v>3.44</v>
      </c>
      <c r="O56">
        <f t="shared" si="4"/>
        <v>1996</v>
      </c>
      <c r="P56">
        <v>7.81</v>
      </c>
    </row>
    <row r="57" spans="1:16" ht="15" thickBot="1" x14ac:dyDescent="0.4">
      <c r="B57" s="99">
        <f t="shared" si="5"/>
        <v>42583</v>
      </c>
      <c r="C57" s="100">
        <v>3.44</v>
      </c>
      <c r="O57">
        <f t="shared" si="4"/>
        <v>1995</v>
      </c>
      <c r="P57">
        <v>7.93</v>
      </c>
    </row>
    <row r="58" spans="1:16" ht="15" thickBot="1" x14ac:dyDescent="0.4">
      <c r="B58" s="99">
        <f t="shared" si="5"/>
        <v>42614</v>
      </c>
      <c r="C58" s="100">
        <v>3.46</v>
      </c>
      <c r="O58">
        <f t="shared" si="4"/>
        <v>1994</v>
      </c>
      <c r="P58">
        <v>8.3800000000000008</v>
      </c>
    </row>
    <row r="59" spans="1:16" ht="15" thickBot="1" x14ac:dyDescent="0.4">
      <c r="B59" s="99">
        <f t="shared" si="5"/>
        <v>42644</v>
      </c>
      <c r="C59" s="100">
        <v>3.47</v>
      </c>
      <c r="O59">
        <f t="shared" si="4"/>
        <v>1993</v>
      </c>
      <c r="P59">
        <v>7.31</v>
      </c>
    </row>
    <row r="60" spans="1:16" ht="15" thickBot="1" x14ac:dyDescent="0.4">
      <c r="B60" s="99">
        <f t="shared" si="5"/>
        <v>42675</v>
      </c>
      <c r="C60" s="100">
        <v>3.77</v>
      </c>
    </row>
    <row r="61" spans="1:16" ht="15" thickBot="1" x14ac:dyDescent="0.4">
      <c r="A61" t="s">
        <v>288</v>
      </c>
      <c r="B61" s="99">
        <f t="shared" si="5"/>
        <v>42705</v>
      </c>
      <c r="C61" s="103">
        <v>4.2</v>
      </c>
    </row>
    <row r="62" spans="1:16" ht="15" thickBot="1" x14ac:dyDescent="0.4">
      <c r="A62">
        <f>A50-1</f>
        <v>2015</v>
      </c>
      <c r="B62" s="99">
        <f>DATE(A62,1,1)</f>
        <v>42005</v>
      </c>
      <c r="C62" s="100">
        <v>3.67</v>
      </c>
    </row>
    <row r="63" spans="1:16" ht="15" thickBot="1" x14ac:dyDescent="0.4">
      <c r="B63" s="99">
        <f>EDATE(B62,1)</f>
        <v>42036</v>
      </c>
      <c r="C63" s="100">
        <v>3.71</v>
      </c>
    </row>
    <row r="64" spans="1:16" ht="15" thickBot="1" x14ac:dyDescent="0.4">
      <c r="B64" s="99">
        <f t="shared" ref="B64:B73" si="6">EDATE(B63,1)</f>
        <v>42064</v>
      </c>
      <c r="C64" s="100">
        <v>3.77</v>
      </c>
    </row>
    <row r="65" spans="1:3" ht="15" thickBot="1" x14ac:dyDescent="0.4">
      <c r="B65" s="99">
        <f t="shared" si="6"/>
        <v>42095</v>
      </c>
      <c r="C65" s="100">
        <v>3.67</v>
      </c>
    </row>
    <row r="66" spans="1:3" ht="15" thickBot="1" x14ac:dyDescent="0.4">
      <c r="B66" s="99">
        <f t="shared" si="6"/>
        <v>42125</v>
      </c>
      <c r="C66" s="100">
        <v>3.84</v>
      </c>
    </row>
    <row r="67" spans="1:3" ht="15" thickBot="1" x14ac:dyDescent="0.4">
      <c r="B67" s="99">
        <f t="shared" si="6"/>
        <v>42156</v>
      </c>
      <c r="C67" s="100">
        <v>3.98</v>
      </c>
    </row>
    <row r="68" spans="1:3" ht="15" thickBot="1" x14ac:dyDescent="0.4">
      <c r="B68" s="99">
        <f t="shared" si="6"/>
        <v>42186</v>
      </c>
      <c r="C68" s="100">
        <v>4.05</v>
      </c>
    </row>
    <row r="69" spans="1:3" ht="15" thickBot="1" x14ac:dyDescent="0.4">
      <c r="B69" s="99">
        <f t="shared" si="6"/>
        <v>42217</v>
      </c>
      <c r="C69" s="100">
        <v>3.91</v>
      </c>
    </row>
    <row r="70" spans="1:3" ht="15" thickBot="1" x14ac:dyDescent="0.4">
      <c r="B70" s="99">
        <f t="shared" si="6"/>
        <v>42248</v>
      </c>
      <c r="C70" s="100">
        <v>3.89</v>
      </c>
    </row>
    <row r="71" spans="1:3" ht="15" thickBot="1" x14ac:dyDescent="0.4">
      <c r="B71" s="99">
        <f t="shared" si="6"/>
        <v>42278</v>
      </c>
      <c r="C71" s="100">
        <v>3.8</v>
      </c>
    </row>
    <row r="72" spans="1:3" ht="15" thickBot="1" x14ac:dyDescent="0.4">
      <c r="B72" s="99">
        <f t="shared" si="6"/>
        <v>42309</v>
      </c>
      <c r="C72" s="100">
        <v>3.94</v>
      </c>
    </row>
    <row r="73" spans="1:3" ht="15" thickBot="1" x14ac:dyDescent="0.4">
      <c r="A73" t="s">
        <v>288</v>
      </c>
      <c r="B73" s="99">
        <f t="shared" si="6"/>
        <v>42339</v>
      </c>
      <c r="C73" s="103">
        <v>3.96</v>
      </c>
    </row>
    <row r="74" spans="1:3" ht="15" thickBot="1" x14ac:dyDescent="0.4">
      <c r="A74">
        <f>A62-1</f>
        <v>2014</v>
      </c>
      <c r="B74" s="99">
        <f>DATE(A74,1,1)</f>
        <v>41640</v>
      </c>
      <c r="C74" s="100">
        <v>4.43</v>
      </c>
    </row>
    <row r="75" spans="1:3" ht="15" thickBot="1" x14ac:dyDescent="0.4">
      <c r="B75" s="99">
        <f>EDATE(B74,1)</f>
        <v>41671</v>
      </c>
      <c r="C75" s="100">
        <v>4.3</v>
      </c>
    </row>
    <row r="76" spans="1:3" ht="15" thickBot="1" x14ac:dyDescent="0.4">
      <c r="B76" s="99">
        <f t="shared" ref="B76:B85" si="7">EDATE(B75,1)</f>
        <v>41699</v>
      </c>
      <c r="C76" s="100">
        <v>4.34</v>
      </c>
    </row>
    <row r="77" spans="1:3" ht="15" thickBot="1" x14ac:dyDescent="0.4">
      <c r="B77" s="99">
        <f t="shared" si="7"/>
        <v>41730</v>
      </c>
      <c r="C77" s="100">
        <v>4.34</v>
      </c>
    </row>
    <row r="78" spans="1:3" ht="15" thickBot="1" x14ac:dyDescent="0.4">
      <c r="B78" s="99">
        <f t="shared" si="7"/>
        <v>41760</v>
      </c>
      <c r="C78" s="100">
        <v>4.1900000000000004</v>
      </c>
    </row>
    <row r="79" spans="1:3" ht="15" thickBot="1" x14ac:dyDescent="0.4">
      <c r="B79" s="99">
        <f t="shared" si="7"/>
        <v>41791</v>
      </c>
      <c r="C79" s="100">
        <v>4.16</v>
      </c>
    </row>
    <row r="80" spans="1:3" ht="15" thickBot="1" x14ac:dyDescent="0.4">
      <c r="B80" s="99">
        <f t="shared" si="7"/>
        <v>41821</v>
      </c>
      <c r="C80" s="100">
        <v>4.13</v>
      </c>
    </row>
    <row r="81" spans="1:3" ht="15" thickBot="1" x14ac:dyDescent="0.4">
      <c r="B81" s="99">
        <f t="shared" si="7"/>
        <v>41852</v>
      </c>
      <c r="C81" s="100">
        <v>4.12</v>
      </c>
    </row>
    <row r="82" spans="1:3" ht="15" thickBot="1" x14ac:dyDescent="0.4">
      <c r="B82" s="99">
        <f t="shared" si="7"/>
        <v>41883</v>
      </c>
      <c r="C82" s="100">
        <v>4.16</v>
      </c>
    </row>
    <row r="83" spans="1:3" ht="15" thickBot="1" x14ac:dyDescent="0.4">
      <c r="B83" s="99">
        <f t="shared" si="7"/>
        <v>41913</v>
      </c>
      <c r="C83" s="100">
        <v>4.04</v>
      </c>
    </row>
    <row r="84" spans="1:3" ht="15" thickBot="1" x14ac:dyDescent="0.4">
      <c r="B84" s="99">
        <f t="shared" si="7"/>
        <v>41944</v>
      </c>
      <c r="C84" s="100">
        <v>4</v>
      </c>
    </row>
    <row r="85" spans="1:3" ht="15" thickBot="1" x14ac:dyDescent="0.4">
      <c r="A85" t="s">
        <v>288</v>
      </c>
      <c r="B85" s="99">
        <f t="shared" si="7"/>
        <v>41974</v>
      </c>
      <c r="C85" s="103">
        <v>3.86</v>
      </c>
    </row>
    <row r="86" spans="1:3" ht="15" thickBot="1" x14ac:dyDescent="0.4">
      <c r="A86">
        <f>A74-1</f>
        <v>2013</v>
      </c>
      <c r="B86" s="99">
        <f>DATE(A86,1,1)</f>
        <v>41275</v>
      </c>
      <c r="C86" s="100">
        <v>3.41</v>
      </c>
    </row>
    <row r="87" spans="1:3" ht="15" thickBot="1" x14ac:dyDescent="0.4">
      <c r="B87" s="99">
        <f>EDATE(B86,1)</f>
        <v>41306</v>
      </c>
      <c r="C87" s="100">
        <v>3.53</v>
      </c>
    </row>
    <row r="88" spans="1:3" ht="15" thickBot="1" x14ac:dyDescent="0.4">
      <c r="B88" s="99">
        <f t="shared" ref="B88:B97" si="8">EDATE(B87,1)</f>
        <v>41334</v>
      </c>
      <c r="C88" s="100">
        <v>3.57</v>
      </c>
    </row>
    <row r="89" spans="1:3" ht="15" thickBot="1" x14ac:dyDescent="0.4">
      <c r="B89" s="99">
        <f t="shared" si="8"/>
        <v>41365</v>
      </c>
      <c r="C89" s="100">
        <v>3.45</v>
      </c>
    </row>
    <row r="90" spans="1:3" ht="15" thickBot="1" x14ac:dyDescent="0.4">
      <c r="B90" s="99">
        <f t="shared" si="8"/>
        <v>41395</v>
      </c>
      <c r="C90" s="100">
        <v>3.54</v>
      </c>
    </row>
    <row r="91" spans="1:3" ht="15" thickBot="1" x14ac:dyDescent="0.4">
      <c r="B91" s="99">
        <f t="shared" si="8"/>
        <v>41426</v>
      </c>
      <c r="C91" s="100">
        <v>4.07</v>
      </c>
    </row>
    <row r="92" spans="1:3" ht="15" thickBot="1" x14ac:dyDescent="0.4">
      <c r="B92" s="99">
        <f t="shared" si="8"/>
        <v>41456</v>
      </c>
      <c r="C92" s="100">
        <v>4.37</v>
      </c>
    </row>
    <row r="93" spans="1:3" ht="15" thickBot="1" x14ac:dyDescent="0.4">
      <c r="B93" s="99">
        <f t="shared" si="8"/>
        <v>41487</v>
      </c>
      <c r="C93" s="100">
        <v>4.46</v>
      </c>
    </row>
    <row r="94" spans="1:3" ht="15" thickBot="1" x14ac:dyDescent="0.4">
      <c r="B94" s="99">
        <f t="shared" si="8"/>
        <v>41518</v>
      </c>
      <c r="C94" s="100">
        <v>4.49</v>
      </c>
    </row>
    <row r="95" spans="1:3" ht="15" thickBot="1" x14ac:dyDescent="0.4">
      <c r="B95" s="99">
        <f t="shared" si="8"/>
        <v>41548</v>
      </c>
      <c r="C95" s="100">
        <v>4.1900000000000004</v>
      </c>
    </row>
    <row r="96" spans="1:3" ht="15" thickBot="1" x14ac:dyDescent="0.4">
      <c r="B96" s="99">
        <f t="shared" si="8"/>
        <v>41579</v>
      </c>
      <c r="C96" s="100">
        <v>4.26</v>
      </c>
    </row>
    <row r="97" spans="1:15" ht="15" thickBot="1" x14ac:dyDescent="0.4">
      <c r="A97" t="s">
        <v>288</v>
      </c>
      <c r="B97" s="99">
        <f t="shared" si="8"/>
        <v>41609</v>
      </c>
      <c r="C97" s="103">
        <v>4.46</v>
      </c>
      <c r="E97" s="102"/>
      <c r="G97" s="100"/>
      <c r="I97" s="100"/>
      <c r="K97" s="100"/>
      <c r="M97" s="100"/>
      <c r="O97" s="100"/>
    </row>
    <row r="98" spans="1:15" ht="15" thickBot="1" x14ac:dyDescent="0.4">
      <c r="A98">
        <f>A86-1</f>
        <v>2012</v>
      </c>
      <c r="B98" s="99">
        <f>DATE(A98,1,1)</f>
        <v>40909</v>
      </c>
      <c r="C98" s="100">
        <v>3.92</v>
      </c>
      <c r="E98" s="102"/>
      <c r="G98" s="100"/>
      <c r="I98" s="100"/>
      <c r="K98" s="100"/>
      <c r="M98" s="100"/>
      <c r="O98" s="100"/>
    </row>
    <row r="99" spans="1:15" ht="15" thickBot="1" x14ac:dyDescent="0.4">
      <c r="B99" s="99">
        <f>EDATE(B98,1)</f>
        <v>40940</v>
      </c>
      <c r="C99" s="100">
        <v>3.89</v>
      </c>
      <c r="E99" s="102"/>
      <c r="G99" s="100"/>
      <c r="I99" s="100"/>
      <c r="K99" s="100"/>
      <c r="M99" s="100"/>
      <c r="O99" s="100"/>
    </row>
    <row r="100" spans="1:15" ht="15" thickBot="1" x14ac:dyDescent="0.4">
      <c r="B100" s="99">
        <f t="shared" ref="B100:B109" si="9">EDATE(B99,1)</f>
        <v>40969</v>
      </c>
      <c r="C100" s="100">
        <v>3.95</v>
      </c>
      <c r="E100" s="102"/>
      <c r="G100" s="100"/>
      <c r="I100" s="100"/>
      <c r="K100" s="100"/>
      <c r="M100" s="100"/>
      <c r="O100" s="100"/>
    </row>
    <row r="101" spans="1:15" ht="15" thickBot="1" x14ac:dyDescent="0.4">
      <c r="B101" s="99">
        <f t="shared" si="9"/>
        <v>41000</v>
      </c>
      <c r="C101" s="100">
        <v>3.91</v>
      </c>
      <c r="E101" s="102"/>
      <c r="G101" s="100"/>
      <c r="I101" s="100"/>
      <c r="K101" s="100"/>
      <c r="M101" s="100"/>
      <c r="O101" s="100"/>
    </row>
    <row r="102" spans="1:15" ht="15" thickBot="1" x14ac:dyDescent="0.4">
      <c r="B102" s="99">
        <f t="shared" si="9"/>
        <v>41030</v>
      </c>
      <c r="C102" s="100">
        <v>3.8</v>
      </c>
      <c r="E102" s="102"/>
      <c r="G102" s="100"/>
      <c r="I102" s="100"/>
      <c r="K102" s="100"/>
      <c r="M102" s="100"/>
      <c r="O102" s="100"/>
    </row>
    <row r="103" spans="1:15" ht="15" thickBot="1" x14ac:dyDescent="0.4">
      <c r="B103" s="99">
        <f t="shared" si="9"/>
        <v>41061</v>
      </c>
      <c r="C103" s="100">
        <v>3.68</v>
      </c>
      <c r="E103" s="102"/>
      <c r="G103" s="100"/>
      <c r="I103" s="100"/>
      <c r="K103" s="100"/>
      <c r="M103" s="100"/>
      <c r="O103" s="100"/>
    </row>
    <row r="104" spans="1:15" ht="15" thickBot="1" x14ac:dyDescent="0.4">
      <c r="B104" s="99">
        <f t="shared" si="9"/>
        <v>41091</v>
      </c>
      <c r="C104" s="100">
        <v>3.55</v>
      </c>
      <c r="E104" s="102"/>
      <c r="G104" s="100"/>
      <c r="I104" s="100"/>
      <c r="K104" s="100"/>
      <c r="M104" s="100"/>
      <c r="O104" s="100"/>
    </row>
    <row r="105" spans="1:15" ht="15" thickBot="1" x14ac:dyDescent="0.4">
      <c r="B105" s="99">
        <f t="shared" si="9"/>
        <v>41122</v>
      </c>
      <c r="C105" s="100">
        <v>3.6</v>
      </c>
      <c r="E105" s="102"/>
      <c r="G105" s="100"/>
      <c r="I105" s="100"/>
      <c r="K105" s="100"/>
      <c r="M105" s="100"/>
      <c r="O105" s="100"/>
    </row>
    <row r="106" spans="1:15" ht="15" thickBot="1" x14ac:dyDescent="0.4">
      <c r="B106" s="99">
        <f t="shared" si="9"/>
        <v>41153</v>
      </c>
      <c r="C106" s="100">
        <v>3.5</v>
      </c>
      <c r="E106" s="102"/>
      <c r="G106" s="100"/>
      <c r="I106" s="100"/>
      <c r="K106" s="100"/>
      <c r="M106" s="100"/>
      <c r="O106" s="100"/>
    </row>
    <row r="107" spans="1:15" ht="15" thickBot="1" x14ac:dyDescent="0.4">
      <c r="B107" s="99">
        <f t="shared" si="9"/>
        <v>41183</v>
      </c>
      <c r="C107" s="100">
        <v>3.38</v>
      </c>
      <c r="E107" s="102"/>
      <c r="G107" s="100"/>
      <c r="I107" s="100"/>
      <c r="K107" s="100"/>
      <c r="M107" s="100"/>
      <c r="O107" s="100"/>
    </row>
    <row r="108" spans="1:15" ht="15" thickBot="1" x14ac:dyDescent="0.4">
      <c r="B108" s="99">
        <f t="shared" si="9"/>
        <v>41214</v>
      </c>
      <c r="C108" s="100">
        <v>3.35</v>
      </c>
      <c r="E108" s="104"/>
      <c r="G108" s="103"/>
      <c r="I108" s="103"/>
      <c r="K108" s="103"/>
      <c r="M108" s="103"/>
      <c r="O108" s="103"/>
    </row>
    <row r="109" spans="1:15" ht="15" thickBot="1" x14ac:dyDescent="0.4">
      <c r="A109" t="s">
        <v>288</v>
      </c>
      <c r="B109" s="99">
        <f t="shared" si="9"/>
        <v>41244</v>
      </c>
      <c r="C109" s="103">
        <v>3.35</v>
      </c>
    </row>
    <row r="110" spans="1:15" ht="15" thickBot="1" x14ac:dyDescent="0.4">
      <c r="A110">
        <f>A98-1</f>
        <v>2011</v>
      </c>
      <c r="B110" s="99">
        <f>DATE(A110,1,1)</f>
        <v>40544</v>
      </c>
      <c r="C110" s="100">
        <v>4.76</v>
      </c>
    </row>
    <row r="111" spans="1:15" ht="15" thickBot="1" x14ac:dyDescent="0.4">
      <c r="B111" s="99">
        <f>EDATE(B110,1)</f>
        <v>40575</v>
      </c>
      <c r="C111" s="100">
        <v>4.95</v>
      </c>
    </row>
    <row r="112" spans="1:15" ht="15" thickBot="1" x14ac:dyDescent="0.4">
      <c r="B112" s="99">
        <f t="shared" ref="B112:B121" si="10">EDATE(B111,1)</f>
        <v>40603</v>
      </c>
      <c r="C112" s="100">
        <v>4.84</v>
      </c>
    </row>
    <row r="113" spans="1:3" ht="15" thickBot="1" x14ac:dyDescent="0.4">
      <c r="B113" s="99">
        <f t="shared" si="10"/>
        <v>40634</v>
      </c>
      <c r="C113" s="100">
        <v>4.84</v>
      </c>
    </row>
    <row r="114" spans="1:3" ht="15" thickBot="1" x14ac:dyDescent="0.4">
      <c r="B114" s="99">
        <f t="shared" si="10"/>
        <v>40664</v>
      </c>
      <c r="C114" s="100">
        <v>4.6399999999999997</v>
      </c>
    </row>
    <row r="115" spans="1:3" ht="15" thickBot="1" x14ac:dyDescent="0.4">
      <c r="B115" s="99">
        <f t="shared" si="10"/>
        <v>40695</v>
      </c>
      <c r="C115" s="100">
        <v>4.51</v>
      </c>
    </row>
    <row r="116" spans="1:3" ht="15" thickBot="1" x14ac:dyDescent="0.4">
      <c r="B116" s="99">
        <f t="shared" si="10"/>
        <v>40725</v>
      </c>
      <c r="C116" s="100">
        <v>4.55</v>
      </c>
    </row>
    <row r="117" spans="1:3" ht="15" thickBot="1" x14ac:dyDescent="0.4">
      <c r="B117" s="99">
        <f t="shared" si="10"/>
        <v>40756</v>
      </c>
      <c r="C117" s="100">
        <v>4.2699999999999996</v>
      </c>
    </row>
    <row r="118" spans="1:3" ht="15" thickBot="1" x14ac:dyDescent="0.4">
      <c r="B118" s="99">
        <f t="shared" si="10"/>
        <v>40787</v>
      </c>
      <c r="C118" s="100">
        <v>4.1100000000000003</v>
      </c>
    </row>
    <row r="119" spans="1:3" ht="15" thickBot="1" x14ac:dyDescent="0.4">
      <c r="B119" s="99">
        <f t="shared" si="10"/>
        <v>40817</v>
      </c>
      <c r="C119" s="100">
        <v>4.07</v>
      </c>
    </row>
    <row r="120" spans="1:3" ht="15" thickBot="1" x14ac:dyDescent="0.4">
      <c r="B120" s="99">
        <f t="shared" si="10"/>
        <v>40848</v>
      </c>
      <c r="C120" s="100">
        <v>3.99</v>
      </c>
    </row>
    <row r="121" spans="1:3" ht="15" thickBot="1" x14ac:dyDescent="0.4">
      <c r="A121" t="s">
        <v>288</v>
      </c>
      <c r="B121" s="99">
        <f t="shared" si="10"/>
        <v>40878</v>
      </c>
      <c r="C121" s="103">
        <v>3.96</v>
      </c>
    </row>
    <row r="122" spans="1:3" ht="15" thickBot="1" x14ac:dyDescent="0.4">
      <c r="A122">
        <f>A110-1</f>
        <v>2010</v>
      </c>
      <c r="B122" s="99">
        <f>DATE(A122,1,1)</f>
        <v>40179</v>
      </c>
      <c r="C122" s="100">
        <v>5.03</v>
      </c>
    </row>
    <row r="123" spans="1:3" ht="15" thickBot="1" x14ac:dyDescent="0.4">
      <c r="B123" s="99">
        <f>EDATE(B122,1)</f>
        <v>40210</v>
      </c>
      <c r="C123" s="100">
        <v>4.99</v>
      </c>
    </row>
    <row r="124" spans="1:3" ht="15" thickBot="1" x14ac:dyDescent="0.4">
      <c r="B124" s="99">
        <f t="shared" ref="B124:B133" si="11">EDATE(B123,1)</f>
        <v>40238</v>
      </c>
      <c r="C124" s="100">
        <v>4.97</v>
      </c>
    </row>
    <row r="125" spans="1:3" ht="15" thickBot="1" x14ac:dyDescent="0.4">
      <c r="B125" s="99">
        <f t="shared" si="11"/>
        <v>40269</v>
      </c>
      <c r="C125" s="100" t="s">
        <v>289</v>
      </c>
    </row>
    <row r="126" spans="1:3" ht="15" thickBot="1" x14ac:dyDescent="0.4">
      <c r="B126" s="99">
        <f t="shared" si="11"/>
        <v>40299</v>
      </c>
      <c r="C126" s="100">
        <v>4.8899999999999997</v>
      </c>
    </row>
    <row r="127" spans="1:3" ht="15" thickBot="1" x14ac:dyDescent="0.4">
      <c r="B127" s="99">
        <f t="shared" si="11"/>
        <v>40330</v>
      </c>
      <c r="C127" s="100">
        <v>4.74</v>
      </c>
    </row>
    <row r="128" spans="1:3" ht="15" thickBot="1" x14ac:dyDescent="0.4">
      <c r="B128" s="99">
        <f t="shared" si="11"/>
        <v>40360</v>
      </c>
      <c r="C128" s="100">
        <v>4.5599999999999996</v>
      </c>
    </row>
    <row r="129" spans="1:3" ht="15" thickBot="1" x14ac:dyDescent="0.4">
      <c r="B129" s="99">
        <f t="shared" si="11"/>
        <v>40391</v>
      </c>
      <c r="C129" s="100">
        <v>4.43</v>
      </c>
    </row>
    <row r="130" spans="1:3" ht="15" thickBot="1" x14ac:dyDescent="0.4">
      <c r="B130" s="99">
        <f t="shared" si="11"/>
        <v>40422</v>
      </c>
      <c r="C130" s="100">
        <v>4.3499999999999996</v>
      </c>
    </row>
    <row r="131" spans="1:3" ht="15" thickBot="1" x14ac:dyDescent="0.4">
      <c r="B131" s="99">
        <f t="shared" si="11"/>
        <v>40452</v>
      </c>
      <c r="C131" s="100">
        <v>4.2300000000000004</v>
      </c>
    </row>
    <row r="132" spans="1:3" ht="15" thickBot="1" x14ac:dyDescent="0.4">
      <c r="B132" s="99">
        <f t="shared" si="11"/>
        <v>40483</v>
      </c>
      <c r="C132" s="100">
        <v>4.3</v>
      </c>
    </row>
    <row r="133" spans="1:3" ht="15" thickBot="1" x14ac:dyDescent="0.4">
      <c r="A133" t="s">
        <v>288</v>
      </c>
      <c r="B133" s="99">
        <f t="shared" si="11"/>
        <v>40513</v>
      </c>
      <c r="C133" s="103">
        <v>4.71</v>
      </c>
    </row>
    <row r="134" spans="1:3" ht="15" thickBot="1" x14ac:dyDescent="0.4">
      <c r="A134">
        <f>A122-1</f>
        <v>2009</v>
      </c>
      <c r="B134" s="99">
        <f>DATE(A134,1,1)</f>
        <v>39814</v>
      </c>
      <c r="C134" s="100">
        <v>5.05</v>
      </c>
    </row>
    <row r="135" spans="1:3" ht="15" thickBot="1" x14ac:dyDescent="0.4">
      <c r="B135" s="99">
        <f>EDATE(B134,1)</f>
        <v>39845</v>
      </c>
      <c r="C135" s="100">
        <v>5.13</v>
      </c>
    </row>
    <row r="136" spans="1:3" ht="15" thickBot="1" x14ac:dyDescent="0.4">
      <c r="B136" s="99">
        <f t="shared" ref="B136:B145" si="12">EDATE(B135,1)</f>
        <v>39873</v>
      </c>
      <c r="C136" s="100">
        <v>5</v>
      </c>
    </row>
    <row r="137" spans="1:3" ht="15" thickBot="1" x14ac:dyDescent="0.4">
      <c r="B137" s="99">
        <f t="shared" si="12"/>
        <v>39904</v>
      </c>
      <c r="C137" s="100">
        <v>4.8099999999999996</v>
      </c>
    </row>
    <row r="138" spans="1:3" ht="15" thickBot="1" x14ac:dyDescent="0.4">
      <c r="B138" s="99">
        <f t="shared" si="12"/>
        <v>39934</v>
      </c>
      <c r="C138" s="100">
        <v>4.8600000000000003</v>
      </c>
    </row>
    <row r="139" spans="1:3" ht="15" thickBot="1" x14ac:dyDescent="0.4">
      <c r="B139" s="99">
        <f t="shared" si="12"/>
        <v>39965</v>
      </c>
      <c r="C139" s="100">
        <v>5.42</v>
      </c>
    </row>
    <row r="140" spans="1:3" ht="15" thickBot="1" x14ac:dyDescent="0.4">
      <c r="B140" s="99">
        <f t="shared" si="12"/>
        <v>39995</v>
      </c>
      <c r="C140" s="100">
        <v>5.22</v>
      </c>
    </row>
    <row r="141" spans="1:3" ht="15" thickBot="1" x14ac:dyDescent="0.4">
      <c r="B141" s="99">
        <f t="shared" si="12"/>
        <v>40026</v>
      </c>
      <c r="C141" s="100">
        <v>5.19</v>
      </c>
    </row>
    <row r="142" spans="1:3" ht="15" thickBot="1" x14ac:dyDescent="0.4">
      <c r="B142" s="99">
        <f t="shared" si="12"/>
        <v>40057</v>
      </c>
      <c r="C142" s="100">
        <v>5.0599999999999996</v>
      </c>
    </row>
    <row r="143" spans="1:3" ht="15" thickBot="1" x14ac:dyDescent="0.4">
      <c r="B143" s="99">
        <f t="shared" si="12"/>
        <v>40087</v>
      </c>
      <c r="C143" s="100">
        <v>4.95</v>
      </c>
    </row>
    <row r="144" spans="1:3" ht="15" thickBot="1" x14ac:dyDescent="0.4">
      <c r="B144" s="99">
        <f t="shared" si="12"/>
        <v>40118</v>
      </c>
      <c r="C144" s="100">
        <v>4.88</v>
      </c>
    </row>
    <row r="145" spans="1:16" ht="15" thickBot="1" x14ac:dyDescent="0.4">
      <c r="A145" t="s">
        <v>288</v>
      </c>
      <c r="B145" s="99">
        <f t="shared" si="12"/>
        <v>40148</v>
      </c>
      <c r="C145" s="103">
        <v>4.93</v>
      </c>
    </row>
    <row r="146" spans="1:16" ht="15" thickBot="1" x14ac:dyDescent="0.4">
      <c r="A146">
        <f>A134-1</f>
        <v>2008</v>
      </c>
      <c r="B146" s="99">
        <f>DATE(A146,1,1)</f>
        <v>39448</v>
      </c>
      <c r="C146" s="100">
        <v>5.76</v>
      </c>
      <c r="F146" s="102"/>
      <c r="H146" s="100"/>
      <c r="J146" s="100"/>
      <c r="L146" s="100"/>
      <c r="N146" s="100"/>
      <c r="P146" s="100"/>
    </row>
    <row r="147" spans="1:16" ht="15" thickBot="1" x14ac:dyDescent="0.4">
      <c r="B147" s="99">
        <f>EDATE(B146,1)</f>
        <v>39479</v>
      </c>
      <c r="C147" s="100">
        <v>5.92</v>
      </c>
      <c r="F147" s="102"/>
      <c r="H147" s="100"/>
      <c r="J147" s="100"/>
      <c r="L147" s="100"/>
      <c r="N147" s="100"/>
      <c r="P147" s="100"/>
    </row>
    <row r="148" spans="1:16" ht="15" thickBot="1" x14ac:dyDescent="0.4">
      <c r="B148" s="99">
        <f t="shared" ref="B148:B157" si="13">EDATE(B147,1)</f>
        <v>39508</v>
      </c>
      <c r="C148" s="100">
        <v>5.97</v>
      </c>
      <c r="F148" s="102"/>
      <c r="H148" s="100"/>
      <c r="J148" s="100"/>
      <c r="L148" s="100"/>
      <c r="N148" s="100"/>
      <c r="P148" s="100"/>
    </row>
    <row r="149" spans="1:16" ht="15" thickBot="1" x14ac:dyDescent="0.4">
      <c r="B149" s="99">
        <f t="shared" si="13"/>
        <v>39539</v>
      </c>
      <c r="C149" s="100">
        <v>5.92</v>
      </c>
      <c r="F149" s="102"/>
      <c r="H149" s="100"/>
      <c r="J149" s="100"/>
      <c r="L149" s="100"/>
      <c r="N149" s="100"/>
      <c r="P149" s="100"/>
    </row>
    <row r="150" spans="1:16" ht="15" thickBot="1" x14ac:dyDescent="0.4">
      <c r="B150" s="99">
        <f t="shared" si="13"/>
        <v>39569</v>
      </c>
      <c r="C150" s="100">
        <v>6.04</v>
      </c>
      <c r="F150" s="102"/>
      <c r="H150" s="100"/>
      <c r="J150" s="100"/>
      <c r="L150" s="100"/>
      <c r="N150" s="100"/>
      <c r="P150" s="100"/>
    </row>
    <row r="151" spans="1:16" ht="15" thickBot="1" x14ac:dyDescent="0.4">
      <c r="B151" s="99">
        <f t="shared" si="13"/>
        <v>39600</v>
      </c>
      <c r="C151" s="100">
        <v>6.32</v>
      </c>
      <c r="F151" s="102"/>
      <c r="H151" s="100"/>
      <c r="J151" s="100"/>
      <c r="L151" s="100"/>
      <c r="N151" s="100"/>
      <c r="P151" s="100"/>
    </row>
    <row r="152" spans="1:16" ht="15" thickBot="1" x14ac:dyDescent="0.4">
      <c r="B152" s="99">
        <f t="shared" si="13"/>
        <v>39630</v>
      </c>
      <c r="C152" s="100">
        <v>6.43</v>
      </c>
      <c r="F152" s="102"/>
      <c r="H152" s="100"/>
      <c r="J152" s="100"/>
      <c r="L152" s="100"/>
      <c r="N152" s="100"/>
      <c r="P152" s="100"/>
    </row>
    <row r="153" spans="1:16" ht="15" thickBot="1" x14ac:dyDescent="0.4">
      <c r="B153" s="99">
        <f t="shared" si="13"/>
        <v>39661</v>
      </c>
      <c r="C153" s="100">
        <v>6.48</v>
      </c>
      <c r="F153" s="102"/>
      <c r="H153" s="100"/>
      <c r="J153" s="100"/>
      <c r="L153" s="100"/>
      <c r="N153" s="100"/>
      <c r="P153" s="100"/>
    </row>
    <row r="154" spans="1:16" ht="15" thickBot="1" x14ac:dyDescent="0.4">
      <c r="B154" s="99">
        <f t="shared" si="13"/>
        <v>39692</v>
      </c>
      <c r="C154" s="100">
        <v>6.04</v>
      </c>
      <c r="F154" s="102"/>
      <c r="H154" s="100"/>
      <c r="J154" s="100"/>
      <c r="L154" s="100"/>
      <c r="N154" s="100"/>
      <c r="P154" s="100"/>
    </row>
    <row r="155" spans="1:16" ht="15" thickBot="1" x14ac:dyDescent="0.4">
      <c r="B155" s="99">
        <f t="shared" si="13"/>
        <v>39722</v>
      </c>
      <c r="C155" s="100">
        <v>6.2</v>
      </c>
      <c r="F155" s="102"/>
      <c r="H155" s="100"/>
      <c r="J155" s="100"/>
      <c r="L155" s="100"/>
      <c r="N155" s="100"/>
      <c r="P155" s="100"/>
    </row>
    <row r="156" spans="1:16" ht="15" thickBot="1" x14ac:dyDescent="0.4">
      <c r="B156" s="99">
        <f t="shared" si="13"/>
        <v>39753</v>
      </c>
      <c r="C156" s="100">
        <v>6.09</v>
      </c>
      <c r="F156" s="102"/>
      <c r="H156" s="100"/>
      <c r="J156" s="100"/>
      <c r="L156" s="100"/>
      <c r="N156" s="100"/>
      <c r="P156" s="100"/>
    </row>
    <row r="157" spans="1:16" ht="15" thickBot="1" x14ac:dyDescent="0.4">
      <c r="A157" t="s">
        <v>288</v>
      </c>
      <c r="B157" s="99">
        <f t="shared" si="13"/>
        <v>39783</v>
      </c>
      <c r="C157" s="103">
        <v>5.29</v>
      </c>
      <c r="F157" s="104"/>
      <c r="H157" s="103"/>
      <c r="J157" s="103"/>
      <c r="L157" s="103"/>
      <c r="N157" s="103"/>
      <c r="P157" s="103"/>
    </row>
    <row r="158" spans="1:16" ht="15" thickBot="1" x14ac:dyDescent="0.4">
      <c r="A158">
        <f>A146-1</f>
        <v>2007</v>
      </c>
      <c r="B158" s="99">
        <f>DATE(A158,1,1)</f>
        <v>39083</v>
      </c>
      <c r="C158" s="100">
        <v>6.22</v>
      </c>
    </row>
    <row r="159" spans="1:16" ht="15" thickBot="1" x14ac:dyDescent="0.4">
      <c r="B159" s="99">
        <f>EDATE(B158,1)</f>
        <v>39114</v>
      </c>
      <c r="C159" s="100">
        <v>6.29</v>
      </c>
    </row>
    <row r="160" spans="1:16" ht="15" thickBot="1" x14ac:dyDescent="0.4">
      <c r="B160" s="99">
        <f t="shared" ref="B160:B169" si="14">EDATE(B159,1)</f>
        <v>39142</v>
      </c>
      <c r="C160" s="100">
        <v>6.16</v>
      </c>
    </row>
    <row r="161" spans="1:3" ht="15" thickBot="1" x14ac:dyDescent="0.4">
      <c r="B161" s="99">
        <f t="shared" si="14"/>
        <v>39173</v>
      </c>
      <c r="C161" s="100">
        <v>6.18</v>
      </c>
    </row>
    <row r="162" spans="1:3" ht="15" thickBot="1" x14ac:dyDescent="0.4">
      <c r="B162" s="99">
        <f t="shared" si="14"/>
        <v>39203</v>
      </c>
      <c r="C162" s="100">
        <v>6.26</v>
      </c>
    </row>
    <row r="163" spans="1:3" ht="15" thickBot="1" x14ac:dyDescent="0.4">
      <c r="B163" s="99">
        <f t="shared" si="14"/>
        <v>39234</v>
      </c>
      <c r="C163" s="100">
        <v>6.66</v>
      </c>
    </row>
    <row r="164" spans="1:3" ht="15" thickBot="1" x14ac:dyDescent="0.4">
      <c r="B164" s="99">
        <f t="shared" si="14"/>
        <v>39264</v>
      </c>
      <c r="C164" s="100">
        <v>6.7</v>
      </c>
    </row>
    <row r="165" spans="1:3" ht="15" thickBot="1" x14ac:dyDescent="0.4">
      <c r="B165" s="99">
        <f t="shared" si="14"/>
        <v>39295</v>
      </c>
      <c r="C165" s="100">
        <v>6.57</v>
      </c>
    </row>
    <row r="166" spans="1:3" ht="15" thickBot="1" x14ac:dyDescent="0.4">
      <c r="B166" s="99">
        <f t="shared" si="14"/>
        <v>39326</v>
      </c>
      <c r="C166" s="100">
        <v>6.38</v>
      </c>
    </row>
    <row r="167" spans="1:3" ht="15" thickBot="1" x14ac:dyDescent="0.4">
      <c r="B167" s="99">
        <f t="shared" si="14"/>
        <v>39356</v>
      </c>
      <c r="C167" s="100">
        <v>6.38</v>
      </c>
    </row>
    <row r="168" spans="1:3" ht="15" thickBot="1" x14ac:dyDescent="0.4">
      <c r="B168" s="99">
        <f t="shared" si="14"/>
        <v>39387</v>
      </c>
      <c r="C168" s="100">
        <v>6.21</v>
      </c>
    </row>
    <row r="169" spans="1:3" ht="15" thickBot="1" x14ac:dyDescent="0.4">
      <c r="A169" t="s">
        <v>288</v>
      </c>
      <c r="B169" s="99">
        <f t="shared" si="14"/>
        <v>39417</v>
      </c>
      <c r="C169" s="103">
        <v>6.1</v>
      </c>
    </row>
    <row r="170" spans="1:3" ht="15" thickBot="1" x14ac:dyDescent="0.4">
      <c r="A170">
        <f>A158-1</f>
        <v>2006</v>
      </c>
      <c r="B170" s="99">
        <f>DATE(A170,1,1)</f>
        <v>38718</v>
      </c>
      <c r="C170" s="100">
        <v>6.15</v>
      </c>
    </row>
    <row r="171" spans="1:3" ht="15" thickBot="1" x14ac:dyDescent="0.4">
      <c r="B171" s="99">
        <f>EDATE(B170,1)</f>
        <v>38749</v>
      </c>
      <c r="C171" s="100">
        <v>6.25</v>
      </c>
    </row>
    <row r="172" spans="1:3" ht="15" thickBot="1" x14ac:dyDescent="0.4">
      <c r="B172" s="99">
        <f t="shared" ref="B172:B181" si="15">EDATE(B171,1)</f>
        <v>38777</v>
      </c>
      <c r="C172" s="100">
        <v>6.32</v>
      </c>
    </row>
    <row r="173" spans="1:3" ht="15" thickBot="1" x14ac:dyDescent="0.4">
      <c r="B173" s="99">
        <f t="shared" si="15"/>
        <v>38808</v>
      </c>
      <c r="C173" s="100">
        <v>6.51</v>
      </c>
    </row>
    <row r="174" spans="1:3" ht="15" thickBot="1" x14ac:dyDescent="0.4">
      <c r="B174" s="99">
        <f t="shared" si="15"/>
        <v>38838</v>
      </c>
      <c r="C174" s="100">
        <v>6.6</v>
      </c>
    </row>
    <row r="175" spans="1:3" ht="15" thickBot="1" x14ac:dyDescent="0.4">
      <c r="B175" s="99">
        <f t="shared" si="15"/>
        <v>38869</v>
      </c>
      <c r="C175" s="100">
        <v>6.68</v>
      </c>
    </row>
    <row r="176" spans="1:3" ht="15" thickBot="1" x14ac:dyDescent="0.4">
      <c r="B176" s="99">
        <f t="shared" si="15"/>
        <v>38899</v>
      </c>
      <c r="C176" s="100">
        <v>6.76</v>
      </c>
    </row>
    <row r="177" spans="1:3" ht="15" thickBot="1" x14ac:dyDescent="0.4">
      <c r="B177" s="99">
        <f t="shared" si="15"/>
        <v>38930</v>
      </c>
      <c r="C177" s="100">
        <v>6.52</v>
      </c>
    </row>
    <row r="178" spans="1:3" ht="15" thickBot="1" x14ac:dyDescent="0.4">
      <c r="B178" s="99">
        <f t="shared" si="15"/>
        <v>38961</v>
      </c>
      <c r="C178" s="100">
        <v>6.4</v>
      </c>
    </row>
    <row r="179" spans="1:3" ht="15" thickBot="1" x14ac:dyDescent="0.4">
      <c r="B179" s="99">
        <f t="shared" si="15"/>
        <v>38991</v>
      </c>
      <c r="C179" s="100">
        <v>6.36</v>
      </c>
    </row>
    <row r="180" spans="1:3" ht="15" thickBot="1" x14ac:dyDescent="0.4">
      <c r="B180" s="99">
        <f t="shared" si="15"/>
        <v>39022</v>
      </c>
      <c r="C180" s="100">
        <v>6.24</v>
      </c>
    </row>
    <row r="181" spans="1:3" ht="15" thickBot="1" x14ac:dyDescent="0.4">
      <c r="A181" t="s">
        <v>288</v>
      </c>
      <c r="B181" s="99">
        <f t="shared" si="15"/>
        <v>39052</v>
      </c>
      <c r="C181" s="103">
        <v>6.14</v>
      </c>
    </row>
    <row r="182" spans="1:3" ht="15" thickBot="1" x14ac:dyDescent="0.4">
      <c r="A182">
        <f>A170-1</f>
        <v>2005</v>
      </c>
      <c r="B182" s="99">
        <f>DATE(A182,1,1)</f>
        <v>38353</v>
      </c>
      <c r="C182" s="100">
        <v>5.71</v>
      </c>
    </row>
    <row r="183" spans="1:3" ht="15" thickBot="1" x14ac:dyDescent="0.4">
      <c r="B183" s="99">
        <f>EDATE(B182,1)</f>
        <v>38384</v>
      </c>
      <c r="C183" s="100">
        <v>5.63</v>
      </c>
    </row>
    <row r="184" spans="1:3" ht="15" thickBot="1" x14ac:dyDescent="0.4">
      <c r="B184" s="99">
        <f t="shared" ref="B184:B193" si="16">EDATE(B183,1)</f>
        <v>38412</v>
      </c>
      <c r="C184" s="100">
        <v>5.93</v>
      </c>
    </row>
    <row r="185" spans="1:3" ht="15" thickBot="1" x14ac:dyDescent="0.4">
      <c r="B185" s="99">
        <f t="shared" si="16"/>
        <v>38443</v>
      </c>
      <c r="C185" s="100">
        <v>5.86</v>
      </c>
    </row>
    <row r="186" spans="1:3" ht="15" thickBot="1" x14ac:dyDescent="0.4">
      <c r="B186" s="99">
        <f t="shared" si="16"/>
        <v>38473</v>
      </c>
      <c r="C186" s="100">
        <v>5.72</v>
      </c>
    </row>
    <row r="187" spans="1:3" ht="15" thickBot="1" x14ac:dyDescent="0.4">
      <c r="B187" s="99">
        <f t="shared" si="16"/>
        <v>38504</v>
      </c>
      <c r="C187" s="100">
        <v>5.58</v>
      </c>
    </row>
    <row r="188" spans="1:3" ht="15" thickBot="1" x14ac:dyDescent="0.4">
      <c r="B188" s="99">
        <f t="shared" si="16"/>
        <v>38534</v>
      </c>
      <c r="C188" s="100">
        <v>5.7</v>
      </c>
    </row>
    <row r="189" spans="1:3" ht="15" thickBot="1" x14ac:dyDescent="0.4">
      <c r="B189" s="99">
        <f t="shared" si="16"/>
        <v>38565</v>
      </c>
      <c r="C189" s="100">
        <v>5.82</v>
      </c>
    </row>
    <row r="190" spans="1:3" ht="15" thickBot="1" x14ac:dyDescent="0.4">
      <c r="B190" s="99">
        <f t="shared" si="16"/>
        <v>38596</v>
      </c>
      <c r="C190" s="100">
        <v>5.77</v>
      </c>
    </row>
    <row r="191" spans="1:3" ht="15" thickBot="1" x14ac:dyDescent="0.4">
      <c r="B191" s="99">
        <f t="shared" si="16"/>
        <v>38626</v>
      </c>
      <c r="C191" s="100">
        <v>6.07</v>
      </c>
    </row>
    <row r="192" spans="1:3" ht="15" thickBot="1" x14ac:dyDescent="0.4">
      <c r="B192" s="99">
        <f t="shared" si="16"/>
        <v>38657</v>
      </c>
      <c r="C192" s="100">
        <v>6.33</v>
      </c>
    </row>
    <row r="193" spans="1:16" ht="15" thickBot="1" x14ac:dyDescent="0.4">
      <c r="A193" t="s">
        <v>288</v>
      </c>
      <c r="B193" s="99">
        <f t="shared" si="16"/>
        <v>38687</v>
      </c>
      <c r="C193" s="103">
        <v>6.27</v>
      </c>
    </row>
    <row r="194" spans="1:16" ht="15" thickBot="1" x14ac:dyDescent="0.4">
      <c r="A194">
        <f>A182-1</f>
        <v>2004</v>
      </c>
      <c r="B194" s="99">
        <f>DATE(A194,1,1)</f>
        <v>37987</v>
      </c>
      <c r="C194" s="100">
        <v>5.71</v>
      </c>
    </row>
    <row r="195" spans="1:16" ht="15" thickBot="1" x14ac:dyDescent="0.4">
      <c r="B195" s="99">
        <f>EDATE(B194,1)</f>
        <v>38018</v>
      </c>
      <c r="C195" s="100">
        <v>5.64</v>
      </c>
    </row>
    <row r="196" spans="1:16" ht="15" thickBot="1" x14ac:dyDescent="0.4">
      <c r="B196" s="99">
        <f t="shared" ref="B196:B205" si="17">EDATE(B195,1)</f>
        <v>38047</v>
      </c>
      <c r="C196" s="100">
        <v>5.45</v>
      </c>
    </row>
    <row r="197" spans="1:16" ht="15" thickBot="1" x14ac:dyDescent="0.4">
      <c r="B197" s="99">
        <f t="shared" si="17"/>
        <v>38078</v>
      </c>
      <c r="C197" s="100">
        <v>5.83</v>
      </c>
    </row>
    <row r="198" spans="1:16" ht="15" thickBot="1" x14ac:dyDescent="0.4">
      <c r="B198" s="99">
        <f t="shared" si="17"/>
        <v>38108</v>
      </c>
      <c r="C198" s="100">
        <v>6.27</v>
      </c>
    </row>
    <row r="199" spans="1:16" ht="15" thickBot="1" x14ac:dyDescent="0.4">
      <c r="B199" s="99">
        <f t="shared" si="17"/>
        <v>38139</v>
      </c>
      <c r="C199" s="100">
        <v>6.29</v>
      </c>
    </row>
    <row r="200" spans="1:16" ht="15" thickBot="1" x14ac:dyDescent="0.4">
      <c r="B200" s="99">
        <f t="shared" si="17"/>
        <v>38169</v>
      </c>
      <c r="C200" s="100">
        <v>6.06</v>
      </c>
    </row>
    <row r="201" spans="1:16" ht="15" thickBot="1" x14ac:dyDescent="0.4">
      <c r="B201" s="99">
        <f t="shared" si="17"/>
        <v>38200</v>
      </c>
      <c r="C201" s="100">
        <v>5.87</v>
      </c>
    </row>
    <row r="202" spans="1:16" ht="15" thickBot="1" x14ac:dyDescent="0.4">
      <c r="B202" s="99">
        <f t="shared" si="17"/>
        <v>38231</v>
      </c>
      <c r="C202" s="100">
        <v>5.75</v>
      </c>
    </row>
    <row r="203" spans="1:16" ht="15" thickBot="1" x14ac:dyDescent="0.4">
      <c r="B203" s="99">
        <f t="shared" si="17"/>
        <v>38261</v>
      </c>
      <c r="C203" s="100">
        <v>5.72</v>
      </c>
    </row>
    <row r="204" spans="1:16" ht="15" thickBot="1" x14ac:dyDescent="0.4">
      <c r="B204" s="99">
        <f t="shared" si="17"/>
        <v>38292</v>
      </c>
      <c r="C204" s="100">
        <v>5.73</v>
      </c>
    </row>
    <row r="205" spans="1:16" ht="15" thickBot="1" x14ac:dyDescent="0.4">
      <c r="A205" t="s">
        <v>288</v>
      </c>
      <c r="B205" s="99">
        <f t="shared" si="17"/>
        <v>38322</v>
      </c>
      <c r="C205" s="103">
        <v>5.75</v>
      </c>
    </row>
    <row r="206" spans="1:16" ht="15" thickBot="1" x14ac:dyDescent="0.4">
      <c r="A206">
        <f>A194-1</f>
        <v>2003</v>
      </c>
      <c r="B206" s="99">
        <f>DATE(A206,1,1)</f>
        <v>37622</v>
      </c>
      <c r="C206" s="100">
        <v>5.92</v>
      </c>
      <c r="F206" s="102"/>
      <c r="G206" s="100"/>
      <c r="H206" s="100"/>
      <c r="J206" s="100"/>
      <c r="L206" s="100"/>
      <c r="N206" s="100"/>
      <c r="P206" s="100"/>
    </row>
    <row r="207" spans="1:16" ht="15" thickBot="1" x14ac:dyDescent="0.4">
      <c r="B207" s="99">
        <f>EDATE(B206,1)</f>
        <v>37653</v>
      </c>
      <c r="C207" s="100">
        <v>5.84</v>
      </c>
      <c r="F207" s="102"/>
      <c r="G207" s="100"/>
      <c r="H207" s="100"/>
      <c r="J207" s="100"/>
      <c r="L207" s="100"/>
      <c r="N207" s="100"/>
      <c r="P207" s="100"/>
    </row>
    <row r="208" spans="1:16" ht="15" thickBot="1" x14ac:dyDescent="0.4">
      <c r="B208" s="99">
        <f t="shared" ref="B208:B217" si="18">EDATE(B207,1)</f>
        <v>37681</v>
      </c>
      <c r="C208" s="100">
        <v>5.75</v>
      </c>
      <c r="F208" s="102"/>
      <c r="G208" s="100"/>
      <c r="H208" s="100"/>
      <c r="J208" s="100"/>
      <c r="L208" s="100"/>
      <c r="N208" s="100"/>
      <c r="P208" s="100"/>
    </row>
    <row r="209" spans="1:16" ht="15" thickBot="1" x14ac:dyDescent="0.4">
      <c r="B209" s="99">
        <f t="shared" si="18"/>
        <v>37712</v>
      </c>
      <c r="C209" s="100">
        <v>5.81</v>
      </c>
      <c r="F209" s="102"/>
      <c r="G209" s="100"/>
      <c r="H209" s="100"/>
      <c r="J209" s="100"/>
      <c r="L209" s="100"/>
      <c r="N209" s="100"/>
      <c r="P209" s="100"/>
    </row>
    <row r="210" spans="1:16" ht="15" thickBot="1" x14ac:dyDescent="0.4">
      <c r="B210" s="99">
        <f t="shared" si="18"/>
        <v>37742</v>
      </c>
      <c r="C210" s="100">
        <v>5.48</v>
      </c>
      <c r="F210" s="102"/>
      <c r="G210" s="100"/>
      <c r="H210" s="100"/>
      <c r="J210" s="100"/>
      <c r="L210" s="100"/>
      <c r="N210" s="100"/>
      <c r="P210" s="100"/>
    </row>
    <row r="211" spans="1:16" ht="15" thickBot="1" x14ac:dyDescent="0.4">
      <c r="B211" s="99">
        <f t="shared" si="18"/>
        <v>37773</v>
      </c>
      <c r="C211" s="100">
        <v>5.23</v>
      </c>
      <c r="F211" s="102"/>
      <c r="G211" s="100"/>
      <c r="H211" s="100"/>
      <c r="J211" s="100"/>
      <c r="L211" s="100"/>
      <c r="N211" s="100"/>
      <c r="P211" s="100"/>
    </row>
    <row r="212" spans="1:16" ht="15" thickBot="1" x14ac:dyDescent="0.4">
      <c r="B212" s="99">
        <f t="shared" si="18"/>
        <v>37803</v>
      </c>
      <c r="C212" s="100">
        <v>5.63</v>
      </c>
      <c r="F212" s="102"/>
      <c r="G212" s="100"/>
      <c r="H212" s="100"/>
      <c r="J212" s="100"/>
      <c r="L212" s="100"/>
      <c r="N212" s="100"/>
      <c r="P212" s="100"/>
    </row>
    <row r="213" spans="1:16" ht="15" thickBot="1" x14ac:dyDescent="0.4">
      <c r="B213" s="99">
        <f t="shared" si="18"/>
        <v>37834</v>
      </c>
      <c r="C213" s="100">
        <v>6.26</v>
      </c>
      <c r="F213" s="102"/>
      <c r="G213" s="100"/>
      <c r="H213" s="100"/>
      <c r="J213" s="100"/>
      <c r="L213" s="100"/>
      <c r="N213" s="100"/>
      <c r="P213" s="100"/>
    </row>
    <row r="214" spans="1:16" ht="15" thickBot="1" x14ac:dyDescent="0.4">
      <c r="B214" s="99">
        <f t="shared" si="18"/>
        <v>37865</v>
      </c>
      <c r="C214" s="100">
        <v>6.15</v>
      </c>
      <c r="F214" s="102"/>
      <c r="G214" s="100"/>
      <c r="H214" s="100"/>
      <c r="J214" s="100"/>
      <c r="L214" s="100"/>
      <c r="N214" s="100"/>
      <c r="P214" s="100"/>
    </row>
    <row r="215" spans="1:16" ht="15" thickBot="1" x14ac:dyDescent="0.4">
      <c r="B215" s="99">
        <f t="shared" si="18"/>
        <v>37895</v>
      </c>
      <c r="C215" s="100">
        <v>5.95</v>
      </c>
      <c r="F215" s="102"/>
      <c r="G215" s="100"/>
      <c r="H215" s="100"/>
      <c r="J215" s="100"/>
      <c r="L215" s="100"/>
      <c r="N215" s="100"/>
      <c r="P215" s="100"/>
    </row>
    <row r="216" spans="1:16" ht="15" thickBot="1" x14ac:dyDescent="0.4">
      <c r="B216" s="99">
        <f t="shared" si="18"/>
        <v>37926</v>
      </c>
      <c r="C216" s="100">
        <v>5.93</v>
      </c>
      <c r="F216" s="102"/>
      <c r="G216" s="100"/>
      <c r="H216" s="100"/>
      <c r="J216" s="100"/>
      <c r="L216" s="100"/>
      <c r="N216" s="100"/>
      <c r="P216" s="100"/>
    </row>
    <row r="217" spans="1:16" ht="15" thickBot="1" x14ac:dyDescent="0.4">
      <c r="A217" t="s">
        <v>288</v>
      </c>
      <c r="B217" s="99">
        <f t="shared" si="18"/>
        <v>37956</v>
      </c>
      <c r="C217" s="103">
        <v>5.88</v>
      </c>
      <c r="F217" s="104"/>
      <c r="G217" s="103"/>
      <c r="H217" s="103"/>
      <c r="J217" s="103"/>
      <c r="L217" s="103"/>
      <c r="N217" s="103"/>
      <c r="P217" s="103"/>
    </row>
    <row r="218" spans="1:16" ht="15" thickBot="1" x14ac:dyDescent="0.4">
      <c r="A218">
        <f>A206-1</f>
        <v>2002</v>
      </c>
      <c r="B218" s="99">
        <f>DATE(A218,1,1)</f>
        <v>37257</v>
      </c>
      <c r="C218" s="100">
        <v>7</v>
      </c>
    </row>
    <row r="219" spans="1:16" ht="15" thickBot="1" x14ac:dyDescent="0.4">
      <c r="B219" s="99">
        <f>EDATE(B218,1)</f>
        <v>37288</v>
      </c>
      <c r="C219" s="100">
        <v>6.89</v>
      </c>
    </row>
    <row r="220" spans="1:16" ht="15" thickBot="1" x14ac:dyDescent="0.4">
      <c r="B220" s="99">
        <f t="shared" ref="B220:B229" si="19">EDATE(B219,1)</f>
        <v>37316</v>
      </c>
      <c r="C220" s="100">
        <v>7.01</v>
      </c>
    </row>
    <row r="221" spans="1:16" ht="15" thickBot="1" x14ac:dyDescent="0.4">
      <c r="B221" s="99">
        <f t="shared" si="19"/>
        <v>37347</v>
      </c>
      <c r="C221" s="100">
        <v>6.99</v>
      </c>
    </row>
    <row r="222" spans="1:16" ht="15" thickBot="1" x14ac:dyDescent="0.4">
      <c r="B222" s="99">
        <f t="shared" si="19"/>
        <v>37377</v>
      </c>
      <c r="C222" s="100">
        <v>6.81</v>
      </c>
    </row>
    <row r="223" spans="1:16" ht="15" thickBot="1" x14ac:dyDescent="0.4">
      <c r="B223" s="99">
        <f t="shared" si="19"/>
        <v>37408</v>
      </c>
      <c r="C223" s="100">
        <v>6.65</v>
      </c>
    </row>
    <row r="224" spans="1:16" ht="15" thickBot="1" x14ac:dyDescent="0.4">
      <c r="B224" s="99">
        <f t="shared" si="19"/>
        <v>37438</v>
      </c>
      <c r="C224" s="100">
        <v>6.49</v>
      </c>
    </row>
    <row r="225" spans="1:3" ht="15" thickBot="1" x14ac:dyDescent="0.4">
      <c r="B225" s="99">
        <f t="shared" si="19"/>
        <v>37469</v>
      </c>
      <c r="C225" s="100">
        <v>6.29</v>
      </c>
    </row>
    <row r="226" spans="1:3" ht="15" thickBot="1" x14ac:dyDescent="0.4">
      <c r="B226" s="99">
        <f t="shared" si="19"/>
        <v>37500</v>
      </c>
      <c r="C226" s="100">
        <v>6.09</v>
      </c>
    </row>
    <row r="227" spans="1:3" ht="15" thickBot="1" x14ac:dyDescent="0.4">
      <c r="B227" s="99">
        <f t="shared" si="19"/>
        <v>37530</v>
      </c>
      <c r="C227" s="100">
        <v>6.11</v>
      </c>
    </row>
    <row r="228" spans="1:3" ht="15" thickBot="1" x14ac:dyDescent="0.4">
      <c r="B228" s="99">
        <f t="shared" si="19"/>
        <v>37561</v>
      </c>
      <c r="C228" s="100">
        <v>6.07</v>
      </c>
    </row>
    <row r="229" spans="1:3" ht="15" thickBot="1" x14ac:dyDescent="0.4">
      <c r="A229" t="s">
        <v>288</v>
      </c>
      <c r="B229" s="99">
        <f t="shared" si="19"/>
        <v>37591</v>
      </c>
      <c r="C229" s="103">
        <v>6.05</v>
      </c>
    </row>
    <row r="230" spans="1:3" ht="15" thickBot="1" x14ac:dyDescent="0.4">
      <c r="A230">
        <f>A218-1</f>
        <v>2001</v>
      </c>
      <c r="B230" s="99">
        <f>DATE(A230,1,1)</f>
        <v>36892</v>
      </c>
      <c r="C230" s="100">
        <v>7.03</v>
      </c>
    </row>
    <row r="231" spans="1:3" ht="15" thickBot="1" x14ac:dyDescent="0.4">
      <c r="B231" s="99">
        <f>EDATE(B230,1)</f>
        <v>36923</v>
      </c>
      <c r="C231" s="100">
        <v>7.05</v>
      </c>
    </row>
    <row r="232" spans="1:3" ht="15" thickBot="1" x14ac:dyDescent="0.4">
      <c r="B232" s="99">
        <f t="shared" ref="B232:B241" si="20">EDATE(B231,1)</f>
        <v>36951</v>
      </c>
      <c r="C232" s="100">
        <v>6.95</v>
      </c>
    </row>
    <row r="233" spans="1:3" ht="15" thickBot="1" x14ac:dyDescent="0.4">
      <c r="B233" s="99">
        <f t="shared" si="20"/>
        <v>36982</v>
      </c>
      <c r="C233" s="100">
        <v>7.08</v>
      </c>
    </row>
    <row r="234" spans="1:3" ht="15" thickBot="1" x14ac:dyDescent="0.4">
      <c r="B234" s="99">
        <f t="shared" si="20"/>
        <v>37012</v>
      </c>
      <c r="C234" s="100">
        <v>7.15</v>
      </c>
    </row>
    <row r="235" spans="1:3" ht="15" thickBot="1" x14ac:dyDescent="0.4">
      <c r="B235" s="99">
        <f t="shared" si="20"/>
        <v>37043</v>
      </c>
      <c r="C235" s="100">
        <v>7.16</v>
      </c>
    </row>
    <row r="236" spans="1:3" ht="15" thickBot="1" x14ac:dyDescent="0.4">
      <c r="B236" s="99">
        <f t="shared" si="20"/>
        <v>37073</v>
      </c>
      <c r="C236" s="100">
        <v>7.13</v>
      </c>
    </row>
    <row r="237" spans="1:3" ht="15" thickBot="1" x14ac:dyDescent="0.4">
      <c r="B237" s="99">
        <f t="shared" si="20"/>
        <v>37104</v>
      </c>
      <c r="C237" s="100">
        <v>6.95</v>
      </c>
    </row>
    <row r="238" spans="1:3" ht="15" thickBot="1" x14ac:dyDescent="0.4">
      <c r="B238" s="99">
        <f t="shared" si="20"/>
        <v>37135</v>
      </c>
      <c r="C238" s="100">
        <v>6.82</v>
      </c>
    </row>
    <row r="239" spans="1:3" ht="15" thickBot="1" x14ac:dyDescent="0.4">
      <c r="B239" s="99">
        <f t="shared" si="20"/>
        <v>37165</v>
      </c>
      <c r="C239" s="100">
        <v>6.62</v>
      </c>
    </row>
    <row r="240" spans="1:3" ht="15" thickBot="1" x14ac:dyDescent="0.4">
      <c r="B240" s="99">
        <f t="shared" si="20"/>
        <v>37196</v>
      </c>
      <c r="C240" s="100">
        <v>6.66</v>
      </c>
    </row>
    <row r="241" spans="1:3" ht="15" thickBot="1" x14ac:dyDescent="0.4">
      <c r="A241" t="s">
        <v>288</v>
      </c>
      <c r="B241" s="99">
        <f t="shared" si="20"/>
        <v>37226</v>
      </c>
      <c r="C241" s="103">
        <v>7.07</v>
      </c>
    </row>
    <row r="242" spans="1:3" ht="15" thickBot="1" x14ac:dyDescent="0.4">
      <c r="A242">
        <f>A230-1</f>
        <v>2000</v>
      </c>
      <c r="B242" s="99">
        <f>DATE(A242,1,1)</f>
        <v>36526</v>
      </c>
      <c r="C242" s="100">
        <v>8.2100000000000009</v>
      </c>
    </row>
    <row r="243" spans="1:3" ht="15" thickBot="1" x14ac:dyDescent="0.4">
      <c r="B243" s="99">
        <f>EDATE(B242,1)</f>
        <v>36557</v>
      </c>
      <c r="C243" s="100">
        <v>8.33</v>
      </c>
    </row>
    <row r="244" spans="1:3" ht="15" thickBot="1" x14ac:dyDescent="0.4">
      <c r="B244" s="99">
        <f t="shared" ref="B244:B253" si="21">EDATE(B243,1)</f>
        <v>36586</v>
      </c>
      <c r="C244" s="100">
        <v>8.24</v>
      </c>
    </row>
    <row r="245" spans="1:3" ht="15" thickBot="1" x14ac:dyDescent="0.4">
      <c r="B245" s="99">
        <f t="shared" si="21"/>
        <v>36617</v>
      </c>
      <c r="C245" s="100">
        <v>8.15</v>
      </c>
    </row>
    <row r="246" spans="1:3" ht="15" thickBot="1" x14ac:dyDescent="0.4">
      <c r="B246" s="99">
        <f t="shared" si="21"/>
        <v>36647</v>
      </c>
      <c r="C246" s="100">
        <v>8.52</v>
      </c>
    </row>
    <row r="247" spans="1:3" ht="15" thickBot="1" x14ac:dyDescent="0.4">
      <c r="B247" s="99">
        <f t="shared" si="21"/>
        <v>36678</v>
      </c>
      <c r="C247" s="100">
        <v>8.2899999999999991</v>
      </c>
    </row>
    <row r="248" spans="1:3" ht="15" thickBot="1" x14ac:dyDescent="0.4">
      <c r="B248" s="99">
        <f t="shared" si="21"/>
        <v>36708</v>
      </c>
      <c r="C248" s="100">
        <v>8.15</v>
      </c>
    </row>
    <row r="249" spans="1:3" ht="15" thickBot="1" x14ac:dyDescent="0.4">
      <c r="B249" s="99">
        <f t="shared" si="21"/>
        <v>36739</v>
      </c>
      <c r="C249" s="100">
        <v>8.0299999999999994</v>
      </c>
    </row>
    <row r="250" spans="1:3" ht="15" thickBot="1" x14ac:dyDescent="0.4">
      <c r="B250" s="99">
        <f t="shared" si="21"/>
        <v>36770</v>
      </c>
      <c r="C250" s="100">
        <v>7.91</v>
      </c>
    </row>
    <row r="251" spans="1:3" ht="15" thickBot="1" x14ac:dyDescent="0.4">
      <c r="B251" s="99">
        <f t="shared" si="21"/>
        <v>36800</v>
      </c>
      <c r="C251" s="100">
        <v>7.8</v>
      </c>
    </row>
    <row r="252" spans="1:3" ht="15" thickBot="1" x14ac:dyDescent="0.4">
      <c r="B252" s="99">
        <f t="shared" si="21"/>
        <v>36831</v>
      </c>
      <c r="C252" s="100">
        <v>7.75</v>
      </c>
    </row>
    <row r="253" spans="1:3" ht="15" thickBot="1" x14ac:dyDescent="0.4">
      <c r="A253" t="s">
        <v>288</v>
      </c>
      <c r="B253" s="99">
        <f t="shared" si="21"/>
        <v>36861</v>
      </c>
      <c r="C253" s="103">
        <v>7.38</v>
      </c>
    </row>
    <row r="254" spans="1:3" ht="15" thickBot="1" x14ac:dyDescent="0.4">
      <c r="A254">
        <f>A242-1</f>
        <v>1999</v>
      </c>
      <c r="B254" s="99">
        <f>DATE(A254,1,1)</f>
        <v>36161</v>
      </c>
      <c r="C254" s="100">
        <v>6.79</v>
      </c>
    </row>
    <row r="255" spans="1:3" ht="15" thickBot="1" x14ac:dyDescent="0.4">
      <c r="B255" s="99">
        <f>EDATE(B254,1)</f>
        <v>36192</v>
      </c>
      <c r="C255" s="100">
        <v>6.81</v>
      </c>
    </row>
    <row r="256" spans="1:3" ht="15" thickBot="1" x14ac:dyDescent="0.4">
      <c r="B256" s="99">
        <f t="shared" ref="B256:B277" si="22">EDATE(B255,1)</f>
        <v>36220</v>
      </c>
      <c r="C256" s="100">
        <v>7.04</v>
      </c>
    </row>
    <row r="257" spans="1:3" ht="15" thickBot="1" x14ac:dyDescent="0.4">
      <c r="B257" s="99">
        <f t="shared" si="22"/>
        <v>36251</v>
      </c>
      <c r="C257" s="100">
        <v>6.92</v>
      </c>
    </row>
    <row r="258" spans="1:3" ht="15" thickBot="1" x14ac:dyDescent="0.4">
      <c r="B258" s="99">
        <f t="shared" si="22"/>
        <v>36281</v>
      </c>
      <c r="C258" s="100">
        <v>7.15</v>
      </c>
    </row>
    <row r="259" spans="1:3" ht="15" thickBot="1" x14ac:dyDescent="0.4">
      <c r="B259" s="99">
        <f t="shared" si="22"/>
        <v>36312</v>
      </c>
      <c r="C259" s="100">
        <v>7.55</v>
      </c>
    </row>
    <row r="260" spans="1:3" ht="15" thickBot="1" x14ac:dyDescent="0.4">
      <c r="B260" s="99">
        <f t="shared" si="22"/>
        <v>36342</v>
      </c>
      <c r="C260" s="100">
        <v>7.63</v>
      </c>
    </row>
    <row r="261" spans="1:3" ht="15" thickBot="1" x14ac:dyDescent="0.4">
      <c r="B261" s="99">
        <f t="shared" si="22"/>
        <v>36373</v>
      </c>
      <c r="C261" s="100">
        <v>7.94</v>
      </c>
    </row>
    <row r="262" spans="1:3" ht="15" thickBot="1" x14ac:dyDescent="0.4">
      <c r="B262" s="99">
        <f t="shared" si="22"/>
        <v>36404</v>
      </c>
      <c r="C262" s="100">
        <v>7.82</v>
      </c>
    </row>
    <row r="263" spans="1:3" ht="15" thickBot="1" x14ac:dyDescent="0.4">
      <c r="B263" s="99">
        <f t="shared" si="22"/>
        <v>36434</v>
      </c>
      <c r="C263" s="100">
        <v>7.85</v>
      </c>
    </row>
    <row r="264" spans="1:3" ht="15" thickBot="1" x14ac:dyDescent="0.4">
      <c r="B264" s="99">
        <f t="shared" si="22"/>
        <v>36465</v>
      </c>
      <c r="C264" s="100">
        <v>7.74</v>
      </c>
    </row>
    <row r="265" spans="1:3" ht="15" thickBot="1" x14ac:dyDescent="0.4">
      <c r="A265" t="s">
        <v>288</v>
      </c>
      <c r="B265" s="99">
        <f t="shared" si="22"/>
        <v>36495</v>
      </c>
      <c r="C265" s="103">
        <v>7.91</v>
      </c>
    </row>
    <row r="266" spans="1:3" ht="15" thickBot="1" x14ac:dyDescent="0.4">
      <c r="A266">
        <v>1998</v>
      </c>
      <c r="B266" s="99">
        <f>DATE(A266,1,1)</f>
        <v>35796</v>
      </c>
      <c r="C266" s="100">
        <v>6.99</v>
      </c>
    </row>
    <row r="267" spans="1:3" ht="15" thickBot="1" x14ac:dyDescent="0.4">
      <c r="B267" s="99">
        <f t="shared" si="22"/>
        <v>35827</v>
      </c>
      <c r="C267" s="100">
        <v>7.04</v>
      </c>
    </row>
    <row r="268" spans="1:3" ht="15" thickBot="1" x14ac:dyDescent="0.4">
      <c r="B268" s="99">
        <f t="shared" si="22"/>
        <v>35855</v>
      </c>
      <c r="C268" s="100">
        <v>7.13</v>
      </c>
    </row>
    <row r="269" spans="1:3" ht="15" thickBot="1" x14ac:dyDescent="0.4">
      <c r="B269" s="99">
        <f t="shared" si="22"/>
        <v>35886</v>
      </c>
      <c r="C269" s="100">
        <v>7.14</v>
      </c>
    </row>
    <row r="270" spans="1:3" ht="15" thickBot="1" x14ac:dyDescent="0.4">
      <c r="B270" s="99">
        <f t="shared" si="22"/>
        <v>35916</v>
      </c>
      <c r="C270" s="100">
        <v>7.14</v>
      </c>
    </row>
    <row r="271" spans="1:3" ht="15" thickBot="1" x14ac:dyDescent="0.4">
      <c r="B271" s="99">
        <f t="shared" si="22"/>
        <v>35947</v>
      </c>
      <c r="C271" s="100">
        <v>7</v>
      </c>
    </row>
    <row r="272" spans="1:3" ht="15" thickBot="1" x14ac:dyDescent="0.4">
      <c r="B272" s="99">
        <f t="shared" si="22"/>
        <v>35977</v>
      </c>
      <c r="C272" s="100">
        <v>6.95</v>
      </c>
    </row>
    <row r="273" spans="2:3" ht="15" thickBot="1" x14ac:dyDescent="0.4">
      <c r="B273" s="99">
        <f t="shared" si="22"/>
        <v>36008</v>
      </c>
      <c r="C273" s="100">
        <v>6.92</v>
      </c>
    </row>
    <row r="274" spans="2:3" ht="15" thickBot="1" x14ac:dyDescent="0.4">
      <c r="B274" s="99">
        <f t="shared" si="22"/>
        <v>36039</v>
      </c>
      <c r="C274" s="100">
        <v>6.72</v>
      </c>
    </row>
    <row r="275" spans="2:3" ht="15" thickBot="1" x14ac:dyDescent="0.4">
      <c r="B275" s="99">
        <f t="shared" si="22"/>
        <v>36069</v>
      </c>
      <c r="C275" s="100">
        <v>6.71</v>
      </c>
    </row>
    <row r="276" spans="2:3" ht="15" thickBot="1" x14ac:dyDescent="0.4">
      <c r="B276" s="99">
        <f t="shared" si="22"/>
        <v>36100</v>
      </c>
      <c r="C276" s="100">
        <v>6.87</v>
      </c>
    </row>
    <row r="277" spans="2:3" ht="15" thickBot="1" x14ac:dyDescent="0.4">
      <c r="B277" s="99">
        <f t="shared" si="22"/>
        <v>36130</v>
      </c>
      <c r="C277" s="103">
        <v>6.74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NPV</vt:lpstr>
      <vt:lpstr>FP3 Amort</vt:lpstr>
      <vt:lpstr>Amort</vt:lpstr>
      <vt:lpstr>Pivot</vt:lpstr>
      <vt:lpstr>DATA&gt;&gt;</vt:lpstr>
      <vt:lpstr>Inputs</vt:lpstr>
      <vt:lpstr>Financials</vt:lpstr>
      <vt:lpstr>sale_data</vt:lpstr>
      <vt:lpstr>Rate_Data</vt:lpstr>
      <vt:lpstr>Inflation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Spencer Flindt</cp:lastModifiedBy>
  <dcterms:created xsi:type="dcterms:W3CDTF">2024-11-02T18:23:23Z</dcterms:created>
  <dcterms:modified xsi:type="dcterms:W3CDTF">2025-11-28T20:36:59Z</dcterms:modified>
</cp:coreProperties>
</file>